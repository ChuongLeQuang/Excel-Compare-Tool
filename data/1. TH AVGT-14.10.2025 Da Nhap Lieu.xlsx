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TH AVGT-24.03.26 new" sheetId="1" state="visible" r:id="rId1"/>
    <sheet name="LN_326NG01" sheetId="2" state="visible" r:id="rId2"/>
    <sheet name="LN_326ND01+NS01" sheetId="3" state="visible" r:id="rId3"/>
    <sheet name="LN_326NE01" sheetId="4" state="visible" r:id="rId4"/>
    <sheet name="LN_326NP01" sheetId="5" state="visible" r:id="rId5"/>
    <sheet name="LN_0925ND01" sheetId="6" state="visible" r:id="rId6"/>
    <sheet name="LN_0925NL01" sheetId="7" state="visible" r:id="rId7"/>
    <sheet name="TH AVGT-12.10.25( chốt xn)" sheetId="8" state="visible" r:id="rId8"/>
    <sheet name="XN ngày 16.10.25" sheetId="9" state="visible" r:id="rId9"/>
  </sheets>
  <externalReferences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1" hidden="1">'LN_326NG01'!$A$1:$J$41</definedName>
    <definedName name="_xlnm._FilterDatabase" localSheetId="5" hidden="1">'LN_0925ND01'!$A$1:$J$1265</definedName>
    <definedName name="_xlnm._FilterDatabase" localSheetId="6" hidden="1">'LN_0925NL01'!$A$1:$J$65</definedName>
    <definedName name="_xlnm._FilterDatabase" localSheetId="7" hidden="1">'TH AVGT-12.10.25( chốt xn)'!$A$6:$H$858</definedName>
    <definedName name="_xlnm._FilterDatabase" localSheetId="8" hidden="1">'XN ngày 16.10.25'!$A$6:$H$858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\ _₫_-;\-* #,##0\ _₫_-;_-* &quot;-&quot;??\ _₫_-;_-@_-"/>
    <numFmt numFmtId="165" formatCode="_-* #,##0.00\ _₫_-;\-* #,##0.00\ _₫_-;_-* &quot;-&quot;??\ _₫_-;_-@_-"/>
  </numFmts>
  <fonts count="18">
    <font>
      <name val="Calibri"/>
      <charset val="163"/>
      <family val="2"/>
      <color theme="1"/>
      <sz val="11"/>
      <scheme val="minor"/>
    </font>
    <font>
      <name val="VNI-Helve"/>
      <color theme="1"/>
      <sz val="10"/>
    </font>
    <font>
      <name val="Calibri"/>
      <charset val="163"/>
      <family val="2"/>
      <color theme="1"/>
      <sz val="11"/>
      <scheme val="minor"/>
    </font>
    <font>
      <name val="Calibri"/>
      <charset val="163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VNI-Helve"/>
      <color rgb="FFFF0000"/>
      <sz val="10"/>
    </font>
    <font>
      <name val="Calibri"/>
      <charset val="163"/>
      <family val="2"/>
      <color rgb="FF7030A0"/>
      <sz val="11"/>
      <scheme val="minor"/>
    </font>
    <font>
      <name val="VNI-Helve"/>
      <color rgb="FF7030A0"/>
      <sz val="10"/>
    </font>
    <font>
      <name val="Segoe UI"/>
      <family val="2"/>
      <color rgb="FF081B3A"/>
      <sz val="9"/>
    </font>
    <font>
      <name val="VNI-Helve"/>
      <color theme="1"/>
      <sz val="11"/>
    </font>
    <font>
      <name val="VNI-Helve"/>
      <color rgb="FFFF0000"/>
      <sz val="11"/>
    </font>
    <font>
      <name val="Calibri "/>
      <charset val="163"/>
      <color theme="1"/>
      <sz val="10"/>
    </font>
    <font>
      <name val="Calibri "/>
      <charset val="163"/>
      <color rgb="FF7030A0"/>
      <sz val="10"/>
    </font>
    <font>
      <name val="Calibri "/>
      <charset val="163"/>
      <color rgb="FFFF0000"/>
      <sz val="10"/>
    </font>
    <font>
      <name val="Calibri "/>
      <charset val="163"/>
      <b val="1"/>
      <color theme="1"/>
      <sz val="10"/>
    </font>
    <font>
      <name val="Calibri "/>
      <charset val="163"/>
      <color rgb="FF081B3A"/>
      <sz val="10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</fonts>
  <fills count="9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2" fillId="0" borderId="0"/>
    <xf numFmtId="165" fontId="2" fillId="0" borderId="0"/>
  </cellStyleXfs>
  <cellXfs count="112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164" fontId="4" fillId="0" borderId="0" pivotButton="0" quotePrefix="0" xfId="1"/>
    <xf numFmtId="0" fontId="4" fillId="0" borderId="0" pivotButton="0" quotePrefix="0" xfId="0"/>
    <xf numFmtId="0" fontId="0" fillId="0" borderId="2" pivotButton="0" quotePrefix="0" xfId="0"/>
    <xf numFmtId="0" fontId="1" fillId="0" borderId="2" pivotButton="0" quotePrefix="0" xfId="0"/>
    <xf numFmtId="0" fontId="0" fillId="0" borderId="3" pivotButton="0" quotePrefix="0" xfId="0"/>
    <xf numFmtId="0" fontId="1" fillId="0" borderId="3" pivotButton="0" quotePrefix="0" xfId="0"/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1">
      <alignment horizontal="center"/>
    </xf>
    <xf numFmtId="164" fontId="0" fillId="0" borderId="2" pivotButton="0" quotePrefix="0" xfId="1"/>
    <xf numFmtId="164" fontId="0" fillId="0" borderId="3" pivotButton="0" quotePrefix="0" xfId="1"/>
    <xf numFmtId="0" fontId="4" fillId="0" borderId="4" applyAlignment="1" pivotButton="0" quotePrefix="0" xfId="0">
      <alignment horizontal="center"/>
    </xf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1"/>
    <xf numFmtId="0" fontId="0" fillId="3" borderId="0" pivotButton="0" quotePrefix="0" xfId="0"/>
    <xf numFmtId="164" fontId="0" fillId="3" borderId="0" pivotButton="0" quotePrefix="0" xfId="1"/>
    <xf numFmtId="0" fontId="3" fillId="0" borderId="0" pivotButton="0" quotePrefix="0" xfId="0"/>
    <xf numFmtId="0" fontId="3" fillId="0" borderId="2" pivotButton="0" quotePrefix="0" xfId="0"/>
    <xf numFmtId="0" fontId="5" fillId="0" borderId="2" pivotButton="0" quotePrefix="0" xfId="0"/>
    <xf numFmtId="164" fontId="3" fillId="0" borderId="2" pivotButton="0" quotePrefix="0" xfId="1"/>
    <xf numFmtId="14" fontId="1" fillId="0" borderId="0" pivotButton="0" quotePrefix="0" xfId="0"/>
    <xf numFmtId="0" fontId="1" fillId="0" borderId="0" pivotButton="0" quotePrefix="1" xfId="0"/>
    <xf numFmtId="0" fontId="6" fillId="0" borderId="1" pivotButton="0" quotePrefix="0" xfId="0"/>
    <xf numFmtId="0" fontId="7" fillId="0" borderId="1" pivotButton="0" quotePrefix="0" xfId="0"/>
    <xf numFmtId="164" fontId="6" fillId="0" borderId="1" pivotButton="0" quotePrefix="0" xfId="1"/>
    <xf numFmtId="0" fontId="6" fillId="0" borderId="2" pivotButton="0" quotePrefix="0" xfId="0"/>
    <xf numFmtId="0" fontId="7" fillId="0" borderId="2" pivotButton="0" quotePrefix="0" xfId="0"/>
    <xf numFmtId="164" fontId="6" fillId="0" borderId="2" pivotButton="0" quotePrefix="0" xfId="1"/>
    <xf numFmtId="0" fontId="8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164" fontId="0" fillId="0" borderId="1" pivotButton="0" quotePrefix="0" xfId="1"/>
    <xf numFmtId="0" fontId="0" fillId="4" borderId="2" pivotButton="0" quotePrefix="1" xfId="0"/>
    <xf numFmtId="0" fontId="1" fillId="4" borderId="2" pivotButton="0" quotePrefix="0" xfId="0"/>
    <xf numFmtId="0" fontId="0" fillId="4" borderId="2" pivotButton="0" quotePrefix="0" xfId="0"/>
    <xf numFmtId="164" fontId="0" fillId="4" borderId="2" pivotButton="0" quotePrefix="0" xfId="1"/>
    <xf numFmtId="0" fontId="1" fillId="5" borderId="0" pivotButton="0" quotePrefix="0" xfId="0"/>
    <xf numFmtId="0" fontId="0" fillId="5" borderId="2" pivotButton="0" quotePrefix="0" xfId="0"/>
    <xf numFmtId="0" fontId="3" fillId="5" borderId="2" pivotButton="0" quotePrefix="0" xfId="0"/>
    <xf numFmtId="0" fontId="0" fillId="0" borderId="0" pivotButton="0" quotePrefix="1" xfId="0"/>
    <xf numFmtId="0" fontId="9" fillId="0" borderId="0" pivotButton="0" quotePrefix="0" xfId="0"/>
    <xf numFmtId="0" fontId="10" fillId="0" borderId="0" pivotButton="0" quotePrefix="0" xfId="0"/>
    <xf numFmtId="0" fontId="11" fillId="2" borderId="0" pivotButton="0" quotePrefix="0" xfId="0"/>
    <xf numFmtId="164" fontId="11" fillId="2" borderId="0" pivotButton="0" quotePrefix="0" xfId="1"/>
    <xf numFmtId="164" fontId="11" fillId="0" borderId="0" pivotButton="0" quotePrefix="0" xfId="0"/>
    <xf numFmtId="0" fontId="11" fillId="0" borderId="0" pivotButton="0" quotePrefix="0" xfId="0"/>
    <xf numFmtId="164" fontId="11" fillId="0" borderId="0" pivotButton="0" quotePrefix="0" xfId="1"/>
    <xf numFmtId="0" fontId="13" fillId="2" borderId="0" pivotButton="0" quotePrefix="0" xfId="0"/>
    <xf numFmtId="0" fontId="11" fillId="3" borderId="0" pivotButton="0" quotePrefix="0" xfId="0"/>
    <xf numFmtId="164" fontId="11" fillId="3" borderId="0" pivotButton="0" quotePrefix="0" xfId="1"/>
    <xf numFmtId="0" fontId="13" fillId="3" borderId="0" pivotButton="0" quotePrefix="0" xfId="0"/>
    <xf numFmtId="0" fontId="14" fillId="0" borderId="0" pivotButton="0" quotePrefix="0" xfId="0"/>
    <xf numFmtId="164" fontId="14" fillId="0" borderId="0" pivotButton="0" quotePrefix="0" xfId="1"/>
    <xf numFmtId="0" fontId="13" fillId="0" borderId="0" pivotButton="0" quotePrefix="0" xfId="0"/>
    <xf numFmtId="164" fontId="11" fillId="0" borderId="0" pivotButton="0" quotePrefix="0" xfId="1"/>
    <xf numFmtId="14" fontId="11" fillId="0" borderId="0" pivotButton="0" quotePrefix="0" xfId="0"/>
    <xf numFmtId="38" fontId="11" fillId="0" borderId="0" pivotButton="0" quotePrefix="0" xfId="0"/>
    <xf numFmtId="0" fontId="14" fillId="0" borderId="0" applyAlignment="1" pivotButton="0" quotePrefix="0" xfId="0">
      <alignment horizontal="center"/>
    </xf>
    <xf numFmtId="0" fontId="14" fillId="6" borderId="0" applyAlignment="1" pivotButton="0" quotePrefix="0" xfId="0">
      <alignment horizontal="center"/>
    </xf>
    <xf numFmtId="164" fontId="14" fillId="0" borderId="0" applyAlignment="1" pivotButton="0" quotePrefix="0" xfId="1">
      <alignment horizontal="center"/>
    </xf>
    <xf numFmtId="38" fontId="14" fillId="0" borderId="0" applyAlignment="1" pivotButton="0" quotePrefix="0" xfId="0">
      <alignment horizontal="center"/>
    </xf>
    <xf numFmtId="0" fontId="11" fillId="3" borderId="0" pivotButton="0" quotePrefix="0" xfId="0"/>
    <xf numFmtId="0" fontId="11" fillId="0" borderId="0" pivotButton="0" quotePrefix="0" xfId="0"/>
    <xf numFmtId="0" fontId="11" fillId="6" borderId="0" pivotButton="0" quotePrefix="0" xfId="0"/>
    <xf numFmtId="164" fontId="11" fillId="0" borderId="0" pivotButton="0" quotePrefix="0" xfId="1"/>
    <xf numFmtId="164" fontId="11" fillId="0" borderId="0" pivotButton="0" quotePrefix="0" xfId="0"/>
    <xf numFmtId="38" fontId="11" fillId="0" borderId="0" pivotButton="0" quotePrefix="0" xfId="0"/>
    <xf numFmtId="0" fontId="13" fillId="0" borderId="0" pivotButton="0" quotePrefix="0" xfId="0"/>
    <xf numFmtId="0" fontId="11" fillId="0" borderId="0" pivotButton="0" quotePrefix="1" xfId="0"/>
    <xf numFmtId="0" fontId="11" fillId="4" borderId="0" pivotButton="0" quotePrefix="1" xfId="0"/>
    <xf numFmtId="0" fontId="11" fillId="4" borderId="0" pivotButton="0" quotePrefix="0" xfId="0"/>
    <xf numFmtId="164" fontId="11" fillId="4" borderId="0" pivotButton="0" quotePrefix="0" xfId="1"/>
    <xf numFmtId="0" fontId="11" fillId="5" borderId="0" pivotButton="0" quotePrefix="0" xfId="0"/>
    <xf numFmtId="0" fontId="15" fillId="0" borderId="0" pivotButton="0" quotePrefix="0" xfId="0"/>
    <xf numFmtId="1" fontId="11" fillId="0" borderId="0" pivotButton="0" quotePrefix="0" xfId="0"/>
    <xf numFmtId="0" fontId="12" fillId="0" borderId="0" pivotButton="0" quotePrefix="0" xfId="0"/>
    <xf numFmtId="0" fontId="12" fillId="6" borderId="0" pivotButton="0" quotePrefix="0" xfId="0"/>
    <xf numFmtId="164" fontId="12" fillId="0" borderId="0" pivotButton="0" quotePrefix="0" xfId="1"/>
    <xf numFmtId="0" fontId="11" fillId="3" borderId="0" pivotButton="0" quotePrefix="1" xfId="0"/>
    <xf numFmtId="14" fontId="11" fillId="3" borderId="0" pivotButton="0" quotePrefix="0" xfId="0"/>
    <xf numFmtId="164" fontId="11" fillId="3" borderId="0" pivotButton="0" quotePrefix="0" xfId="1"/>
    <xf numFmtId="0" fontId="11" fillId="7" borderId="0" pivotButton="0" quotePrefix="0" xfId="0"/>
    <xf numFmtId="164" fontId="11" fillId="7" borderId="0" pivotButton="0" quotePrefix="0" xfId="1"/>
    <xf numFmtId="0" fontId="11" fillId="8" borderId="0" pivotButton="0" quotePrefix="0" xfId="0"/>
    <xf numFmtId="0" fontId="0" fillId="0" borderId="0" pivotButton="0" quotePrefix="0" xfId="0"/>
    <xf numFmtId="0" fontId="0" fillId="7" borderId="0" pivotButton="0" quotePrefix="0" xfId="0"/>
    <xf numFmtId="164" fontId="0" fillId="0" borderId="0" pivotButton="0" quotePrefix="0" xfId="1"/>
    <xf numFmtId="164" fontId="11" fillId="0" borderId="0" pivotButton="0" quotePrefix="0" xfId="1"/>
    <xf numFmtId="164" fontId="11" fillId="2" borderId="0" pivotButton="0" quotePrefix="0" xfId="1"/>
    <xf numFmtId="164" fontId="11" fillId="0" borderId="0" pivotButton="0" quotePrefix="0" xfId="0"/>
    <xf numFmtId="164" fontId="11" fillId="3" borderId="0" pivotButton="0" quotePrefix="0" xfId="1"/>
    <xf numFmtId="164" fontId="14" fillId="0" borderId="0" pivotButton="0" quotePrefix="0" xfId="1"/>
    <xf numFmtId="164" fontId="14" fillId="0" borderId="0" applyAlignment="1" pivotButton="0" quotePrefix="0" xfId="1">
      <alignment horizontal="center"/>
    </xf>
    <xf numFmtId="164" fontId="11" fillId="4" borderId="0" pivotButton="0" quotePrefix="0" xfId="1"/>
    <xf numFmtId="164" fontId="12" fillId="0" borderId="0" pivotButton="0" quotePrefix="0" xfId="1"/>
    <xf numFmtId="164" fontId="11" fillId="7" borderId="0" pivotButton="0" quotePrefix="0" xfId="1"/>
    <xf numFmtId="164" fontId="0" fillId="0" borderId="0" pivotButton="0" quotePrefix="0" xfId="1"/>
    <xf numFmtId="164" fontId="0" fillId="2" borderId="0" pivotButton="0" quotePrefix="0" xfId="1"/>
    <xf numFmtId="164" fontId="0" fillId="0" borderId="0" pivotButton="0" quotePrefix="0" xfId="0"/>
    <xf numFmtId="164" fontId="0" fillId="3" borderId="0" pivotButton="0" quotePrefix="0" xfId="1"/>
    <xf numFmtId="164" fontId="4" fillId="0" borderId="0" pivotButton="0" quotePrefix="0" xfId="1"/>
    <xf numFmtId="164" fontId="4" fillId="0" borderId="1" applyAlignment="1" pivotButton="0" quotePrefix="0" xfId="1">
      <alignment horizontal="center"/>
    </xf>
    <xf numFmtId="164" fontId="0" fillId="0" borderId="2" pivotButton="0" quotePrefix="0" xfId="1"/>
    <xf numFmtId="164" fontId="3" fillId="0" borderId="2" pivotButton="0" quotePrefix="0" xfId="1"/>
    <xf numFmtId="164" fontId="0" fillId="4" borderId="2" pivotButton="0" quotePrefix="0" xfId="1"/>
    <xf numFmtId="164" fontId="0" fillId="0" borderId="3" pivotButton="0" quotePrefix="0" xfId="1"/>
    <xf numFmtId="164" fontId="6" fillId="0" borderId="1" pivotButton="0" quotePrefix="0" xfId="1"/>
    <xf numFmtId="164" fontId="6" fillId="0" borderId="2" pivotButton="0" quotePrefix="0" xfId="1"/>
    <xf numFmtId="164" fontId="0" fillId="0" borderId="1" pivotButton="0" quotePrefix="0" xfId="1"/>
  </cellXfs>
  <cellStyles count="2">
    <cellStyle name="Normal" xfId="0" builtinId="0"/>
    <cellStyle name="Comma" xfId="1" builtin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externalLink" Target="/xl/externalLinks/externalLink1.xml" Id="rId10" /><Relationship Type="http://schemas.openxmlformats.org/officeDocument/2006/relationships/externalLink" Target="/xl/externalLinks/externalLink2.xml" Id="rId11" /><Relationship Type="http://schemas.openxmlformats.org/officeDocument/2006/relationships/externalLink" Target="/xl/externalLinks/externalLink3.xml" Id="rId12" /><Relationship Type="http://schemas.openxmlformats.org/officeDocument/2006/relationships/externalLink" Target="/xl/externalLinks/externalLink4.xml" Id="rId13" /><Relationship Type="http://schemas.openxmlformats.org/officeDocument/2006/relationships/externalLink" Target="/xl/externalLinks/externalLink5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Administrator</author>
  </authors>
  <commentList>
    <comment ref="R778" authorId="0" shapeId="0">
      <text>
        <t xml:space="preserve">Administrator:
Rút HP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D:\SOPHU\AB%20BANK\AVGT\AVGTK25\14.10.2025%20XEP%20LOP%20THANG%2009.2025%20-%20Y&#7871;n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SOPHU\AB%20BANK\AVGT\AVGTK25\15.12.2025.DANH%20SACH%20SINH%20VIEN%20THANG%2011.25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D:\SOPHU\AB%20BANK\AVGT\AVGTK25\24.03.2026.DANH%20SACH%20SV%20DONG%20HOC%20PHI%20K25%20%20update%2024.03.26%20Y&#7871;n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D:\SOPHU\AB%20BANK\AVGT\AVGTK25\21.01.2026.DANH%20SACH%20SINH%20VIEN%20THANG%2001.2026%20y&#7871;n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D:\SOPHU\AB%20BANK\AVGT\AVGTK25\27.10.2025.DANH%20SACH%20SINH%20VIEN%20THANG%2010.25%20-%20Y&#7871;n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ONG HOP"/>
    </sheetNames>
    <sheetDataSet>
      <sheetData sheetId="0">
        <row r="5">
          <cell r="B5" t="str">
            <v>25801700020</v>
          </cell>
          <cell r="C5" t="str">
            <v>Bui Quang</v>
          </cell>
          <cell r="D5" t="str">
            <v>Huy</v>
          </cell>
          <cell r="E5">
            <v>8415000</v>
          </cell>
          <cell r="F5">
            <v>2103750</v>
          </cell>
          <cell r="G5" t="str">
            <v>LNH0925ND01</v>
          </cell>
        </row>
        <row r="6">
          <cell r="B6" t="str">
            <v>25801800183</v>
          </cell>
          <cell r="C6" t="str">
            <v>Trần Thị Minh</v>
          </cell>
          <cell r="D6" t="str">
            <v>Tú</v>
          </cell>
          <cell r="E6">
            <v>8415000</v>
          </cell>
          <cell r="F6">
            <v>2103750</v>
          </cell>
          <cell r="G6" t="str">
            <v>LNH0925ND01</v>
          </cell>
        </row>
        <row r="7">
          <cell r="B7" t="str">
            <v>25802800055</v>
          </cell>
          <cell r="C7" t="str">
            <v>Nguyễn Xuân Hoàng</v>
          </cell>
          <cell r="D7" t="str">
            <v>Hà</v>
          </cell>
          <cell r="E7">
            <v>8415000</v>
          </cell>
          <cell r="F7">
            <v>2103750</v>
          </cell>
          <cell r="G7" t="str">
            <v>LNH0925ND01</v>
          </cell>
        </row>
        <row r="8">
          <cell r="B8" t="str">
            <v>25802800070</v>
          </cell>
          <cell r="C8" t="str">
            <v>Lê Thị Thu</v>
          </cell>
          <cell r="D8" t="str">
            <v>Hiền</v>
          </cell>
          <cell r="E8">
            <v>8415000</v>
          </cell>
          <cell r="F8">
            <v>2103750</v>
          </cell>
          <cell r="G8" t="str">
            <v>LNH0925ND01</v>
          </cell>
        </row>
        <row r="9">
          <cell r="B9" t="str">
            <v>25802800103</v>
          </cell>
          <cell r="C9" t="str">
            <v>Nguyễn Hồng</v>
          </cell>
          <cell r="D9" t="str">
            <v>Khang</v>
          </cell>
          <cell r="E9">
            <v>8415000</v>
          </cell>
          <cell r="F9">
            <v>2103750</v>
          </cell>
          <cell r="G9" t="str">
            <v>LNH0925ND01</v>
          </cell>
        </row>
        <row r="10">
          <cell r="B10" t="str">
            <v>25802800133</v>
          </cell>
          <cell r="C10" t="str">
            <v>Đỗ Lê Thanh</v>
          </cell>
          <cell r="D10" t="str">
            <v>Loan</v>
          </cell>
          <cell r="E10">
            <v>8415000</v>
          </cell>
          <cell r="F10">
            <v>2103750</v>
          </cell>
          <cell r="G10" t="str">
            <v>LNH0925ND01</v>
          </cell>
        </row>
        <row r="11">
          <cell r="B11" t="str">
            <v>25802800379</v>
          </cell>
          <cell r="C11" t="str">
            <v>Nguyen Thien</v>
          </cell>
          <cell r="D11" t="str">
            <v>Phuc</v>
          </cell>
          <cell r="E11">
            <v>8415000</v>
          </cell>
          <cell r="F11">
            <v>2103750</v>
          </cell>
          <cell r="G11" t="str">
            <v>LNH0925ND01</v>
          </cell>
        </row>
        <row r="12">
          <cell r="B12" t="str">
            <v>25805900103</v>
          </cell>
          <cell r="C12" t="str">
            <v>Lê Mỹ</v>
          </cell>
          <cell r="D12" t="str">
            <v>Nhàn</v>
          </cell>
          <cell r="E12">
            <v>8415000</v>
          </cell>
          <cell r="F12">
            <v>2103750</v>
          </cell>
          <cell r="G12" t="str">
            <v>LNH0925ND01</v>
          </cell>
        </row>
        <row r="13">
          <cell r="B13" t="str">
            <v>25807900073</v>
          </cell>
          <cell r="C13" t="str">
            <v>Trương Tấn</v>
          </cell>
          <cell r="D13" t="str">
            <v>Long</v>
          </cell>
          <cell r="E13">
            <v>8415000</v>
          </cell>
          <cell r="F13">
            <v>2103750</v>
          </cell>
          <cell r="G13" t="str">
            <v>LNH0925ND01</v>
          </cell>
        </row>
        <row r="14">
          <cell r="B14" t="str">
            <v>25808600033</v>
          </cell>
          <cell r="C14" t="str">
            <v>Phạm Thị Ngọc</v>
          </cell>
          <cell r="D14" t="str">
            <v>Hân</v>
          </cell>
          <cell r="E14">
            <v>8415000</v>
          </cell>
          <cell r="F14">
            <v>2103750</v>
          </cell>
          <cell r="G14" t="str">
            <v>LNH0925ND01</v>
          </cell>
        </row>
        <row r="15">
          <cell r="B15" t="str">
            <v>25808600160</v>
          </cell>
          <cell r="C15" t="str">
            <v>Nguyễn Thị Như</v>
          </cell>
          <cell r="D15" t="str">
            <v>Ý</v>
          </cell>
          <cell r="E15">
            <v>8415000</v>
          </cell>
          <cell r="F15">
            <v>2103750</v>
          </cell>
          <cell r="G15" t="str">
            <v>LNH0925ND01</v>
          </cell>
        </row>
        <row r="16">
          <cell r="B16" t="str">
            <v>25809600050</v>
          </cell>
          <cell r="C16" t="str">
            <v>Nguyễn Hoàng Bảo</v>
          </cell>
          <cell r="D16" t="str">
            <v>Phúc</v>
          </cell>
          <cell r="E16">
            <v>8415000</v>
          </cell>
          <cell r="F16">
            <v>2103750</v>
          </cell>
          <cell r="G16" t="str">
            <v>LNH0925ND01</v>
          </cell>
        </row>
        <row r="17">
          <cell r="B17" t="str">
            <v>25801600005</v>
          </cell>
          <cell r="C17" t="str">
            <v>Ngô Khắc Vân</v>
          </cell>
          <cell r="D17" t="str">
            <v>Anh</v>
          </cell>
          <cell r="E17">
            <v>4465000</v>
          </cell>
          <cell r="F17">
            <v>2232500</v>
          </cell>
          <cell r="G17" t="str">
            <v>LNH0925ND01</v>
          </cell>
        </row>
        <row r="18">
          <cell r="B18" t="str">
            <v>25802600109</v>
          </cell>
          <cell r="C18" t="str">
            <v>Ngô Tâm</v>
          </cell>
          <cell r="D18" t="str">
            <v>Thanh</v>
          </cell>
          <cell r="E18">
            <v>4465000</v>
          </cell>
          <cell r="F18">
            <v>2232500</v>
          </cell>
          <cell r="G18" t="str">
            <v>LNH0925ND01</v>
          </cell>
        </row>
        <row r="19">
          <cell r="B19" t="str">
            <v>25820500007</v>
          </cell>
          <cell r="C19" t="str">
            <v>Trần Vũ Anh</v>
          </cell>
          <cell r="D19" t="str">
            <v>Kiệt</v>
          </cell>
          <cell r="E19">
            <v>4465000</v>
          </cell>
          <cell r="F19">
            <v>2232500</v>
          </cell>
          <cell r="G19" t="str">
            <v>LNH0925ND01</v>
          </cell>
        </row>
        <row r="20">
          <cell r="B20" t="str">
            <v>25802800084</v>
          </cell>
          <cell r="C20" t="str">
            <v>Võ</v>
          </cell>
          <cell r="D20" t="str">
            <v>Hùng</v>
          </cell>
          <cell r="E20">
            <v>4207500</v>
          </cell>
          <cell r="F20">
            <v>2232500</v>
          </cell>
          <cell r="G20" t="str">
            <v>LNH0925ND01</v>
          </cell>
        </row>
        <row r="21">
          <cell r="B21" t="str">
            <v>25801700016</v>
          </cell>
          <cell r="C21" t="str">
            <v>Lê Nguyễn Thu</v>
          </cell>
          <cell r="D21" t="str">
            <v>Hà</v>
          </cell>
          <cell r="E21">
            <v>2100000</v>
          </cell>
          <cell r="F21">
            <v>2100000</v>
          </cell>
          <cell r="G21" t="str">
            <v>LNH0925ND01</v>
          </cell>
        </row>
        <row r="22">
          <cell r="B22" t="str">
            <v>25801100118</v>
          </cell>
          <cell r="C22" t="str">
            <v>Thái Nguyễn Nam</v>
          </cell>
          <cell r="D22" t="str">
            <v>Khánh</v>
          </cell>
          <cell r="E22">
            <v>8415000</v>
          </cell>
          <cell r="F22">
            <v>2103750</v>
          </cell>
          <cell r="G22" t="str">
            <v>LNH0925ND02</v>
          </cell>
        </row>
        <row r="23">
          <cell r="B23" t="str">
            <v>25801200021</v>
          </cell>
          <cell r="C23" t="str">
            <v>Trần Quang</v>
          </cell>
          <cell r="D23" t="str">
            <v>Minh</v>
          </cell>
          <cell r="E23">
            <v>8415000</v>
          </cell>
          <cell r="F23">
            <v>2103750</v>
          </cell>
          <cell r="G23" t="str">
            <v>LNH0925ND02</v>
          </cell>
        </row>
        <row r="24">
          <cell r="B24" t="str">
            <v>25801700013</v>
          </cell>
          <cell r="C24" t="str">
            <v>Trần Văn Anh</v>
          </cell>
          <cell r="D24" t="str">
            <v>Đức</v>
          </cell>
          <cell r="E24">
            <v>8415000</v>
          </cell>
          <cell r="F24">
            <v>2103750</v>
          </cell>
          <cell r="G24" t="str">
            <v>LNH0925ND02</v>
          </cell>
        </row>
        <row r="25">
          <cell r="B25" t="str">
            <v>25801700102</v>
          </cell>
          <cell r="C25" t="str">
            <v>Trần Ngọc</v>
          </cell>
          <cell r="D25" t="str">
            <v>Linh</v>
          </cell>
          <cell r="E25">
            <v>8415000</v>
          </cell>
          <cell r="F25">
            <v>2103750</v>
          </cell>
          <cell r="G25" t="str">
            <v>LNH0925ND02</v>
          </cell>
        </row>
        <row r="26">
          <cell r="B26" t="str">
            <v>25802700006</v>
          </cell>
          <cell r="C26" t="str">
            <v>Lê Quốc</v>
          </cell>
          <cell r="D26" t="str">
            <v>Anh</v>
          </cell>
          <cell r="E26">
            <v>8415000</v>
          </cell>
          <cell r="F26">
            <v>2103750</v>
          </cell>
          <cell r="G26" t="str">
            <v>LNH0925ND02</v>
          </cell>
        </row>
        <row r="27">
          <cell r="B27" t="str">
            <v>25802800041</v>
          </cell>
          <cell r="C27" t="str">
            <v>Nguyễn Quốc</v>
          </cell>
          <cell r="D27" t="str">
            <v>Đạt</v>
          </cell>
          <cell r="E27">
            <v>8415000</v>
          </cell>
          <cell r="F27">
            <v>2103750</v>
          </cell>
          <cell r="G27" t="str">
            <v>LNH0925ND02</v>
          </cell>
        </row>
        <row r="28">
          <cell r="B28" t="str">
            <v>25802800087</v>
          </cell>
          <cell r="C28" t="str">
            <v>Hướng Huỳnh Gia</v>
          </cell>
          <cell r="D28" t="str">
            <v>Huy</v>
          </cell>
          <cell r="E28">
            <v>8415000</v>
          </cell>
          <cell r="F28">
            <v>2103750</v>
          </cell>
          <cell r="G28" t="str">
            <v>LNH0925ND02</v>
          </cell>
        </row>
        <row r="29">
          <cell r="B29" t="str">
            <v>25803000304</v>
          </cell>
          <cell r="C29" t="str">
            <v>Nguyễn Thị Thùy</v>
          </cell>
          <cell r="D29" t="str">
            <v>Linh</v>
          </cell>
          <cell r="E29">
            <v>8415000</v>
          </cell>
          <cell r="F29">
            <v>2103750</v>
          </cell>
          <cell r="G29" t="str">
            <v>LNH0925ND02</v>
          </cell>
        </row>
        <row r="30">
          <cell r="B30" t="str">
            <v>25806800034</v>
          </cell>
          <cell r="C30" t="str">
            <v>Nguyễn Huỳnh Gia</v>
          </cell>
          <cell r="D30" t="str">
            <v>Linh</v>
          </cell>
          <cell r="E30">
            <v>8415000</v>
          </cell>
          <cell r="F30">
            <v>2103750</v>
          </cell>
          <cell r="G30" t="str">
            <v>LNH0925ND02</v>
          </cell>
        </row>
        <row r="31">
          <cell r="B31" t="str">
            <v>25806800053</v>
          </cell>
          <cell r="C31" t="str">
            <v>Đoàn Ngọc Yến</v>
          </cell>
          <cell r="D31" t="str">
            <v>Nhi</v>
          </cell>
          <cell r="E31">
            <v>8415000</v>
          </cell>
          <cell r="F31">
            <v>2103750</v>
          </cell>
          <cell r="G31" t="str">
            <v>LNH0925ND02</v>
          </cell>
        </row>
        <row r="32">
          <cell r="B32" t="str">
            <v>25808600084</v>
          </cell>
          <cell r="C32" t="str">
            <v>Lý Thị Tuyết</v>
          </cell>
          <cell r="D32" t="str">
            <v>Nhung</v>
          </cell>
          <cell r="E32">
            <v>8415000</v>
          </cell>
          <cell r="F32">
            <v>2103750</v>
          </cell>
          <cell r="G32" t="str">
            <v>LNH0925ND02</v>
          </cell>
        </row>
        <row r="33">
          <cell r="B33" t="str">
            <v>25808600150</v>
          </cell>
          <cell r="C33" t="str">
            <v>Nguyễn Thị Ngọc</v>
          </cell>
          <cell r="D33" t="str">
            <v>Vi</v>
          </cell>
          <cell r="E33">
            <v>8415000</v>
          </cell>
          <cell r="F33">
            <v>2103750</v>
          </cell>
          <cell r="G33" t="str">
            <v>LNH0925ND02</v>
          </cell>
        </row>
        <row r="34">
          <cell r="B34" t="str">
            <v>25808600245</v>
          </cell>
          <cell r="C34" t="str">
            <v>Phan Minh</v>
          </cell>
          <cell r="D34" t="str">
            <v>Thư</v>
          </cell>
          <cell r="E34">
            <v>8415000</v>
          </cell>
          <cell r="F34">
            <v>2103750</v>
          </cell>
          <cell r="G34" t="str">
            <v>LNH0925ND02</v>
          </cell>
        </row>
        <row r="35">
          <cell r="B35" t="str">
            <v>25808900043</v>
          </cell>
          <cell r="C35" t="str">
            <v>Huỳnh Xuân</v>
          </cell>
          <cell r="D35" t="str">
            <v>Hùng</v>
          </cell>
          <cell r="E35">
            <v>8415000</v>
          </cell>
          <cell r="F35">
            <v>2103750</v>
          </cell>
          <cell r="G35" t="str">
            <v>LNH0925ND02</v>
          </cell>
        </row>
        <row r="36">
          <cell r="B36" t="str">
            <v>25808900231</v>
          </cell>
          <cell r="C36" t="str">
            <v>Vũ Trung</v>
          </cell>
          <cell r="D36" t="str">
            <v>Nguyên</v>
          </cell>
          <cell r="E36">
            <v>8415000</v>
          </cell>
          <cell r="F36">
            <v>2103750</v>
          </cell>
          <cell r="G36" t="str">
            <v>LNH0925ND02</v>
          </cell>
        </row>
        <row r="37">
          <cell r="B37" t="str">
            <v>25806800057</v>
          </cell>
          <cell r="C37" t="str">
            <v>Lê Tâm</v>
          </cell>
          <cell r="D37" t="str">
            <v>Như</v>
          </cell>
          <cell r="E37">
            <v>4465000</v>
          </cell>
          <cell r="F37">
            <v>2232500</v>
          </cell>
          <cell r="G37" t="str">
            <v>LNH0925ND02</v>
          </cell>
        </row>
        <row r="38">
          <cell r="B38" t="str">
            <v>25801800061</v>
          </cell>
          <cell r="C38" t="str">
            <v>Nguyễn Hoàng</v>
          </cell>
          <cell r="D38" t="str">
            <v>Sang</v>
          </cell>
          <cell r="E38">
            <v>8415000</v>
          </cell>
          <cell r="F38">
            <v>2103750</v>
          </cell>
          <cell r="G38" t="str">
            <v>LNH0925ND03</v>
          </cell>
        </row>
        <row r="39">
          <cell r="B39" t="str">
            <v>25801900092</v>
          </cell>
          <cell r="C39" t="str">
            <v>Lê Thị Thúy</v>
          </cell>
          <cell r="D39" t="str">
            <v>Ngân</v>
          </cell>
          <cell r="E39">
            <v>8415000</v>
          </cell>
          <cell r="F39">
            <v>2103750</v>
          </cell>
          <cell r="G39" t="str">
            <v>LNH0925ND03</v>
          </cell>
        </row>
        <row r="40">
          <cell r="B40" t="str">
            <v>25801900280</v>
          </cell>
          <cell r="C40" t="str">
            <v>Trần Nguyễn Hoàng</v>
          </cell>
          <cell r="D40" t="str">
            <v>Phúc</v>
          </cell>
          <cell r="E40">
            <v>8415000</v>
          </cell>
          <cell r="F40">
            <v>2103750</v>
          </cell>
          <cell r="G40" t="str">
            <v>LNH0925ND03</v>
          </cell>
        </row>
        <row r="41">
          <cell r="B41" t="str">
            <v>25802800015</v>
          </cell>
          <cell r="C41" t="str">
            <v>Nguyễn Ngọc Bảo</v>
          </cell>
          <cell r="D41" t="str">
            <v>Ân</v>
          </cell>
          <cell r="E41">
            <v>8415000</v>
          </cell>
          <cell r="F41">
            <v>2103750</v>
          </cell>
          <cell r="G41" t="str">
            <v>LNH0925ND03</v>
          </cell>
        </row>
        <row r="42">
          <cell r="B42" t="str">
            <v>25802800081</v>
          </cell>
          <cell r="C42" t="str">
            <v>Lê Xuân</v>
          </cell>
          <cell r="D42" t="str">
            <v>Hùng</v>
          </cell>
          <cell r="E42">
            <v>8415000</v>
          </cell>
          <cell r="F42">
            <v>2103750</v>
          </cell>
          <cell r="G42" t="str">
            <v>LNH0925ND03</v>
          </cell>
        </row>
        <row r="43">
          <cell r="B43" t="str">
            <v>25802800165</v>
          </cell>
          <cell r="C43" t="str">
            <v>Nguyễn Kim</v>
          </cell>
          <cell r="D43" t="str">
            <v>Ngọc</v>
          </cell>
          <cell r="E43">
            <v>8415000</v>
          </cell>
          <cell r="F43">
            <v>2103750</v>
          </cell>
          <cell r="G43" t="str">
            <v>LNH0925ND03</v>
          </cell>
        </row>
        <row r="44">
          <cell r="B44" t="str">
            <v>25802800300</v>
          </cell>
          <cell r="C44" t="str">
            <v>Trần Nguyễn Phương</v>
          </cell>
          <cell r="D44" t="str">
            <v>Vy</v>
          </cell>
          <cell r="E44">
            <v>8415000</v>
          </cell>
          <cell r="F44">
            <v>2103750</v>
          </cell>
          <cell r="G44" t="str">
            <v>LNH0925ND03</v>
          </cell>
        </row>
        <row r="45">
          <cell r="B45" t="str">
            <v>25806800005</v>
          </cell>
          <cell r="C45" t="str">
            <v>Trương Thị Thúy</v>
          </cell>
          <cell r="D45" t="str">
            <v>An</v>
          </cell>
          <cell r="E45">
            <v>8415000</v>
          </cell>
          <cell r="F45">
            <v>2103750</v>
          </cell>
          <cell r="G45" t="str">
            <v>LNH0925ND03</v>
          </cell>
        </row>
        <row r="46">
          <cell r="B46" t="str">
            <v>25807100028</v>
          </cell>
          <cell r="C46" t="str">
            <v>Trần Nhật</v>
          </cell>
          <cell r="D46" t="str">
            <v>Anh</v>
          </cell>
          <cell r="E46">
            <v>8415000</v>
          </cell>
          <cell r="F46">
            <v>2103750</v>
          </cell>
          <cell r="G46" t="str">
            <v>LNH0925ND03</v>
          </cell>
        </row>
        <row r="47">
          <cell r="B47" t="str">
            <v>25807500177</v>
          </cell>
          <cell r="C47" t="str">
            <v>Nguyễn Huỳnh Như</v>
          </cell>
          <cell r="D47" t="str">
            <v>Ý</v>
          </cell>
          <cell r="E47">
            <v>8415000</v>
          </cell>
          <cell r="F47">
            <v>2103750</v>
          </cell>
          <cell r="G47" t="str">
            <v>LNH0925ND03</v>
          </cell>
        </row>
        <row r="48">
          <cell r="B48" t="str">
            <v>25807600039</v>
          </cell>
          <cell r="C48" t="str">
            <v>Bùi Hoàng Yến</v>
          </cell>
          <cell r="D48" t="str">
            <v>Nhi</v>
          </cell>
          <cell r="E48">
            <v>8415000</v>
          </cell>
          <cell r="F48">
            <v>2103750</v>
          </cell>
          <cell r="G48" t="str">
            <v>LNH0925ND03</v>
          </cell>
        </row>
        <row r="49">
          <cell r="B49" t="str">
            <v>25808600065</v>
          </cell>
          <cell r="C49" t="str">
            <v>Nguyễn Trà</v>
          </cell>
          <cell r="D49" t="str">
            <v>My</v>
          </cell>
          <cell r="E49">
            <v>8415000</v>
          </cell>
          <cell r="F49">
            <v>2103750</v>
          </cell>
          <cell r="G49" t="str">
            <v>LNH0925ND03</v>
          </cell>
        </row>
        <row r="50">
          <cell r="B50" t="str">
            <v>25808600094</v>
          </cell>
          <cell r="C50" t="str">
            <v>Dương Tú</v>
          </cell>
          <cell r="D50" t="str">
            <v>Quân</v>
          </cell>
          <cell r="E50">
            <v>8415000</v>
          </cell>
          <cell r="F50">
            <v>2103750</v>
          </cell>
          <cell r="G50" t="str">
            <v>LNH0925ND03</v>
          </cell>
        </row>
        <row r="51">
          <cell r="B51" t="str">
            <v>25808600120</v>
          </cell>
          <cell r="C51" t="str">
            <v>Trần Nguyễn Anh</v>
          </cell>
          <cell r="D51" t="str">
            <v>Thư</v>
          </cell>
          <cell r="E51">
            <v>8415000</v>
          </cell>
          <cell r="F51">
            <v>2103750</v>
          </cell>
          <cell r="G51" t="str">
            <v>LNH0925ND03</v>
          </cell>
        </row>
        <row r="52">
          <cell r="B52" t="str">
            <v>25808900240</v>
          </cell>
          <cell r="C52" t="str">
            <v>Phạm Văn</v>
          </cell>
          <cell r="D52" t="str">
            <v>Thành</v>
          </cell>
          <cell r="E52">
            <v>8415000</v>
          </cell>
          <cell r="F52">
            <v>2103750</v>
          </cell>
          <cell r="G52" t="str">
            <v>LNH0925ND03</v>
          </cell>
        </row>
        <row r="53">
          <cell r="B53" t="str">
            <v>25808600139</v>
          </cell>
          <cell r="C53" t="str">
            <v>Nguyễn Thanh</v>
          </cell>
          <cell r="D53" t="str">
            <v>Trúc</v>
          </cell>
          <cell r="E53">
            <v>4465000</v>
          </cell>
          <cell r="F53">
            <v>2232500</v>
          </cell>
          <cell r="G53" t="str">
            <v>LNH0925ND03</v>
          </cell>
        </row>
        <row r="54">
          <cell r="B54" t="str">
            <v>25808900260</v>
          </cell>
          <cell r="C54" t="str">
            <v>Dinh Gia</v>
          </cell>
          <cell r="D54" t="str">
            <v>Bao</v>
          </cell>
          <cell r="E54">
            <v>8415000</v>
          </cell>
          <cell r="F54">
            <v>2103750</v>
          </cell>
          <cell r="G54" t="str">
            <v>LNH0925ND04</v>
          </cell>
        </row>
        <row r="55">
          <cell r="B55" t="str">
            <v>25802600056</v>
          </cell>
          <cell r="C55" t="str">
            <v>Nguyễn Duy</v>
          </cell>
          <cell r="D55" t="str">
            <v>Khang</v>
          </cell>
          <cell r="E55">
            <v>8415000</v>
          </cell>
          <cell r="F55">
            <v>2103750</v>
          </cell>
          <cell r="G55" t="str">
            <v>LNH0925ND04</v>
          </cell>
        </row>
        <row r="56">
          <cell r="B56" t="str">
            <v>25802800010</v>
          </cell>
          <cell r="C56" t="str">
            <v>Phạm Thị Ngọc</v>
          </cell>
          <cell r="D56" t="str">
            <v>Anh</v>
          </cell>
          <cell r="E56">
            <v>8415000</v>
          </cell>
          <cell r="F56">
            <v>2103750</v>
          </cell>
          <cell r="G56" t="str">
            <v>LNH0925ND04</v>
          </cell>
        </row>
        <row r="57">
          <cell r="B57" t="str">
            <v>25802800157</v>
          </cell>
          <cell r="C57" t="str">
            <v>Nguyễn Tấn</v>
          </cell>
          <cell r="D57" t="str">
            <v>Nghĩa</v>
          </cell>
          <cell r="E57">
            <v>8415000</v>
          </cell>
          <cell r="F57">
            <v>2103750</v>
          </cell>
          <cell r="G57" t="str">
            <v>LNH0925ND04</v>
          </cell>
        </row>
        <row r="58">
          <cell r="B58" t="str">
            <v>25802800180</v>
          </cell>
          <cell r="C58" t="str">
            <v>Thái Huỳnh</v>
          </cell>
          <cell r="D58" t="str">
            <v>Nhân</v>
          </cell>
          <cell r="E58">
            <v>8415000</v>
          </cell>
          <cell r="F58">
            <v>2103750</v>
          </cell>
          <cell r="G58" t="str">
            <v>LNH0925ND04</v>
          </cell>
        </row>
        <row r="59">
          <cell r="B59" t="str">
            <v>25802800347</v>
          </cell>
          <cell r="C59" t="str">
            <v>Hoàng Minh</v>
          </cell>
          <cell r="D59" t="str">
            <v>Quân</v>
          </cell>
          <cell r="E59">
            <v>8415000</v>
          </cell>
          <cell r="F59">
            <v>2103750</v>
          </cell>
          <cell r="G59" t="str">
            <v>LNH0925ND04</v>
          </cell>
        </row>
        <row r="60">
          <cell r="B60" t="str">
            <v>25805800009</v>
          </cell>
          <cell r="C60" t="str">
            <v>Vũ Hải</v>
          </cell>
          <cell r="D60" t="str">
            <v>Hà</v>
          </cell>
          <cell r="E60">
            <v>8415000</v>
          </cell>
          <cell r="F60">
            <v>2103750</v>
          </cell>
          <cell r="G60" t="str">
            <v>LNH0925ND04</v>
          </cell>
        </row>
        <row r="61">
          <cell r="B61" t="str">
            <v>25806500007</v>
          </cell>
          <cell r="C61" t="str">
            <v>Quách Thị Xuân</v>
          </cell>
          <cell r="D61" t="str">
            <v>Mai</v>
          </cell>
          <cell r="E61">
            <v>8415000</v>
          </cell>
          <cell r="F61">
            <v>2103750</v>
          </cell>
          <cell r="G61" t="str">
            <v>LNH0925ND04</v>
          </cell>
        </row>
        <row r="62">
          <cell r="B62" t="str">
            <v>25808200100</v>
          </cell>
          <cell r="C62" t="str">
            <v>Phạm Tấn</v>
          </cell>
          <cell r="D62" t="str">
            <v>Phát</v>
          </cell>
          <cell r="E62">
            <v>8415000</v>
          </cell>
          <cell r="F62">
            <v>2103750</v>
          </cell>
          <cell r="G62" t="str">
            <v>LNH0925ND04</v>
          </cell>
        </row>
        <row r="63">
          <cell r="B63" t="str">
            <v>25808600014</v>
          </cell>
          <cell r="C63" t="str">
            <v>Chen Chien</v>
          </cell>
          <cell r="D63" t="str">
            <v>Chih</v>
          </cell>
          <cell r="E63">
            <v>8415000</v>
          </cell>
          <cell r="F63">
            <v>2103750</v>
          </cell>
          <cell r="G63" t="str">
            <v>LNH0925ND04</v>
          </cell>
        </row>
        <row r="64">
          <cell r="B64" t="str">
            <v>25808600087</v>
          </cell>
          <cell r="C64" t="str">
            <v>Võ Thị Tuyết</v>
          </cell>
          <cell r="D64" t="str">
            <v>Như</v>
          </cell>
          <cell r="E64">
            <v>8415000</v>
          </cell>
          <cell r="F64">
            <v>2103750</v>
          </cell>
          <cell r="G64" t="str">
            <v>LNH0925ND04</v>
          </cell>
        </row>
        <row r="65">
          <cell r="B65" t="str">
            <v>25808600109</v>
          </cell>
          <cell r="C65" t="str">
            <v>Văn Công</v>
          </cell>
          <cell r="D65" t="str">
            <v>Thành</v>
          </cell>
          <cell r="E65">
            <v>8415000</v>
          </cell>
          <cell r="F65">
            <v>2103750</v>
          </cell>
          <cell r="G65" t="str">
            <v>LNH0925ND04</v>
          </cell>
        </row>
        <row r="66">
          <cell r="B66" t="str">
            <v>25808900057</v>
          </cell>
          <cell r="C66" t="str">
            <v>Nguyễn Hoàng Anh</v>
          </cell>
          <cell r="D66" t="str">
            <v>Khoa</v>
          </cell>
          <cell r="E66">
            <v>8415000</v>
          </cell>
          <cell r="F66">
            <v>2103750</v>
          </cell>
          <cell r="G66" t="str">
            <v>LNH0925ND04</v>
          </cell>
        </row>
        <row r="67">
          <cell r="B67" t="str">
            <v>25801700103</v>
          </cell>
          <cell r="C67" t="str">
            <v>Phạm Trung</v>
          </cell>
          <cell r="D67" t="str">
            <v>Nghĩa</v>
          </cell>
          <cell r="E67">
            <v>4500000</v>
          </cell>
          <cell r="F67">
            <v>2232500</v>
          </cell>
          <cell r="G67" t="str">
            <v>LNH0925ND04</v>
          </cell>
        </row>
        <row r="68">
          <cell r="B68" t="str">
            <v>25806800008</v>
          </cell>
          <cell r="C68" t="str">
            <v>Bàng Thanh</v>
          </cell>
          <cell r="D68" t="str">
            <v>Bảo</v>
          </cell>
          <cell r="E68">
            <v>4465000</v>
          </cell>
          <cell r="F68">
            <v>2232500</v>
          </cell>
          <cell r="G68" t="str">
            <v>LNH0925ND04</v>
          </cell>
        </row>
        <row r="69">
          <cell r="B69" t="str">
            <v>25808900099</v>
          </cell>
          <cell r="C69" t="str">
            <v>Trần Văn</v>
          </cell>
          <cell r="D69" t="str">
            <v>Phúc</v>
          </cell>
          <cell r="E69">
            <v>4465000</v>
          </cell>
          <cell r="F69">
            <v>2232500</v>
          </cell>
          <cell r="G69" t="str">
            <v>LNH0925ND04</v>
          </cell>
        </row>
        <row r="70">
          <cell r="B70" t="str">
            <v>25802800122</v>
          </cell>
          <cell r="C70" t="str">
            <v>Nguyễn Tuấn</v>
          </cell>
          <cell r="D70" t="str">
            <v>Kiệt</v>
          </cell>
          <cell r="E70">
            <v>2100000</v>
          </cell>
          <cell r="F70">
            <v>2100000</v>
          </cell>
          <cell r="G70" t="str">
            <v>LNH0925ND04</v>
          </cell>
        </row>
        <row r="71">
          <cell r="B71" t="str">
            <v>25802700012</v>
          </cell>
          <cell r="C71" t="str">
            <v>Nguyễn Thị Cẩm</v>
          </cell>
          <cell r="D71" t="str">
            <v>Bình</v>
          </cell>
          <cell r="E71">
            <v>8415000</v>
          </cell>
          <cell r="F71">
            <v>2103750</v>
          </cell>
          <cell r="G71" t="str">
            <v>LNH0925ND05</v>
          </cell>
        </row>
        <row r="72">
          <cell r="B72" t="str">
            <v>25802800114</v>
          </cell>
          <cell r="C72" t="str">
            <v>Vũ Bùi Đăng</v>
          </cell>
          <cell r="D72" t="str">
            <v>Khoa</v>
          </cell>
          <cell r="E72">
            <v>8415000</v>
          </cell>
          <cell r="F72">
            <v>2103750</v>
          </cell>
          <cell r="G72" t="str">
            <v>LNH0925ND05</v>
          </cell>
        </row>
        <row r="73">
          <cell r="B73" t="str">
            <v>25802800145</v>
          </cell>
          <cell r="C73" t="str">
            <v>Kiều Công</v>
          </cell>
          <cell r="D73" t="str">
            <v>Minh</v>
          </cell>
          <cell r="E73">
            <v>8415000</v>
          </cell>
          <cell r="F73">
            <v>2103750</v>
          </cell>
          <cell r="G73" t="str">
            <v>LNH0925ND05</v>
          </cell>
        </row>
        <row r="74">
          <cell r="B74" t="str">
            <v>25805800027</v>
          </cell>
          <cell r="C74" t="str">
            <v>Lê Hiền Thảo</v>
          </cell>
          <cell r="D74" t="str">
            <v>Quyên</v>
          </cell>
          <cell r="E74">
            <v>8415000</v>
          </cell>
          <cell r="F74">
            <v>2103750</v>
          </cell>
          <cell r="G74" t="str">
            <v>LNH0925ND05</v>
          </cell>
        </row>
        <row r="75">
          <cell r="B75" t="str">
            <v>25805800048</v>
          </cell>
          <cell r="C75" t="str">
            <v>Trần Chí</v>
          </cell>
          <cell r="D75" t="str">
            <v>Huy</v>
          </cell>
          <cell r="E75">
            <v>8415000</v>
          </cell>
          <cell r="F75">
            <v>2103750</v>
          </cell>
          <cell r="G75" t="str">
            <v>LNH0925ND05</v>
          </cell>
        </row>
        <row r="76">
          <cell r="B76" t="str">
            <v>25806500015</v>
          </cell>
          <cell r="C76" t="str">
            <v>Đặng Tất</v>
          </cell>
          <cell r="D76" t="str">
            <v>Thắng</v>
          </cell>
          <cell r="E76">
            <v>8415000</v>
          </cell>
          <cell r="F76">
            <v>2103750</v>
          </cell>
          <cell r="G76" t="str">
            <v>LNH0925ND05</v>
          </cell>
        </row>
        <row r="77">
          <cell r="B77" t="str">
            <v>25806800069</v>
          </cell>
          <cell r="C77" t="str">
            <v>Phạm Thị Đào</v>
          </cell>
          <cell r="D77" t="str">
            <v>Thu</v>
          </cell>
          <cell r="E77">
            <v>8415000</v>
          </cell>
          <cell r="F77">
            <v>2103750</v>
          </cell>
          <cell r="G77" t="str">
            <v>LNH0925ND05</v>
          </cell>
        </row>
        <row r="78">
          <cell r="B78" t="str">
            <v>25808600051</v>
          </cell>
          <cell r="C78" t="str">
            <v>Mã Thị</v>
          </cell>
          <cell r="D78" t="str">
            <v>Liên</v>
          </cell>
          <cell r="E78">
            <v>8415000</v>
          </cell>
          <cell r="F78">
            <v>2103750</v>
          </cell>
          <cell r="G78" t="str">
            <v>LNH0925ND05</v>
          </cell>
        </row>
        <row r="79">
          <cell r="B79" t="str">
            <v>25808600134</v>
          </cell>
          <cell r="C79" t="str">
            <v>Phạm Nguyễn Huyền</v>
          </cell>
          <cell r="D79" t="str">
            <v>Trân</v>
          </cell>
          <cell r="E79">
            <v>8415000</v>
          </cell>
          <cell r="F79">
            <v>2103750</v>
          </cell>
          <cell r="G79" t="str">
            <v>LNH0925ND05</v>
          </cell>
        </row>
        <row r="80">
          <cell r="B80" t="str">
            <v>25808600253</v>
          </cell>
          <cell r="C80" t="str">
            <v>Trần Thị Kim</v>
          </cell>
          <cell r="D80" t="str">
            <v>Ngân</v>
          </cell>
          <cell r="E80">
            <v>8415000</v>
          </cell>
          <cell r="F80">
            <v>2103750</v>
          </cell>
          <cell r="G80" t="str">
            <v>LNH0925ND05</v>
          </cell>
        </row>
        <row r="81">
          <cell r="B81" t="str">
            <v>25808900047</v>
          </cell>
          <cell r="C81" t="str">
            <v>Nguyễn Kim</v>
          </cell>
          <cell r="D81" t="str">
            <v>Huy</v>
          </cell>
          <cell r="E81">
            <v>8415000</v>
          </cell>
          <cell r="F81">
            <v>2103750</v>
          </cell>
          <cell r="G81" t="str">
            <v>LNH0925ND05</v>
          </cell>
        </row>
        <row r="82">
          <cell r="B82" t="str">
            <v>25809600077</v>
          </cell>
          <cell r="C82" t="str">
            <v>Lê Thành</v>
          </cell>
          <cell r="D82" t="str">
            <v>Việt</v>
          </cell>
          <cell r="E82">
            <v>5000000</v>
          </cell>
          <cell r="F82">
            <v>2103750</v>
          </cell>
          <cell r="G82" t="str">
            <v>LNH0925ND05</v>
          </cell>
        </row>
        <row r="83">
          <cell r="B83" t="str">
            <v>25802800021</v>
          </cell>
          <cell r="C83" t="str">
            <v>Trần Ngọc</v>
          </cell>
          <cell r="D83" t="str">
            <v>Bích</v>
          </cell>
          <cell r="E83">
            <v>5000000</v>
          </cell>
          <cell r="F83">
            <v>2103750</v>
          </cell>
          <cell r="G83" t="str">
            <v>LNH0925ND05</v>
          </cell>
        </row>
        <row r="84">
          <cell r="B84" t="str">
            <v>25801800015</v>
          </cell>
          <cell r="C84" t="str">
            <v>Đặng Nguyễn Gia</v>
          </cell>
          <cell r="D84" t="str">
            <v>Hân</v>
          </cell>
          <cell r="E84">
            <v>4465000</v>
          </cell>
          <cell r="F84">
            <v>2232500</v>
          </cell>
          <cell r="G84" t="str">
            <v>LNH0925ND05</v>
          </cell>
        </row>
        <row r="85">
          <cell r="B85" t="str">
            <v>25802600209</v>
          </cell>
          <cell r="C85" t="str">
            <v>Bạch Đoan</v>
          </cell>
          <cell r="D85" t="str">
            <v>Linh</v>
          </cell>
          <cell r="E85">
            <v>4465000</v>
          </cell>
          <cell r="F85">
            <v>2232500</v>
          </cell>
          <cell r="G85" t="str">
            <v>LNH0925ND05</v>
          </cell>
        </row>
        <row r="86">
          <cell r="B86" t="str">
            <v>25805800030</v>
          </cell>
          <cell r="C86" t="str">
            <v>Ngô Ngọc Minh</v>
          </cell>
          <cell r="D86" t="str">
            <v>Thư</v>
          </cell>
          <cell r="E86">
            <v>4465000</v>
          </cell>
          <cell r="F86">
            <v>2232500</v>
          </cell>
          <cell r="G86" t="str">
            <v>LNH0925ND05</v>
          </cell>
        </row>
        <row r="87">
          <cell r="B87" t="str">
            <v>25801100017</v>
          </cell>
          <cell r="C87" t="str">
            <v>Huỳnh Trung</v>
          </cell>
          <cell r="D87" t="str">
            <v>Hậu</v>
          </cell>
          <cell r="E87">
            <v>8415000</v>
          </cell>
          <cell r="F87">
            <v>2103750</v>
          </cell>
          <cell r="G87" t="str">
            <v>LNH0925ND06</v>
          </cell>
        </row>
        <row r="88">
          <cell r="B88" t="str">
            <v>25802600004</v>
          </cell>
          <cell r="C88" t="str">
            <v>Nguyen Chau</v>
          </cell>
          <cell r="D88" t="str">
            <v>Anh</v>
          </cell>
          <cell r="E88">
            <v>8415000</v>
          </cell>
          <cell r="F88">
            <v>2103750</v>
          </cell>
          <cell r="G88" t="str">
            <v>LNH0925ND06</v>
          </cell>
        </row>
        <row r="89">
          <cell r="B89" t="str">
            <v>25802600089</v>
          </cell>
          <cell r="C89" t="str">
            <v>Đặng Kim Phương</v>
          </cell>
          <cell r="D89" t="str">
            <v>Nghi</v>
          </cell>
          <cell r="E89">
            <v>8415000</v>
          </cell>
          <cell r="F89">
            <v>2103750</v>
          </cell>
          <cell r="G89" t="str">
            <v>LNH0925ND06</v>
          </cell>
        </row>
        <row r="90">
          <cell r="B90" t="str">
            <v>25802600208</v>
          </cell>
          <cell r="C90" t="str">
            <v>Phan Anh</v>
          </cell>
          <cell r="D90" t="str">
            <v>Thư</v>
          </cell>
          <cell r="E90">
            <v>8415000</v>
          </cell>
          <cell r="F90">
            <v>2103750</v>
          </cell>
          <cell r="G90" t="str">
            <v>LNH0925ND06</v>
          </cell>
        </row>
        <row r="91">
          <cell r="B91" t="str">
            <v>25802800274</v>
          </cell>
          <cell r="C91" t="str">
            <v>Lê Hoàng Bảo</v>
          </cell>
          <cell r="D91" t="str">
            <v>Trân</v>
          </cell>
          <cell r="E91">
            <v>8415000</v>
          </cell>
          <cell r="F91">
            <v>2103750</v>
          </cell>
          <cell r="G91" t="str">
            <v>LNH0925ND06</v>
          </cell>
        </row>
        <row r="92">
          <cell r="B92" t="str">
            <v>25805800005</v>
          </cell>
          <cell r="C92" t="str">
            <v>Nguyễn Khoa Tuyết</v>
          </cell>
          <cell r="D92" t="str">
            <v>Chi</v>
          </cell>
          <cell r="E92">
            <v>8415000</v>
          </cell>
          <cell r="F92">
            <v>2103750</v>
          </cell>
          <cell r="G92" t="str">
            <v>LNH0925ND06</v>
          </cell>
        </row>
        <row r="93">
          <cell r="B93" t="str">
            <v>25805800015</v>
          </cell>
          <cell r="C93" t="str">
            <v>Lương Tấn</v>
          </cell>
          <cell r="D93" t="str">
            <v>Khoa</v>
          </cell>
          <cell r="E93">
            <v>8415000</v>
          </cell>
          <cell r="F93">
            <v>2103750</v>
          </cell>
          <cell r="G93" t="str">
            <v>LNH0925ND06</v>
          </cell>
        </row>
        <row r="94">
          <cell r="B94" t="str">
            <v>25807000014</v>
          </cell>
          <cell r="C94" t="str">
            <v>Huỳnh Tấn</v>
          </cell>
          <cell r="D94" t="str">
            <v>Lộc</v>
          </cell>
          <cell r="E94">
            <v>8415000</v>
          </cell>
          <cell r="F94">
            <v>2103750</v>
          </cell>
          <cell r="G94" t="str">
            <v>LNH0925ND06</v>
          </cell>
        </row>
        <row r="95">
          <cell r="B95" t="str">
            <v>25807400012</v>
          </cell>
          <cell r="C95" t="str">
            <v>Châu Lâm Gia</v>
          </cell>
          <cell r="D95" t="str">
            <v>Quyên</v>
          </cell>
          <cell r="E95">
            <v>8415000</v>
          </cell>
          <cell r="F95">
            <v>2103750</v>
          </cell>
          <cell r="G95" t="str">
            <v>LNH0925ND06</v>
          </cell>
        </row>
        <row r="96">
          <cell r="B96" t="str">
            <v>25808300013</v>
          </cell>
          <cell r="C96" t="str">
            <v>Vi Thị Tú</v>
          </cell>
          <cell r="D96" t="str">
            <v>Hảo</v>
          </cell>
          <cell r="E96">
            <v>8415000</v>
          </cell>
          <cell r="F96">
            <v>2103750</v>
          </cell>
          <cell r="G96" t="str">
            <v>LNH0925ND06</v>
          </cell>
        </row>
        <row r="97">
          <cell r="B97" t="str">
            <v>25808700026</v>
          </cell>
          <cell r="C97" t="str">
            <v>Nguyễn Phạm Minh</v>
          </cell>
          <cell r="D97" t="str">
            <v>Hiếu</v>
          </cell>
          <cell r="E97">
            <v>8415000</v>
          </cell>
          <cell r="F97">
            <v>2103750</v>
          </cell>
          <cell r="G97" t="str">
            <v>LNH0925ND06</v>
          </cell>
        </row>
        <row r="98">
          <cell r="B98" t="str">
            <v>25809100020</v>
          </cell>
          <cell r="C98" t="str">
            <v>Phạm Huỳnh Hai</v>
          </cell>
          <cell r="D98" t="str">
            <v>Tỷ</v>
          </cell>
          <cell r="E98">
            <v>8415000</v>
          </cell>
          <cell r="F98">
            <v>2103750</v>
          </cell>
          <cell r="G98" t="str">
            <v>LNH0925ND06</v>
          </cell>
        </row>
        <row r="99">
          <cell r="B99" t="str">
            <v>25802800250</v>
          </cell>
          <cell r="C99" t="str">
            <v>Mai Thanh</v>
          </cell>
          <cell r="D99" t="str">
            <v>Thúy</v>
          </cell>
          <cell r="E99">
            <v>5415000</v>
          </cell>
          <cell r="F99">
            <v>2103750</v>
          </cell>
          <cell r="G99" t="str">
            <v>LNH0925ND06</v>
          </cell>
        </row>
        <row r="100">
          <cell r="B100" t="str">
            <v>25802800151</v>
          </cell>
          <cell r="C100" t="str">
            <v>Rơ Châm</v>
          </cell>
          <cell r="D100" t="str">
            <v>Ngaoh</v>
          </cell>
          <cell r="E100">
            <v>4465000</v>
          </cell>
          <cell r="F100">
            <v>2232500</v>
          </cell>
          <cell r="G100" t="str">
            <v>LNH0925ND06</v>
          </cell>
        </row>
        <row r="101">
          <cell r="B101" t="str">
            <v>25802600074</v>
          </cell>
          <cell r="C101" t="str">
            <v>Huỳnh Thanh</v>
          </cell>
          <cell r="D101" t="str">
            <v>Luân</v>
          </cell>
          <cell r="E101">
            <v>4465000</v>
          </cell>
          <cell r="F101">
            <v>2232500</v>
          </cell>
          <cell r="G101" t="str">
            <v>LNH0925ND06</v>
          </cell>
        </row>
        <row r="102">
          <cell r="B102" t="str">
            <v>25802300057</v>
          </cell>
          <cell r="C102" t="str">
            <v>Nguyễn Văn</v>
          </cell>
          <cell r="D102" t="str">
            <v>Định</v>
          </cell>
          <cell r="E102">
            <v>2100000</v>
          </cell>
          <cell r="F102">
            <v>2100000</v>
          </cell>
          <cell r="G102" t="str">
            <v>LNH0925ND06</v>
          </cell>
        </row>
        <row r="103">
          <cell r="B103" t="str">
            <v>25800500007</v>
          </cell>
          <cell r="C103" t="str">
            <v>Nguyễn Huy</v>
          </cell>
          <cell r="D103" t="str">
            <v>Anh</v>
          </cell>
          <cell r="E103">
            <v>8415000</v>
          </cell>
          <cell r="F103">
            <v>2103750</v>
          </cell>
          <cell r="G103" t="str">
            <v>LNH0925ND07</v>
          </cell>
        </row>
        <row r="104">
          <cell r="B104" t="str">
            <v>25801800014</v>
          </cell>
          <cell r="C104" t="str">
            <v>Nguyễn Thị Thu</v>
          </cell>
          <cell r="D104" t="str">
            <v>Hằng</v>
          </cell>
          <cell r="E104">
            <v>8415000</v>
          </cell>
          <cell r="F104">
            <v>2103750</v>
          </cell>
          <cell r="G104" t="str">
            <v>LNH0925ND07</v>
          </cell>
        </row>
        <row r="105">
          <cell r="B105" t="str">
            <v>25801800110</v>
          </cell>
          <cell r="C105" t="str">
            <v>Lê Thị</v>
          </cell>
          <cell r="D105" t="str">
            <v>Nguyên</v>
          </cell>
          <cell r="E105">
            <v>8415000</v>
          </cell>
          <cell r="F105">
            <v>2103750</v>
          </cell>
          <cell r="G105" t="str">
            <v>LNH0925ND07</v>
          </cell>
        </row>
        <row r="106">
          <cell r="B106" t="str">
            <v>25802100030</v>
          </cell>
          <cell r="C106" t="str">
            <v>Châu Lê Thuận</v>
          </cell>
          <cell r="D106" t="str">
            <v>Phát</v>
          </cell>
          <cell r="E106">
            <v>8415000</v>
          </cell>
          <cell r="F106">
            <v>2103750</v>
          </cell>
          <cell r="G106" t="str">
            <v>LNH0925ND07</v>
          </cell>
        </row>
        <row r="107">
          <cell r="B107" t="str">
            <v>25802800155</v>
          </cell>
          <cell r="C107" t="str">
            <v>Nguyễn Huỳnh Đình</v>
          </cell>
          <cell r="D107" t="str">
            <v>Nghi</v>
          </cell>
          <cell r="E107">
            <v>8415000</v>
          </cell>
          <cell r="F107">
            <v>2103750</v>
          </cell>
          <cell r="G107" t="str">
            <v>LNH0925ND07</v>
          </cell>
        </row>
        <row r="108">
          <cell r="B108" t="str">
            <v>25806000112</v>
          </cell>
          <cell r="C108" t="str">
            <v>Nguyễn Ngọc</v>
          </cell>
          <cell r="D108" t="str">
            <v>Trâm</v>
          </cell>
          <cell r="E108">
            <v>8415000</v>
          </cell>
          <cell r="F108">
            <v>2103750</v>
          </cell>
          <cell r="G108" t="str">
            <v>LNH0925ND07</v>
          </cell>
        </row>
        <row r="109">
          <cell r="B109" t="str">
            <v>25806500014</v>
          </cell>
          <cell r="C109" t="str">
            <v>Nguyễn Thanh Ngọc</v>
          </cell>
          <cell r="D109" t="str">
            <v>Thảo</v>
          </cell>
          <cell r="E109">
            <v>8415000</v>
          </cell>
          <cell r="F109">
            <v>2103750</v>
          </cell>
          <cell r="G109" t="str">
            <v>LNH0925ND07</v>
          </cell>
        </row>
        <row r="110">
          <cell r="B110" t="str">
            <v>25807500072</v>
          </cell>
          <cell r="C110" t="str">
            <v>Phan Thị</v>
          </cell>
          <cell r="D110" t="str">
            <v>Mừng</v>
          </cell>
          <cell r="E110">
            <v>8415000</v>
          </cell>
          <cell r="F110">
            <v>2103750</v>
          </cell>
          <cell r="G110" t="str">
            <v>LNH0925ND07</v>
          </cell>
        </row>
        <row r="111">
          <cell r="B111" t="str">
            <v>25808200258</v>
          </cell>
          <cell r="C111" t="str">
            <v>Ngô Phúc</v>
          </cell>
          <cell r="D111" t="str">
            <v>Hải</v>
          </cell>
          <cell r="E111">
            <v>8415000</v>
          </cell>
          <cell r="F111">
            <v>2103750</v>
          </cell>
          <cell r="G111" t="str">
            <v>LNH0925ND07</v>
          </cell>
        </row>
        <row r="112">
          <cell r="B112" t="str">
            <v>25820300088</v>
          </cell>
          <cell r="C112" t="str">
            <v>Nông Thanh</v>
          </cell>
          <cell r="D112" t="str">
            <v>Quyền</v>
          </cell>
          <cell r="E112">
            <v>8415000</v>
          </cell>
          <cell r="F112">
            <v>2103750</v>
          </cell>
          <cell r="G112" t="str">
            <v>LNH0925ND07</v>
          </cell>
        </row>
        <row r="113">
          <cell r="B113" t="str">
            <v>25802800113</v>
          </cell>
          <cell r="C113" t="str">
            <v>Huỳnh Phạm Đăng</v>
          </cell>
          <cell r="D113" t="str">
            <v>Khoa</v>
          </cell>
          <cell r="E113">
            <v>5000000</v>
          </cell>
          <cell r="F113">
            <v>2103750</v>
          </cell>
          <cell r="G113" t="str">
            <v>LNH0925ND07</v>
          </cell>
        </row>
        <row r="114">
          <cell r="B114" t="str">
            <v>25802800107</v>
          </cell>
          <cell r="C114" t="str">
            <v>Trần Vĩnh</v>
          </cell>
          <cell r="D114" t="str">
            <v>Khang</v>
          </cell>
          <cell r="E114">
            <v>4465000</v>
          </cell>
          <cell r="F114">
            <v>2232500</v>
          </cell>
          <cell r="G114" t="str">
            <v>LNH0925ND07</v>
          </cell>
        </row>
        <row r="115">
          <cell r="B115" t="str">
            <v>25808900011</v>
          </cell>
          <cell r="C115" t="str">
            <v>Dương Hoàng</v>
          </cell>
          <cell r="D115" t="str">
            <v>Ân</v>
          </cell>
          <cell r="E115">
            <v>4465000</v>
          </cell>
          <cell r="F115">
            <v>2232500</v>
          </cell>
          <cell r="G115" t="str">
            <v>LNH0925ND07</v>
          </cell>
        </row>
        <row r="116">
          <cell r="B116" t="str">
            <v>25808900138</v>
          </cell>
          <cell r="C116" t="str">
            <v>Vũ Minh</v>
          </cell>
          <cell r="D116" t="str">
            <v>Triết</v>
          </cell>
          <cell r="E116">
            <v>4465000</v>
          </cell>
          <cell r="F116">
            <v>2232500</v>
          </cell>
          <cell r="G116" t="str">
            <v>LNH0925ND07</v>
          </cell>
        </row>
        <row r="117">
          <cell r="B117" t="str">
            <v>25801800063</v>
          </cell>
          <cell r="C117" t="str">
            <v>Nguyễn Thanh</v>
          </cell>
          <cell r="D117" t="str">
            <v>Thảo</v>
          </cell>
          <cell r="E117">
            <v>4465000</v>
          </cell>
          <cell r="F117">
            <v>2232500</v>
          </cell>
          <cell r="G117" t="str">
            <v>LNH0925ND07</v>
          </cell>
        </row>
        <row r="118">
          <cell r="B118" t="str">
            <v>25809600006</v>
          </cell>
          <cell r="C118" t="str">
            <v>Vũ Quốc</v>
          </cell>
          <cell r="D118" t="str">
            <v>Bảo</v>
          </cell>
          <cell r="E118">
            <v>4465000</v>
          </cell>
          <cell r="F118">
            <v>2232500</v>
          </cell>
          <cell r="G118" t="str">
            <v>LNH0925ND07</v>
          </cell>
        </row>
        <row r="119">
          <cell r="B119" t="str">
            <v>25801100082</v>
          </cell>
          <cell r="C119" t="str">
            <v>Nguyễn Thị Thảo</v>
          </cell>
          <cell r="D119" t="str">
            <v>Vy</v>
          </cell>
          <cell r="E119">
            <v>8415000</v>
          </cell>
          <cell r="F119">
            <v>2103750</v>
          </cell>
          <cell r="G119" t="str">
            <v>LNH0925ND08</v>
          </cell>
        </row>
        <row r="120">
          <cell r="B120" t="str">
            <v>25801400451</v>
          </cell>
          <cell r="C120" t="str">
            <v>Nguyễn Thành</v>
          </cell>
          <cell r="D120" t="str">
            <v>Tài</v>
          </cell>
          <cell r="E120">
            <v>8415000</v>
          </cell>
          <cell r="F120">
            <v>2103750</v>
          </cell>
          <cell r="G120" t="str">
            <v>LNH0925ND08</v>
          </cell>
        </row>
        <row r="121">
          <cell r="B121" t="str">
            <v>25801400608</v>
          </cell>
          <cell r="C121" t="str">
            <v>Trần Minh</v>
          </cell>
          <cell r="D121" t="str">
            <v>Thành</v>
          </cell>
          <cell r="E121">
            <v>8415000</v>
          </cell>
          <cell r="F121">
            <v>2103750</v>
          </cell>
          <cell r="G121" t="str">
            <v>LNH0925ND08</v>
          </cell>
        </row>
        <row r="122">
          <cell r="B122" t="str">
            <v>25801600070</v>
          </cell>
          <cell r="C122" t="str">
            <v>Phan Thành</v>
          </cell>
          <cell r="D122" t="str">
            <v>Nhân</v>
          </cell>
          <cell r="E122">
            <v>8415000</v>
          </cell>
          <cell r="F122">
            <v>2103750</v>
          </cell>
          <cell r="G122" t="str">
            <v>LNH0925ND08</v>
          </cell>
        </row>
        <row r="123">
          <cell r="B123" t="str">
            <v>25801900288</v>
          </cell>
          <cell r="C123" t="str">
            <v>Bùi Anh</v>
          </cell>
          <cell r="D123" t="str">
            <v>Thư</v>
          </cell>
          <cell r="E123">
            <v>8415000</v>
          </cell>
          <cell r="F123">
            <v>2103750</v>
          </cell>
          <cell r="G123" t="str">
            <v>LNH0925ND08</v>
          </cell>
        </row>
        <row r="124">
          <cell r="B124" t="str">
            <v>25802400025</v>
          </cell>
          <cell r="C124" t="str">
            <v>Ngô Bùi Nhật</v>
          </cell>
          <cell r="D124" t="str">
            <v>Tâm</v>
          </cell>
          <cell r="E124">
            <v>8415000</v>
          </cell>
          <cell r="F124">
            <v>2103750</v>
          </cell>
          <cell r="G124" t="str">
            <v>LNH0925ND08</v>
          </cell>
        </row>
        <row r="125">
          <cell r="B125" t="str">
            <v>25802600042</v>
          </cell>
          <cell r="C125" t="str">
            <v>Châu Ngọc</v>
          </cell>
          <cell r="D125" t="str">
            <v>Hân</v>
          </cell>
          <cell r="E125">
            <v>8415000</v>
          </cell>
          <cell r="F125">
            <v>2103750</v>
          </cell>
          <cell r="G125" t="str">
            <v>LNH0925ND08</v>
          </cell>
        </row>
        <row r="126">
          <cell r="B126" t="str">
            <v>25805900064</v>
          </cell>
          <cell r="C126" t="str">
            <v>Trần Ngọc Hoàng</v>
          </cell>
          <cell r="D126" t="str">
            <v>Uyên</v>
          </cell>
          <cell r="E126">
            <v>8415000</v>
          </cell>
          <cell r="F126">
            <v>2103750</v>
          </cell>
          <cell r="G126" t="str">
            <v>LNH0925ND08</v>
          </cell>
        </row>
        <row r="127">
          <cell r="B127" t="str">
            <v>25806000038</v>
          </cell>
          <cell r="C127" t="str">
            <v>Nguyễn Hồ Thu</v>
          </cell>
          <cell r="D127" t="str">
            <v>Thủy</v>
          </cell>
          <cell r="E127">
            <v>8415000</v>
          </cell>
          <cell r="F127">
            <v>2103750</v>
          </cell>
          <cell r="G127" t="str">
            <v>LNH0925ND08</v>
          </cell>
        </row>
        <row r="128">
          <cell r="B128" t="str">
            <v>25806400010</v>
          </cell>
          <cell r="C128" t="str">
            <v>Trần Vũ Gia</v>
          </cell>
          <cell r="D128" t="str">
            <v>Huy</v>
          </cell>
          <cell r="E128">
            <v>8415000</v>
          </cell>
          <cell r="F128">
            <v>2103750</v>
          </cell>
          <cell r="G128" t="str">
            <v>LNH0925ND08</v>
          </cell>
        </row>
        <row r="129">
          <cell r="B129" t="str">
            <v>25806800022</v>
          </cell>
          <cell r="C129" t="str">
            <v>Nguyễn Thị Ngọc</v>
          </cell>
          <cell r="D129" t="str">
            <v>Hân</v>
          </cell>
          <cell r="E129">
            <v>8415000</v>
          </cell>
          <cell r="F129">
            <v>2103750</v>
          </cell>
          <cell r="G129" t="str">
            <v>LNH0925ND08</v>
          </cell>
        </row>
        <row r="130">
          <cell r="B130" t="str">
            <v>25808300049</v>
          </cell>
          <cell r="C130" t="str">
            <v>Nguyen Thi Anh</v>
          </cell>
          <cell r="D130" t="str">
            <v>Thu</v>
          </cell>
          <cell r="E130">
            <v>8415000</v>
          </cell>
          <cell r="F130">
            <v>2103750</v>
          </cell>
          <cell r="G130" t="str">
            <v>LNH0925ND08</v>
          </cell>
        </row>
        <row r="131">
          <cell r="B131" t="str">
            <v>25808600054</v>
          </cell>
          <cell r="C131" t="str">
            <v>Đặng Thị Thùy</v>
          </cell>
          <cell r="D131" t="str">
            <v>Linh</v>
          </cell>
          <cell r="E131">
            <v>8415000</v>
          </cell>
          <cell r="F131">
            <v>2103750</v>
          </cell>
          <cell r="G131" t="str">
            <v>LNH0925ND08</v>
          </cell>
        </row>
        <row r="132">
          <cell r="B132" t="str">
            <v>25808600180</v>
          </cell>
          <cell r="C132" t="str">
            <v>Nguyễn Nông Khánh</v>
          </cell>
          <cell r="D132" t="str">
            <v>Linh</v>
          </cell>
          <cell r="E132">
            <v>8415000</v>
          </cell>
          <cell r="F132">
            <v>2103750</v>
          </cell>
          <cell r="G132" t="str">
            <v>LNH0925ND08</v>
          </cell>
        </row>
        <row r="133">
          <cell r="B133" t="str">
            <v>25802800201</v>
          </cell>
          <cell r="C133" t="str">
            <v>Cao Vũ Anh</v>
          </cell>
          <cell r="D133" t="str">
            <v>Phong</v>
          </cell>
          <cell r="E133">
            <v>2100000</v>
          </cell>
          <cell r="F133">
            <v>2100000</v>
          </cell>
          <cell r="G133" t="str">
            <v>LNH0925ND08</v>
          </cell>
        </row>
        <row r="134">
          <cell r="B134" t="str">
            <v>25807400009</v>
          </cell>
          <cell r="C134" t="str">
            <v>Trần Thanh</v>
          </cell>
          <cell r="D134" t="str">
            <v>Nhàn</v>
          </cell>
          <cell r="E134">
            <v>2100000</v>
          </cell>
          <cell r="F134">
            <v>2100000</v>
          </cell>
          <cell r="G134" t="str">
            <v>LNH0925ND08</v>
          </cell>
        </row>
        <row r="135">
          <cell r="B135" t="str">
            <v>25808900122</v>
          </cell>
          <cell r="C135" t="str">
            <v>Nguyễn Ngọc</v>
          </cell>
          <cell r="D135" t="str">
            <v>Thuận</v>
          </cell>
          <cell r="E135">
            <v>8415000</v>
          </cell>
          <cell r="F135">
            <v>2103750</v>
          </cell>
          <cell r="G135" t="str">
            <v>LNH0925ND09</v>
          </cell>
        </row>
        <row r="136">
          <cell r="B136" t="str">
            <v>25820500002</v>
          </cell>
          <cell r="C136" t="str">
            <v>Đặng Quốc</v>
          </cell>
          <cell r="D136" t="str">
            <v>Bảo</v>
          </cell>
          <cell r="E136">
            <v>8415000</v>
          </cell>
          <cell r="F136">
            <v>2103750</v>
          </cell>
          <cell r="G136" t="str">
            <v>LNH0925ND09</v>
          </cell>
        </row>
        <row r="137">
          <cell r="B137" t="str">
            <v>25801200058</v>
          </cell>
          <cell r="C137" t="str">
            <v>Nguyễn Phương</v>
          </cell>
          <cell r="D137" t="str">
            <v>Vĩnh</v>
          </cell>
          <cell r="E137">
            <v>8415000</v>
          </cell>
          <cell r="F137">
            <v>2103750</v>
          </cell>
          <cell r="G137" t="str">
            <v>LNH0925ND09</v>
          </cell>
        </row>
        <row r="138">
          <cell r="B138" t="str">
            <v>25801500098</v>
          </cell>
          <cell r="C138" t="str">
            <v>Nguyễn Đặng Minh</v>
          </cell>
          <cell r="D138" t="str">
            <v>Trí</v>
          </cell>
          <cell r="E138">
            <v>8415000</v>
          </cell>
          <cell r="F138">
            <v>2103750</v>
          </cell>
          <cell r="G138" t="str">
            <v>LNH0925ND09</v>
          </cell>
        </row>
        <row r="139">
          <cell r="B139" t="str">
            <v>25801800082</v>
          </cell>
          <cell r="C139" t="str">
            <v>Nguyễn Anh</v>
          </cell>
          <cell r="D139" t="str">
            <v>Tuấn</v>
          </cell>
          <cell r="E139">
            <v>8415000</v>
          </cell>
          <cell r="F139">
            <v>2103750</v>
          </cell>
          <cell r="G139" t="str">
            <v>LNH0925ND09</v>
          </cell>
        </row>
        <row r="140">
          <cell r="B140" t="str">
            <v>25802600105</v>
          </cell>
          <cell r="C140" t="str">
            <v>Vưu Thanh</v>
          </cell>
          <cell r="D140" t="str">
            <v>Sơn</v>
          </cell>
          <cell r="E140">
            <v>8415000</v>
          </cell>
          <cell r="F140">
            <v>2103750</v>
          </cell>
          <cell r="G140" t="str">
            <v>LNH0925ND09</v>
          </cell>
        </row>
        <row r="141">
          <cell r="B141" t="str">
            <v>25802600139</v>
          </cell>
          <cell r="C141" t="str">
            <v>Phạm Nguyễn Thảo</v>
          </cell>
          <cell r="D141" t="str">
            <v>Vy</v>
          </cell>
          <cell r="E141">
            <v>8415000</v>
          </cell>
          <cell r="F141">
            <v>2103750</v>
          </cell>
          <cell r="G141" t="str">
            <v>LNH0925ND09</v>
          </cell>
        </row>
        <row r="142">
          <cell r="B142" t="str">
            <v>25802800001</v>
          </cell>
          <cell r="C142" t="str">
            <v>Nguyễn Quốc</v>
          </cell>
          <cell r="D142" t="str">
            <v>An</v>
          </cell>
          <cell r="E142">
            <v>8415000</v>
          </cell>
          <cell r="F142">
            <v>2103750</v>
          </cell>
          <cell r="G142" t="str">
            <v>LNH0925ND09</v>
          </cell>
        </row>
        <row r="143">
          <cell r="B143" t="str">
            <v>25802800006</v>
          </cell>
          <cell r="C143" t="str">
            <v>Lê Hồng</v>
          </cell>
          <cell r="D143" t="str">
            <v>Anh</v>
          </cell>
          <cell r="E143">
            <v>8415000</v>
          </cell>
          <cell r="F143">
            <v>2103750</v>
          </cell>
          <cell r="G143" t="str">
            <v>LNH0925ND09</v>
          </cell>
        </row>
        <row r="144">
          <cell r="B144" t="str">
            <v>25802800134</v>
          </cell>
          <cell r="C144" t="str">
            <v>Trần Văn Đặng</v>
          </cell>
          <cell r="D144" t="str">
            <v>Long</v>
          </cell>
          <cell r="E144">
            <v>8415000</v>
          </cell>
          <cell r="F144">
            <v>2103750</v>
          </cell>
          <cell r="G144" t="str">
            <v>LNH0925ND09</v>
          </cell>
        </row>
        <row r="145">
          <cell r="B145" t="str">
            <v>25802800258</v>
          </cell>
          <cell r="C145" t="str">
            <v>Nguyễn Công</v>
          </cell>
          <cell r="D145" t="str">
            <v>Thường</v>
          </cell>
          <cell r="E145">
            <v>8415000</v>
          </cell>
          <cell r="F145">
            <v>2103750</v>
          </cell>
          <cell r="G145" t="str">
            <v>LNH0925ND09</v>
          </cell>
        </row>
        <row r="146">
          <cell r="B146" t="str">
            <v>25802800290</v>
          </cell>
          <cell r="C146" t="str">
            <v>Ngô Bảo</v>
          </cell>
          <cell r="D146" t="str">
            <v>Uyên</v>
          </cell>
          <cell r="E146">
            <v>8415000</v>
          </cell>
          <cell r="F146">
            <v>2103750</v>
          </cell>
          <cell r="G146" t="str">
            <v>LNH0925ND09</v>
          </cell>
        </row>
        <row r="147">
          <cell r="B147" t="str">
            <v>25806000015</v>
          </cell>
          <cell r="C147" t="str">
            <v>Đỗ Ngọc Thảo</v>
          </cell>
          <cell r="D147" t="str">
            <v>Linh</v>
          </cell>
          <cell r="E147">
            <v>8415000</v>
          </cell>
          <cell r="F147">
            <v>2103750</v>
          </cell>
          <cell r="G147" t="str">
            <v>LNH0925ND09</v>
          </cell>
        </row>
        <row r="148">
          <cell r="B148" t="str">
            <v>25806000026</v>
          </cell>
          <cell r="C148" t="str">
            <v>Phạm Văn Vĩnh</v>
          </cell>
          <cell r="D148" t="str">
            <v>Phúc</v>
          </cell>
          <cell r="E148">
            <v>8415000</v>
          </cell>
          <cell r="F148">
            <v>2103750</v>
          </cell>
          <cell r="G148" t="str">
            <v>LNH0925ND09</v>
          </cell>
        </row>
        <row r="149">
          <cell r="B149" t="str">
            <v>25802300142</v>
          </cell>
          <cell r="C149" t="str">
            <v>Đặng Thị Khánh</v>
          </cell>
          <cell r="D149" t="str">
            <v>Ly</v>
          </cell>
          <cell r="E149">
            <v>4465000</v>
          </cell>
          <cell r="F149">
            <v>2232500</v>
          </cell>
          <cell r="G149" t="str">
            <v>LNH0925ND09</v>
          </cell>
        </row>
        <row r="150">
          <cell r="B150" t="str">
            <v>25808300046</v>
          </cell>
          <cell r="C150" t="str">
            <v>Lâm Thanh</v>
          </cell>
          <cell r="D150" t="str">
            <v>Thúy</v>
          </cell>
          <cell r="E150">
            <v>2100000</v>
          </cell>
          <cell r="F150">
            <v>2100000</v>
          </cell>
          <cell r="G150" t="str">
            <v>LNH0925ND09</v>
          </cell>
        </row>
        <row r="151">
          <cell r="B151" t="str">
            <v>25808300031</v>
          </cell>
          <cell r="C151" t="str">
            <v>Nguyễn Ngọc Thiên</v>
          </cell>
          <cell r="D151" t="str">
            <v>Ngân</v>
          </cell>
          <cell r="E151">
            <v>8415000</v>
          </cell>
          <cell r="F151">
            <v>2103750</v>
          </cell>
          <cell r="G151" t="str">
            <v>LNH0925ND10</v>
          </cell>
        </row>
        <row r="152">
          <cell r="B152" t="str">
            <v>25808900008</v>
          </cell>
          <cell r="C152" t="str">
            <v>Le Do Hung</v>
          </cell>
          <cell r="D152" t="str">
            <v>Anh</v>
          </cell>
          <cell r="E152">
            <v>8415000</v>
          </cell>
          <cell r="F152">
            <v>2103750</v>
          </cell>
          <cell r="G152" t="str">
            <v>LNH0925ND10</v>
          </cell>
        </row>
        <row r="153">
          <cell r="B153" t="str">
            <v>25808900077</v>
          </cell>
          <cell r="C153" t="str">
            <v>Lâm Hoàng</v>
          </cell>
          <cell r="D153" t="str">
            <v>Mạnh</v>
          </cell>
          <cell r="E153">
            <v>8415000</v>
          </cell>
          <cell r="F153">
            <v>2103750</v>
          </cell>
          <cell r="G153" t="str">
            <v>LNH0925ND10</v>
          </cell>
        </row>
        <row r="154">
          <cell r="B154" t="str">
            <v>25820500001</v>
          </cell>
          <cell r="C154" t="str">
            <v>Bùi Duy</v>
          </cell>
          <cell r="D154" t="str">
            <v>Bảo</v>
          </cell>
          <cell r="E154">
            <v>8415000</v>
          </cell>
          <cell r="F154">
            <v>2103750</v>
          </cell>
          <cell r="G154" t="str">
            <v>LNH0925ND10</v>
          </cell>
        </row>
        <row r="155">
          <cell r="B155" t="str">
            <v>25801100076</v>
          </cell>
          <cell r="C155" t="str">
            <v>Trần Huỳnh Vạn</v>
          </cell>
          <cell r="D155" t="str">
            <v>Trí</v>
          </cell>
          <cell r="E155">
            <v>8415000</v>
          </cell>
          <cell r="F155">
            <v>2103750</v>
          </cell>
          <cell r="G155" t="str">
            <v>LNH0925ND10</v>
          </cell>
        </row>
        <row r="156">
          <cell r="B156" t="str">
            <v>25801100089</v>
          </cell>
          <cell r="C156" t="str">
            <v>Trần Thị</v>
          </cell>
          <cell r="D156" t="str">
            <v>Hà</v>
          </cell>
          <cell r="E156">
            <v>8415000</v>
          </cell>
          <cell r="F156">
            <v>2103750</v>
          </cell>
          <cell r="G156" t="str">
            <v>LNH0925ND10</v>
          </cell>
        </row>
        <row r="157">
          <cell r="B157" t="str">
            <v>25801100107</v>
          </cell>
          <cell r="C157" t="str">
            <v>Phan Thị Thuý</v>
          </cell>
          <cell r="D157" t="str">
            <v>Vi</v>
          </cell>
          <cell r="E157">
            <v>8415000</v>
          </cell>
          <cell r="F157">
            <v>2103750</v>
          </cell>
          <cell r="G157" t="str">
            <v>LNH0925ND10</v>
          </cell>
        </row>
        <row r="158">
          <cell r="B158" t="str">
            <v>25802600064</v>
          </cell>
          <cell r="C158" t="str">
            <v>Huỳnh Quốc</v>
          </cell>
          <cell r="D158" t="str">
            <v>Lãm</v>
          </cell>
          <cell r="E158">
            <v>8415000</v>
          </cell>
          <cell r="F158">
            <v>2103750</v>
          </cell>
          <cell r="G158" t="str">
            <v>LNH0925ND10</v>
          </cell>
        </row>
        <row r="159">
          <cell r="B159" t="str">
            <v>25802800152</v>
          </cell>
          <cell r="C159" t="str">
            <v>Đỗ Thị Thanh</v>
          </cell>
          <cell r="D159" t="str">
            <v>Ngân</v>
          </cell>
          <cell r="E159">
            <v>8415000</v>
          </cell>
          <cell r="F159">
            <v>2103750</v>
          </cell>
          <cell r="G159" t="str">
            <v>LNH0925ND10</v>
          </cell>
        </row>
        <row r="160">
          <cell r="B160" t="str">
            <v>25802800177</v>
          </cell>
          <cell r="C160" t="str">
            <v>Tô Đức</v>
          </cell>
          <cell r="D160" t="str">
            <v>Nguyên</v>
          </cell>
          <cell r="E160">
            <v>8415000</v>
          </cell>
          <cell r="F160">
            <v>2103750</v>
          </cell>
          <cell r="G160" t="str">
            <v>LNH0925ND10</v>
          </cell>
        </row>
        <row r="161">
          <cell r="B161" t="str">
            <v>25802800275</v>
          </cell>
          <cell r="C161" t="str">
            <v>Trần Ngọc Bảo</v>
          </cell>
          <cell r="D161" t="str">
            <v>Trân</v>
          </cell>
          <cell r="E161">
            <v>8415000</v>
          </cell>
          <cell r="F161">
            <v>2103750</v>
          </cell>
          <cell r="G161" t="str">
            <v>LNH0925ND10</v>
          </cell>
        </row>
        <row r="162">
          <cell r="B162" t="str">
            <v>25805900063</v>
          </cell>
          <cell r="C162" t="str">
            <v>Dương Phương</v>
          </cell>
          <cell r="D162" t="str">
            <v>Uyên</v>
          </cell>
          <cell r="E162">
            <v>8415000</v>
          </cell>
          <cell r="F162">
            <v>2103750</v>
          </cell>
          <cell r="G162" t="str">
            <v>LNH0925ND10</v>
          </cell>
        </row>
        <row r="163">
          <cell r="B163" t="str">
            <v>25807000055</v>
          </cell>
          <cell r="C163" t="str">
            <v>Trần Minh</v>
          </cell>
          <cell r="D163" t="str">
            <v>Mẫn</v>
          </cell>
          <cell r="E163">
            <v>4465000</v>
          </cell>
          <cell r="F163">
            <v>2232500</v>
          </cell>
          <cell r="G163" t="str">
            <v>LNH0925ND10</v>
          </cell>
        </row>
        <row r="164">
          <cell r="B164" t="str">
            <v>25809100019</v>
          </cell>
          <cell r="C164" t="str">
            <v>Lê Trần Anh</v>
          </cell>
          <cell r="D164" t="str">
            <v>Tuấn</v>
          </cell>
          <cell r="E164">
            <v>4465000</v>
          </cell>
          <cell r="F164">
            <v>2232500</v>
          </cell>
          <cell r="G164" t="str">
            <v>LNH0925ND10</v>
          </cell>
        </row>
        <row r="165">
          <cell r="B165" t="str">
            <v>25809600043</v>
          </cell>
          <cell r="C165" t="str">
            <v>Nguyễn Trọng</v>
          </cell>
          <cell r="D165" t="str">
            <v>Nhân</v>
          </cell>
          <cell r="E165">
            <v>4465000</v>
          </cell>
          <cell r="F165">
            <v>2232500</v>
          </cell>
          <cell r="G165" t="str">
            <v>LNH0925ND10</v>
          </cell>
        </row>
        <row r="166">
          <cell r="B166" t="str">
            <v>25808600190</v>
          </cell>
          <cell r="C166" t="str">
            <v>Đinh Viết</v>
          </cell>
          <cell r="D166" t="str">
            <v>Nguyên</v>
          </cell>
          <cell r="E166">
            <v>3465000</v>
          </cell>
          <cell r="F166">
            <v>2232500</v>
          </cell>
          <cell r="G166" t="str">
            <v>LNH0925ND10</v>
          </cell>
        </row>
        <row r="167">
          <cell r="B167" t="str">
            <v>25806000071</v>
          </cell>
          <cell r="C167" t="str">
            <v>Trần Gia</v>
          </cell>
          <cell r="D167" t="str">
            <v>Nghi</v>
          </cell>
          <cell r="E167">
            <v>8415000</v>
          </cell>
          <cell r="F167">
            <v>2103750</v>
          </cell>
          <cell r="G167" t="str">
            <v>LNH0925ND11</v>
          </cell>
        </row>
        <row r="168">
          <cell r="B168" t="str">
            <v>25808100017</v>
          </cell>
          <cell r="C168" t="str">
            <v>Nguyễn Quang</v>
          </cell>
          <cell r="D168" t="str">
            <v>Huy</v>
          </cell>
          <cell r="E168">
            <v>8415000</v>
          </cell>
          <cell r="F168">
            <v>2103750</v>
          </cell>
          <cell r="G168" t="str">
            <v>LNH0925ND11</v>
          </cell>
        </row>
        <row r="169">
          <cell r="B169" t="str">
            <v>25808500347</v>
          </cell>
          <cell r="C169" t="str">
            <v>Trang Trần Thành</v>
          </cell>
          <cell r="D169" t="str">
            <v>Thịnh</v>
          </cell>
          <cell r="E169">
            <v>8415000</v>
          </cell>
          <cell r="F169">
            <v>2103750</v>
          </cell>
          <cell r="G169" t="str">
            <v>LNH0925ND11</v>
          </cell>
        </row>
        <row r="170">
          <cell r="B170" t="str">
            <v>25808600200</v>
          </cell>
          <cell r="C170" t="str">
            <v>Trần Phương</v>
          </cell>
          <cell r="D170" t="str">
            <v>Quỳnh</v>
          </cell>
          <cell r="E170">
            <v>8415000</v>
          </cell>
          <cell r="F170">
            <v>2103750</v>
          </cell>
          <cell r="G170" t="str">
            <v>LNH0925ND11</v>
          </cell>
        </row>
        <row r="171">
          <cell r="B171" t="str">
            <v>25808900152</v>
          </cell>
          <cell r="C171" t="str">
            <v>Võ Thành</v>
          </cell>
          <cell r="D171" t="str">
            <v>Vinh</v>
          </cell>
          <cell r="E171">
            <v>8415000</v>
          </cell>
          <cell r="F171">
            <v>2103750</v>
          </cell>
          <cell r="G171" t="str">
            <v>LNH0925ND11</v>
          </cell>
        </row>
        <row r="172">
          <cell r="B172" t="str">
            <v>25820200008</v>
          </cell>
          <cell r="C172" t="str">
            <v>Huỳnh Phú</v>
          </cell>
          <cell r="D172" t="str">
            <v>Cường</v>
          </cell>
          <cell r="E172">
            <v>8415000</v>
          </cell>
          <cell r="F172">
            <v>2103750</v>
          </cell>
          <cell r="G172" t="str">
            <v>LNH0925ND11</v>
          </cell>
        </row>
        <row r="173">
          <cell r="B173" t="str">
            <v>25801800089</v>
          </cell>
          <cell r="C173" t="str">
            <v>Nguyễn Ngọc Như</v>
          </cell>
          <cell r="D173" t="str">
            <v>Ý</v>
          </cell>
          <cell r="E173">
            <v>8415000</v>
          </cell>
          <cell r="F173">
            <v>2103750</v>
          </cell>
          <cell r="G173" t="str">
            <v>LNH0925ND11</v>
          </cell>
        </row>
        <row r="174">
          <cell r="B174" t="str">
            <v>25802100043</v>
          </cell>
          <cell r="C174" t="str">
            <v>Nguyễn Trung</v>
          </cell>
          <cell r="D174" t="str">
            <v>Văn</v>
          </cell>
          <cell r="E174">
            <v>8415000</v>
          </cell>
          <cell r="F174">
            <v>2103750</v>
          </cell>
          <cell r="G174" t="str">
            <v>LNH0925ND11</v>
          </cell>
        </row>
        <row r="175">
          <cell r="B175" t="str">
            <v>25802800289</v>
          </cell>
          <cell r="C175" t="str">
            <v>Nguyễn Thị Lan</v>
          </cell>
          <cell r="D175" t="str">
            <v>Tường</v>
          </cell>
          <cell r="E175">
            <v>8415000</v>
          </cell>
          <cell r="F175">
            <v>2103750</v>
          </cell>
          <cell r="G175" t="str">
            <v>LNH0925ND11</v>
          </cell>
        </row>
        <row r="176">
          <cell r="B176" t="str">
            <v>25802800351</v>
          </cell>
          <cell r="C176" t="str">
            <v>Nguyễn Duy</v>
          </cell>
          <cell r="D176" t="str">
            <v>Thắng</v>
          </cell>
          <cell r="E176">
            <v>8415000</v>
          </cell>
          <cell r="F176">
            <v>2103750</v>
          </cell>
          <cell r="G176" t="str">
            <v>LNH0925ND11</v>
          </cell>
        </row>
        <row r="177">
          <cell r="B177" t="str">
            <v>25805800025</v>
          </cell>
          <cell r="C177" t="str">
            <v>Thái Gia</v>
          </cell>
          <cell r="D177" t="str">
            <v>Phú</v>
          </cell>
          <cell r="E177">
            <v>8415000</v>
          </cell>
          <cell r="F177">
            <v>2103750</v>
          </cell>
          <cell r="G177" t="str">
            <v>LNH0925ND11</v>
          </cell>
        </row>
        <row r="178">
          <cell r="B178" t="str">
            <v>25805900003</v>
          </cell>
          <cell r="C178" t="str">
            <v>Đinh Thị Ngọc</v>
          </cell>
          <cell r="D178" t="str">
            <v>Ánh</v>
          </cell>
          <cell r="E178">
            <v>8415000</v>
          </cell>
          <cell r="F178">
            <v>2103750</v>
          </cell>
          <cell r="G178" t="str">
            <v>LNH0925ND11</v>
          </cell>
        </row>
        <row r="179">
          <cell r="B179" t="str">
            <v>25805900043</v>
          </cell>
          <cell r="C179" t="str">
            <v>Nguyễn Phương</v>
          </cell>
          <cell r="D179" t="str">
            <v>Thảo</v>
          </cell>
          <cell r="E179">
            <v>8415000</v>
          </cell>
          <cell r="F179">
            <v>2103750</v>
          </cell>
          <cell r="G179" t="str">
            <v>LNH0925ND11</v>
          </cell>
        </row>
        <row r="180">
          <cell r="B180" t="str">
            <v>25806000007</v>
          </cell>
          <cell r="C180" t="str">
            <v>Nguyễn Quốc</v>
          </cell>
          <cell r="D180" t="str">
            <v>Duy</v>
          </cell>
          <cell r="E180">
            <v>8415000</v>
          </cell>
          <cell r="F180">
            <v>2103750</v>
          </cell>
          <cell r="G180" t="str">
            <v>LNH0925ND11</v>
          </cell>
        </row>
        <row r="181">
          <cell r="B181" t="str">
            <v>25802600082</v>
          </cell>
          <cell r="C181" t="str">
            <v>Dương Nguyễn Hạnh</v>
          </cell>
          <cell r="D181" t="str">
            <v>Ngân</v>
          </cell>
          <cell r="E181">
            <v>4465000</v>
          </cell>
          <cell r="F181">
            <v>2232500</v>
          </cell>
          <cell r="G181" t="str">
            <v>LNH0925ND11</v>
          </cell>
        </row>
        <row r="182">
          <cell r="B182" t="str">
            <v>25808900055</v>
          </cell>
          <cell r="C182" t="str">
            <v>Huỳnh Ngọc Nguyên</v>
          </cell>
          <cell r="D182" t="str">
            <v>Khanh</v>
          </cell>
          <cell r="E182">
            <v>4465000</v>
          </cell>
          <cell r="F182">
            <v>2232500</v>
          </cell>
          <cell r="G182" t="str">
            <v>LNH0925ND11</v>
          </cell>
        </row>
        <row r="183">
          <cell r="B183" t="str">
            <v>25806000094</v>
          </cell>
          <cell r="C183" t="str">
            <v>Nguyễn Thanh</v>
          </cell>
          <cell r="D183" t="str">
            <v>Ngân</v>
          </cell>
          <cell r="E183">
            <v>8415000</v>
          </cell>
          <cell r="F183">
            <v>2103750</v>
          </cell>
          <cell r="G183" t="str">
            <v>LNH0925ND12</v>
          </cell>
        </row>
        <row r="184">
          <cell r="B184" t="str">
            <v>25807500063</v>
          </cell>
          <cell r="C184" t="str">
            <v>Ngô Ngọc</v>
          </cell>
          <cell r="D184" t="str">
            <v>Long</v>
          </cell>
          <cell r="E184">
            <v>8415000</v>
          </cell>
          <cell r="F184">
            <v>2103750</v>
          </cell>
          <cell r="G184" t="str">
            <v>LNH0925ND12</v>
          </cell>
        </row>
        <row r="185">
          <cell r="B185" t="str">
            <v>25808500024</v>
          </cell>
          <cell r="C185" t="str">
            <v>Đinh Nguyễn Gia</v>
          </cell>
          <cell r="D185" t="str">
            <v>Bảo</v>
          </cell>
          <cell r="E185">
            <v>8415000</v>
          </cell>
          <cell r="F185">
            <v>2103750</v>
          </cell>
          <cell r="G185" t="str">
            <v>LNH0925ND12</v>
          </cell>
        </row>
        <row r="186">
          <cell r="B186" t="str">
            <v>25808500042</v>
          </cell>
          <cell r="C186" t="str">
            <v>Trần Chí</v>
          </cell>
          <cell r="D186" t="str">
            <v>Cường</v>
          </cell>
          <cell r="E186">
            <v>8415000</v>
          </cell>
          <cell r="F186">
            <v>2103750</v>
          </cell>
          <cell r="G186" t="str">
            <v>LNH0925ND12</v>
          </cell>
        </row>
        <row r="187">
          <cell r="B187" t="str">
            <v>25808500106</v>
          </cell>
          <cell r="C187" t="str">
            <v>Phạm Ngọc</v>
          </cell>
          <cell r="D187" t="str">
            <v>Hân</v>
          </cell>
          <cell r="E187">
            <v>8415000</v>
          </cell>
          <cell r="F187">
            <v>2103750</v>
          </cell>
          <cell r="G187" t="str">
            <v>LNH0925ND12</v>
          </cell>
        </row>
        <row r="188">
          <cell r="B188" t="str">
            <v>25809300003</v>
          </cell>
          <cell r="C188" t="str">
            <v>Nguyễn Đắc</v>
          </cell>
          <cell r="D188" t="str">
            <v>Tài</v>
          </cell>
          <cell r="E188">
            <v>8415000</v>
          </cell>
          <cell r="F188">
            <v>2103750</v>
          </cell>
          <cell r="G188" t="str">
            <v>LNH0925ND12</v>
          </cell>
        </row>
        <row r="189">
          <cell r="B189" t="str">
            <v>25801800161</v>
          </cell>
          <cell r="C189" t="str">
            <v>Nguyễn Thị Kiều</v>
          </cell>
          <cell r="D189" t="str">
            <v>Vy</v>
          </cell>
          <cell r="E189">
            <v>8415000</v>
          </cell>
          <cell r="F189">
            <v>2103750</v>
          </cell>
          <cell r="G189" t="str">
            <v>LNH0925ND12</v>
          </cell>
        </row>
        <row r="190">
          <cell r="B190" t="str">
            <v>25802100009</v>
          </cell>
          <cell r="C190" t="str">
            <v>Nguyễn Văn</v>
          </cell>
          <cell r="D190" t="str">
            <v>Đông</v>
          </cell>
          <cell r="E190">
            <v>8415000</v>
          </cell>
          <cell r="F190">
            <v>2103750</v>
          </cell>
          <cell r="G190" t="str">
            <v>LNH0925ND12</v>
          </cell>
        </row>
        <row r="191">
          <cell r="B191" t="str">
            <v>25802300306</v>
          </cell>
          <cell r="C191" t="str">
            <v>Lê Ngọc Kiều</v>
          </cell>
          <cell r="D191" t="str">
            <v>Vy</v>
          </cell>
          <cell r="E191">
            <v>8415000</v>
          </cell>
          <cell r="F191">
            <v>2103750</v>
          </cell>
          <cell r="G191" t="str">
            <v>LNH0925ND12</v>
          </cell>
        </row>
        <row r="192">
          <cell r="B192" t="str">
            <v>25802600031</v>
          </cell>
          <cell r="C192" t="str">
            <v>Nguyễn Đặng Minh</v>
          </cell>
          <cell r="D192" t="str">
            <v>Đạt</v>
          </cell>
          <cell r="E192">
            <v>8415000</v>
          </cell>
          <cell r="F192">
            <v>2103750</v>
          </cell>
          <cell r="G192" t="str">
            <v>LNH0925ND12</v>
          </cell>
        </row>
        <row r="193">
          <cell r="B193" t="str">
            <v>25802800240</v>
          </cell>
          <cell r="C193" t="str">
            <v>Nguyễn Thị Hồng</v>
          </cell>
          <cell r="D193" t="str">
            <v>Thảo</v>
          </cell>
          <cell r="E193">
            <v>4465000</v>
          </cell>
          <cell r="F193">
            <v>2232500</v>
          </cell>
          <cell r="G193" t="str">
            <v>LNH0925ND12</v>
          </cell>
        </row>
        <row r="194">
          <cell r="B194" t="str">
            <v>25802800255</v>
          </cell>
          <cell r="C194" t="str">
            <v>Phạm Nguyễn Anh</v>
          </cell>
          <cell r="D194" t="str">
            <v>Thư</v>
          </cell>
          <cell r="E194">
            <v>4465000</v>
          </cell>
          <cell r="F194">
            <v>2232500</v>
          </cell>
          <cell r="G194" t="str">
            <v>LNH0925ND12</v>
          </cell>
        </row>
        <row r="195">
          <cell r="B195" t="str">
            <v>25803000403</v>
          </cell>
          <cell r="C195" t="str">
            <v>Nguyễn Ngọc Mẩn</v>
          </cell>
          <cell r="D195" t="str">
            <v>Nghi</v>
          </cell>
          <cell r="E195">
            <v>4465000</v>
          </cell>
          <cell r="F195">
            <v>2232500</v>
          </cell>
          <cell r="G195" t="str">
            <v>LNH0925ND12</v>
          </cell>
        </row>
        <row r="196">
          <cell r="B196" t="str">
            <v>25805900035</v>
          </cell>
          <cell r="C196" t="str">
            <v>Chu Lập</v>
          </cell>
          <cell r="D196" t="str">
            <v>Quốc</v>
          </cell>
          <cell r="E196">
            <v>4465000</v>
          </cell>
          <cell r="F196">
            <v>2232500</v>
          </cell>
          <cell r="G196" t="str">
            <v>LNH0925ND12</v>
          </cell>
        </row>
        <row r="197">
          <cell r="B197" t="str">
            <v>25806800024</v>
          </cell>
          <cell r="C197" t="str">
            <v>Phan Thị Kim</v>
          </cell>
          <cell r="D197" t="str">
            <v>Hiền</v>
          </cell>
          <cell r="E197">
            <v>2100000</v>
          </cell>
          <cell r="F197">
            <v>2100000</v>
          </cell>
          <cell r="G197" t="str">
            <v>LNH0925ND12</v>
          </cell>
        </row>
        <row r="198">
          <cell r="B198" t="str">
            <v>25808500344</v>
          </cell>
          <cell r="C198" t="str">
            <v>Nguyễn Kim Trường</v>
          </cell>
          <cell r="D198" t="str">
            <v>Thịnh</v>
          </cell>
          <cell r="E198">
            <v>2100000</v>
          </cell>
          <cell r="F198">
            <v>2100000</v>
          </cell>
          <cell r="G198" t="str">
            <v>LNH0925ND12</v>
          </cell>
        </row>
        <row r="199">
          <cell r="B199" t="str">
            <v>25807000021</v>
          </cell>
          <cell r="C199" t="str">
            <v>Bùi Tiến</v>
          </cell>
          <cell r="D199" t="str">
            <v>Phát</v>
          </cell>
          <cell r="E199">
            <v>8415000</v>
          </cell>
          <cell r="F199">
            <v>2103750</v>
          </cell>
          <cell r="G199" t="str">
            <v>LNH0925ND13</v>
          </cell>
        </row>
        <row r="200">
          <cell r="B200" t="str">
            <v>25808300040</v>
          </cell>
          <cell r="C200" t="str">
            <v>Cao Chung Thái</v>
          </cell>
          <cell r="D200" t="str">
            <v>Sơn</v>
          </cell>
          <cell r="E200">
            <v>8415000</v>
          </cell>
          <cell r="F200">
            <v>2103750</v>
          </cell>
          <cell r="G200" t="str">
            <v>LNH0925ND13</v>
          </cell>
        </row>
        <row r="201">
          <cell r="B201" t="str">
            <v>25808600039</v>
          </cell>
          <cell r="C201" t="str">
            <v>Đinh Nguyễn Nhựt</v>
          </cell>
          <cell r="D201" t="str">
            <v>Huy</v>
          </cell>
          <cell r="E201">
            <v>8415000</v>
          </cell>
          <cell r="F201">
            <v>2103750</v>
          </cell>
          <cell r="G201" t="str">
            <v>LNH0925ND13</v>
          </cell>
        </row>
        <row r="202">
          <cell r="B202" t="str">
            <v>25808600069</v>
          </cell>
          <cell r="C202" t="str">
            <v>Nguyễn Ngọc Thanh</v>
          </cell>
          <cell r="D202" t="str">
            <v>Ngân</v>
          </cell>
          <cell r="E202">
            <v>8415000</v>
          </cell>
          <cell r="F202">
            <v>2103750</v>
          </cell>
          <cell r="G202" t="str">
            <v>LNH0925ND13</v>
          </cell>
        </row>
        <row r="203">
          <cell r="B203" t="str">
            <v>25808600126</v>
          </cell>
          <cell r="C203" t="str">
            <v>Hồ Nhật</v>
          </cell>
          <cell r="D203" t="str">
            <v>Tiến</v>
          </cell>
          <cell r="E203">
            <v>8415000</v>
          </cell>
          <cell r="F203">
            <v>2103750</v>
          </cell>
          <cell r="G203" t="str">
            <v>LNH0925ND13</v>
          </cell>
        </row>
        <row r="204">
          <cell r="B204" t="str">
            <v>25808600135</v>
          </cell>
          <cell r="C204" t="str">
            <v>Trần Thị Huyền</v>
          </cell>
          <cell r="D204" t="str">
            <v>Trân</v>
          </cell>
          <cell r="E204">
            <v>8415000</v>
          </cell>
          <cell r="F204">
            <v>2103750</v>
          </cell>
          <cell r="G204" t="str">
            <v>LNH0925ND13</v>
          </cell>
        </row>
        <row r="205">
          <cell r="B205" t="str">
            <v>25809600017</v>
          </cell>
          <cell r="C205" t="str">
            <v>Phan Nguyễn Anh</v>
          </cell>
          <cell r="D205" t="str">
            <v>Đức</v>
          </cell>
          <cell r="E205">
            <v>8415000</v>
          </cell>
          <cell r="F205">
            <v>2103750</v>
          </cell>
          <cell r="G205" t="str">
            <v>LNH0925ND13</v>
          </cell>
        </row>
        <row r="206">
          <cell r="B206" t="str">
            <v>25809600068</v>
          </cell>
          <cell r="C206" t="str">
            <v>Võ Việt</v>
          </cell>
          <cell r="D206" t="str">
            <v>Trí</v>
          </cell>
          <cell r="E206">
            <v>8415000</v>
          </cell>
          <cell r="F206">
            <v>2103750</v>
          </cell>
          <cell r="G206" t="str">
            <v>LNH0925ND13</v>
          </cell>
        </row>
        <row r="207">
          <cell r="B207" t="str">
            <v>25801800021</v>
          </cell>
          <cell r="C207" t="str">
            <v>Võ Thảo</v>
          </cell>
          <cell r="D207" t="str">
            <v>Huyền</v>
          </cell>
          <cell r="E207">
            <v>8415000</v>
          </cell>
          <cell r="F207">
            <v>2103750</v>
          </cell>
          <cell r="G207" t="str">
            <v>LNH0925ND13</v>
          </cell>
        </row>
        <row r="208">
          <cell r="B208" t="str">
            <v>25802800392</v>
          </cell>
          <cell r="C208" t="str">
            <v>Nguyễn Chí</v>
          </cell>
          <cell r="D208" t="str">
            <v>Thành</v>
          </cell>
          <cell r="E208">
            <v>8415000</v>
          </cell>
          <cell r="F208">
            <v>2103750</v>
          </cell>
          <cell r="G208" t="str">
            <v>LNH0925ND13</v>
          </cell>
        </row>
        <row r="209">
          <cell r="B209" t="str">
            <v>25802800399</v>
          </cell>
          <cell r="C209" t="str">
            <v>Phạm Thanh</v>
          </cell>
          <cell r="D209" t="str">
            <v>Sơn</v>
          </cell>
          <cell r="E209">
            <v>8415000</v>
          </cell>
          <cell r="F209">
            <v>2103750</v>
          </cell>
          <cell r="G209" t="str">
            <v>LNH0925ND13</v>
          </cell>
        </row>
        <row r="210">
          <cell r="B210" t="str">
            <v>25808300103</v>
          </cell>
          <cell r="C210" t="str">
            <v>Lê Thị Thuỳ</v>
          </cell>
          <cell r="D210" t="str">
            <v>Dịu</v>
          </cell>
          <cell r="E210">
            <v>8415000</v>
          </cell>
          <cell r="F210">
            <v>2103750</v>
          </cell>
          <cell r="G210" t="str">
            <v>LNH0925ND13</v>
          </cell>
        </row>
        <row r="211">
          <cell r="B211" t="str">
            <v>25808600105</v>
          </cell>
          <cell r="C211" t="str">
            <v>Lê Minh</v>
          </cell>
          <cell r="D211" t="str">
            <v>Tâm</v>
          </cell>
          <cell r="E211">
            <v>8415000</v>
          </cell>
          <cell r="F211">
            <v>2103750</v>
          </cell>
          <cell r="G211" t="str">
            <v>LNH0925ND13</v>
          </cell>
        </row>
        <row r="212">
          <cell r="B212" t="str">
            <v>25801800072</v>
          </cell>
          <cell r="C212" t="str">
            <v>Nguyễn Ngọc Bảo</v>
          </cell>
          <cell r="D212" t="str">
            <v>Thy</v>
          </cell>
          <cell r="E212">
            <v>4465000</v>
          </cell>
          <cell r="F212">
            <v>2232500</v>
          </cell>
          <cell r="G212" t="str">
            <v>LNH0925ND13</v>
          </cell>
        </row>
        <row r="213">
          <cell r="B213" t="str">
            <v>25802600022</v>
          </cell>
          <cell r="C213" t="str">
            <v>Huỳnh Quang</v>
          </cell>
          <cell r="D213" t="str">
            <v>Duy</v>
          </cell>
          <cell r="E213">
            <v>4465000</v>
          </cell>
          <cell r="F213">
            <v>2232500</v>
          </cell>
          <cell r="G213" t="str">
            <v>LNH0925ND13</v>
          </cell>
        </row>
        <row r="214">
          <cell r="B214" t="str">
            <v>25808300060</v>
          </cell>
          <cell r="C214" t="str">
            <v>Đặng Ngọc Tú</v>
          </cell>
          <cell r="D214" t="str">
            <v>Uyên</v>
          </cell>
          <cell r="E214">
            <v>2100000</v>
          </cell>
          <cell r="F214">
            <v>2100000</v>
          </cell>
          <cell r="G214" t="str">
            <v>LNH0925ND13</v>
          </cell>
        </row>
        <row r="215">
          <cell r="B215" t="str">
            <v>25809600002</v>
          </cell>
          <cell r="C215" t="str">
            <v>Nguyễn Trần Tuấn</v>
          </cell>
          <cell r="D215" t="str">
            <v>Anh</v>
          </cell>
          <cell r="E215">
            <v>2100000</v>
          </cell>
          <cell r="F215">
            <v>2100000</v>
          </cell>
          <cell r="G215" t="str">
            <v>LNH0925ND13</v>
          </cell>
        </row>
        <row r="216">
          <cell r="B216" t="str">
            <v>25802800082</v>
          </cell>
          <cell r="C216" t="str">
            <v>Nguyễn Quốc</v>
          </cell>
          <cell r="D216" t="str">
            <v>Hùng</v>
          </cell>
          <cell r="E216">
            <v>8415000</v>
          </cell>
          <cell r="F216">
            <v>2103750</v>
          </cell>
          <cell r="G216" t="str">
            <v>LNH0925ND14</v>
          </cell>
        </row>
        <row r="217">
          <cell r="B217" t="str">
            <v>25802800140</v>
          </cell>
          <cell r="C217" t="str">
            <v>Giang Hoàng Đại</v>
          </cell>
          <cell r="D217" t="str">
            <v>Lợi</v>
          </cell>
          <cell r="E217">
            <v>8415000</v>
          </cell>
          <cell r="F217">
            <v>2103750</v>
          </cell>
          <cell r="G217" t="str">
            <v>LNH0925ND14</v>
          </cell>
        </row>
        <row r="218">
          <cell r="B218" t="str">
            <v>25802800144</v>
          </cell>
          <cell r="C218" t="str">
            <v>Phạm Nguyễn Ngọc</v>
          </cell>
          <cell r="D218" t="str">
            <v>Mai</v>
          </cell>
          <cell r="E218">
            <v>8415000</v>
          </cell>
          <cell r="F218">
            <v>2103750</v>
          </cell>
          <cell r="G218" t="str">
            <v>LNH0925ND14</v>
          </cell>
        </row>
        <row r="219">
          <cell r="B219" t="str">
            <v>25803800080</v>
          </cell>
          <cell r="C219" t="str">
            <v>Âu Văn</v>
          </cell>
          <cell r="D219" t="str">
            <v>Duy</v>
          </cell>
          <cell r="E219">
            <v>8415000</v>
          </cell>
          <cell r="F219">
            <v>2103750</v>
          </cell>
          <cell r="G219" t="str">
            <v>LNH0925ND14</v>
          </cell>
        </row>
        <row r="220">
          <cell r="B220" t="str">
            <v>25805900005</v>
          </cell>
          <cell r="C220" t="str">
            <v>Nguyễn Chí</v>
          </cell>
          <cell r="D220" t="str">
            <v>Bền</v>
          </cell>
          <cell r="E220">
            <v>8415000</v>
          </cell>
          <cell r="F220">
            <v>2103750</v>
          </cell>
          <cell r="G220" t="str">
            <v>LNH0925ND14</v>
          </cell>
        </row>
        <row r="221">
          <cell r="B221" t="str">
            <v>25806600350</v>
          </cell>
          <cell r="C221" t="str">
            <v>Lê Gia</v>
          </cell>
          <cell r="D221" t="str">
            <v>Minh</v>
          </cell>
          <cell r="E221">
            <v>8415000</v>
          </cell>
          <cell r="F221">
            <v>2103750</v>
          </cell>
          <cell r="G221" t="str">
            <v>LNH0925ND14</v>
          </cell>
        </row>
        <row r="222">
          <cell r="B222" t="str">
            <v>25807700087</v>
          </cell>
          <cell r="C222" t="str">
            <v>Lê Thành</v>
          </cell>
          <cell r="D222" t="str">
            <v>Đạt</v>
          </cell>
          <cell r="E222">
            <v>8415000</v>
          </cell>
          <cell r="F222">
            <v>2103750</v>
          </cell>
          <cell r="G222" t="str">
            <v>LNH0925ND14</v>
          </cell>
        </row>
        <row r="223">
          <cell r="B223" t="str">
            <v>25807800212</v>
          </cell>
          <cell r="C223" t="str">
            <v>Nguyễn Gia</v>
          </cell>
          <cell r="D223" t="str">
            <v>Khương</v>
          </cell>
          <cell r="E223">
            <v>8415000</v>
          </cell>
          <cell r="F223">
            <v>2103750</v>
          </cell>
          <cell r="G223" t="str">
            <v>LNH0925ND14</v>
          </cell>
        </row>
        <row r="224">
          <cell r="B224" t="str">
            <v>25808600086</v>
          </cell>
          <cell r="C224" t="str">
            <v>Tạ Thị Tuyết</v>
          </cell>
          <cell r="D224" t="str">
            <v>Nhung</v>
          </cell>
          <cell r="E224">
            <v>8415000</v>
          </cell>
          <cell r="F224">
            <v>2103750</v>
          </cell>
          <cell r="G224" t="str">
            <v>LNH0925ND14</v>
          </cell>
        </row>
        <row r="225">
          <cell r="B225" t="str">
            <v>25808700079</v>
          </cell>
          <cell r="C225" t="str">
            <v>Đặng Hiểu</v>
          </cell>
          <cell r="D225" t="str">
            <v>Phúc</v>
          </cell>
          <cell r="E225">
            <v>8415000</v>
          </cell>
          <cell r="F225">
            <v>2103750</v>
          </cell>
          <cell r="G225" t="str">
            <v>LNH0925ND14</v>
          </cell>
        </row>
        <row r="226">
          <cell r="B226" t="str">
            <v>25808900004</v>
          </cell>
          <cell r="C226" t="str">
            <v>Đào Duy</v>
          </cell>
          <cell r="D226" t="str">
            <v>Anh</v>
          </cell>
          <cell r="E226">
            <v>8415000</v>
          </cell>
          <cell r="F226">
            <v>2103750</v>
          </cell>
          <cell r="G226" t="str">
            <v>LNH0925ND14</v>
          </cell>
        </row>
        <row r="227">
          <cell r="B227" t="str">
            <v>25802800014</v>
          </cell>
          <cell r="C227" t="str">
            <v>Bùi Võ Thiên</v>
          </cell>
          <cell r="D227" t="str">
            <v>Ân</v>
          </cell>
          <cell r="E227">
            <v>4465000</v>
          </cell>
          <cell r="F227">
            <v>2232500</v>
          </cell>
          <cell r="G227" t="str">
            <v>LNH0925ND14</v>
          </cell>
        </row>
        <row r="228">
          <cell r="B228" t="str">
            <v>25807700083</v>
          </cell>
          <cell r="C228" t="str">
            <v>Bùi Xuân</v>
          </cell>
          <cell r="D228" t="str">
            <v>Vĩnh</v>
          </cell>
          <cell r="E228">
            <v>4465000</v>
          </cell>
          <cell r="F228">
            <v>2232500</v>
          </cell>
          <cell r="G228" t="str">
            <v>LNH0925ND14</v>
          </cell>
        </row>
        <row r="229">
          <cell r="B229" t="str">
            <v>25808900095</v>
          </cell>
          <cell r="C229" t="str">
            <v>Nguyễn Hữu</v>
          </cell>
          <cell r="D229" t="str">
            <v>Phát</v>
          </cell>
          <cell r="E229">
            <v>4465000</v>
          </cell>
          <cell r="F229">
            <v>2232500</v>
          </cell>
          <cell r="G229" t="str">
            <v>LNH0925ND14</v>
          </cell>
        </row>
        <row r="230">
          <cell r="B230" t="str">
            <v>25802800301</v>
          </cell>
          <cell r="C230" t="str">
            <v>Trần Thảo</v>
          </cell>
          <cell r="D230" t="str">
            <v>Vy</v>
          </cell>
          <cell r="E230">
            <v>4207500</v>
          </cell>
          <cell r="F230">
            <v>2232500</v>
          </cell>
          <cell r="G230" t="str">
            <v>LNH0925ND14</v>
          </cell>
        </row>
        <row r="231">
          <cell r="B231" t="str">
            <v>25802600070</v>
          </cell>
          <cell r="C231" t="str">
            <v>Nguyễn Quỳnh</v>
          </cell>
          <cell r="D231" t="str">
            <v>Loan</v>
          </cell>
          <cell r="E231">
            <v>2100000</v>
          </cell>
          <cell r="F231">
            <v>2100000</v>
          </cell>
          <cell r="G231" t="str">
            <v>LNH0925ND14</v>
          </cell>
        </row>
        <row r="232">
          <cell r="B232" t="str">
            <v>25806300055</v>
          </cell>
          <cell r="C232" t="str">
            <v xml:space="preserve">Nguyễn Văn </v>
          </cell>
          <cell r="D232" t="str">
            <v>Tuấn</v>
          </cell>
          <cell r="E232">
            <v>8415000</v>
          </cell>
          <cell r="F232">
            <v>2103750</v>
          </cell>
          <cell r="G232" t="str">
            <v>LNH0925ND15</v>
          </cell>
        </row>
        <row r="233">
          <cell r="B233" t="str">
            <v>25800400058</v>
          </cell>
          <cell r="C233" t="str">
            <v>Phan Ngọc Gia</v>
          </cell>
          <cell r="D233" t="str">
            <v>Huy</v>
          </cell>
          <cell r="E233">
            <v>8415000</v>
          </cell>
          <cell r="F233">
            <v>2103750</v>
          </cell>
          <cell r="G233" t="str">
            <v>LNH0925ND15</v>
          </cell>
        </row>
        <row r="234">
          <cell r="B234" t="str">
            <v>25800500131</v>
          </cell>
          <cell r="C234" t="str">
            <v>Vũ Văn</v>
          </cell>
          <cell r="D234" t="str">
            <v>Nhật</v>
          </cell>
          <cell r="E234">
            <v>8415000</v>
          </cell>
          <cell r="F234">
            <v>2103750</v>
          </cell>
          <cell r="G234" t="str">
            <v>LNH0925ND15</v>
          </cell>
        </row>
        <row r="235">
          <cell r="B235" t="str">
            <v>25802300384</v>
          </cell>
          <cell r="C235" t="str">
            <v>Mai Thien</v>
          </cell>
          <cell r="D235" t="str">
            <v>Tan</v>
          </cell>
          <cell r="E235">
            <v>8415000</v>
          </cell>
          <cell r="F235">
            <v>2103750</v>
          </cell>
          <cell r="G235" t="str">
            <v>LNH0925ND15</v>
          </cell>
        </row>
        <row r="236">
          <cell r="B236" t="str">
            <v>25802600097</v>
          </cell>
          <cell r="C236" t="str">
            <v>Phạm Cao Thái An</v>
          </cell>
          <cell r="D236" t="str">
            <v>Nhiên</v>
          </cell>
          <cell r="E236">
            <v>8415000</v>
          </cell>
          <cell r="F236">
            <v>2103750</v>
          </cell>
          <cell r="G236" t="str">
            <v>LNH0925ND15</v>
          </cell>
        </row>
        <row r="237">
          <cell r="B237" t="str">
            <v>25802800355</v>
          </cell>
          <cell r="C237" t="str">
            <v>Trần Thanh</v>
          </cell>
          <cell r="D237" t="str">
            <v>Tín</v>
          </cell>
          <cell r="E237">
            <v>8415000</v>
          </cell>
          <cell r="F237">
            <v>2103750</v>
          </cell>
          <cell r="G237" t="str">
            <v>LNH0925ND15</v>
          </cell>
        </row>
        <row r="238">
          <cell r="B238" t="str">
            <v>25807000017</v>
          </cell>
          <cell r="C238" t="str">
            <v>Nguyễn Thanh</v>
          </cell>
          <cell r="D238" t="str">
            <v>Ngân</v>
          </cell>
          <cell r="E238">
            <v>8415000</v>
          </cell>
          <cell r="F238">
            <v>2103750</v>
          </cell>
          <cell r="G238" t="str">
            <v>LNH0925ND15</v>
          </cell>
        </row>
        <row r="239">
          <cell r="B239" t="str">
            <v>25820300038</v>
          </cell>
          <cell r="C239" t="str">
            <v>Trần Duy</v>
          </cell>
          <cell r="D239" t="str">
            <v>Nguyên</v>
          </cell>
          <cell r="E239">
            <v>8415000</v>
          </cell>
          <cell r="F239">
            <v>2103750</v>
          </cell>
          <cell r="G239" t="str">
            <v>LNH0925ND15</v>
          </cell>
        </row>
        <row r="240">
          <cell r="B240" t="str">
            <v>25808600127</v>
          </cell>
          <cell r="C240" t="str">
            <v>Nguyễn Trung</v>
          </cell>
          <cell r="D240" t="str">
            <v>Tín</v>
          </cell>
          <cell r="E240">
            <v>5000000</v>
          </cell>
          <cell r="F240">
            <v>2103750</v>
          </cell>
          <cell r="G240" t="str">
            <v>LNH0925ND15</v>
          </cell>
        </row>
        <row r="241">
          <cell r="B241" t="str">
            <v>25802700181</v>
          </cell>
          <cell r="C241" t="str">
            <v>Nguyễn Khắc</v>
          </cell>
          <cell r="D241" t="str">
            <v>Úc</v>
          </cell>
          <cell r="E241">
            <v>4465000</v>
          </cell>
          <cell r="F241">
            <v>2232500</v>
          </cell>
          <cell r="G241" t="str">
            <v>LNH0925ND15</v>
          </cell>
        </row>
        <row r="242">
          <cell r="B242" t="str">
            <v>25800400012</v>
          </cell>
          <cell r="C242" t="str">
            <v>Nguyễn Gia</v>
          </cell>
          <cell r="D242" t="str">
            <v>Bảo</v>
          </cell>
          <cell r="E242">
            <v>4465000</v>
          </cell>
          <cell r="F242">
            <v>2232500</v>
          </cell>
          <cell r="G242" t="str">
            <v>LNH0925ND15</v>
          </cell>
        </row>
        <row r="243">
          <cell r="B243" t="str">
            <v>25800400145</v>
          </cell>
          <cell r="C243" t="str">
            <v>Lê Đăng</v>
          </cell>
          <cell r="D243" t="str">
            <v>Thiên</v>
          </cell>
          <cell r="E243">
            <v>4465000</v>
          </cell>
          <cell r="F243">
            <v>2232500</v>
          </cell>
          <cell r="G243" t="str">
            <v>LNH0925ND15</v>
          </cell>
        </row>
        <row r="244">
          <cell r="B244" t="str">
            <v>25805900032</v>
          </cell>
          <cell r="C244" t="str">
            <v>Nguyễn Lê</v>
          </cell>
          <cell r="D244" t="str">
            <v>Phát</v>
          </cell>
          <cell r="E244">
            <v>4465000</v>
          </cell>
          <cell r="F244">
            <v>2232500</v>
          </cell>
          <cell r="G244" t="str">
            <v>LNH0925ND15</v>
          </cell>
        </row>
        <row r="245">
          <cell r="B245" t="str">
            <v>25807000019</v>
          </cell>
          <cell r="C245" t="str">
            <v>Văn Thành</v>
          </cell>
          <cell r="D245" t="str">
            <v>Nhựt</v>
          </cell>
          <cell r="E245">
            <v>2100000</v>
          </cell>
          <cell r="F245">
            <v>2100000</v>
          </cell>
          <cell r="G245" t="str">
            <v>LNH0925ND15</v>
          </cell>
        </row>
        <row r="246">
          <cell r="B246" t="str">
            <v>25808900246</v>
          </cell>
          <cell r="C246" t="str">
            <v>Trần Thanh</v>
          </cell>
          <cell r="D246" t="str">
            <v>An</v>
          </cell>
          <cell r="E246">
            <v>2100000</v>
          </cell>
          <cell r="F246">
            <v>2100000</v>
          </cell>
          <cell r="G246" t="str">
            <v>LNH0925ND15</v>
          </cell>
        </row>
        <row r="247">
          <cell r="B247" t="str">
            <v>25802600010</v>
          </cell>
          <cell r="C247" t="str">
            <v>Tăng Hồng</v>
          </cell>
          <cell r="D247" t="str">
            <v>Anh</v>
          </cell>
          <cell r="E247">
            <v>2100000</v>
          </cell>
          <cell r="F247">
            <v>2100000</v>
          </cell>
          <cell r="G247" t="str">
            <v>LNH0925ND15</v>
          </cell>
        </row>
        <row r="248">
          <cell r="B248" t="str">
            <v>25802600167</v>
          </cell>
          <cell r="C248" t="str">
            <v>Lê Thị Ngọc</v>
          </cell>
          <cell r="D248" t="str">
            <v>Vy</v>
          </cell>
          <cell r="E248">
            <v>8415000</v>
          </cell>
          <cell r="F248">
            <v>2103750</v>
          </cell>
          <cell r="G248" t="str">
            <v>LNH0925ND16</v>
          </cell>
        </row>
        <row r="249">
          <cell r="B249" t="str">
            <v>25802800020</v>
          </cell>
          <cell r="C249" t="str">
            <v>Trương Nguyễn Gia</v>
          </cell>
          <cell r="D249" t="str">
            <v>Bảo</v>
          </cell>
          <cell r="E249">
            <v>8415000</v>
          </cell>
          <cell r="F249">
            <v>2103750</v>
          </cell>
          <cell r="G249" t="str">
            <v>LNH0925ND16</v>
          </cell>
        </row>
        <row r="250">
          <cell r="B250" t="str">
            <v>25802800198</v>
          </cell>
          <cell r="C250" t="str">
            <v>Phạm Hoàng</v>
          </cell>
          <cell r="D250" t="str">
            <v>Phát</v>
          </cell>
          <cell r="E250">
            <v>8415000</v>
          </cell>
          <cell r="F250">
            <v>2103750</v>
          </cell>
          <cell r="G250" t="str">
            <v>LNH0925ND16</v>
          </cell>
        </row>
        <row r="251">
          <cell r="B251" t="str">
            <v>25805900021</v>
          </cell>
          <cell r="C251" t="str">
            <v>Nguyễn Thị Xuân</v>
          </cell>
          <cell r="D251" t="str">
            <v>Mai</v>
          </cell>
          <cell r="E251">
            <v>8415000</v>
          </cell>
          <cell r="F251">
            <v>2103750</v>
          </cell>
          <cell r="G251" t="str">
            <v>LNH0925ND16</v>
          </cell>
        </row>
        <row r="252">
          <cell r="B252" t="str">
            <v>25805900036</v>
          </cell>
          <cell r="C252" t="str">
            <v>Bùi Huỳnh</v>
          </cell>
          <cell r="D252" t="str">
            <v>Quyên</v>
          </cell>
          <cell r="E252">
            <v>8415000</v>
          </cell>
          <cell r="F252">
            <v>2103750</v>
          </cell>
          <cell r="G252" t="str">
            <v>LNH0925ND16</v>
          </cell>
        </row>
        <row r="253">
          <cell r="B253" t="str">
            <v>25806800033</v>
          </cell>
          <cell r="C253" t="str">
            <v>Bùi Trúc</v>
          </cell>
          <cell r="D253" t="str">
            <v>Linh</v>
          </cell>
          <cell r="E253">
            <v>8415000</v>
          </cell>
          <cell r="F253">
            <v>2103750</v>
          </cell>
          <cell r="G253" t="str">
            <v>LNH0925ND16</v>
          </cell>
        </row>
        <row r="254">
          <cell r="B254" t="str">
            <v>25806800040</v>
          </cell>
          <cell r="C254" t="str">
            <v>Phan Nguyễn Trà</v>
          </cell>
          <cell r="D254" t="str">
            <v>My</v>
          </cell>
          <cell r="E254">
            <v>8415000</v>
          </cell>
          <cell r="F254">
            <v>2103750</v>
          </cell>
          <cell r="G254" t="str">
            <v>LNH0925ND16</v>
          </cell>
        </row>
        <row r="255">
          <cell r="B255" t="str">
            <v>25806800058</v>
          </cell>
          <cell r="C255" t="str">
            <v>Huỳnh Hoa Trinh</v>
          </cell>
          <cell r="D255" t="str">
            <v>Nữ</v>
          </cell>
          <cell r="E255">
            <v>8415000</v>
          </cell>
          <cell r="F255">
            <v>2103750</v>
          </cell>
          <cell r="G255" t="str">
            <v>LNH0925ND16</v>
          </cell>
        </row>
        <row r="256">
          <cell r="B256" t="str">
            <v>25808600018</v>
          </cell>
          <cell r="C256" t="str">
            <v>Ngô Văn</v>
          </cell>
          <cell r="D256" t="str">
            <v>Dũng</v>
          </cell>
          <cell r="E256">
            <v>8415000</v>
          </cell>
          <cell r="F256">
            <v>2103750</v>
          </cell>
          <cell r="G256" t="str">
            <v>LNH0925ND16</v>
          </cell>
        </row>
        <row r="257">
          <cell r="B257" t="str">
            <v>25808600090</v>
          </cell>
          <cell r="C257" t="str">
            <v>Đỗ Thị Minh</v>
          </cell>
          <cell r="D257" t="str">
            <v>Phương</v>
          </cell>
          <cell r="E257">
            <v>8415000</v>
          </cell>
          <cell r="F257">
            <v>2103750</v>
          </cell>
          <cell r="G257" t="str">
            <v>LNH0925ND16</v>
          </cell>
        </row>
        <row r="258">
          <cell r="B258" t="str">
            <v>25808600269</v>
          </cell>
          <cell r="C258" t="str">
            <v>Trần Nguyễn Thái</v>
          </cell>
          <cell r="D258" t="str">
            <v>Linh</v>
          </cell>
          <cell r="E258">
            <v>8415000</v>
          </cell>
          <cell r="F258">
            <v>2103750</v>
          </cell>
          <cell r="G258" t="str">
            <v>LNH0925ND16</v>
          </cell>
        </row>
        <row r="259">
          <cell r="B259" t="str">
            <v>25808900243</v>
          </cell>
          <cell r="C259" t="str">
            <v>Đỗ Ngọc</v>
          </cell>
          <cell r="D259" t="str">
            <v>An</v>
          </cell>
          <cell r="E259">
            <v>8415000</v>
          </cell>
          <cell r="F259">
            <v>2103750</v>
          </cell>
          <cell r="G259" t="str">
            <v>LNH0925ND16</v>
          </cell>
        </row>
        <row r="260">
          <cell r="B260" t="str">
            <v>25801400076</v>
          </cell>
          <cell r="C260" t="str">
            <v>Lâm Kiến</v>
          </cell>
          <cell r="D260" t="str">
            <v>Hào</v>
          </cell>
          <cell r="E260">
            <v>4465000</v>
          </cell>
          <cell r="F260">
            <v>2232500</v>
          </cell>
          <cell r="G260" t="str">
            <v>LNH0925ND16</v>
          </cell>
        </row>
        <row r="261">
          <cell r="B261" t="str">
            <v>25808600067</v>
          </cell>
          <cell r="C261" t="str">
            <v>Võ Lê Thảo</v>
          </cell>
          <cell r="D261" t="str">
            <v>My</v>
          </cell>
          <cell r="E261">
            <v>4465000</v>
          </cell>
          <cell r="F261">
            <v>2232500</v>
          </cell>
          <cell r="G261" t="str">
            <v>LNH0925ND16</v>
          </cell>
        </row>
        <row r="262">
          <cell r="B262" t="str">
            <v>25807700079</v>
          </cell>
          <cell r="C262" t="str">
            <v>Lê Thanh</v>
          </cell>
          <cell r="D262" t="str">
            <v>Tường</v>
          </cell>
          <cell r="E262">
            <v>2100000</v>
          </cell>
          <cell r="F262">
            <v>2100000</v>
          </cell>
          <cell r="G262" t="str">
            <v>LNH0925ND16</v>
          </cell>
        </row>
        <row r="263">
          <cell r="B263" t="str">
            <v>25807800024</v>
          </cell>
          <cell r="C263" t="str">
            <v>Hồ Minh</v>
          </cell>
          <cell r="D263" t="str">
            <v>Duy</v>
          </cell>
          <cell r="E263">
            <v>2100000</v>
          </cell>
          <cell r="F263">
            <v>2100000</v>
          </cell>
          <cell r="G263" t="str">
            <v>LNH0925ND16</v>
          </cell>
        </row>
        <row r="264">
          <cell r="B264" t="str">
            <v>25801600178</v>
          </cell>
          <cell r="C264" t="str">
            <v>Lê Ngọc Thảo</v>
          </cell>
          <cell r="D264" t="str">
            <v>Vy</v>
          </cell>
          <cell r="E264">
            <v>2100000</v>
          </cell>
          <cell r="F264">
            <v>2100000</v>
          </cell>
          <cell r="G264" t="str">
            <v>LNH0925ND16</v>
          </cell>
        </row>
        <row r="265">
          <cell r="B265" t="str">
            <v>25800400125</v>
          </cell>
          <cell r="C265" t="str">
            <v>Nguyễn Xuân</v>
          </cell>
          <cell r="D265" t="str">
            <v>Phú</v>
          </cell>
          <cell r="E265">
            <v>8415000</v>
          </cell>
          <cell r="F265">
            <v>2103750</v>
          </cell>
          <cell r="G265" t="str">
            <v>LNH0925ND17</v>
          </cell>
        </row>
        <row r="266">
          <cell r="B266" t="str">
            <v>25801100123</v>
          </cell>
          <cell r="C266" t="str">
            <v>Nguyễn Ngọc Anh</v>
          </cell>
          <cell r="D266" t="str">
            <v>Huy</v>
          </cell>
          <cell r="E266">
            <v>8415000</v>
          </cell>
          <cell r="F266">
            <v>2103750</v>
          </cell>
          <cell r="G266" t="str">
            <v>LNH0925ND17</v>
          </cell>
        </row>
        <row r="267">
          <cell r="B267" t="str">
            <v>25801300045</v>
          </cell>
          <cell r="C267" t="str">
            <v>Võ Quốc</v>
          </cell>
          <cell r="D267" t="str">
            <v>Vinh</v>
          </cell>
          <cell r="E267">
            <v>8415000</v>
          </cell>
          <cell r="F267">
            <v>2103750</v>
          </cell>
          <cell r="G267" t="str">
            <v>LNH0925ND17</v>
          </cell>
        </row>
        <row r="268">
          <cell r="B268" t="str">
            <v>25801700029</v>
          </cell>
          <cell r="C268" t="str">
            <v>Tân Vĩnh Bảo</v>
          </cell>
          <cell r="D268" t="str">
            <v>Long</v>
          </cell>
          <cell r="E268">
            <v>8415000</v>
          </cell>
          <cell r="F268">
            <v>2103750</v>
          </cell>
          <cell r="G268" t="str">
            <v>LNH0925ND17</v>
          </cell>
        </row>
        <row r="269">
          <cell r="B269" t="str">
            <v>25805900012</v>
          </cell>
          <cell r="C269" t="str">
            <v>Trịnh Thị Diệu</v>
          </cell>
          <cell r="D269" t="str">
            <v>Hằng</v>
          </cell>
          <cell r="E269">
            <v>8415000</v>
          </cell>
          <cell r="F269">
            <v>2103750</v>
          </cell>
          <cell r="G269" t="str">
            <v>LNH0925ND17</v>
          </cell>
        </row>
        <row r="270">
          <cell r="B270" t="str">
            <v>25805900029</v>
          </cell>
          <cell r="C270" t="str">
            <v>Dương Huỳnh Thanh</v>
          </cell>
          <cell r="D270" t="str">
            <v>Như</v>
          </cell>
          <cell r="E270">
            <v>8415000</v>
          </cell>
          <cell r="F270">
            <v>2103750</v>
          </cell>
          <cell r="G270" t="str">
            <v>LNH0925ND17</v>
          </cell>
        </row>
        <row r="271">
          <cell r="B271" t="str">
            <v>25806000034</v>
          </cell>
          <cell r="C271" t="str">
            <v>Nguyễn Nhật Thanh</v>
          </cell>
          <cell r="D271" t="str">
            <v>Sơn</v>
          </cell>
          <cell r="E271">
            <v>8415000</v>
          </cell>
          <cell r="F271">
            <v>2103750</v>
          </cell>
          <cell r="G271" t="str">
            <v>LNH0925ND17</v>
          </cell>
        </row>
        <row r="272">
          <cell r="B272" t="str">
            <v>25806800047</v>
          </cell>
          <cell r="C272" t="str">
            <v>Hồng Phước</v>
          </cell>
          <cell r="D272" t="str">
            <v>Nghĩa</v>
          </cell>
          <cell r="E272">
            <v>8415000</v>
          </cell>
          <cell r="F272">
            <v>2103750</v>
          </cell>
          <cell r="G272" t="str">
            <v>LNH0925ND17</v>
          </cell>
        </row>
        <row r="273">
          <cell r="B273" t="str">
            <v>25802600218</v>
          </cell>
          <cell r="C273" t="str">
            <v>Nguyễn Thị Vân</v>
          </cell>
          <cell r="D273" t="str">
            <v>Anh</v>
          </cell>
          <cell r="E273">
            <v>4465000</v>
          </cell>
          <cell r="F273">
            <v>2232500</v>
          </cell>
          <cell r="G273" t="str">
            <v>LNH0925ND17</v>
          </cell>
        </row>
        <row r="274">
          <cell r="B274" t="str">
            <v>25805900060</v>
          </cell>
          <cell r="C274" t="str">
            <v>Nguyễn Cửu Minh</v>
          </cell>
          <cell r="D274" t="str">
            <v>Trí</v>
          </cell>
          <cell r="E274">
            <v>4465000</v>
          </cell>
          <cell r="F274">
            <v>2232500</v>
          </cell>
          <cell r="G274" t="str">
            <v>LNH0925ND17</v>
          </cell>
        </row>
        <row r="275">
          <cell r="B275" t="str">
            <v>25806000044</v>
          </cell>
          <cell r="C275" t="str">
            <v>Mai Lan</v>
          </cell>
          <cell r="D275" t="str">
            <v>Vy</v>
          </cell>
          <cell r="E275">
            <v>4465000</v>
          </cell>
          <cell r="F275">
            <v>2232500</v>
          </cell>
          <cell r="G275" t="str">
            <v>LNH0925ND17</v>
          </cell>
        </row>
        <row r="276">
          <cell r="B276" t="str">
            <v>25806000115</v>
          </cell>
          <cell r="C276" t="str">
            <v>Phạm Quang</v>
          </cell>
          <cell r="D276" t="str">
            <v>Huy</v>
          </cell>
          <cell r="E276">
            <v>4465000</v>
          </cell>
          <cell r="F276">
            <v>2232500</v>
          </cell>
          <cell r="G276" t="str">
            <v>LNH0925ND17</v>
          </cell>
        </row>
        <row r="277">
          <cell r="B277" t="str">
            <v>25806100240</v>
          </cell>
          <cell r="C277" t="str">
            <v>Bùi Thị Nguyệt</v>
          </cell>
          <cell r="D277" t="str">
            <v>Hằng</v>
          </cell>
          <cell r="E277">
            <v>4465000</v>
          </cell>
          <cell r="F277">
            <v>2232500</v>
          </cell>
          <cell r="G277" t="str">
            <v>LNH0925ND17</v>
          </cell>
        </row>
        <row r="278">
          <cell r="B278" t="str">
            <v>25808600240</v>
          </cell>
          <cell r="C278" t="str">
            <v>Nguyễn Hàn Mỹ</v>
          </cell>
          <cell r="D278" t="str">
            <v>Dung</v>
          </cell>
          <cell r="E278">
            <v>4465000</v>
          </cell>
          <cell r="F278">
            <v>2232500</v>
          </cell>
          <cell r="G278" t="str">
            <v>LNH0925ND17</v>
          </cell>
        </row>
        <row r="279">
          <cell r="B279" t="str">
            <v>25808600158</v>
          </cell>
          <cell r="C279" t="str">
            <v>Trương Ngọc Minh</v>
          </cell>
          <cell r="D279" t="str">
            <v>Vy</v>
          </cell>
          <cell r="E279">
            <v>2100000</v>
          </cell>
          <cell r="F279">
            <v>2100000</v>
          </cell>
          <cell r="G279" t="str">
            <v>LNH0925ND17</v>
          </cell>
        </row>
        <row r="280">
          <cell r="B280" t="str">
            <v>25806800097</v>
          </cell>
          <cell r="C280" t="str">
            <v>Hồ Nguyễn Hải</v>
          </cell>
          <cell r="D280" t="str">
            <v>Anh</v>
          </cell>
          <cell r="E280">
            <v>2100000</v>
          </cell>
          <cell r="F280">
            <v>2100000</v>
          </cell>
          <cell r="G280" t="str">
            <v>LNH0925ND17</v>
          </cell>
        </row>
        <row r="281">
          <cell r="B281" t="str">
            <v>25806300031</v>
          </cell>
          <cell r="C281" t="str">
            <v>Nguyễn Minh</v>
          </cell>
          <cell r="D281" t="str">
            <v>Nhật</v>
          </cell>
          <cell r="E281">
            <v>8450000</v>
          </cell>
          <cell r="F281">
            <v>2103750</v>
          </cell>
          <cell r="G281" t="str">
            <v>LNH0925ND18</v>
          </cell>
        </row>
        <row r="282">
          <cell r="B282" t="str">
            <v>25800400287</v>
          </cell>
          <cell r="C282" t="str">
            <v>Nguyễn Minh</v>
          </cell>
          <cell r="D282" t="str">
            <v>Hiếu</v>
          </cell>
          <cell r="E282">
            <v>8415000</v>
          </cell>
          <cell r="F282">
            <v>2103750</v>
          </cell>
          <cell r="G282" t="str">
            <v>LNH0925ND18</v>
          </cell>
        </row>
        <row r="283">
          <cell r="B283" t="str">
            <v>25806300028</v>
          </cell>
          <cell r="C283" t="str">
            <v>Trần Hoài</v>
          </cell>
          <cell r="D283" t="str">
            <v>Nam</v>
          </cell>
          <cell r="E283">
            <v>8415000</v>
          </cell>
          <cell r="F283">
            <v>2103750</v>
          </cell>
          <cell r="G283" t="str">
            <v>LNH0925ND18</v>
          </cell>
        </row>
        <row r="284">
          <cell r="B284" t="str">
            <v>25807500151</v>
          </cell>
          <cell r="C284" t="str">
            <v>Nguyễn Phạm Hoàng</v>
          </cell>
          <cell r="D284" t="str">
            <v>Trung</v>
          </cell>
          <cell r="E284">
            <v>8415000</v>
          </cell>
          <cell r="F284">
            <v>2103750</v>
          </cell>
          <cell r="G284" t="str">
            <v>LNH0925ND18</v>
          </cell>
        </row>
        <row r="285">
          <cell r="B285" t="str">
            <v>25808200049</v>
          </cell>
          <cell r="C285" t="str">
            <v>Nguyễn Tuấn</v>
          </cell>
          <cell r="D285" t="str">
            <v>Hùng</v>
          </cell>
          <cell r="E285">
            <v>8415000</v>
          </cell>
          <cell r="F285">
            <v>2103750</v>
          </cell>
          <cell r="G285" t="str">
            <v>LNH0925ND18</v>
          </cell>
        </row>
        <row r="286">
          <cell r="B286" t="str">
            <v>25808200225</v>
          </cell>
          <cell r="C286" t="str">
            <v>Nguyễn Quốc</v>
          </cell>
          <cell r="D286" t="str">
            <v>Việt</v>
          </cell>
          <cell r="E286">
            <v>8415000</v>
          </cell>
          <cell r="F286">
            <v>2103750</v>
          </cell>
          <cell r="G286" t="str">
            <v>LNH0925ND18</v>
          </cell>
        </row>
        <row r="287">
          <cell r="B287" t="str">
            <v>25808600083</v>
          </cell>
          <cell r="C287" t="str">
            <v>Nguyễn Thị Khánh</v>
          </cell>
          <cell r="D287" t="str">
            <v>Nhi</v>
          </cell>
          <cell r="E287">
            <v>8415000</v>
          </cell>
          <cell r="F287">
            <v>2103750</v>
          </cell>
          <cell r="G287" t="str">
            <v>LNH0925ND18</v>
          </cell>
        </row>
        <row r="288">
          <cell r="B288" t="str">
            <v>25808700203</v>
          </cell>
          <cell r="C288" t="str">
            <v>Mai Tấn</v>
          </cell>
          <cell r="D288" t="str">
            <v>Nhất</v>
          </cell>
          <cell r="E288">
            <v>8415000</v>
          </cell>
          <cell r="F288">
            <v>2103750</v>
          </cell>
          <cell r="G288" t="str">
            <v>LNH0925ND18</v>
          </cell>
        </row>
        <row r="289">
          <cell r="B289" t="str">
            <v>25808900229</v>
          </cell>
          <cell r="C289" t="str">
            <v>Nguyễn Thiên</v>
          </cell>
          <cell r="D289" t="str">
            <v>Ân</v>
          </cell>
          <cell r="E289">
            <v>8415000</v>
          </cell>
          <cell r="F289">
            <v>2103750</v>
          </cell>
          <cell r="G289" t="str">
            <v>LNH0925ND18</v>
          </cell>
        </row>
        <row r="290">
          <cell r="B290" t="str">
            <v>25820100031</v>
          </cell>
          <cell r="C290" t="str">
            <v>Đặng Trần Hải</v>
          </cell>
          <cell r="D290" t="str">
            <v>Nam</v>
          </cell>
          <cell r="E290">
            <v>8415000</v>
          </cell>
          <cell r="F290">
            <v>2103750</v>
          </cell>
          <cell r="G290" t="str">
            <v>LNH0925ND18</v>
          </cell>
        </row>
        <row r="291">
          <cell r="B291" t="str">
            <v>25820200041</v>
          </cell>
          <cell r="C291" t="str">
            <v>Tsìn Huỳnh Phúc</v>
          </cell>
          <cell r="D291" t="str">
            <v>Nguyên</v>
          </cell>
          <cell r="E291">
            <v>8415000</v>
          </cell>
          <cell r="F291">
            <v>2103750</v>
          </cell>
          <cell r="G291" t="str">
            <v>LNH0925ND18</v>
          </cell>
        </row>
        <row r="292">
          <cell r="B292" t="str">
            <v>25802600110</v>
          </cell>
          <cell r="C292" t="str">
            <v>Nguyễn Trần Nhật</v>
          </cell>
          <cell r="D292" t="str">
            <v>Thanh</v>
          </cell>
          <cell r="E292">
            <v>8000000</v>
          </cell>
          <cell r="F292">
            <v>2103750</v>
          </cell>
          <cell r="G292" t="str">
            <v>LNH0925ND18</v>
          </cell>
        </row>
        <row r="293">
          <cell r="B293" t="str">
            <v>25820200119</v>
          </cell>
          <cell r="C293" t="str">
            <v>Nguyễn Minh</v>
          </cell>
          <cell r="D293" t="str">
            <v>Hiếu</v>
          </cell>
          <cell r="E293">
            <v>5000000</v>
          </cell>
          <cell r="F293">
            <v>2103750</v>
          </cell>
          <cell r="G293" t="str">
            <v>LNH0925ND18</v>
          </cell>
        </row>
        <row r="294">
          <cell r="B294" t="str">
            <v>25807500126</v>
          </cell>
          <cell r="C294" t="str">
            <v>Phan Ngọc Anh</v>
          </cell>
          <cell r="D294" t="str">
            <v>Thư</v>
          </cell>
          <cell r="E294">
            <v>4465000</v>
          </cell>
          <cell r="F294">
            <v>2232500</v>
          </cell>
          <cell r="G294" t="str">
            <v>LNH0925ND18</v>
          </cell>
        </row>
        <row r="295">
          <cell r="B295" t="str">
            <v>25808700211</v>
          </cell>
          <cell r="C295" t="str">
            <v>Nguyễn Thanh</v>
          </cell>
          <cell r="D295" t="str">
            <v>Phong</v>
          </cell>
          <cell r="E295">
            <v>4465000</v>
          </cell>
          <cell r="F295">
            <v>2232500</v>
          </cell>
          <cell r="G295" t="str">
            <v>LNH0925ND18</v>
          </cell>
        </row>
        <row r="296">
          <cell r="B296" t="str">
            <v>25800400256</v>
          </cell>
          <cell r="C296" t="str">
            <v>Trương Hồng</v>
          </cell>
          <cell r="D296" t="str">
            <v>Khãi</v>
          </cell>
          <cell r="E296">
            <v>2100000</v>
          </cell>
          <cell r="F296">
            <v>2100000</v>
          </cell>
          <cell r="G296" t="str">
            <v>LNH0925ND18</v>
          </cell>
        </row>
        <row r="297">
          <cell r="B297" t="str">
            <v>25800500133</v>
          </cell>
          <cell r="C297" t="str">
            <v>Nguyễn Tấn</v>
          </cell>
          <cell r="D297" t="str">
            <v>Phát</v>
          </cell>
          <cell r="E297">
            <v>8415000</v>
          </cell>
          <cell r="F297">
            <v>2103750</v>
          </cell>
          <cell r="G297" t="str">
            <v>LNH0925ND19</v>
          </cell>
        </row>
        <row r="298">
          <cell r="B298" t="str">
            <v>25800601138</v>
          </cell>
          <cell r="C298" t="str">
            <v>Nguyễn Văn</v>
          </cell>
          <cell r="D298" t="str">
            <v>Lợi</v>
          </cell>
          <cell r="E298">
            <v>8415000</v>
          </cell>
          <cell r="F298">
            <v>2103750</v>
          </cell>
          <cell r="G298" t="str">
            <v>LNH0925ND19</v>
          </cell>
        </row>
        <row r="299">
          <cell r="B299" t="str">
            <v>25801100128</v>
          </cell>
          <cell r="C299" t="str">
            <v>Nguyễn Tấn</v>
          </cell>
          <cell r="D299" t="str">
            <v>Việt</v>
          </cell>
          <cell r="E299">
            <v>8415000</v>
          </cell>
          <cell r="F299">
            <v>2103750</v>
          </cell>
          <cell r="G299" t="str">
            <v>LNH0925ND19</v>
          </cell>
        </row>
        <row r="300">
          <cell r="B300" t="str">
            <v>25801300024</v>
          </cell>
          <cell r="C300" t="str">
            <v>Lê Huỳnh Khánh</v>
          </cell>
          <cell r="D300" t="str">
            <v>Nguyên</v>
          </cell>
          <cell r="E300">
            <v>8415000</v>
          </cell>
          <cell r="F300">
            <v>2103750</v>
          </cell>
          <cell r="G300" t="str">
            <v>LNH0925ND19</v>
          </cell>
        </row>
        <row r="301">
          <cell r="B301" t="str">
            <v>25802700147</v>
          </cell>
          <cell r="C301" t="str">
            <v>Vũ Nguyễn Thu</v>
          </cell>
          <cell r="D301" t="str">
            <v>Yến</v>
          </cell>
          <cell r="E301">
            <v>8415000</v>
          </cell>
          <cell r="F301">
            <v>2103750</v>
          </cell>
          <cell r="G301" t="str">
            <v>LNH0925ND19</v>
          </cell>
        </row>
        <row r="302">
          <cell r="B302" t="str">
            <v>25802700192</v>
          </cell>
          <cell r="C302" t="str">
            <v>Nguyễn Tấn</v>
          </cell>
          <cell r="D302" t="str">
            <v>Phát</v>
          </cell>
          <cell r="E302">
            <v>8415000</v>
          </cell>
          <cell r="F302">
            <v>2103750</v>
          </cell>
          <cell r="G302" t="str">
            <v>LNH0925ND19</v>
          </cell>
        </row>
        <row r="303">
          <cell r="B303" t="str">
            <v>25807500001</v>
          </cell>
          <cell r="C303" t="str">
            <v>Đoàn Ngọc Hoài</v>
          </cell>
          <cell r="D303" t="str">
            <v>An</v>
          </cell>
          <cell r="E303">
            <v>8415000</v>
          </cell>
          <cell r="F303">
            <v>2103750</v>
          </cell>
          <cell r="G303" t="str">
            <v>LNH0925ND19</v>
          </cell>
        </row>
        <row r="304">
          <cell r="B304" t="str">
            <v>25807500073</v>
          </cell>
          <cell r="C304" t="str">
            <v>Bùi Nguyễn Triệu</v>
          </cell>
          <cell r="D304" t="str">
            <v>Nam</v>
          </cell>
          <cell r="E304">
            <v>8415000</v>
          </cell>
          <cell r="F304">
            <v>2103750</v>
          </cell>
          <cell r="G304" t="str">
            <v>LNH0925ND19</v>
          </cell>
        </row>
        <row r="305">
          <cell r="B305" t="str">
            <v>25807500144</v>
          </cell>
          <cell r="C305" t="str">
            <v>Phạm Minh</v>
          </cell>
          <cell r="D305" t="str">
            <v>Trí</v>
          </cell>
          <cell r="E305">
            <v>8415000</v>
          </cell>
          <cell r="F305">
            <v>2103750</v>
          </cell>
          <cell r="G305" t="str">
            <v>LNH0925ND19</v>
          </cell>
        </row>
        <row r="306">
          <cell r="B306" t="str">
            <v>25807500227</v>
          </cell>
          <cell r="C306" t="str">
            <v>Nguyễn Ngọc Phương</v>
          </cell>
          <cell r="D306" t="str">
            <v>Trân</v>
          </cell>
          <cell r="E306">
            <v>8415000</v>
          </cell>
          <cell r="F306">
            <v>2103750</v>
          </cell>
          <cell r="G306" t="str">
            <v>LNH0925ND19</v>
          </cell>
        </row>
        <row r="307">
          <cell r="B307" t="str">
            <v>25807800070</v>
          </cell>
          <cell r="C307" t="str">
            <v>Lê Hữu</v>
          </cell>
          <cell r="D307" t="str">
            <v>Kiệt</v>
          </cell>
          <cell r="E307">
            <v>8415000</v>
          </cell>
          <cell r="F307">
            <v>2103750</v>
          </cell>
          <cell r="G307" t="str">
            <v>LNH0925ND19</v>
          </cell>
        </row>
        <row r="308">
          <cell r="B308" t="str">
            <v>25806300003</v>
          </cell>
          <cell r="C308" t="str">
            <v>Mai Khánh</v>
          </cell>
          <cell r="D308" t="str">
            <v>Duy</v>
          </cell>
          <cell r="E308">
            <v>5000000</v>
          </cell>
          <cell r="F308">
            <v>2103750</v>
          </cell>
          <cell r="G308" t="str">
            <v>LNH0925ND19</v>
          </cell>
        </row>
        <row r="309">
          <cell r="B309" t="str">
            <v>25800500253</v>
          </cell>
          <cell r="C309" t="str">
            <v>Hà Hữu</v>
          </cell>
          <cell r="D309" t="str">
            <v>Minh</v>
          </cell>
          <cell r="E309">
            <v>4465000</v>
          </cell>
          <cell r="F309">
            <v>2232500</v>
          </cell>
          <cell r="G309" t="str">
            <v>LNH0925ND19</v>
          </cell>
        </row>
        <row r="310">
          <cell r="B310" t="str">
            <v>25801100105</v>
          </cell>
          <cell r="C310" t="str">
            <v>Võ Anh</v>
          </cell>
          <cell r="D310" t="str">
            <v>Tuấn</v>
          </cell>
          <cell r="E310">
            <v>4465000</v>
          </cell>
          <cell r="F310">
            <v>2232500</v>
          </cell>
          <cell r="G310" t="str">
            <v>LNH0925ND19</v>
          </cell>
        </row>
        <row r="311">
          <cell r="B311" t="str">
            <v>25803800063</v>
          </cell>
          <cell r="C311" t="str">
            <v>Nguyễn Hoàng Nhựt</v>
          </cell>
          <cell r="D311" t="str">
            <v>Trí</v>
          </cell>
          <cell r="E311">
            <v>4465000</v>
          </cell>
          <cell r="F311">
            <v>2232500</v>
          </cell>
          <cell r="G311" t="str">
            <v>LNH0925ND19</v>
          </cell>
        </row>
        <row r="312">
          <cell r="B312" t="str">
            <v>25820200036</v>
          </cell>
          <cell r="C312" t="str">
            <v>Võ Hoàng Anh</v>
          </cell>
          <cell r="D312" t="str">
            <v>Kiệt</v>
          </cell>
          <cell r="E312">
            <v>2100000</v>
          </cell>
          <cell r="F312">
            <v>2100000</v>
          </cell>
          <cell r="G312" t="str">
            <v>LNH0925ND19</v>
          </cell>
        </row>
        <row r="313">
          <cell r="B313" t="str">
            <v>25800400110</v>
          </cell>
          <cell r="C313" t="str">
            <v>Lê Trung</v>
          </cell>
          <cell r="D313" t="str">
            <v>Nguyên</v>
          </cell>
          <cell r="E313">
            <v>8415000</v>
          </cell>
          <cell r="F313">
            <v>2103750</v>
          </cell>
          <cell r="G313" t="str">
            <v>LNH0925ND20</v>
          </cell>
        </row>
        <row r="314">
          <cell r="B314" t="str">
            <v>25800600036</v>
          </cell>
          <cell r="C314" t="str">
            <v>Đỗ Gia</v>
          </cell>
          <cell r="D314" t="str">
            <v>Bảo</v>
          </cell>
          <cell r="E314">
            <v>8415000</v>
          </cell>
          <cell r="F314">
            <v>2103750</v>
          </cell>
          <cell r="G314" t="str">
            <v>LNH0925ND20</v>
          </cell>
        </row>
        <row r="315">
          <cell r="B315" t="str">
            <v>25801100042</v>
          </cell>
          <cell r="C315" t="str">
            <v>Nguyễn Trọng</v>
          </cell>
          <cell r="D315" t="str">
            <v>Nguyễn</v>
          </cell>
          <cell r="E315">
            <v>8415000</v>
          </cell>
          <cell r="F315">
            <v>2103750</v>
          </cell>
          <cell r="G315" t="str">
            <v>LNH0925ND20</v>
          </cell>
        </row>
        <row r="316">
          <cell r="B316" t="str">
            <v>25801100044</v>
          </cell>
          <cell r="C316" t="str">
            <v>Lê Văn</v>
          </cell>
          <cell r="D316" t="str">
            <v>Nhân</v>
          </cell>
          <cell r="E316">
            <v>8415000</v>
          </cell>
          <cell r="F316">
            <v>2103750</v>
          </cell>
          <cell r="G316" t="str">
            <v>LNH0925ND20</v>
          </cell>
        </row>
        <row r="317">
          <cell r="B317" t="str">
            <v>25801300015</v>
          </cell>
          <cell r="C317" t="str">
            <v>Dương Thị Minh</v>
          </cell>
          <cell r="D317" t="str">
            <v>Lộc</v>
          </cell>
          <cell r="E317">
            <v>8415000</v>
          </cell>
          <cell r="F317">
            <v>2103750</v>
          </cell>
          <cell r="G317" t="str">
            <v>LNH0925ND20</v>
          </cell>
        </row>
        <row r="318">
          <cell r="B318" t="str">
            <v>25801300028</v>
          </cell>
          <cell r="C318" t="str">
            <v>Nguyễn Thị Yến</v>
          </cell>
          <cell r="D318" t="str">
            <v>Nhi</v>
          </cell>
          <cell r="E318">
            <v>8415000</v>
          </cell>
          <cell r="F318">
            <v>2103750</v>
          </cell>
          <cell r="G318" t="str">
            <v>LNH0925ND20</v>
          </cell>
        </row>
        <row r="319">
          <cell r="B319" t="str">
            <v>25801300042</v>
          </cell>
          <cell r="C319" t="str">
            <v>Đỗ Quốc</v>
          </cell>
          <cell r="D319" t="str">
            <v>Trung</v>
          </cell>
          <cell r="E319">
            <v>8415000</v>
          </cell>
          <cell r="F319">
            <v>2103750</v>
          </cell>
          <cell r="G319" t="str">
            <v>LNH0925ND20</v>
          </cell>
        </row>
        <row r="320">
          <cell r="B320" t="str">
            <v>25802700203</v>
          </cell>
          <cell r="C320" t="str">
            <v>Đỗ Nguyễn Thu</v>
          </cell>
          <cell r="D320" t="str">
            <v>Nguyệt</v>
          </cell>
          <cell r="E320">
            <v>8415000</v>
          </cell>
          <cell r="F320">
            <v>2103750</v>
          </cell>
          <cell r="G320" t="str">
            <v>LNH0925ND20</v>
          </cell>
        </row>
        <row r="321">
          <cell r="B321" t="str">
            <v>25807500053</v>
          </cell>
          <cell r="C321" t="str">
            <v>Trần Tuấn</v>
          </cell>
          <cell r="D321" t="str">
            <v>Kiệt</v>
          </cell>
          <cell r="E321">
            <v>8415000</v>
          </cell>
          <cell r="F321">
            <v>2103750</v>
          </cell>
          <cell r="G321" t="str">
            <v>LNH0925ND20</v>
          </cell>
        </row>
        <row r="322">
          <cell r="B322" t="str">
            <v>25807500069</v>
          </cell>
          <cell r="C322" t="str">
            <v>Ly Hue</v>
          </cell>
          <cell r="D322" t="str">
            <v>Man</v>
          </cell>
          <cell r="E322">
            <v>8415000</v>
          </cell>
          <cell r="F322">
            <v>2103750</v>
          </cell>
          <cell r="G322" t="str">
            <v>LNH0925ND20</v>
          </cell>
        </row>
        <row r="323">
          <cell r="B323" t="str">
            <v>25807500132</v>
          </cell>
          <cell r="C323" t="str">
            <v>Trần Hoàng</v>
          </cell>
          <cell r="D323" t="str">
            <v>Tiến</v>
          </cell>
          <cell r="E323">
            <v>8415000</v>
          </cell>
          <cell r="F323">
            <v>2103750</v>
          </cell>
          <cell r="G323" t="str">
            <v>LNH0925ND20</v>
          </cell>
        </row>
        <row r="324">
          <cell r="B324" t="str">
            <v>25807900120</v>
          </cell>
          <cell r="C324" t="str">
            <v>Trần Đức</v>
          </cell>
          <cell r="D324" t="str">
            <v>Phát</v>
          </cell>
          <cell r="E324">
            <v>8415000</v>
          </cell>
          <cell r="F324">
            <v>2103750</v>
          </cell>
          <cell r="G324" t="str">
            <v>LNH0925ND20</v>
          </cell>
        </row>
        <row r="325">
          <cell r="B325" t="str">
            <v>25808200052</v>
          </cell>
          <cell r="C325" t="str">
            <v>Nguyễn Quang</v>
          </cell>
          <cell r="D325" t="str">
            <v>Huy</v>
          </cell>
          <cell r="E325">
            <v>8415000</v>
          </cell>
          <cell r="F325">
            <v>2103750</v>
          </cell>
          <cell r="G325" t="str">
            <v>LNH0925ND20</v>
          </cell>
        </row>
        <row r="326">
          <cell r="B326" t="str">
            <v>25808700180</v>
          </cell>
          <cell r="C326" t="str">
            <v>Đinh Thế</v>
          </cell>
          <cell r="D326" t="str">
            <v>Hiển</v>
          </cell>
          <cell r="E326">
            <v>8415000</v>
          </cell>
          <cell r="F326">
            <v>2103750</v>
          </cell>
          <cell r="G326" t="str">
            <v>LNH0925ND20</v>
          </cell>
        </row>
        <row r="327">
          <cell r="B327" t="str">
            <v>25808700221</v>
          </cell>
          <cell r="C327" t="str">
            <v>Huỳnh Phúc</v>
          </cell>
          <cell r="D327" t="str">
            <v>Chiến</v>
          </cell>
          <cell r="E327">
            <v>8415000</v>
          </cell>
          <cell r="F327">
            <v>2103750</v>
          </cell>
          <cell r="G327" t="str">
            <v>LNH0925ND20</v>
          </cell>
        </row>
        <row r="328">
          <cell r="B328" t="str">
            <v>25808200053</v>
          </cell>
          <cell r="C328" t="str">
            <v>Thái Ngọc</v>
          </cell>
          <cell r="D328" t="str">
            <v>Huy</v>
          </cell>
          <cell r="E328">
            <v>4465000</v>
          </cell>
          <cell r="F328">
            <v>2232500</v>
          </cell>
          <cell r="G328" t="str">
            <v>LNH0925ND20</v>
          </cell>
        </row>
        <row r="329">
          <cell r="B329" t="str">
            <v>25800500098</v>
          </cell>
          <cell r="C329" t="str">
            <v>Đàm Anh</v>
          </cell>
          <cell r="D329" t="str">
            <v>Kiệt</v>
          </cell>
          <cell r="E329">
            <v>8415008</v>
          </cell>
          <cell r="F329">
            <v>2103750</v>
          </cell>
          <cell r="G329" t="str">
            <v>LNH0925ND21</v>
          </cell>
        </row>
        <row r="330">
          <cell r="B330" t="str">
            <v>25820200068</v>
          </cell>
          <cell r="C330" t="str">
            <v>Nguyễn Minh Như</v>
          </cell>
          <cell r="D330" t="str">
            <v>Ý</v>
          </cell>
          <cell r="E330">
            <v>8415000</v>
          </cell>
          <cell r="F330">
            <v>2103750</v>
          </cell>
          <cell r="G330" t="str">
            <v>LNH0925ND21</v>
          </cell>
        </row>
        <row r="331">
          <cell r="B331" t="str">
            <v>25820700005</v>
          </cell>
          <cell r="C331" t="str">
            <v>Võ Ngọc Vân</v>
          </cell>
          <cell r="D331" t="str">
            <v>Anh</v>
          </cell>
          <cell r="E331">
            <v>8415000</v>
          </cell>
          <cell r="F331">
            <v>2103750</v>
          </cell>
          <cell r="G331" t="str">
            <v>LNH0925ND21</v>
          </cell>
        </row>
        <row r="332">
          <cell r="B332" t="str">
            <v>25801200035</v>
          </cell>
          <cell r="C332" t="str">
            <v>Trần Quốc</v>
          </cell>
          <cell r="D332" t="str">
            <v>Toàn</v>
          </cell>
          <cell r="E332">
            <v>8415000</v>
          </cell>
          <cell r="F332">
            <v>2103750</v>
          </cell>
          <cell r="G332" t="str">
            <v>LNH0925ND21</v>
          </cell>
        </row>
        <row r="333">
          <cell r="B333" t="str">
            <v>25802700069</v>
          </cell>
          <cell r="C333" t="str">
            <v>Nguyễn Lê Trúc</v>
          </cell>
          <cell r="D333" t="str">
            <v>Quỳnh</v>
          </cell>
          <cell r="E333">
            <v>8415000</v>
          </cell>
          <cell r="F333">
            <v>2103750</v>
          </cell>
          <cell r="G333" t="str">
            <v>LNH0925ND21</v>
          </cell>
        </row>
        <row r="334">
          <cell r="B334" t="str">
            <v>25802800185</v>
          </cell>
          <cell r="C334" t="str">
            <v>Chu Yến</v>
          </cell>
          <cell r="D334" t="str">
            <v>Nhi</v>
          </cell>
          <cell r="E334">
            <v>8415000</v>
          </cell>
          <cell r="F334">
            <v>2103750</v>
          </cell>
          <cell r="G334" t="str">
            <v>LNH0925ND21</v>
          </cell>
        </row>
        <row r="335">
          <cell r="B335" t="str">
            <v>25807500079</v>
          </cell>
          <cell r="C335" t="str">
            <v>Lê Thảo Hạnh</v>
          </cell>
          <cell r="D335" t="str">
            <v>Nguyên</v>
          </cell>
          <cell r="E335">
            <v>8415000</v>
          </cell>
          <cell r="F335">
            <v>2103750</v>
          </cell>
          <cell r="G335" t="str">
            <v>LNH0925ND21</v>
          </cell>
        </row>
        <row r="336">
          <cell r="B336" t="str">
            <v>25807700017</v>
          </cell>
          <cell r="C336" t="str">
            <v>Hà Quốc</v>
          </cell>
          <cell r="D336" t="str">
            <v>Dũng</v>
          </cell>
          <cell r="E336">
            <v>8415000</v>
          </cell>
          <cell r="F336">
            <v>2103750</v>
          </cell>
          <cell r="G336" t="str">
            <v>LNH0925ND21</v>
          </cell>
        </row>
        <row r="337">
          <cell r="B337" t="str">
            <v>25807800075</v>
          </cell>
          <cell r="C337" t="str">
            <v>Lê Trọng</v>
          </cell>
          <cell r="D337" t="str">
            <v>Long</v>
          </cell>
          <cell r="E337">
            <v>8415000</v>
          </cell>
          <cell r="F337">
            <v>2103750</v>
          </cell>
          <cell r="G337" t="str">
            <v>LNH0925ND21</v>
          </cell>
        </row>
        <row r="338">
          <cell r="B338" t="str">
            <v>25807800251</v>
          </cell>
          <cell r="C338" t="str">
            <v>Nguyễn Lê</v>
          </cell>
          <cell r="D338" t="str">
            <v>Khanh</v>
          </cell>
          <cell r="E338">
            <v>8415000</v>
          </cell>
          <cell r="F338">
            <v>2103750</v>
          </cell>
          <cell r="G338" t="str">
            <v>LNH0925ND21</v>
          </cell>
        </row>
        <row r="339">
          <cell r="B339" t="str">
            <v>25807900016</v>
          </cell>
          <cell r="C339" t="str">
            <v>Nguyễn Duy</v>
          </cell>
          <cell r="D339" t="str">
            <v>Hùng</v>
          </cell>
          <cell r="E339">
            <v>8415000</v>
          </cell>
          <cell r="F339">
            <v>2103750</v>
          </cell>
          <cell r="G339" t="str">
            <v>LNH0925ND21</v>
          </cell>
        </row>
        <row r="340">
          <cell r="B340" t="str">
            <v>25808200022</v>
          </cell>
          <cell r="C340" t="str">
            <v>Nguyễn Vũ</v>
          </cell>
          <cell r="D340" t="str">
            <v>Dũng</v>
          </cell>
          <cell r="E340">
            <v>8415000</v>
          </cell>
          <cell r="F340">
            <v>2103750</v>
          </cell>
          <cell r="G340" t="str">
            <v>LNH0925ND21</v>
          </cell>
        </row>
        <row r="341">
          <cell r="B341" t="str">
            <v>25808200096</v>
          </cell>
          <cell r="C341" t="str">
            <v>Nguyễn Đức</v>
          </cell>
          <cell r="D341" t="str">
            <v>Nhật</v>
          </cell>
          <cell r="E341">
            <v>8415000</v>
          </cell>
          <cell r="F341">
            <v>2103750</v>
          </cell>
          <cell r="G341" t="str">
            <v>LNH0925ND21</v>
          </cell>
        </row>
        <row r="342">
          <cell r="B342" t="str">
            <v>25820700032</v>
          </cell>
          <cell r="C342" t="str">
            <v>Nguyễn Hà Linh</v>
          </cell>
          <cell r="D342" t="str">
            <v>Phương</v>
          </cell>
          <cell r="E342">
            <v>8415000</v>
          </cell>
          <cell r="F342">
            <v>2103750</v>
          </cell>
          <cell r="G342" t="str">
            <v>LNH0925ND21</v>
          </cell>
        </row>
        <row r="343">
          <cell r="B343" t="str">
            <v>25820700063</v>
          </cell>
          <cell r="C343" t="str">
            <v>Nguyễn Thị Xuân</v>
          </cell>
          <cell r="D343" t="str">
            <v>Hồng</v>
          </cell>
          <cell r="E343">
            <v>8415000</v>
          </cell>
          <cell r="F343">
            <v>2103750</v>
          </cell>
          <cell r="G343" t="str">
            <v>LNH0925ND21</v>
          </cell>
        </row>
        <row r="344">
          <cell r="B344" t="str">
            <v>25808200072</v>
          </cell>
          <cell r="C344" t="str">
            <v>Hồng Văn</v>
          </cell>
          <cell r="D344" t="str">
            <v>Kiên</v>
          </cell>
          <cell r="E344">
            <v>5000000</v>
          </cell>
          <cell r="F344">
            <v>2103750</v>
          </cell>
          <cell r="G344" t="str">
            <v>LNH0925ND21</v>
          </cell>
        </row>
        <row r="345">
          <cell r="B345" t="str">
            <v>25808900014</v>
          </cell>
          <cell r="C345" t="str">
            <v>Trần Minh</v>
          </cell>
          <cell r="D345" t="str">
            <v>Chí</v>
          </cell>
          <cell r="E345">
            <v>8415000</v>
          </cell>
          <cell r="F345">
            <v>2103750</v>
          </cell>
          <cell r="G345" t="str">
            <v>LNH0925ND21</v>
          </cell>
        </row>
        <row r="346">
          <cell r="B346" t="str">
            <v>25808900060</v>
          </cell>
          <cell r="C346" t="str">
            <v>Vũ Minh</v>
          </cell>
          <cell r="D346" t="str">
            <v>Khôi</v>
          </cell>
          <cell r="E346">
            <v>8415000</v>
          </cell>
          <cell r="F346">
            <v>2103750</v>
          </cell>
          <cell r="G346" t="str">
            <v>LNH0925ND21</v>
          </cell>
        </row>
        <row r="347">
          <cell r="B347" t="str">
            <v>25808900091</v>
          </cell>
          <cell r="C347" t="str">
            <v>Dương Thị Tuyết</v>
          </cell>
          <cell r="D347" t="str">
            <v>Nhi</v>
          </cell>
          <cell r="E347">
            <v>8415000</v>
          </cell>
          <cell r="F347">
            <v>2103750</v>
          </cell>
          <cell r="G347" t="str">
            <v>LNH0925ND21</v>
          </cell>
        </row>
        <row r="348">
          <cell r="B348" t="str">
            <v>25808900109</v>
          </cell>
          <cell r="C348" t="str">
            <v>Lê Văn</v>
          </cell>
          <cell r="D348" t="str">
            <v>Tấn</v>
          </cell>
          <cell r="E348">
            <v>8415000</v>
          </cell>
          <cell r="F348">
            <v>2103750</v>
          </cell>
          <cell r="G348" t="str">
            <v>LNH0925ND21</v>
          </cell>
        </row>
        <row r="349">
          <cell r="B349" t="str">
            <v>25808900132</v>
          </cell>
          <cell r="C349" t="str">
            <v>Phạm Thanh</v>
          </cell>
          <cell r="D349" t="str">
            <v>Toàn</v>
          </cell>
          <cell r="E349">
            <v>8415000</v>
          </cell>
          <cell r="F349">
            <v>2103750</v>
          </cell>
          <cell r="G349" t="str">
            <v>LNH0925ND21</v>
          </cell>
        </row>
        <row r="350">
          <cell r="B350" t="str">
            <v>25808900146</v>
          </cell>
          <cell r="C350" t="str">
            <v>Phùng Minh</v>
          </cell>
          <cell r="D350" t="str">
            <v>Tuấn</v>
          </cell>
          <cell r="E350">
            <v>8415000</v>
          </cell>
          <cell r="F350">
            <v>2103750</v>
          </cell>
          <cell r="G350" t="str">
            <v>LNH0925ND21</v>
          </cell>
        </row>
        <row r="351">
          <cell r="B351" t="str">
            <v>25809600021</v>
          </cell>
          <cell r="C351" t="str">
            <v>Nguyễn Gia</v>
          </cell>
          <cell r="D351" t="str">
            <v>Hưng</v>
          </cell>
          <cell r="E351">
            <v>8415000</v>
          </cell>
          <cell r="F351">
            <v>2103750</v>
          </cell>
          <cell r="G351" t="str">
            <v>LNH0925ND21</v>
          </cell>
        </row>
        <row r="352">
          <cell r="B352" t="str">
            <v>25800400049</v>
          </cell>
          <cell r="C352" t="str">
            <v>Trương Vĩnh</v>
          </cell>
          <cell r="D352" t="str">
            <v>Hội</v>
          </cell>
          <cell r="E352">
            <v>8415000</v>
          </cell>
          <cell r="F352">
            <v>2103750</v>
          </cell>
          <cell r="G352" t="str">
            <v>LNH0925ND22</v>
          </cell>
        </row>
        <row r="353">
          <cell r="B353" t="str">
            <v>25800400077</v>
          </cell>
          <cell r="C353" t="str">
            <v>Nguyễn Đăng</v>
          </cell>
          <cell r="D353" t="str">
            <v>Khoa</v>
          </cell>
          <cell r="E353">
            <v>8415000</v>
          </cell>
          <cell r="F353">
            <v>2103750</v>
          </cell>
          <cell r="G353" t="str">
            <v>LNH0925ND22</v>
          </cell>
        </row>
        <row r="354">
          <cell r="B354" t="str">
            <v>25800500108</v>
          </cell>
          <cell r="C354" t="str">
            <v>Tô Tấn</v>
          </cell>
          <cell r="D354" t="str">
            <v>Lộc</v>
          </cell>
          <cell r="E354">
            <v>8415000</v>
          </cell>
          <cell r="F354">
            <v>2103750</v>
          </cell>
          <cell r="G354" t="str">
            <v>LNH0925ND22</v>
          </cell>
        </row>
        <row r="355">
          <cell r="B355" t="str">
            <v>25800500121</v>
          </cell>
          <cell r="C355" t="str">
            <v>Nguyễn Chỉnh</v>
          </cell>
          <cell r="D355" t="str">
            <v>Nghiêm</v>
          </cell>
          <cell r="E355">
            <v>8415000</v>
          </cell>
          <cell r="F355">
            <v>2103750</v>
          </cell>
          <cell r="G355" t="str">
            <v>LNH0925ND22</v>
          </cell>
        </row>
        <row r="356">
          <cell r="B356" t="str">
            <v>25800500278</v>
          </cell>
          <cell r="C356" t="str">
            <v>Phạm Thế</v>
          </cell>
          <cell r="D356" t="str">
            <v>Lân</v>
          </cell>
          <cell r="E356">
            <v>8415000</v>
          </cell>
          <cell r="F356">
            <v>2103750</v>
          </cell>
          <cell r="G356" t="str">
            <v>LNH0925ND22</v>
          </cell>
        </row>
        <row r="357">
          <cell r="B357" t="str">
            <v>25800600669</v>
          </cell>
          <cell r="C357" t="str">
            <v>Trần Thị Hoài</v>
          </cell>
          <cell r="D357" t="str">
            <v>Thương</v>
          </cell>
          <cell r="E357">
            <v>8415000</v>
          </cell>
          <cell r="F357">
            <v>2103750</v>
          </cell>
          <cell r="G357" t="str">
            <v>LNH0925ND22</v>
          </cell>
        </row>
        <row r="358">
          <cell r="B358" t="str">
            <v>25803800007</v>
          </cell>
          <cell r="C358" t="str">
            <v>Nguyễn Lâm Thiên</v>
          </cell>
          <cell r="D358" t="str">
            <v>Bảo</v>
          </cell>
          <cell r="E358">
            <v>8415000</v>
          </cell>
          <cell r="F358">
            <v>2103750</v>
          </cell>
          <cell r="G358" t="str">
            <v>LNH0925ND22</v>
          </cell>
        </row>
        <row r="359">
          <cell r="B359" t="str">
            <v>25803800039</v>
          </cell>
          <cell r="C359" t="str">
            <v>Lâm Đinh Bảo</v>
          </cell>
          <cell r="D359" t="str">
            <v>Nghi</v>
          </cell>
          <cell r="E359">
            <v>8415000</v>
          </cell>
          <cell r="F359">
            <v>2103750</v>
          </cell>
          <cell r="G359" t="str">
            <v>LNH0925ND22</v>
          </cell>
        </row>
        <row r="360">
          <cell r="B360" t="str">
            <v>25807500152</v>
          </cell>
          <cell r="C360" t="str">
            <v>Đặng Minh</v>
          </cell>
          <cell r="D360" t="str">
            <v>Trường</v>
          </cell>
          <cell r="E360">
            <v>8415000</v>
          </cell>
          <cell r="F360">
            <v>2103750</v>
          </cell>
          <cell r="G360" t="str">
            <v>LNH0925ND22</v>
          </cell>
        </row>
        <row r="361">
          <cell r="B361" t="str">
            <v>25807700003</v>
          </cell>
          <cell r="C361" t="str">
            <v>Nguyễn Việt</v>
          </cell>
          <cell r="D361" t="str">
            <v>Anh</v>
          </cell>
          <cell r="E361">
            <v>8415000</v>
          </cell>
          <cell r="F361">
            <v>2103750</v>
          </cell>
          <cell r="G361" t="str">
            <v>LNH0925ND22</v>
          </cell>
        </row>
        <row r="362">
          <cell r="B362" t="str">
            <v>25808200117</v>
          </cell>
          <cell r="C362" t="str">
            <v>Nguyễn Thuận</v>
          </cell>
          <cell r="D362" t="str">
            <v>Thanh</v>
          </cell>
          <cell r="E362">
            <v>8415000</v>
          </cell>
          <cell r="F362">
            <v>2103750</v>
          </cell>
          <cell r="G362" t="str">
            <v>LNH0925ND22</v>
          </cell>
        </row>
        <row r="363">
          <cell r="B363" t="str">
            <v>25820700064</v>
          </cell>
          <cell r="C363" t="str">
            <v>Võ Thị Huyền</v>
          </cell>
          <cell r="D363" t="str">
            <v>Trân</v>
          </cell>
          <cell r="E363">
            <v>5000000</v>
          </cell>
          <cell r="F363">
            <v>2103750</v>
          </cell>
          <cell r="G363" t="str">
            <v>LNH0925ND22</v>
          </cell>
        </row>
        <row r="364">
          <cell r="B364" t="str">
            <v>25802700094</v>
          </cell>
          <cell r="C364" t="str">
            <v>Bùi Thị Ngọc</v>
          </cell>
          <cell r="D364" t="str">
            <v>Trâm</v>
          </cell>
          <cell r="E364">
            <v>4465000</v>
          </cell>
          <cell r="F364">
            <v>2232500</v>
          </cell>
          <cell r="G364" t="str">
            <v>LNH0925ND22</v>
          </cell>
        </row>
        <row r="365">
          <cell r="B365" t="str">
            <v>25802800025</v>
          </cell>
          <cell r="C365" t="str">
            <v>Trần Vũ Bảo</v>
          </cell>
          <cell r="D365" t="str">
            <v>Châu</v>
          </cell>
          <cell r="E365">
            <v>4465000</v>
          </cell>
          <cell r="F365">
            <v>2232500</v>
          </cell>
          <cell r="G365" t="str">
            <v>LNH0925ND22</v>
          </cell>
        </row>
        <row r="366">
          <cell r="B366" t="str">
            <v>25807700081</v>
          </cell>
          <cell r="C366" t="str">
            <v>Đặng Hoàng</v>
          </cell>
          <cell r="D366" t="str">
            <v>Vinh</v>
          </cell>
          <cell r="E366">
            <v>4465000</v>
          </cell>
          <cell r="F366">
            <v>2232500</v>
          </cell>
          <cell r="G366" t="str">
            <v>LNH0925ND22</v>
          </cell>
        </row>
        <row r="367">
          <cell r="B367" t="str">
            <v>25820300030</v>
          </cell>
          <cell r="C367" t="str">
            <v>Lâm Hoàng</v>
          </cell>
          <cell r="D367" t="str">
            <v>Long</v>
          </cell>
          <cell r="E367">
            <v>4465000</v>
          </cell>
          <cell r="F367">
            <v>2232500</v>
          </cell>
          <cell r="G367" t="str">
            <v>LNH0925ND22</v>
          </cell>
        </row>
        <row r="368">
          <cell r="B368" t="str">
            <v>25820700014</v>
          </cell>
          <cell r="C368" t="str">
            <v>Nguyễn Thị Kiều</v>
          </cell>
          <cell r="D368" t="str">
            <v>Loan</v>
          </cell>
          <cell r="E368">
            <v>8415000</v>
          </cell>
          <cell r="F368">
            <v>2103750</v>
          </cell>
          <cell r="G368" t="str">
            <v>LNH0925ND22</v>
          </cell>
        </row>
        <row r="369">
          <cell r="B369" t="str">
            <v>25801000044</v>
          </cell>
          <cell r="C369" t="str">
            <v>Phạm Hoàng Trang</v>
          </cell>
          <cell r="D369" t="str">
            <v>Nguyên</v>
          </cell>
          <cell r="E369">
            <v>8415000</v>
          </cell>
          <cell r="F369">
            <v>2103750</v>
          </cell>
          <cell r="G369" t="str">
            <v>LNH0925ND22</v>
          </cell>
        </row>
        <row r="370">
          <cell r="B370" t="str">
            <v>25802100069</v>
          </cell>
          <cell r="C370" t="str">
            <v>Lương Bảo</v>
          </cell>
          <cell r="D370" t="str">
            <v>Huy</v>
          </cell>
          <cell r="E370">
            <v>8415000</v>
          </cell>
          <cell r="F370">
            <v>2103750</v>
          </cell>
          <cell r="G370" t="str">
            <v>LNH0925ND22</v>
          </cell>
        </row>
        <row r="371">
          <cell r="B371" t="str">
            <v>25808200123</v>
          </cell>
          <cell r="C371" t="str">
            <v>Lê Ngọc</v>
          </cell>
          <cell r="D371" t="str">
            <v>Thiện</v>
          </cell>
          <cell r="E371">
            <v>8415000</v>
          </cell>
          <cell r="F371">
            <v>2103750</v>
          </cell>
          <cell r="G371" t="str">
            <v>LNH0925ND22</v>
          </cell>
        </row>
        <row r="372">
          <cell r="B372" t="str">
            <v>25808700068</v>
          </cell>
          <cell r="C372" t="str">
            <v>Trần Thị Ngọc</v>
          </cell>
          <cell r="D372" t="str">
            <v>Nhi</v>
          </cell>
          <cell r="E372">
            <v>8415000</v>
          </cell>
          <cell r="F372">
            <v>2103750</v>
          </cell>
          <cell r="G372" t="str">
            <v>LNH0925ND22</v>
          </cell>
        </row>
        <row r="373">
          <cell r="B373" t="str">
            <v>25808900092</v>
          </cell>
          <cell r="C373" t="str">
            <v>Trần Yến</v>
          </cell>
          <cell r="D373" t="str">
            <v>Nhi</v>
          </cell>
          <cell r="E373">
            <v>8415000</v>
          </cell>
          <cell r="F373">
            <v>2103750</v>
          </cell>
          <cell r="G373" t="str">
            <v>LNH0925ND22</v>
          </cell>
        </row>
        <row r="374">
          <cell r="B374" t="str">
            <v>25820300093</v>
          </cell>
          <cell r="C374" t="str">
            <v>Nguyễn Thanh</v>
          </cell>
          <cell r="D374" t="str">
            <v>Phú</v>
          </cell>
          <cell r="E374">
            <v>8415000</v>
          </cell>
          <cell r="F374">
            <v>2103750</v>
          </cell>
          <cell r="G374" t="str">
            <v>LNH0925ND22</v>
          </cell>
        </row>
        <row r="375">
          <cell r="B375" t="str">
            <v>25808200122</v>
          </cell>
          <cell r="C375" t="str">
            <v>Võ Nhất</v>
          </cell>
          <cell r="D375" t="str">
            <v>Thiên</v>
          </cell>
          <cell r="E375">
            <v>8415000</v>
          </cell>
          <cell r="F375">
            <v>2103750</v>
          </cell>
          <cell r="G375" t="str">
            <v>LNH0925ND23</v>
          </cell>
        </row>
        <row r="376">
          <cell r="B376" t="str">
            <v>25808200125</v>
          </cell>
          <cell r="C376" t="str">
            <v>Dương Văn Minh</v>
          </cell>
          <cell r="D376" t="str">
            <v>Thông</v>
          </cell>
          <cell r="E376">
            <v>8415000</v>
          </cell>
          <cell r="F376">
            <v>2103750</v>
          </cell>
          <cell r="G376" t="str">
            <v>LNH0925ND23</v>
          </cell>
        </row>
        <row r="377">
          <cell r="B377" t="str">
            <v>25808900053</v>
          </cell>
          <cell r="C377" t="str">
            <v>Nguyễn Tuấn</v>
          </cell>
          <cell r="D377" t="str">
            <v>Khang</v>
          </cell>
          <cell r="E377">
            <v>8415000</v>
          </cell>
          <cell r="F377">
            <v>2103750</v>
          </cell>
          <cell r="G377" t="str">
            <v>LNH0925ND23</v>
          </cell>
        </row>
        <row r="378">
          <cell r="B378" t="str">
            <v>25800400151</v>
          </cell>
          <cell r="C378" t="str">
            <v>Phạm Hoàng</v>
          </cell>
          <cell r="D378" t="str">
            <v>Thông</v>
          </cell>
          <cell r="E378">
            <v>8415000</v>
          </cell>
          <cell r="F378">
            <v>2103750</v>
          </cell>
          <cell r="G378" t="str">
            <v>LNH0925ND23</v>
          </cell>
        </row>
        <row r="379">
          <cell r="B379" t="str">
            <v>25800500025</v>
          </cell>
          <cell r="C379" t="str">
            <v>Hoàng Ngọc</v>
          </cell>
          <cell r="D379" t="str">
            <v>Duy</v>
          </cell>
          <cell r="E379">
            <v>8415000</v>
          </cell>
          <cell r="F379">
            <v>2103750</v>
          </cell>
          <cell r="G379" t="str">
            <v>LNH0925ND23</v>
          </cell>
        </row>
        <row r="380">
          <cell r="B380" t="str">
            <v>25800500134</v>
          </cell>
          <cell r="C380" t="str">
            <v>Huỳnh Nguyễn Lâm</v>
          </cell>
          <cell r="D380" t="str">
            <v>Phong</v>
          </cell>
          <cell r="E380">
            <v>8415000</v>
          </cell>
          <cell r="F380">
            <v>2103750</v>
          </cell>
          <cell r="G380" t="str">
            <v>LNH0925ND23</v>
          </cell>
        </row>
        <row r="381">
          <cell r="B381" t="str">
            <v>25802700022</v>
          </cell>
          <cell r="C381" t="str">
            <v>Nguyễn Phạm Ngọc</v>
          </cell>
          <cell r="D381" t="str">
            <v>Hân</v>
          </cell>
          <cell r="E381">
            <v>8415000</v>
          </cell>
          <cell r="F381">
            <v>2103750</v>
          </cell>
          <cell r="G381" t="str">
            <v>LNH0925ND23</v>
          </cell>
        </row>
        <row r="382">
          <cell r="B382" t="str">
            <v>25802800199</v>
          </cell>
          <cell r="C382" t="str">
            <v>Trần Xuân</v>
          </cell>
          <cell r="D382" t="str">
            <v>Phát</v>
          </cell>
          <cell r="E382">
            <v>8415000</v>
          </cell>
          <cell r="F382">
            <v>2103750</v>
          </cell>
          <cell r="G382" t="str">
            <v>LNH0925ND23</v>
          </cell>
        </row>
        <row r="383">
          <cell r="B383" t="str">
            <v>25807500078</v>
          </cell>
          <cell r="C383" t="str">
            <v>Nguyễn Hoài Như</v>
          </cell>
          <cell r="D383" t="str">
            <v>Ngọc</v>
          </cell>
          <cell r="E383">
            <v>8415000</v>
          </cell>
          <cell r="F383">
            <v>2103750</v>
          </cell>
          <cell r="G383" t="str">
            <v>LNH0925ND23</v>
          </cell>
        </row>
        <row r="384">
          <cell r="B384" t="str">
            <v>25807700074</v>
          </cell>
          <cell r="C384" t="str">
            <v>Phạm Lương</v>
          </cell>
          <cell r="D384" t="str">
            <v>Toàn</v>
          </cell>
          <cell r="E384">
            <v>8415000</v>
          </cell>
          <cell r="F384">
            <v>2103750</v>
          </cell>
          <cell r="G384" t="str">
            <v>LNH0925ND23</v>
          </cell>
        </row>
        <row r="385">
          <cell r="B385" t="str">
            <v>25807700110</v>
          </cell>
          <cell r="C385" t="str">
            <v>Nguyễn Minh</v>
          </cell>
          <cell r="D385" t="str">
            <v>Thuận</v>
          </cell>
          <cell r="E385">
            <v>8415000</v>
          </cell>
          <cell r="F385">
            <v>2103750</v>
          </cell>
          <cell r="G385" t="str">
            <v>LNH0925ND23</v>
          </cell>
        </row>
        <row r="386">
          <cell r="B386" t="str">
            <v>25807800050</v>
          </cell>
          <cell r="C386" t="str">
            <v>Võ Lương Nhật</v>
          </cell>
          <cell r="D386" t="str">
            <v>Hoàng</v>
          </cell>
          <cell r="E386">
            <v>8415000</v>
          </cell>
          <cell r="F386">
            <v>2103750</v>
          </cell>
          <cell r="G386" t="str">
            <v>LNH0925ND23</v>
          </cell>
        </row>
        <row r="387">
          <cell r="B387" t="str">
            <v>25808200027</v>
          </cell>
          <cell r="C387" t="str">
            <v>Hà Hải</v>
          </cell>
          <cell r="D387" t="str">
            <v>Dương</v>
          </cell>
          <cell r="E387">
            <v>8415000</v>
          </cell>
          <cell r="F387">
            <v>2103750</v>
          </cell>
          <cell r="G387" t="str">
            <v>LNH0925ND23</v>
          </cell>
        </row>
        <row r="388">
          <cell r="B388" t="str">
            <v>25808200247</v>
          </cell>
          <cell r="C388" t="str">
            <v>Lê Quang</v>
          </cell>
          <cell r="D388" t="str">
            <v>Huy</v>
          </cell>
          <cell r="E388">
            <v>8415000</v>
          </cell>
          <cell r="F388">
            <v>2103750</v>
          </cell>
          <cell r="G388" t="str">
            <v>LNH0925ND23</v>
          </cell>
        </row>
        <row r="389">
          <cell r="B389" t="str">
            <v>25802700054</v>
          </cell>
          <cell r="C389" t="str">
            <v>Lê Thị Tuyết</v>
          </cell>
          <cell r="D389" t="str">
            <v>Ngân</v>
          </cell>
          <cell r="E389">
            <v>4465000</v>
          </cell>
          <cell r="F389">
            <v>2232500</v>
          </cell>
          <cell r="G389" t="str">
            <v>LNH0925ND23</v>
          </cell>
        </row>
        <row r="390">
          <cell r="B390" t="str">
            <v>25808200082</v>
          </cell>
          <cell r="C390" t="str">
            <v>Nguyễn Trung</v>
          </cell>
          <cell r="D390" t="str">
            <v>Luân</v>
          </cell>
          <cell r="E390">
            <v>2100000</v>
          </cell>
          <cell r="F390">
            <v>2100000</v>
          </cell>
          <cell r="G390" t="str">
            <v>LNH0925ND23</v>
          </cell>
        </row>
        <row r="391">
          <cell r="B391" t="str">
            <v>25808700161</v>
          </cell>
          <cell r="C391" t="str">
            <v>An Trang Vàng</v>
          </cell>
          <cell r="D391" t="str">
            <v>Anh</v>
          </cell>
          <cell r="E391">
            <v>8415000</v>
          </cell>
          <cell r="F391">
            <v>2103750</v>
          </cell>
          <cell r="G391" t="str">
            <v>LNH0925ND24</v>
          </cell>
        </row>
        <row r="392">
          <cell r="B392" t="str">
            <v>25820300011</v>
          </cell>
          <cell r="C392" t="str">
            <v>Bùi Nguyễn Thanh</v>
          </cell>
          <cell r="D392" t="str">
            <v>Hằng</v>
          </cell>
          <cell r="E392">
            <v>8415000</v>
          </cell>
          <cell r="F392">
            <v>2103750</v>
          </cell>
          <cell r="G392" t="str">
            <v>LNH0925ND24</v>
          </cell>
        </row>
        <row r="393">
          <cell r="B393" t="str">
            <v>25820300027</v>
          </cell>
          <cell r="C393" t="str">
            <v>Hà Đình</v>
          </cell>
          <cell r="D393" t="str">
            <v>Kiên</v>
          </cell>
          <cell r="E393">
            <v>8415000</v>
          </cell>
          <cell r="F393">
            <v>2103750</v>
          </cell>
          <cell r="G393" t="str">
            <v>LNH0925ND24</v>
          </cell>
        </row>
        <row r="394">
          <cell r="B394" t="str">
            <v>25820700004</v>
          </cell>
          <cell r="C394" t="str">
            <v>Trần Quỳnh</v>
          </cell>
          <cell r="D394" t="str">
            <v>Anh</v>
          </cell>
          <cell r="E394">
            <v>8415000</v>
          </cell>
          <cell r="F394">
            <v>2103750</v>
          </cell>
          <cell r="G394" t="str">
            <v>LNH0925ND24</v>
          </cell>
        </row>
        <row r="395">
          <cell r="B395" t="str">
            <v>25820700010</v>
          </cell>
          <cell r="C395" t="str">
            <v>Nguyễn Dương Hiền</v>
          </cell>
          <cell r="D395" t="str">
            <v>Hòa</v>
          </cell>
          <cell r="E395">
            <v>8415000</v>
          </cell>
          <cell r="F395">
            <v>2103750</v>
          </cell>
          <cell r="G395" t="str">
            <v>LNH0925ND24</v>
          </cell>
        </row>
        <row r="396">
          <cell r="B396" t="str">
            <v>25800400162</v>
          </cell>
          <cell r="C396" t="str">
            <v>Nguyen Van</v>
          </cell>
          <cell r="D396" t="str">
            <v>Truyen</v>
          </cell>
          <cell r="E396">
            <v>8415000</v>
          </cell>
          <cell r="F396">
            <v>2103750</v>
          </cell>
          <cell r="G396" t="str">
            <v>LNH0925ND24</v>
          </cell>
        </row>
        <row r="397">
          <cell r="B397" t="str">
            <v>25800500155</v>
          </cell>
          <cell r="C397" t="str">
            <v>Phạm Duy</v>
          </cell>
          <cell r="D397" t="str">
            <v>Tân</v>
          </cell>
          <cell r="E397">
            <v>8415000</v>
          </cell>
          <cell r="F397">
            <v>2103750</v>
          </cell>
          <cell r="G397" t="str">
            <v>LNH0925ND24</v>
          </cell>
        </row>
        <row r="398">
          <cell r="B398" t="str">
            <v>25801100007</v>
          </cell>
          <cell r="C398" t="str">
            <v>Phan Minh</v>
          </cell>
          <cell r="D398" t="str">
            <v>Chiến</v>
          </cell>
          <cell r="E398">
            <v>8415000</v>
          </cell>
          <cell r="F398">
            <v>2103750</v>
          </cell>
          <cell r="G398" t="str">
            <v>LNH0925ND24</v>
          </cell>
        </row>
        <row r="399">
          <cell r="B399" t="str">
            <v>25802700003</v>
          </cell>
          <cell r="C399" t="str">
            <v>Trần Đình</v>
          </cell>
          <cell r="D399" t="str">
            <v>An</v>
          </cell>
          <cell r="E399">
            <v>8415000</v>
          </cell>
          <cell r="F399">
            <v>2103750</v>
          </cell>
          <cell r="G399" t="str">
            <v>LNH0925ND24</v>
          </cell>
        </row>
        <row r="400">
          <cell r="B400" t="str">
            <v>25802700153</v>
          </cell>
          <cell r="C400" t="str">
            <v>Lê Thái</v>
          </cell>
          <cell r="D400" t="str">
            <v>Long</v>
          </cell>
          <cell r="E400">
            <v>8415000</v>
          </cell>
          <cell r="F400">
            <v>2103750</v>
          </cell>
          <cell r="G400" t="str">
            <v>LNH0925ND24</v>
          </cell>
        </row>
        <row r="401">
          <cell r="B401" t="str">
            <v>25807500011</v>
          </cell>
          <cell r="C401" t="str">
            <v>Bùi Gia</v>
          </cell>
          <cell r="D401" t="str">
            <v>Bảo</v>
          </cell>
          <cell r="E401">
            <v>8415000</v>
          </cell>
          <cell r="F401">
            <v>2103750</v>
          </cell>
          <cell r="G401" t="str">
            <v>LNH0925ND24</v>
          </cell>
        </row>
        <row r="402">
          <cell r="B402" t="str">
            <v>25807800156</v>
          </cell>
          <cell r="C402" t="str">
            <v>Lê Trần Quốc</v>
          </cell>
          <cell r="D402" t="str">
            <v>Tuấn</v>
          </cell>
          <cell r="E402">
            <v>8415000</v>
          </cell>
          <cell r="F402">
            <v>2103750</v>
          </cell>
          <cell r="G402" t="str">
            <v>LNH0925ND24</v>
          </cell>
        </row>
        <row r="403">
          <cell r="B403" t="str">
            <v>25808200104</v>
          </cell>
          <cell r="C403" t="str">
            <v>Tôn Thất Dương</v>
          </cell>
          <cell r="D403" t="str">
            <v>Quang</v>
          </cell>
          <cell r="E403">
            <v>8415000</v>
          </cell>
          <cell r="F403">
            <v>2103750</v>
          </cell>
          <cell r="G403" t="str">
            <v>LNH0925ND24</v>
          </cell>
        </row>
        <row r="404">
          <cell r="B404" t="str">
            <v>25808700009</v>
          </cell>
          <cell r="C404" t="str">
            <v>Nguyễn Ngọc</v>
          </cell>
          <cell r="D404" t="str">
            <v>Diệp</v>
          </cell>
          <cell r="E404">
            <v>8415000</v>
          </cell>
          <cell r="F404">
            <v>2103750</v>
          </cell>
          <cell r="G404" t="str">
            <v>LNH0925ND24</v>
          </cell>
        </row>
        <row r="405">
          <cell r="B405" t="str">
            <v>25807500093</v>
          </cell>
          <cell r="C405" t="str">
            <v>Võ Thành</v>
          </cell>
          <cell r="D405" t="str">
            <v>Phát</v>
          </cell>
          <cell r="E405">
            <v>4465000</v>
          </cell>
          <cell r="F405">
            <v>2232500</v>
          </cell>
          <cell r="G405" t="str">
            <v>LNH0925ND24</v>
          </cell>
        </row>
        <row r="406">
          <cell r="B406" t="str">
            <v>25801100071</v>
          </cell>
          <cell r="C406" t="str">
            <v>Trần Trọng</v>
          </cell>
          <cell r="D406" t="str">
            <v>Tính</v>
          </cell>
          <cell r="E406">
            <v>2100000</v>
          </cell>
          <cell r="F406">
            <v>2100000</v>
          </cell>
          <cell r="G406" t="str">
            <v>LNH0925ND24</v>
          </cell>
        </row>
        <row r="407">
          <cell r="B407" t="str">
            <v>25808700011</v>
          </cell>
          <cell r="C407" t="str">
            <v>Lâm Ngọc Thùy</v>
          </cell>
          <cell r="D407" t="str">
            <v>Dương</v>
          </cell>
          <cell r="E407">
            <v>8415000</v>
          </cell>
          <cell r="F407">
            <v>2103750</v>
          </cell>
          <cell r="G407" t="str">
            <v>LNH0925ND25</v>
          </cell>
        </row>
        <row r="408">
          <cell r="B408" t="str">
            <v>25808700023</v>
          </cell>
          <cell r="C408" t="str">
            <v>Phùng Thanh</v>
          </cell>
          <cell r="D408" t="str">
            <v>Hằng</v>
          </cell>
          <cell r="E408">
            <v>8415000</v>
          </cell>
          <cell r="F408">
            <v>2103750</v>
          </cell>
          <cell r="G408" t="str">
            <v>LNH0925ND25</v>
          </cell>
        </row>
        <row r="409">
          <cell r="B409" t="str">
            <v>25808700099</v>
          </cell>
          <cell r="C409" t="str">
            <v>Lê Nguyễn Mỹ</v>
          </cell>
          <cell r="D409" t="str">
            <v>Thường</v>
          </cell>
          <cell r="E409">
            <v>8415000</v>
          </cell>
          <cell r="F409">
            <v>2103750</v>
          </cell>
          <cell r="G409" t="str">
            <v>LNH0925ND25</v>
          </cell>
        </row>
        <row r="410">
          <cell r="B410" t="str">
            <v>25800500075</v>
          </cell>
          <cell r="C410" t="str">
            <v>Lê Trọng</v>
          </cell>
          <cell r="D410" t="str">
            <v>Kha</v>
          </cell>
          <cell r="E410">
            <v>8415000</v>
          </cell>
          <cell r="F410">
            <v>2103750</v>
          </cell>
          <cell r="G410" t="str">
            <v>LNH0925ND25</v>
          </cell>
        </row>
        <row r="411">
          <cell r="B411" t="str">
            <v>25801100062</v>
          </cell>
          <cell r="C411" t="str">
            <v>Phạm Nhật</v>
          </cell>
          <cell r="D411" t="str">
            <v>Thiên</v>
          </cell>
          <cell r="E411">
            <v>8415000</v>
          </cell>
          <cell r="F411">
            <v>2103750</v>
          </cell>
          <cell r="G411" t="str">
            <v>LNH0925ND25</v>
          </cell>
        </row>
        <row r="412">
          <cell r="B412" t="str">
            <v>25802600171</v>
          </cell>
          <cell r="C412" t="str">
            <v>Bùi Ngọc Hải</v>
          </cell>
          <cell r="D412" t="str">
            <v>Linh</v>
          </cell>
          <cell r="E412">
            <v>8415000</v>
          </cell>
          <cell r="F412">
            <v>2103750</v>
          </cell>
          <cell r="G412" t="str">
            <v>LNH0925ND25</v>
          </cell>
        </row>
        <row r="413">
          <cell r="B413" t="str">
            <v>25802700104</v>
          </cell>
          <cell r="C413" t="str">
            <v>Lê Thị Mỹ</v>
          </cell>
          <cell r="D413" t="str">
            <v>Tuyền</v>
          </cell>
          <cell r="E413">
            <v>8415000</v>
          </cell>
          <cell r="F413">
            <v>2103750</v>
          </cell>
          <cell r="G413" t="str">
            <v>LNH0925ND25</v>
          </cell>
        </row>
        <row r="414">
          <cell r="B414" t="str">
            <v>25805800054</v>
          </cell>
          <cell r="C414" t="str">
            <v>Lê Hoàng</v>
          </cell>
          <cell r="D414" t="str">
            <v>Anh</v>
          </cell>
          <cell r="E414">
            <v>8415000</v>
          </cell>
          <cell r="F414">
            <v>2103750</v>
          </cell>
          <cell r="G414" t="str">
            <v>LNH0925ND25</v>
          </cell>
        </row>
        <row r="415">
          <cell r="B415" t="str">
            <v>25808200269</v>
          </cell>
          <cell r="C415" t="str">
            <v>Nguyễn Thành</v>
          </cell>
          <cell r="D415" t="str">
            <v>Tiến</v>
          </cell>
          <cell r="E415">
            <v>8415000</v>
          </cell>
          <cell r="F415">
            <v>2103750</v>
          </cell>
          <cell r="G415" t="str">
            <v>LNH0925ND25</v>
          </cell>
        </row>
        <row r="416">
          <cell r="B416" t="str">
            <v>25808700110</v>
          </cell>
          <cell r="C416" t="str">
            <v>Trần Bảo</v>
          </cell>
          <cell r="D416" t="str">
            <v>Trân</v>
          </cell>
          <cell r="E416">
            <v>8415000</v>
          </cell>
          <cell r="F416">
            <v>2103750</v>
          </cell>
          <cell r="G416" t="str">
            <v>LNH0925ND25</v>
          </cell>
        </row>
        <row r="417">
          <cell r="B417" t="str">
            <v>25809600059</v>
          </cell>
          <cell r="C417" t="str">
            <v>Trần Thanh</v>
          </cell>
          <cell r="D417" t="str">
            <v>Sơn</v>
          </cell>
          <cell r="E417">
            <v>8415000</v>
          </cell>
          <cell r="F417">
            <v>2103750</v>
          </cell>
          <cell r="G417" t="str">
            <v>LNH0925ND25</v>
          </cell>
        </row>
        <row r="418">
          <cell r="B418" t="str">
            <v>25820200060</v>
          </cell>
          <cell r="C418" t="str">
            <v>Phạm Trọng</v>
          </cell>
          <cell r="D418" t="str">
            <v>Toàn</v>
          </cell>
          <cell r="E418">
            <v>8415000</v>
          </cell>
          <cell r="F418">
            <v>2103750</v>
          </cell>
          <cell r="G418" t="str">
            <v>LNH0925ND25</v>
          </cell>
        </row>
        <row r="419">
          <cell r="B419" t="str">
            <v>25820200112</v>
          </cell>
          <cell r="C419" t="str">
            <v>Bùi Quang</v>
          </cell>
          <cell r="D419" t="str">
            <v>Minh</v>
          </cell>
          <cell r="E419">
            <v>8415000</v>
          </cell>
          <cell r="F419">
            <v>2103750</v>
          </cell>
          <cell r="G419" t="str">
            <v>LNH0925ND25</v>
          </cell>
        </row>
        <row r="420">
          <cell r="B420" t="str">
            <v>25807500215</v>
          </cell>
          <cell r="C420" t="str">
            <v>Trương Ngọc Nhã</v>
          </cell>
          <cell r="D420" t="str">
            <v>Đoan</v>
          </cell>
          <cell r="E420">
            <v>8145000</v>
          </cell>
          <cell r="F420">
            <v>2103750</v>
          </cell>
          <cell r="G420" t="str">
            <v>LNH0925ND25</v>
          </cell>
        </row>
        <row r="421">
          <cell r="B421" t="str">
            <v>25807500161</v>
          </cell>
          <cell r="C421" t="str">
            <v>Nguyễn Phương</v>
          </cell>
          <cell r="D421" t="str">
            <v>Uyên</v>
          </cell>
          <cell r="E421">
            <v>4465000</v>
          </cell>
          <cell r="F421">
            <v>2232500</v>
          </cell>
          <cell r="G421" t="str">
            <v>LNH0925ND25</v>
          </cell>
        </row>
        <row r="422">
          <cell r="B422" t="str">
            <v>25820100086</v>
          </cell>
          <cell r="C422" t="str">
            <v>Nguyễn Tuấn</v>
          </cell>
          <cell r="D422" t="str">
            <v>Anh</v>
          </cell>
          <cell r="E422">
            <v>4465000</v>
          </cell>
          <cell r="F422">
            <v>2232500</v>
          </cell>
          <cell r="G422" t="str">
            <v>LNH0925ND25</v>
          </cell>
        </row>
        <row r="423">
          <cell r="B423" t="str">
            <v>25800500276</v>
          </cell>
          <cell r="C423" t="str">
            <v>Nguyễn Trọng</v>
          </cell>
          <cell r="D423" t="str">
            <v>Hảo</v>
          </cell>
          <cell r="E423">
            <v>8415000</v>
          </cell>
          <cell r="F423">
            <v>2103750</v>
          </cell>
          <cell r="G423" t="str">
            <v>LNH0925ND26</v>
          </cell>
        </row>
        <row r="424">
          <cell r="B424" t="str">
            <v>25801100004</v>
          </cell>
          <cell r="C424" t="str">
            <v>Dương Gia</v>
          </cell>
          <cell r="D424" t="str">
            <v>Bảo</v>
          </cell>
          <cell r="E424">
            <v>8415000</v>
          </cell>
          <cell r="F424">
            <v>2103750</v>
          </cell>
          <cell r="G424" t="str">
            <v>LNH0925ND26</v>
          </cell>
        </row>
        <row r="425">
          <cell r="B425" t="str">
            <v>25802700083</v>
          </cell>
          <cell r="C425" t="str">
            <v>Trần Triệu</v>
          </cell>
          <cell r="D425" t="str">
            <v>Thiện</v>
          </cell>
          <cell r="E425">
            <v>8415000</v>
          </cell>
          <cell r="F425">
            <v>2103750</v>
          </cell>
          <cell r="G425" t="str">
            <v>LNH0925ND26</v>
          </cell>
        </row>
        <row r="426">
          <cell r="B426" t="str">
            <v>25807500115</v>
          </cell>
          <cell r="C426" t="str">
            <v>Huỳnh</v>
          </cell>
          <cell r="D426" t="str">
            <v>Thân</v>
          </cell>
          <cell r="E426">
            <v>8415000</v>
          </cell>
          <cell r="F426">
            <v>2103750</v>
          </cell>
          <cell r="G426" t="str">
            <v>LNH0925ND26</v>
          </cell>
        </row>
        <row r="427">
          <cell r="B427" t="str">
            <v>25807800085</v>
          </cell>
          <cell r="C427" t="str">
            <v>Tô Hoàng</v>
          </cell>
          <cell r="D427" t="str">
            <v>Minh</v>
          </cell>
          <cell r="E427">
            <v>8415000</v>
          </cell>
          <cell r="F427">
            <v>2103750</v>
          </cell>
          <cell r="G427" t="str">
            <v>LNH0925ND26</v>
          </cell>
        </row>
        <row r="428">
          <cell r="B428" t="str">
            <v>25808100019</v>
          </cell>
          <cell r="C428" t="str">
            <v>Trần Gia</v>
          </cell>
          <cell r="D428" t="str">
            <v>Huy</v>
          </cell>
          <cell r="E428">
            <v>8415000</v>
          </cell>
          <cell r="F428">
            <v>2103750</v>
          </cell>
          <cell r="G428" t="str">
            <v>LNH0925ND26</v>
          </cell>
        </row>
        <row r="429">
          <cell r="B429" t="str">
            <v>25808200067</v>
          </cell>
          <cell r="C429" t="str">
            <v>Nguyễn Ngọc Đăng</v>
          </cell>
          <cell r="D429" t="str">
            <v>Khoa</v>
          </cell>
          <cell r="E429">
            <v>8415000</v>
          </cell>
          <cell r="F429">
            <v>2103750</v>
          </cell>
          <cell r="G429" t="str">
            <v>LNH0925ND26</v>
          </cell>
        </row>
        <row r="430">
          <cell r="B430" t="str">
            <v>25808200085</v>
          </cell>
          <cell r="C430" t="str">
            <v>Nguyen Hoang</v>
          </cell>
          <cell r="D430" t="str">
            <v>Minh</v>
          </cell>
          <cell r="E430">
            <v>8415000</v>
          </cell>
          <cell r="F430">
            <v>2103750</v>
          </cell>
          <cell r="G430" t="str">
            <v>LNH0925ND26</v>
          </cell>
        </row>
        <row r="431">
          <cell r="B431" t="str">
            <v>25808200228</v>
          </cell>
          <cell r="C431" t="str">
            <v>Trương Gia</v>
          </cell>
          <cell r="D431" t="str">
            <v>Bảo</v>
          </cell>
          <cell r="E431">
            <v>8415000</v>
          </cell>
          <cell r="F431">
            <v>2103750</v>
          </cell>
          <cell r="G431" t="str">
            <v>LNH0925ND26</v>
          </cell>
        </row>
        <row r="432">
          <cell r="B432" t="str">
            <v>25808600073</v>
          </cell>
          <cell r="C432" t="str">
            <v>Huỳnh Thị Hồng</v>
          </cell>
          <cell r="D432" t="str">
            <v>Ngọc</v>
          </cell>
          <cell r="E432">
            <v>8415000</v>
          </cell>
          <cell r="F432">
            <v>2103750</v>
          </cell>
          <cell r="G432" t="str">
            <v>LNH0925ND26</v>
          </cell>
        </row>
        <row r="433">
          <cell r="B433" t="str">
            <v>25808700015</v>
          </cell>
          <cell r="C433" t="str">
            <v>Dương Hữu Khánh</v>
          </cell>
          <cell r="D433" t="str">
            <v>Đạt</v>
          </cell>
          <cell r="E433">
            <v>8415000</v>
          </cell>
          <cell r="F433">
            <v>2103750</v>
          </cell>
          <cell r="G433" t="str">
            <v>LNH0925ND26</v>
          </cell>
        </row>
        <row r="434">
          <cell r="B434" t="str">
            <v>25820700070</v>
          </cell>
          <cell r="C434" t="str">
            <v>Bùi Thị Kim</v>
          </cell>
          <cell r="D434" t="str">
            <v>Ngân</v>
          </cell>
          <cell r="E434">
            <v>8415000</v>
          </cell>
          <cell r="F434">
            <v>2103750</v>
          </cell>
          <cell r="G434" t="str">
            <v>LNH0925ND26</v>
          </cell>
        </row>
        <row r="435">
          <cell r="B435" t="str">
            <v>25800400273</v>
          </cell>
          <cell r="C435" t="str">
            <v>Nguyễn Duy</v>
          </cell>
          <cell r="D435" t="str">
            <v>An</v>
          </cell>
          <cell r="E435">
            <v>4465000</v>
          </cell>
          <cell r="F435">
            <v>2232500</v>
          </cell>
          <cell r="G435" t="str">
            <v>LNH0925ND26</v>
          </cell>
        </row>
        <row r="436">
          <cell r="B436" t="str">
            <v>25807800112</v>
          </cell>
          <cell r="C436" t="str">
            <v>Nguyễn Hoàng Minh</v>
          </cell>
          <cell r="D436" t="str">
            <v>Quang</v>
          </cell>
          <cell r="E436">
            <v>4465000</v>
          </cell>
          <cell r="F436">
            <v>2232500</v>
          </cell>
          <cell r="G436" t="str">
            <v>LNH0925ND26</v>
          </cell>
        </row>
        <row r="437">
          <cell r="B437" t="str">
            <v>25800500081</v>
          </cell>
          <cell r="C437" t="str">
            <v>Phan Minh</v>
          </cell>
          <cell r="D437" t="str">
            <v>Khang</v>
          </cell>
          <cell r="E437">
            <v>2100000</v>
          </cell>
          <cell r="F437">
            <v>2100000</v>
          </cell>
          <cell r="G437" t="str">
            <v>LNH0925ND26</v>
          </cell>
        </row>
        <row r="438">
          <cell r="B438" t="str">
            <v>25800601198</v>
          </cell>
          <cell r="C438" t="str">
            <v>Võ Quốc</v>
          </cell>
          <cell r="D438" t="str">
            <v>Bảo</v>
          </cell>
          <cell r="E438">
            <v>2100000</v>
          </cell>
          <cell r="F438">
            <v>2100000</v>
          </cell>
          <cell r="G438" t="str">
            <v>LNH0925ND26</v>
          </cell>
        </row>
        <row r="439">
          <cell r="B439" t="str">
            <v>25800400106</v>
          </cell>
          <cell r="C439" t="str">
            <v>Đặng Hiếu</v>
          </cell>
          <cell r="D439" t="str">
            <v>Nghĩa</v>
          </cell>
          <cell r="E439">
            <v>8415000</v>
          </cell>
          <cell r="F439">
            <v>2103750</v>
          </cell>
          <cell r="G439" t="str">
            <v>LNH0925ND27</v>
          </cell>
        </row>
        <row r="440">
          <cell r="B440" t="str">
            <v>25800500109</v>
          </cell>
          <cell r="C440" t="str">
            <v>Nguyễn Huỳnh Nhựt</v>
          </cell>
          <cell r="D440" t="str">
            <v>Minh</v>
          </cell>
          <cell r="E440">
            <v>8415000</v>
          </cell>
          <cell r="F440">
            <v>2103750</v>
          </cell>
          <cell r="G440" t="str">
            <v>LNH0925ND27</v>
          </cell>
        </row>
        <row r="441">
          <cell r="B441" t="str">
            <v>25800600343</v>
          </cell>
          <cell r="C441" t="str">
            <v>Nguyễn Đăng</v>
          </cell>
          <cell r="D441" t="str">
            <v>Khoa</v>
          </cell>
          <cell r="E441">
            <v>8415000</v>
          </cell>
          <cell r="F441">
            <v>2103750</v>
          </cell>
          <cell r="G441" t="str">
            <v>LNH0925ND27</v>
          </cell>
        </row>
        <row r="442">
          <cell r="B442" t="str">
            <v>25802100071</v>
          </cell>
          <cell r="C442" t="str">
            <v>Nguyễn Vinh</v>
          </cell>
          <cell r="D442" t="str">
            <v>Quang</v>
          </cell>
          <cell r="E442">
            <v>8415000</v>
          </cell>
          <cell r="F442">
            <v>2103750</v>
          </cell>
          <cell r="G442" t="str">
            <v>LNH0925ND27</v>
          </cell>
        </row>
        <row r="443">
          <cell r="B443" t="str">
            <v>25802700081</v>
          </cell>
          <cell r="C443" t="str">
            <v>Dương Nguyễn Ngọc</v>
          </cell>
          <cell r="D443" t="str">
            <v>Thắng</v>
          </cell>
          <cell r="E443">
            <v>8415000</v>
          </cell>
          <cell r="F443">
            <v>2103750</v>
          </cell>
          <cell r="G443" t="str">
            <v>LNH0925ND27</v>
          </cell>
        </row>
        <row r="444">
          <cell r="B444" t="str">
            <v>25807500098</v>
          </cell>
          <cell r="C444" t="str">
            <v>Phan Ngọc Phú</v>
          </cell>
          <cell r="D444" t="str">
            <v>Quí</v>
          </cell>
          <cell r="E444">
            <v>8415000</v>
          </cell>
          <cell r="F444">
            <v>2103750</v>
          </cell>
          <cell r="G444" t="str">
            <v>LNH0925ND27</v>
          </cell>
        </row>
        <row r="445">
          <cell r="B445" t="str">
            <v>25808200002</v>
          </cell>
          <cell r="C445" t="str">
            <v>Nguyễn Trường</v>
          </cell>
          <cell r="D445" t="str">
            <v>An</v>
          </cell>
          <cell r="E445">
            <v>8415000</v>
          </cell>
          <cell r="F445">
            <v>2103750</v>
          </cell>
          <cell r="G445" t="str">
            <v>LNH0925ND27</v>
          </cell>
        </row>
        <row r="446">
          <cell r="B446" t="str">
            <v>25808200079</v>
          </cell>
          <cell r="C446" t="str">
            <v>Đặng Thái</v>
          </cell>
          <cell r="D446" t="str">
            <v>Lộc</v>
          </cell>
          <cell r="E446">
            <v>8415000</v>
          </cell>
          <cell r="F446">
            <v>2103750</v>
          </cell>
          <cell r="G446" t="str">
            <v>LNH0925ND27</v>
          </cell>
        </row>
        <row r="447">
          <cell r="B447" t="str">
            <v>25808700092</v>
          </cell>
          <cell r="C447" t="str">
            <v>Nguyễn Chiến</v>
          </cell>
          <cell r="D447" t="str">
            <v>Thắng</v>
          </cell>
          <cell r="E447">
            <v>8415000</v>
          </cell>
          <cell r="F447">
            <v>2103750</v>
          </cell>
          <cell r="G447" t="str">
            <v>LNH0925ND27</v>
          </cell>
        </row>
        <row r="448">
          <cell r="B448" t="str">
            <v>25820100019</v>
          </cell>
          <cell r="C448" t="str">
            <v>Hồ Quốc</v>
          </cell>
          <cell r="D448" t="str">
            <v>Khánh</v>
          </cell>
          <cell r="E448">
            <v>8415000</v>
          </cell>
          <cell r="F448">
            <v>2103750</v>
          </cell>
          <cell r="G448" t="str">
            <v>LNH0925ND27</v>
          </cell>
        </row>
        <row r="449">
          <cell r="B449" t="str">
            <v>25820100030</v>
          </cell>
          <cell r="C449" t="str">
            <v>Phan Vũ Gia</v>
          </cell>
          <cell r="D449" t="str">
            <v>Minh</v>
          </cell>
          <cell r="E449">
            <v>8415000</v>
          </cell>
          <cell r="F449">
            <v>2103750</v>
          </cell>
          <cell r="G449" t="str">
            <v>LNH0925ND27</v>
          </cell>
        </row>
        <row r="450">
          <cell r="B450" t="str">
            <v>25820100044</v>
          </cell>
          <cell r="C450" t="str">
            <v>Chiêm Hoàng</v>
          </cell>
          <cell r="D450" t="str">
            <v>Tân</v>
          </cell>
          <cell r="E450">
            <v>8415000</v>
          </cell>
          <cell r="F450">
            <v>2103750</v>
          </cell>
          <cell r="G450" t="str">
            <v>LNH0925ND27</v>
          </cell>
        </row>
        <row r="451">
          <cell r="B451" t="str">
            <v>25820200133</v>
          </cell>
          <cell r="C451" t="str">
            <v>Nguyễn Quang</v>
          </cell>
          <cell r="D451" t="str">
            <v>Đại</v>
          </cell>
          <cell r="E451">
            <v>8415000</v>
          </cell>
          <cell r="F451">
            <v>2103750</v>
          </cell>
          <cell r="G451" t="str">
            <v>LNH0925ND27</v>
          </cell>
        </row>
        <row r="452">
          <cell r="B452" t="str">
            <v>25800500113</v>
          </cell>
          <cell r="C452" t="str">
            <v>Nguyễn Chí</v>
          </cell>
          <cell r="D452" t="str">
            <v>Nam</v>
          </cell>
          <cell r="E452">
            <v>4465000</v>
          </cell>
          <cell r="F452">
            <v>2232500</v>
          </cell>
          <cell r="G452" t="str">
            <v>LNH0925ND27</v>
          </cell>
        </row>
        <row r="453">
          <cell r="B453" t="str">
            <v>25820100011</v>
          </cell>
          <cell r="C453" t="str">
            <v>Nguyễn Hoàng Minh</v>
          </cell>
          <cell r="D453" t="str">
            <v>Đức</v>
          </cell>
          <cell r="E453">
            <v>4465000</v>
          </cell>
          <cell r="F453">
            <v>2232500</v>
          </cell>
          <cell r="G453" t="str">
            <v>LNH0925ND27</v>
          </cell>
        </row>
        <row r="454">
          <cell r="B454" t="str">
            <v>25802700084</v>
          </cell>
          <cell r="C454" t="str">
            <v>Võ Phước</v>
          </cell>
          <cell r="D454" t="str">
            <v>Thịnh</v>
          </cell>
          <cell r="E454">
            <v>2100000</v>
          </cell>
          <cell r="F454">
            <v>2100000</v>
          </cell>
          <cell r="G454" t="str">
            <v>LNH0925ND27</v>
          </cell>
        </row>
        <row r="455">
          <cell r="B455" t="str">
            <v>25800400275</v>
          </cell>
          <cell r="C455" t="str">
            <v>Trần Lê Hữu</v>
          </cell>
          <cell r="D455" t="str">
            <v>Hậu</v>
          </cell>
          <cell r="E455">
            <v>8415000</v>
          </cell>
          <cell r="F455">
            <v>2103750</v>
          </cell>
          <cell r="G455" t="str">
            <v>LNH0925ND28</v>
          </cell>
        </row>
        <row r="456">
          <cell r="B456" t="str">
            <v>25803800021</v>
          </cell>
          <cell r="C456" t="str">
            <v>Đỗ Quốc</v>
          </cell>
          <cell r="D456" t="str">
            <v>Khánh</v>
          </cell>
          <cell r="E456">
            <v>8415000</v>
          </cell>
          <cell r="F456">
            <v>2103750</v>
          </cell>
          <cell r="G456" t="str">
            <v>LNH0925ND28</v>
          </cell>
        </row>
        <row r="457">
          <cell r="B457" t="str">
            <v>25807900008</v>
          </cell>
          <cell r="C457" t="str">
            <v>Võ Khắc</v>
          </cell>
          <cell r="D457" t="str">
            <v>Duy</v>
          </cell>
          <cell r="E457">
            <v>8415000</v>
          </cell>
          <cell r="F457">
            <v>2103750</v>
          </cell>
          <cell r="G457" t="str">
            <v>LNH0925ND28</v>
          </cell>
        </row>
        <row r="458">
          <cell r="B458" t="str">
            <v>25808200070</v>
          </cell>
          <cell r="C458" t="str">
            <v>Trần Minh</v>
          </cell>
          <cell r="D458" t="str">
            <v>Khoa</v>
          </cell>
          <cell r="E458">
            <v>8415000</v>
          </cell>
          <cell r="F458">
            <v>2103750</v>
          </cell>
          <cell r="G458" t="str">
            <v>LNH0925ND28</v>
          </cell>
        </row>
        <row r="459">
          <cell r="B459" t="str">
            <v>25808200108</v>
          </cell>
          <cell r="C459" t="str">
            <v>Tô Phước</v>
          </cell>
          <cell r="D459" t="str">
            <v>Sang</v>
          </cell>
          <cell r="E459">
            <v>8415000</v>
          </cell>
          <cell r="F459">
            <v>2103750</v>
          </cell>
          <cell r="G459" t="str">
            <v>LNH0925ND28</v>
          </cell>
        </row>
        <row r="460">
          <cell r="B460" t="str">
            <v>25808200137</v>
          </cell>
          <cell r="C460" t="str">
            <v>Trần Minh</v>
          </cell>
          <cell r="D460" t="str">
            <v>Tú</v>
          </cell>
          <cell r="E460">
            <v>8415000</v>
          </cell>
          <cell r="F460">
            <v>2103750</v>
          </cell>
          <cell r="G460" t="str">
            <v>LNH0925ND28</v>
          </cell>
        </row>
        <row r="461">
          <cell r="B461" t="str">
            <v>25820300043</v>
          </cell>
          <cell r="C461" t="str">
            <v>Trần Tấn</v>
          </cell>
          <cell r="D461" t="str">
            <v>Phát</v>
          </cell>
          <cell r="E461">
            <v>8415000</v>
          </cell>
          <cell r="F461">
            <v>2103750</v>
          </cell>
          <cell r="G461" t="str">
            <v>LNH0925ND28</v>
          </cell>
        </row>
        <row r="462">
          <cell r="B462" t="str">
            <v>25820300026</v>
          </cell>
          <cell r="C462" t="str">
            <v>Phạm Nguyễn Đăng</v>
          </cell>
          <cell r="D462" t="str">
            <v>Khoa</v>
          </cell>
          <cell r="E462">
            <v>8415000</v>
          </cell>
          <cell r="F462">
            <v>2103750</v>
          </cell>
          <cell r="G462" t="str">
            <v>LNH0925ND28</v>
          </cell>
        </row>
        <row r="463">
          <cell r="B463" t="str">
            <v>25800400117</v>
          </cell>
          <cell r="C463" t="str">
            <v>Vũ Hoàng Minh</v>
          </cell>
          <cell r="D463" t="str">
            <v>Nhật</v>
          </cell>
          <cell r="E463">
            <v>8415000</v>
          </cell>
          <cell r="F463">
            <v>2103750</v>
          </cell>
          <cell r="G463" t="str">
            <v>LNH0925ND28</v>
          </cell>
        </row>
        <row r="464">
          <cell r="B464" t="str">
            <v>25800500277</v>
          </cell>
          <cell r="C464" t="str">
            <v>Vũ Đức</v>
          </cell>
          <cell r="D464" t="str">
            <v>Hòa</v>
          </cell>
          <cell r="E464">
            <v>5000000</v>
          </cell>
          <cell r="F464">
            <v>2103750</v>
          </cell>
          <cell r="G464" t="str">
            <v>LNH0925ND28</v>
          </cell>
        </row>
        <row r="465">
          <cell r="B465" t="str">
            <v>25801000013</v>
          </cell>
          <cell r="C465" t="str">
            <v>Trần Đặng Kim</v>
          </cell>
          <cell r="D465" t="str">
            <v>Ngân</v>
          </cell>
          <cell r="E465">
            <v>4465000</v>
          </cell>
          <cell r="F465">
            <v>2232500</v>
          </cell>
          <cell r="G465" t="str">
            <v>LNH0925ND28</v>
          </cell>
        </row>
        <row r="466">
          <cell r="B466" t="str">
            <v>25802700193</v>
          </cell>
          <cell r="C466" t="str">
            <v>Lý Thị Ngọc</v>
          </cell>
          <cell r="D466" t="str">
            <v>Trâm</v>
          </cell>
          <cell r="E466">
            <v>4465000</v>
          </cell>
          <cell r="F466">
            <v>2232500</v>
          </cell>
          <cell r="G466" t="str">
            <v>LNH0925ND28</v>
          </cell>
        </row>
        <row r="467">
          <cell r="B467" t="str">
            <v>25807500028</v>
          </cell>
          <cell r="C467" t="str">
            <v>Tô Gia</v>
          </cell>
          <cell r="D467" t="str">
            <v>Hân</v>
          </cell>
          <cell r="E467">
            <v>4465000</v>
          </cell>
          <cell r="F467">
            <v>2232500</v>
          </cell>
          <cell r="G467" t="str">
            <v>LNH0925ND28</v>
          </cell>
        </row>
        <row r="468">
          <cell r="B468" t="str">
            <v>25807800199</v>
          </cell>
          <cell r="C468" t="str">
            <v>Trần Vĩnh</v>
          </cell>
          <cell r="D468" t="str">
            <v>Phúc</v>
          </cell>
          <cell r="E468">
            <v>4465000</v>
          </cell>
          <cell r="F468">
            <v>2232500</v>
          </cell>
          <cell r="G468" t="str">
            <v>LNH0925ND28</v>
          </cell>
        </row>
        <row r="469">
          <cell r="B469" t="str">
            <v>25800400019</v>
          </cell>
          <cell r="C469" t="str">
            <v>Cao Quang</v>
          </cell>
          <cell r="D469" t="str">
            <v>Biên</v>
          </cell>
          <cell r="E469">
            <v>2100000</v>
          </cell>
          <cell r="F469">
            <v>2100000</v>
          </cell>
          <cell r="G469" t="str">
            <v>LNH0925ND28</v>
          </cell>
        </row>
        <row r="470">
          <cell r="B470" t="str">
            <v>25807900051</v>
          </cell>
          <cell r="C470" t="str">
            <v>Trần Chí</v>
          </cell>
          <cell r="D470" t="str">
            <v>Thiện</v>
          </cell>
          <cell r="E470">
            <v>2100000</v>
          </cell>
          <cell r="F470">
            <v>2100000</v>
          </cell>
          <cell r="G470" t="str">
            <v>LNH0925ND28</v>
          </cell>
        </row>
        <row r="471">
          <cell r="B471" t="str">
            <v>25800400291</v>
          </cell>
          <cell r="C471" t="str">
            <v>Phùng Minh</v>
          </cell>
          <cell r="D471" t="str">
            <v>Trí</v>
          </cell>
          <cell r="E471">
            <v>8415000</v>
          </cell>
          <cell r="F471">
            <v>2103750</v>
          </cell>
          <cell r="G471" t="str">
            <v>LNH0925ND29</v>
          </cell>
        </row>
        <row r="472">
          <cell r="B472" t="str">
            <v>25800500136</v>
          </cell>
          <cell r="C472" t="str">
            <v>Nguyễn Anh</v>
          </cell>
          <cell r="D472" t="str">
            <v>Phong</v>
          </cell>
          <cell r="E472">
            <v>8415000</v>
          </cell>
          <cell r="F472">
            <v>2103750</v>
          </cell>
          <cell r="G472" t="str">
            <v>LNH0925ND29</v>
          </cell>
        </row>
        <row r="473">
          <cell r="B473" t="str">
            <v>25801200018</v>
          </cell>
          <cell r="C473" t="str">
            <v>Nguyễn Thị Hoàng</v>
          </cell>
          <cell r="D473" t="str">
            <v>Kiều</v>
          </cell>
          <cell r="E473">
            <v>8415000</v>
          </cell>
          <cell r="F473">
            <v>2103750</v>
          </cell>
          <cell r="G473" t="str">
            <v>LNH0925ND29</v>
          </cell>
        </row>
        <row r="474">
          <cell r="B474" t="str">
            <v>25801200039</v>
          </cell>
          <cell r="C474" t="str">
            <v>Huỳnh Trần Thảo</v>
          </cell>
          <cell r="D474" t="str">
            <v>Vy</v>
          </cell>
          <cell r="E474">
            <v>8415000</v>
          </cell>
          <cell r="F474">
            <v>2103750</v>
          </cell>
          <cell r="G474" t="str">
            <v>LNH0925ND29</v>
          </cell>
        </row>
        <row r="475">
          <cell r="B475" t="str">
            <v>25802700134</v>
          </cell>
          <cell r="C475" t="str">
            <v>Phan Bảo</v>
          </cell>
          <cell r="D475" t="str">
            <v>Luân</v>
          </cell>
          <cell r="E475">
            <v>8415000</v>
          </cell>
          <cell r="F475">
            <v>2103750</v>
          </cell>
          <cell r="G475" t="str">
            <v>LNH0925ND29</v>
          </cell>
        </row>
        <row r="476">
          <cell r="B476" t="str">
            <v>25807500032</v>
          </cell>
          <cell r="C476" t="str">
            <v>Trần Ngọc</v>
          </cell>
          <cell r="D476" t="str">
            <v>Hiếu</v>
          </cell>
          <cell r="E476">
            <v>8415000</v>
          </cell>
          <cell r="F476">
            <v>2103750</v>
          </cell>
          <cell r="G476" t="str">
            <v>LNH0925ND29</v>
          </cell>
        </row>
        <row r="477">
          <cell r="B477" t="str">
            <v>25807500124</v>
          </cell>
          <cell r="C477" t="str">
            <v>Nguyễn Anh</v>
          </cell>
          <cell r="D477" t="str">
            <v>Thư</v>
          </cell>
          <cell r="E477">
            <v>8415000</v>
          </cell>
          <cell r="F477">
            <v>2103750</v>
          </cell>
          <cell r="G477" t="str">
            <v>LNH0925ND29</v>
          </cell>
        </row>
        <row r="478">
          <cell r="B478" t="str">
            <v>25807900042</v>
          </cell>
          <cell r="C478" t="str">
            <v>Trần Nhật</v>
          </cell>
          <cell r="D478" t="str">
            <v>Quang</v>
          </cell>
          <cell r="E478">
            <v>8415000</v>
          </cell>
          <cell r="F478">
            <v>2103750</v>
          </cell>
          <cell r="G478" t="str">
            <v>LNH0925ND29</v>
          </cell>
        </row>
        <row r="479">
          <cell r="B479" t="str">
            <v>25809400056</v>
          </cell>
          <cell r="C479" t="str">
            <v>Hà Thanh</v>
          </cell>
          <cell r="D479" t="str">
            <v>Duy</v>
          </cell>
          <cell r="E479">
            <v>8415000</v>
          </cell>
          <cell r="F479">
            <v>2103750</v>
          </cell>
          <cell r="G479" t="str">
            <v>LNH0925ND29</v>
          </cell>
        </row>
        <row r="480">
          <cell r="B480" t="str">
            <v>25820100017</v>
          </cell>
          <cell r="C480" t="str">
            <v>Trần Huỳnh Quang</v>
          </cell>
          <cell r="D480" t="str">
            <v>Huy</v>
          </cell>
          <cell r="E480">
            <v>8415000</v>
          </cell>
          <cell r="F480">
            <v>2103750</v>
          </cell>
          <cell r="G480" t="str">
            <v>LNH0925ND29</v>
          </cell>
        </row>
        <row r="481">
          <cell r="B481" t="str">
            <v>25820100028</v>
          </cell>
          <cell r="C481" t="str">
            <v>Trần Nguyễn Hoàng</v>
          </cell>
          <cell r="D481" t="str">
            <v>Long</v>
          </cell>
          <cell r="E481">
            <v>8415000</v>
          </cell>
          <cell r="F481">
            <v>2103750</v>
          </cell>
          <cell r="G481" t="str">
            <v>LNH0925ND29</v>
          </cell>
        </row>
        <row r="482">
          <cell r="B482" t="str">
            <v>25820700021</v>
          </cell>
          <cell r="C482" t="str">
            <v>Ngô Thị Bảo</v>
          </cell>
          <cell r="D482" t="str">
            <v>Ngọc</v>
          </cell>
          <cell r="E482">
            <v>8415000</v>
          </cell>
          <cell r="F482">
            <v>2103750</v>
          </cell>
          <cell r="G482" t="str">
            <v>LNH0925ND29</v>
          </cell>
        </row>
        <row r="483">
          <cell r="B483" t="str">
            <v>25800400130</v>
          </cell>
          <cell r="C483" t="str">
            <v>Nguyễn Lưu Đông</v>
          </cell>
          <cell r="D483" t="str">
            <v>Quân</v>
          </cell>
          <cell r="E483">
            <v>4465000</v>
          </cell>
          <cell r="F483">
            <v>2232500</v>
          </cell>
          <cell r="G483" t="str">
            <v>LNH0925ND29</v>
          </cell>
        </row>
        <row r="484">
          <cell r="B484" t="str">
            <v>25807700031</v>
          </cell>
          <cell r="C484" t="str">
            <v>Nguyễn Văn</v>
          </cell>
          <cell r="D484" t="str">
            <v>Hoàng</v>
          </cell>
          <cell r="E484">
            <v>4465000</v>
          </cell>
          <cell r="F484">
            <v>2232500</v>
          </cell>
          <cell r="G484" t="str">
            <v>LNH0925ND29</v>
          </cell>
        </row>
        <row r="485">
          <cell r="B485" t="str">
            <v>25808500274</v>
          </cell>
          <cell r="C485" t="str">
            <v>Nguyễn Trọng</v>
          </cell>
          <cell r="D485" t="str">
            <v>Phát</v>
          </cell>
          <cell r="E485">
            <v>2100000</v>
          </cell>
          <cell r="F485">
            <v>2100000</v>
          </cell>
          <cell r="G485" t="str">
            <v>LNH0925ND29</v>
          </cell>
        </row>
        <row r="486">
          <cell r="B486" t="str">
            <v>25800500288</v>
          </cell>
          <cell r="C486" t="str">
            <v>Nguyễn Trung</v>
          </cell>
          <cell r="D486" t="str">
            <v>Hiếu</v>
          </cell>
          <cell r="E486">
            <v>8415000</v>
          </cell>
          <cell r="F486">
            <v>2103750</v>
          </cell>
          <cell r="G486" t="str">
            <v>LNH0925ND29</v>
          </cell>
        </row>
        <row r="487">
          <cell r="B487" t="str">
            <v>25800400152</v>
          </cell>
          <cell r="C487" t="str">
            <v>Đào Quốc</v>
          </cell>
          <cell r="D487" t="str">
            <v>Thuận</v>
          </cell>
          <cell r="E487">
            <v>8415000</v>
          </cell>
          <cell r="F487">
            <v>2103750</v>
          </cell>
          <cell r="G487" t="str">
            <v>LNH0925ND30</v>
          </cell>
        </row>
        <row r="488">
          <cell r="B488" t="str">
            <v>25800500021</v>
          </cell>
          <cell r="C488" t="str">
            <v>Trương Trọng</v>
          </cell>
          <cell r="D488" t="str">
            <v>Bình</v>
          </cell>
          <cell r="E488">
            <v>8415000</v>
          </cell>
          <cell r="F488">
            <v>2103750</v>
          </cell>
          <cell r="G488" t="str">
            <v>LNH0925ND30</v>
          </cell>
        </row>
        <row r="489">
          <cell r="B489" t="str">
            <v>25800500149</v>
          </cell>
          <cell r="C489" t="str">
            <v>Nguyễn Ngọc Đức</v>
          </cell>
          <cell r="D489" t="str">
            <v>Tài</v>
          </cell>
          <cell r="E489">
            <v>8415000</v>
          </cell>
          <cell r="F489">
            <v>2103750</v>
          </cell>
          <cell r="G489" t="str">
            <v>LNH0925ND30</v>
          </cell>
        </row>
        <row r="490">
          <cell r="B490" t="str">
            <v>25806400021</v>
          </cell>
          <cell r="C490" t="str">
            <v>Lê Ngọc Quỳnh</v>
          </cell>
          <cell r="D490" t="str">
            <v>Trang</v>
          </cell>
          <cell r="E490">
            <v>8415000</v>
          </cell>
          <cell r="F490">
            <v>2103750</v>
          </cell>
          <cell r="G490" t="str">
            <v>LNH0925ND30</v>
          </cell>
        </row>
        <row r="491">
          <cell r="B491" t="str">
            <v>25807500054</v>
          </cell>
          <cell r="C491" t="str">
            <v>Đặng Mỹ</v>
          </cell>
          <cell r="D491" t="str">
            <v>Kiều</v>
          </cell>
          <cell r="E491">
            <v>8415000</v>
          </cell>
          <cell r="F491">
            <v>2103750</v>
          </cell>
          <cell r="G491" t="str">
            <v>LNH0925ND30</v>
          </cell>
        </row>
        <row r="492">
          <cell r="B492" t="str">
            <v>25808200010</v>
          </cell>
          <cell r="C492" t="str">
            <v>Thượng Hoài</v>
          </cell>
          <cell r="D492" t="str">
            <v>Ân</v>
          </cell>
          <cell r="E492">
            <v>8415000</v>
          </cell>
          <cell r="F492">
            <v>2103750</v>
          </cell>
          <cell r="G492" t="str">
            <v>LNH0925ND30</v>
          </cell>
        </row>
        <row r="493">
          <cell r="B493" t="str">
            <v>25808200147</v>
          </cell>
          <cell r="C493" t="str">
            <v>Nguyễn Anh</v>
          </cell>
          <cell r="D493" t="str">
            <v>Vũ</v>
          </cell>
          <cell r="E493">
            <v>8415000</v>
          </cell>
          <cell r="F493">
            <v>2103750</v>
          </cell>
          <cell r="G493" t="str">
            <v>LNH0925ND30</v>
          </cell>
        </row>
        <row r="494">
          <cell r="B494" t="str">
            <v>25820300019</v>
          </cell>
          <cell r="C494" t="str">
            <v>Trần Quốc</v>
          </cell>
          <cell r="D494" t="str">
            <v>Huy</v>
          </cell>
          <cell r="E494">
            <v>8415000</v>
          </cell>
          <cell r="F494">
            <v>2103750</v>
          </cell>
          <cell r="G494" t="str">
            <v>LNH0925ND30</v>
          </cell>
        </row>
        <row r="495">
          <cell r="B495" t="str">
            <v>25800400133</v>
          </cell>
          <cell r="C495" t="str">
            <v>Trương Tấn</v>
          </cell>
          <cell r="D495" t="str">
            <v>Sang</v>
          </cell>
          <cell r="E495">
            <v>8415000</v>
          </cell>
          <cell r="F495">
            <v>2103750</v>
          </cell>
          <cell r="G495" t="str">
            <v>LNH0925ND30</v>
          </cell>
        </row>
        <row r="496">
          <cell r="B496" t="str">
            <v>25800400244</v>
          </cell>
          <cell r="C496" t="str">
            <v>Nguyễn Đăng</v>
          </cell>
          <cell r="D496" t="str">
            <v>Khang</v>
          </cell>
          <cell r="E496">
            <v>8415000</v>
          </cell>
          <cell r="F496">
            <v>2103750</v>
          </cell>
          <cell r="G496" t="str">
            <v>LNH0925ND30</v>
          </cell>
        </row>
        <row r="497">
          <cell r="B497" t="str">
            <v>25800400290</v>
          </cell>
          <cell r="C497" t="str">
            <v>Nguyễn Trường</v>
          </cell>
          <cell r="D497" t="str">
            <v>Tín</v>
          </cell>
          <cell r="E497">
            <v>8415000</v>
          </cell>
          <cell r="F497">
            <v>2103750</v>
          </cell>
          <cell r="G497" t="str">
            <v>LNH0925ND30</v>
          </cell>
        </row>
        <row r="498">
          <cell r="B498" t="str">
            <v>25800500005</v>
          </cell>
          <cell r="C498" t="str">
            <v>Lê Tuấn</v>
          </cell>
          <cell r="D498" t="str">
            <v>Anh</v>
          </cell>
          <cell r="E498">
            <v>8415000</v>
          </cell>
          <cell r="F498">
            <v>2103750</v>
          </cell>
          <cell r="G498" t="str">
            <v>LNH0925ND30</v>
          </cell>
        </row>
        <row r="499">
          <cell r="B499" t="str">
            <v>25800500248</v>
          </cell>
          <cell r="C499" t="str">
            <v>Vũ Minh</v>
          </cell>
          <cell r="D499" t="str">
            <v>Hiếu</v>
          </cell>
          <cell r="E499">
            <v>8415000</v>
          </cell>
          <cell r="F499">
            <v>2103750</v>
          </cell>
          <cell r="G499" t="str">
            <v>LNH0925ND30</v>
          </cell>
        </row>
        <row r="500">
          <cell r="B500" t="str">
            <v>25807800116</v>
          </cell>
          <cell r="C500" t="str">
            <v>Nguyễn Trần Minh</v>
          </cell>
          <cell r="D500" t="str">
            <v>Quân</v>
          </cell>
          <cell r="E500">
            <v>4465000</v>
          </cell>
          <cell r="F500">
            <v>2232500</v>
          </cell>
          <cell r="G500" t="str">
            <v>LNH0925ND30</v>
          </cell>
        </row>
        <row r="501">
          <cell r="B501" t="str">
            <v>25806300034</v>
          </cell>
          <cell r="C501" t="str">
            <v>Phạm Minh</v>
          </cell>
          <cell r="D501" t="str">
            <v>Sang</v>
          </cell>
          <cell r="E501">
            <v>2100000</v>
          </cell>
          <cell r="F501">
            <v>2100000</v>
          </cell>
          <cell r="G501" t="str">
            <v>LNH0925ND30</v>
          </cell>
        </row>
        <row r="502">
          <cell r="B502" t="str">
            <v>25808200109</v>
          </cell>
          <cell r="C502" t="str">
            <v>Phạm Hoàng</v>
          </cell>
          <cell r="D502" t="str">
            <v>Sơn</v>
          </cell>
          <cell r="E502">
            <v>2100000</v>
          </cell>
          <cell r="F502">
            <v>2100000</v>
          </cell>
          <cell r="G502" t="str">
            <v>LNH0925ND30</v>
          </cell>
        </row>
        <row r="503">
          <cell r="B503" t="str">
            <v>25800500312</v>
          </cell>
          <cell r="C503" t="str">
            <v>Lưu Khải</v>
          </cell>
          <cell r="D503" t="str">
            <v>Nguyên</v>
          </cell>
          <cell r="E503">
            <v>8415000</v>
          </cell>
          <cell r="F503">
            <v>2103750</v>
          </cell>
          <cell r="G503" t="str">
            <v>LNH0925ND31</v>
          </cell>
        </row>
        <row r="504">
          <cell r="B504" t="str">
            <v>25801200012</v>
          </cell>
          <cell r="C504" t="str">
            <v>Hứa Nguyễn Gia</v>
          </cell>
          <cell r="D504" t="str">
            <v>Hân</v>
          </cell>
          <cell r="E504">
            <v>8415000</v>
          </cell>
          <cell r="F504">
            <v>2103750</v>
          </cell>
          <cell r="G504" t="str">
            <v>LNH0925ND31</v>
          </cell>
        </row>
        <row r="505">
          <cell r="B505" t="str">
            <v>25801900115</v>
          </cell>
          <cell r="C505" t="str">
            <v>Lê Phú</v>
          </cell>
          <cell r="D505" t="str">
            <v>Phúc</v>
          </cell>
          <cell r="E505">
            <v>8415000</v>
          </cell>
          <cell r="F505">
            <v>2103750</v>
          </cell>
          <cell r="G505" t="str">
            <v>LNH0925ND31</v>
          </cell>
        </row>
        <row r="506">
          <cell r="B506" t="str">
            <v>25805900117</v>
          </cell>
          <cell r="C506" t="str">
            <v>Đặng Thị Trúc</v>
          </cell>
          <cell r="D506" t="str">
            <v>Phương</v>
          </cell>
          <cell r="E506">
            <v>8415000</v>
          </cell>
          <cell r="F506">
            <v>2103750</v>
          </cell>
          <cell r="G506" t="str">
            <v>LNH0925ND31</v>
          </cell>
        </row>
        <row r="507">
          <cell r="B507" t="str">
            <v>25806000105</v>
          </cell>
          <cell r="C507" t="str">
            <v>Vũ Đỗ Như</v>
          </cell>
          <cell r="D507" t="str">
            <v>Quỳnh</v>
          </cell>
          <cell r="E507">
            <v>8415000</v>
          </cell>
          <cell r="F507">
            <v>2103750</v>
          </cell>
          <cell r="G507" t="str">
            <v>LNH0925ND31</v>
          </cell>
        </row>
        <row r="508">
          <cell r="B508" t="str">
            <v>25807500237</v>
          </cell>
          <cell r="C508" t="str">
            <v>Nguyễn Thành</v>
          </cell>
          <cell r="D508" t="str">
            <v>Luân</v>
          </cell>
          <cell r="E508">
            <v>8415000</v>
          </cell>
          <cell r="F508">
            <v>2103750</v>
          </cell>
          <cell r="G508" t="str">
            <v>LNH0925ND31</v>
          </cell>
        </row>
        <row r="509">
          <cell r="B509" t="str">
            <v>25807900003</v>
          </cell>
          <cell r="C509" t="str">
            <v>Lê Gia</v>
          </cell>
          <cell r="D509" t="str">
            <v>Bảo</v>
          </cell>
          <cell r="E509">
            <v>8415000</v>
          </cell>
          <cell r="F509">
            <v>2103750</v>
          </cell>
          <cell r="G509" t="str">
            <v>LNH0925ND31</v>
          </cell>
        </row>
        <row r="510">
          <cell r="B510" t="str">
            <v>25807900054</v>
          </cell>
          <cell r="C510" t="str">
            <v>Mai Thanh</v>
          </cell>
          <cell r="D510" t="str">
            <v>Thơm</v>
          </cell>
          <cell r="E510">
            <v>8415000</v>
          </cell>
          <cell r="F510">
            <v>2103750</v>
          </cell>
          <cell r="G510" t="str">
            <v>LNH0925ND31</v>
          </cell>
        </row>
        <row r="511">
          <cell r="B511" t="str">
            <v>25808200111</v>
          </cell>
          <cell r="C511" t="str">
            <v>Phạm Hoàng Tài Ch</v>
          </cell>
          <cell r="D511" t="str">
            <v>Tâm</v>
          </cell>
          <cell r="E511">
            <v>8415000</v>
          </cell>
          <cell r="F511">
            <v>2103750</v>
          </cell>
          <cell r="G511" t="str">
            <v>LNH0925ND31</v>
          </cell>
        </row>
        <row r="512">
          <cell r="B512" t="str">
            <v>25808700021</v>
          </cell>
          <cell r="C512" t="str">
            <v>Nguyễn Văn</v>
          </cell>
          <cell r="D512" t="str">
            <v>Đức</v>
          </cell>
          <cell r="E512">
            <v>8415000</v>
          </cell>
          <cell r="F512">
            <v>2103750</v>
          </cell>
          <cell r="G512" t="str">
            <v>LNH0925ND31</v>
          </cell>
        </row>
        <row r="513">
          <cell r="B513" t="str">
            <v>25808700122</v>
          </cell>
          <cell r="C513" t="str">
            <v>Trần Như</v>
          </cell>
          <cell r="D513" t="str">
            <v>Ý</v>
          </cell>
          <cell r="E513">
            <v>8415000</v>
          </cell>
          <cell r="F513">
            <v>2103750</v>
          </cell>
          <cell r="G513" t="str">
            <v>LNH0925ND31</v>
          </cell>
        </row>
        <row r="514">
          <cell r="B514" t="str">
            <v>25808700176</v>
          </cell>
          <cell r="C514" t="str">
            <v>Nguyễn Bảo</v>
          </cell>
          <cell r="D514" t="str">
            <v>Uyên</v>
          </cell>
          <cell r="E514">
            <v>8415000</v>
          </cell>
          <cell r="F514">
            <v>2103750</v>
          </cell>
          <cell r="G514" t="str">
            <v>LNH0925ND31</v>
          </cell>
        </row>
        <row r="515">
          <cell r="B515" t="str">
            <v>25807900052</v>
          </cell>
          <cell r="C515" t="str">
            <v>Trần Minh</v>
          </cell>
          <cell r="D515" t="str">
            <v>Thiện</v>
          </cell>
          <cell r="E515">
            <v>4465000</v>
          </cell>
          <cell r="F515">
            <v>2232500</v>
          </cell>
          <cell r="G515" t="str">
            <v>LNH0925ND31</v>
          </cell>
        </row>
        <row r="516">
          <cell r="B516" t="str">
            <v>25801200024</v>
          </cell>
          <cell r="C516" t="str">
            <v>Lê Thái</v>
          </cell>
          <cell r="D516" t="str">
            <v>Nguyên</v>
          </cell>
          <cell r="E516">
            <v>2100000</v>
          </cell>
          <cell r="F516">
            <v>2100000</v>
          </cell>
          <cell r="G516" t="str">
            <v>LNH0925ND31</v>
          </cell>
        </row>
        <row r="517">
          <cell r="B517" t="str">
            <v>25807900026</v>
          </cell>
          <cell r="C517" t="str">
            <v>Phan Tấn Gia</v>
          </cell>
          <cell r="D517" t="str">
            <v>Khang</v>
          </cell>
          <cell r="E517">
            <v>2100000</v>
          </cell>
          <cell r="F517">
            <v>2100000</v>
          </cell>
          <cell r="G517" t="str">
            <v>LNH0925ND31</v>
          </cell>
        </row>
        <row r="518">
          <cell r="B518" t="str">
            <v>25820300020</v>
          </cell>
          <cell r="C518" t="str">
            <v>Nguyễn</v>
          </cell>
          <cell r="D518" t="str">
            <v>Huỳnh</v>
          </cell>
          <cell r="E518">
            <v>8415000</v>
          </cell>
          <cell r="F518">
            <v>2103750</v>
          </cell>
          <cell r="G518" t="str">
            <v>LNH0925ND31</v>
          </cell>
        </row>
        <row r="519">
          <cell r="B519" t="str">
            <v>25808500293</v>
          </cell>
          <cell r="C519" t="str">
            <v xml:space="preserve"> Bùi Anh </v>
          </cell>
          <cell r="D519" t="str">
            <v>Quân</v>
          </cell>
          <cell r="E519">
            <v>4465000</v>
          </cell>
          <cell r="F519">
            <v>2232500</v>
          </cell>
          <cell r="G519" t="str">
            <v>LNH0925ND32</v>
          </cell>
        </row>
        <row r="520">
          <cell r="B520" t="str">
            <v>25800400150</v>
          </cell>
          <cell r="C520" t="str">
            <v>Lưu Nguyễn Minh</v>
          </cell>
          <cell r="D520" t="str">
            <v>Thông</v>
          </cell>
          <cell r="E520">
            <v>8415000</v>
          </cell>
          <cell r="F520">
            <v>2103750</v>
          </cell>
          <cell r="G520" t="str">
            <v>LNH0925ND32</v>
          </cell>
        </row>
        <row r="521">
          <cell r="B521" t="str">
            <v>25800500096</v>
          </cell>
          <cell r="C521" t="str">
            <v>Đỗ Chí</v>
          </cell>
          <cell r="D521" t="str">
            <v>Kiên</v>
          </cell>
          <cell r="E521">
            <v>8415000</v>
          </cell>
          <cell r="F521">
            <v>2103750</v>
          </cell>
          <cell r="G521" t="str">
            <v>LNH0925ND32</v>
          </cell>
        </row>
        <row r="522">
          <cell r="B522" t="str">
            <v>25800500111</v>
          </cell>
          <cell r="C522" t="str">
            <v>Trần Nguyễn Hoàng</v>
          </cell>
          <cell r="D522" t="str">
            <v>Minh</v>
          </cell>
          <cell r="E522">
            <v>8415000</v>
          </cell>
          <cell r="F522">
            <v>2103750</v>
          </cell>
          <cell r="G522" t="str">
            <v>LNH0925ND32</v>
          </cell>
        </row>
        <row r="523">
          <cell r="B523" t="str">
            <v>25800500325</v>
          </cell>
          <cell r="C523" t="str">
            <v>Đỗ Quang</v>
          </cell>
          <cell r="D523" t="str">
            <v>Quý</v>
          </cell>
          <cell r="E523">
            <v>8415000</v>
          </cell>
          <cell r="F523">
            <v>2103750</v>
          </cell>
          <cell r="G523" t="str">
            <v>LNH0925ND32</v>
          </cell>
        </row>
        <row r="524">
          <cell r="B524" t="str">
            <v>25802100018</v>
          </cell>
          <cell r="C524" t="str">
            <v>Lê Anh</v>
          </cell>
          <cell r="D524" t="str">
            <v>Khoa</v>
          </cell>
          <cell r="E524">
            <v>8415000</v>
          </cell>
          <cell r="F524">
            <v>2103750</v>
          </cell>
          <cell r="G524" t="str">
            <v>LNH0925ND32</v>
          </cell>
        </row>
        <row r="525">
          <cell r="B525" t="str">
            <v>25803800060</v>
          </cell>
          <cell r="C525" t="str">
            <v>Nguyễn Thùy</v>
          </cell>
          <cell r="D525" t="str">
            <v>Trang</v>
          </cell>
          <cell r="E525">
            <v>8415000</v>
          </cell>
          <cell r="F525">
            <v>2103750</v>
          </cell>
          <cell r="G525" t="str">
            <v>LNH0925ND32</v>
          </cell>
        </row>
        <row r="526">
          <cell r="B526" t="str">
            <v>25807500007</v>
          </cell>
          <cell r="C526" t="str">
            <v>Nguyen Thi Mai</v>
          </cell>
          <cell r="D526" t="str">
            <v>Anh</v>
          </cell>
          <cell r="E526">
            <v>8415000</v>
          </cell>
          <cell r="F526">
            <v>2103750</v>
          </cell>
          <cell r="G526" t="str">
            <v>LNH0925ND32</v>
          </cell>
        </row>
        <row r="527">
          <cell r="B527" t="str">
            <v>25807700035</v>
          </cell>
          <cell r="C527" t="str">
            <v>Chung Long</v>
          </cell>
          <cell r="D527" t="str">
            <v>Khang</v>
          </cell>
          <cell r="E527">
            <v>8415000</v>
          </cell>
          <cell r="F527">
            <v>2103750</v>
          </cell>
          <cell r="G527" t="str">
            <v>LNH0925ND32</v>
          </cell>
        </row>
        <row r="528">
          <cell r="B528" t="str">
            <v>25807800099</v>
          </cell>
          <cell r="C528" t="str">
            <v>Đỗ Lê Hoàng</v>
          </cell>
          <cell r="D528" t="str">
            <v>Nhân</v>
          </cell>
          <cell r="E528">
            <v>8415000</v>
          </cell>
          <cell r="F528">
            <v>2103750</v>
          </cell>
          <cell r="G528" t="str">
            <v>LNH0925ND32</v>
          </cell>
        </row>
        <row r="529">
          <cell r="B529" t="str">
            <v>25807800143</v>
          </cell>
          <cell r="C529" t="str">
            <v>Phạm Nguyễn Minh</v>
          </cell>
          <cell r="D529" t="str">
            <v>Tiến</v>
          </cell>
          <cell r="E529">
            <v>8415000</v>
          </cell>
          <cell r="F529">
            <v>2103750</v>
          </cell>
          <cell r="G529" t="str">
            <v>LNH0925ND32</v>
          </cell>
        </row>
        <row r="530">
          <cell r="B530" t="str">
            <v>25808100046</v>
          </cell>
          <cell r="C530" t="str">
            <v>Lâm Phú</v>
          </cell>
          <cell r="D530" t="str">
            <v>Quí</v>
          </cell>
          <cell r="E530">
            <v>8415000</v>
          </cell>
          <cell r="F530">
            <v>2103750</v>
          </cell>
          <cell r="G530" t="str">
            <v>LNH0925ND32</v>
          </cell>
        </row>
        <row r="531">
          <cell r="B531" t="str">
            <v>25808200051</v>
          </cell>
          <cell r="C531" t="str">
            <v>Lư Gia</v>
          </cell>
          <cell r="D531" t="str">
            <v>Huy</v>
          </cell>
          <cell r="E531">
            <v>8415000</v>
          </cell>
          <cell r="F531">
            <v>2103750</v>
          </cell>
          <cell r="G531" t="str">
            <v>LNH0925ND32</v>
          </cell>
        </row>
        <row r="532">
          <cell r="B532" t="str">
            <v>25808200093</v>
          </cell>
          <cell r="C532" t="str">
            <v>Nguyễn Khắc</v>
          </cell>
          <cell r="D532" t="str">
            <v>Nguyên</v>
          </cell>
          <cell r="E532">
            <v>8415000</v>
          </cell>
          <cell r="F532">
            <v>2103750</v>
          </cell>
          <cell r="G532" t="str">
            <v>LNH0925ND32</v>
          </cell>
        </row>
        <row r="533">
          <cell r="B533" t="str">
            <v>25808200280</v>
          </cell>
          <cell r="C533" t="str">
            <v>Nguyễn Văn</v>
          </cell>
          <cell r="D533" t="str">
            <v>Triều</v>
          </cell>
          <cell r="E533">
            <v>8415000</v>
          </cell>
          <cell r="F533">
            <v>2103750</v>
          </cell>
          <cell r="G533" t="str">
            <v>LNH0925ND32</v>
          </cell>
        </row>
        <row r="534">
          <cell r="B534" t="str">
            <v>25820300009</v>
          </cell>
          <cell r="C534" t="str">
            <v>Trịnh Nhật</v>
          </cell>
          <cell r="D534" t="str">
            <v>Đông</v>
          </cell>
          <cell r="E534">
            <v>8415000</v>
          </cell>
          <cell r="F534">
            <v>2103750</v>
          </cell>
          <cell r="G534" t="str">
            <v>LNH0925ND32</v>
          </cell>
        </row>
        <row r="535">
          <cell r="B535" t="str">
            <v>25800400170</v>
          </cell>
          <cell r="C535" t="str">
            <v>Tô Bùi Hoàng</v>
          </cell>
          <cell r="D535" t="str">
            <v>Tuấn</v>
          </cell>
          <cell r="E535">
            <v>8415000</v>
          </cell>
          <cell r="F535">
            <v>2103750</v>
          </cell>
          <cell r="G535" t="str">
            <v>LNH0925ND33</v>
          </cell>
        </row>
        <row r="536">
          <cell r="B536" t="str">
            <v>25800500012</v>
          </cell>
          <cell r="C536" t="str">
            <v>Dương Gia</v>
          </cell>
          <cell r="D536" t="str">
            <v>Bảo</v>
          </cell>
          <cell r="E536">
            <v>8415000</v>
          </cell>
          <cell r="F536">
            <v>2103750</v>
          </cell>
          <cell r="G536" t="str">
            <v>LNH0925ND33</v>
          </cell>
        </row>
        <row r="537">
          <cell r="B537" t="str">
            <v>25800500162</v>
          </cell>
          <cell r="C537" t="str">
            <v>Đinh Công</v>
          </cell>
          <cell r="D537" t="str">
            <v>Thắng</v>
          </cell>
          <cell r="E537">
            <v>8415000</v>
          </cell>
          <cell r="F537">
            <v>2103750</v>
          </cell>
          <cell r="G537" t="str">
            <v>LNH0925ND33</v>
          </cell>
        </row>
        <row r="538">
          <cell r="B538" t="str">
            <v>25800600765</v>
          </cell>
          <cell r="C538" t="str">
            <v>Phan Anh</v>
          </cell>
          <cell r="D538" t="str">
            <v>Tuấn</v>
          </cell>
          <cell r="E538">
            <v>8415000</v>
          </cell>
          <cell r="F538">
            <v>2103750</v>
          </cell>
          <cell r="G538" t="str">
            <v>LNH0925ND33</v>
          </cell>
        </row>
        <row r="539">
          <cell r="B539" t="str">
            <v>25802100022</v>
          </cell>
          <cell r="C539" t="str">
            <v>Lê Nguyễn Tuấn</v>
          </cell>
          <cell r="D539" t="str">
            <v>Kiệt</v>
          </cell>
          <cell r="E539">
            <v>8415000</v>
          </cell>
          <cell r="F539">
            <v>2103750</v>
          </cell>
          <cell r="G539" t="str">
            <v>LNH0925ND33</v>
          </cell>
        </row>
        <row r="540">
          <cell r="B540" t="str">
            <v>25803800058</v>
          </cell>
          <cell r="C540" t="str">
            <v>Giang Quốc</v>
          </cell>
          <cell r="D540" t="str">
            <v>Thịnh</v>
          </cell>
          <cell r="E540">
            <v>8415000</v>
          </cell>
          <cell r="F540">
            <v>2103750</v>
          </cell>
          <cell r="G540" t="str">
            <v>LNH0925ND33</v>
          </cell>
        </row>
        <row r="541">
          <cell r="B541" t="str">
            <v>25807800030</v>
          </cell>
          <cell r="C541" t="str">
            <v>Nguyễn Bá Công</v>
          </cell>
          <cell r="D541" t="str">
            <v>Định</v>
          </cell>
          <cell r="E541">
            <v>8415000</v>
          </cell>
          <cell r="F541">
            <v>2103750</v>
          </cell>
          <cell r="G541" t="str">
            <v>LNH0925ND33</v>
          </cell>
        </row>
        <row r="542">
          <cell r="B542" t="str">
            <v>25807800073</v>
          </cell>
          <cell r="C542" t="str">
            <v>Võ Thanh</v>
          </cell>
          <cell r="D542" t="str">
            <v>Liêm</v>
          </cell>
          <cell r="E542">
            <v>8415000</v>
          </cell>
          <cell r="F542">
            <v>2103750</v>
          </cell>
          <cell r="G542" t="str">
            <v>LNH0925ND33</v>
          </cell>
        </row>
        <row r="543">
          <cell r="B543" t="str">
            <v>25807800151</v>
          </cell>
          <cell r="C543" t="str">
            <v>Nguyễn Phước</v>
          </cell>
          <cell r="D543" t="str">
            <v>Trung</v>
          </cell>
          <cell r="E543">
            <v>8415000</v>
          </cell>
          <cell r="F543">
            <v>2103750</v>
          </cell>
          <cell r="G543" t="str">
            <v>LNH0925ND33</v>
          </cell>
        </row>
        <row r="544">
          <cell r="B544" t="str">
            <v>25807800158</v>
          </cell>
          <cell r="C544" t="str">
            <v>Đỗ Thanh</v>
          </cell>
          <cell r="D544" t="str">
            <v>Tùng</v>
          </cell>
          <cell r="E544">
            <v>8415000</v>
          </cell>
          <cell r="F544">
            <v>2103750</v>
          </cell>
          <cell r="G544" t="str">
            <v>LNH0925ND33</v>
          </cell>
        </row>
        <row r="545">
          <cell r="B545" t="str">
            <v>25808200223</v>
          </cell>
          <cell r="C545" t="str">
            <v>Nguyễn Thanh</v>
          </cell>
          <cell r="D545" t="str">
            <v>Phong</v>
          </cell>
          <cell r="E545">
            <v>8415000</v>
          </cell>
          <cell r="F545">
            <v>2103750</v>
          </cell>
          <cell r="G545" t="str">
            <v>LNH0925ND33</v>
          </cell>
        </row>
        <row r="546">
          <cell r="B546" t="str">
            <v>25808700072</v>
          </cell>
          <cell r="C546" t="str">
            <v>Nguyễn Hoàng</v>
          </cell>
          <cell r="D546" t="str">
            <v>Nhựt</v>
          </cell>
          <cell r="E546">
            <v>8415000</v>
          </cell>
          <cell r="F546">
            <v>2103750</v>
          </cell>
          <cell r="G546" t="str">
            <v>LNH0925ND33</v>
          </cell>
        </row>
        <row r="547">
          <cell r="B547" t="str">
            <v>25803800044</v>
          </cell>
          <cell r="C547" t="str">
            <v>Phạm Minh</v>
          </cell>
          <cell r="D547" t="str">
            <v>Nhựt</v>
          </cell>
          <cell r="E547">
            <v>4465000</v>
          </cell>
          <cell r="F547">
            <v>2232500</v>
          </cell>
          <cell r="G547" t="str">
            <v>LNH0925ND33</v>
          </cell>
        </row>
        <row r="548">
          <cell r="B548" t="str">
            <v>25803800045</v>
          </cell>
          <cell r="C548" t="str">
            <v>Trần Ngọc Kiều</v>
          </cell>
          <cell r="D548" t="str">
            <v>Oanh</v>
          </cell>
          <cell r="E548">
            <v>4465000</v>
          </cell>
          <cell r="F548">
            <v>2232500</v>
          </cell>
          <cell r="G548" t="str">
            <v>LNH0925ND33</v>
          </cell>
        </row>
        <row r="549">
          <cell r="B549" t="str">
            <v>25808200028</v>
          </cell>
          <cell r="C549" t="str">
            <v>Nguyễn Bá Hoàng</v>
          </cell>
          <cell r="D549" t="str">
            <v>Dương</v>
          </cell>
          <cell r="E549">
            <v>4465000</v>
          </cell>
          <cell r="F549">
            <v>2232500</v>
          </cell>
          <cell r="G549" t="str">
            <v>LNH0925ND33</v>
          </cell>
        </row>
        <row r="550">
          <cell r="B550" t="str">
            <v>25820300063</v>
          </cell>
          <cell r="C550" t="str">
            <v>Thái Thành</v>
          </cell>
          <cell r="D550" t="str">
            <v>Trí</v>
          </cell>
          <cell r="E550">
            <v>4465000</v>
          </cell>
          <cell r="F550">
            <v>2232500</v>
          </cell>
          <cell r="G550" t="str">
            <v>LNH0925ND33</v>
          </cell>
        </row>
        <row r="551">
          <cell r="B551" t="str">
            <v>25800400102</v>
          </cell>
          <cell r="C551" t="str">
            <v>Lê Gia</v>
          </cell>
          <cell r="D551" t="str">
            <v>Nam</v>
          </cell>
          <cell r="E551">
            <v>8445000</v>
          </cell>
          <cell r="F551">
            <v>2103750</v>
          </cell>
          <cell r="G551" t="str">
            <v>LNH0925ND34</v>
          </cell>
        </row>
        <row r="552">
          <cell r="B552" t="str">
            <v>25808700114</v>
          </cell>
          <cell r="C552" t="str">
            <v>Nguyễn Hữu</v>
          </cell>
          <cell r="D552" t="str">
            <v>Trường</v>
          </cell>
          <cell r="E552">
            <v>8415000</v>
          </cell>
          <cell r="F552">
            <v>2103750</v>
          </cell>
          <cell r="G552" t="str">
            <v>LNH0925ND34</v>
          </cell>
        </row>
        <row r="553">
          <cell r="B553" t="str">
            <v>25820300085</v>
          </cell>
          <cell r="C553" t="str">
            <v>Nguyễn Hoàng Trọn</v>
          </cell>
          <cell r="D553" t="str">
            <v>Phú</v>
          </cell>
          <cell r="E553">
            <v>8415000</v>
          </cell>
          <cell r="F553">
            <v>2103750</v>
          </cell>
          <cell r="G553" t="str">
            <v>LNH0925ND34</v>
          </cell>
        </row>
        <row r="554">
          <cell r="B554" t="str">
            <v>25800400052</v>
          </cell>
          <cell r="C554" t="str">
            <v>Châu Gia</v>
          </cell>
          <cell r="D554" t="str">
            <v>Huy</v>
          </cell>
          <cell r="E554">
            <v>8415000</v>
          </cell>
          <cell r="F554">
            <v>2103750</v>
          </cell>
          <cell r="G554" t="str">
            <v>LNH0925ND34</v>
          </cell>
        </row>
        <row r="555">
          <cell r="B555" t="str">
            <v>25800400059</v>
          </cell>
          <cell r="C555" t="str">
            <v>Phan Quốc</v>
          </cell>
          <cell r="D555" t="str">
            <v>Huy</v>
          </cell>
          <cell r="E555">
            <v>8415000</v>
          </cell>
          <cell r="F555">
            <v>2103750</v>
          </cell>
          <cell r="G555" t="str">
            <v>LNH0925ND34</v>
          </cell>
        </row>
        <row r="556">
          <cell r="B556" t="str">
            <v>25800400245</v>
          </cell>
          <cell r="C556" t="str">
            <v>Châu Anh</v>
          </cell>
          <cell r="D556" t="str">
            <v>Kiệt</v>
          </cell>
          <cell r="E556">
            <v>8415000</v>
          </cell>
          <cell r="F556">
            <v>2103750</v>
          </cell>
          <cell r="G556" t="str">
            <v>LNH0925ND34</v>
          </cell>
        </row>
        <row r="557">
          <cell r="B557" t="str">
            <v>25800500306</v>
          </cell>
          <cell r="C557" t="str">
            <v>Hà Minh</v>
          </cell>
          <cell r="D557" t="str">
            <v>Đức</v>
          </cell>
          <cell r="E557">
            <v>8415000</v>
          </cell>
          <cell r="F557">
            <v>2103750</v>
          </cell>
          <cell r="G557" t="str">
            <v>LNH0925ND34</v>
          </cell>
        </row>
        <row r="558">
          <cell r="B558" t="str">
            <v>25800500310</v>
          </cell>
          <cell r="C558" t="str">
            <v>Phan Gia</v>
          </cell>
          <cell r="D558" t="str">
            <v>Huy</v>
          </cell>
          <cell r="E558">
            <v>8415000</v>
          </cell>
          <cell r="F558">
            <v>2103750</v>
          </cell>
          <cell r="G558" t="str">
            <v>LNH0925ND34</v>
          </cell>
        </row>
        <row r="559">
          <cell r="B559" t="str">
            <v>25803800098</v>
          </cell>
          <cell r="C559" t="str">
            <v>Hứa Mỹ</v>
          </cell>
          <cell r="D559" t="str">
            <v>Linh</v>
          </cell>
          <cell r="E559">
            <v>8415000</v>
          </cell>
          <cell r="F559">
            <v>2103750</v>
          </cell>
          <cell r="G559" t="str">
            <v>LNH0925ND34</v>
          </cell>
        </row>
        <row r="560">
          <cell r="B560" t="str">
            <v>25806300025</v>
          </cell>
          <cell r="C560" t="str">
            <v>Hoàng Đức</v>
          </cell>
          <cell r="D560" t="str">
            <v>Mạnh</v>
          </cell>
          <cell r="E560">
            <v>8415000</v>
          </cell>
          <cell r="F560">
            <v>2103750</v>
          </cell>
          <cell r="G560" t="str">
            <v>LNH0925ND34</v>
          </cell>
        </row>
        <row r="561">
          <cell r="B561" t="str">
            <v>25807800110</v>
          </cell>
          <cell r="C561" t="str">
            <v>Nguyễn Duyên Hoàn</v>
          </cell>
          <cell r="D561" t="str">
            <v>Phúc</v>
          </cell>
          <cell r="E561">
            <v>8415000</v>
          </cell>
          <cell r="F561">
            <v>2103750</v>
          </cell>
          <cell r="G561" t="str">
            <v>LNH0925ND34</v>
          </cell>
        </row>
        <row r="562">
          <cell r="B562" t="str">
            <v>25800600195</v>
          </cell>
          <cell r="C562" t="str">
            <v>Nguyễn Thanh</v>
          </cell>
          <cell r="D562" t="str">
            <v>Hiền</v>
          </cell>
          <cell r="E562">
            <v>4465000</v>
          </cell>
          <cell r="F562">
            <v>2232500</v>
          </cell>
          <cell r="G562" t="str">
            <v>LNH0925ND34</v>
          </cell>
        </row>
        <row r="563">
          <cell r="B563" t="str">
            <v>25808700053</v>
          </cell>
          <cell r="C563" t="str">
            <v>Đặng Công</v>
          </cell>
          <cell r="D563" t="str">
            <v>Minh</v>
          </cell>
          <cell r="E563">
            <v>4465000</v>
          </cell>
          <cell r="F563">
            <v>2232500</v>
          </cell>
          <cell r="G563" t="str">
            <v>LNH0925ND34</v>
          </cell>
        </row>
        <row r="564">
          <cell r="B564" t="str">
            <v>25802100038</v>
          </cell>
          <cell r="C564" t="str">
            <v>Ngô Xuân</v>
          </cell>
          <cell r="D564" t="str">
            <v>Thiên</v>
          </cell>
          <cell r="E564">
            <v>4465000</v>
          </cell>
          <cell r="F564">
            <v>2232500</v>
          </cell>
          <cell r="G564" t="str">
            <v>LNH0925ND34</v>
          </cell>
        </row>
        <row r="565">
          <cell r="B565" t="str">
            <v>25808200036</v>
          </cell>
          <cell r="C565" t="str">
            <v>Nguyễn Hải</v>
          </cell>
          <cell r="D565" t="str">
            <v>Đăng</v>
          </cell>
          <cell r="E565">
            <v>4465000</v>
          </cell>
          <cell r="F565">
            <v>2232500</v>
          </cell>
          <cell r="G565" t="str">
            <v>LNH0925ND34</v>
          </cell>
        </row>
        <row r="566">
          <cell r="B566" t="str">
            <v>25807400006</v>
          </cell>
          <cell r="C566" t="str">
            <v>Nguyễn Văn</v>
          </cell>
          <cell r="D566" t="str">
            <v>Hưng</v>
          </cell>
          <cell r="E566">
            <v>2100000</v>
          </cell>
          <cell r="F566">
            <v>2100000</v>
          </cell>
          <cell r="G566" t="str">
            <v>LNH0925ND34</v>
          </cell>
        </row>
        <row r="567">
          <cell r="B567" t="str">
            <v>25800400055</v>
          </cell>
          <cell r="C567" t="str">
            <v>Ngô Lâm Bảo</v>
          </cell>
          <cell r="D567" t="str">
            <v>Huy</v>
          </cell>
          <cell r="E567">
            <v>8415000</v>
          </cell>
          <cell r="F567">
            <v>2103750</v>
          </cell>
          <cell r="G567" t="str">
            <v>LNH0925ND35</v>
          </cell>
        </row>
        <row r="568">
          <cell r="B568" t="str">
            <v>25800400088</v>
          </cell>
          <cell r="C568" t="str">
            <v>Nguyễn Đỗ Anh</v>
          </cell>
          <cell r="D568" t="str">
            <v>Kiệt</v>
          </cell>
          <cell r="E568">
            <v>8415000</v>
          </cell>
          <cell r="F568">
            <v>2103750</v>
          </cell>
          <cell r="G568" t="str">
            <v>LNH0925ND35</v>
          </cell>
        </row>
        <row r="569">
          <cell r="B569" t="str">
            <v>25800400122</v>
          </cell>
          <cell r="C569" t="str">
            <v>Đặng Nguyễn Hoàng</v>
          </cell>
          <cell r="D569" t="str">
            <v>Phú</v>
          </cell>
          <cell r="E569">
            <v>8415000</v>
          </cell>
          <cell r="F569">
            <v>2103750</v>
          </cell>
          <cell r="G569" t="str">
            <v>LNH0925ND35</v>
          </cell>
        </row>
        <row r="570">
          <cell r="B570" t="str">
            <v>25801100001</v>
          </cell>
          <cell r="C570" t="str">
            <v>Đinh Tuấn</v>
          </cell>
          <cell r="D570" t="str">
            <v>Anh</v>
          </cell>
          <cell r="E570">
            <v>8415000</v>
          </cell>
          <cell r="F570">
            <v>2103750</v>
          </cell>
          <cell r="G570" t="str">
            <v>LNH0925ND35</v>
          </cell>
        </row>
        <row r="571">
          <cell r="B571" t="str">
            <v>25801200066</v>
          </cell>
          <cell r="C571" t="str">
            <v>Lê Nguyễn Hoài</v>
          </cell>
          <cell r="D571" t="str">
            <v>Thương</v>
          </cell>
          <cell r="E571">
            <v>8415000</v>
          </cell>
          <cell r="F571">
            <v>2103750</v>
          </cell>
          <cell r="G571" t="str">
            <v>LNH0925ND35</v>
          </cell>
        </row>
        <row r="572">
          <cell r="B572" t="str">
            <v>25806400003</v>
          </cell>
          <cell r="C572" t="str">
            <v>Đỗ</v>
          </cell>
          <cell r="D572" t="str">
            <v>Duẫn</v>
          </cell>
          <cell r="E572">
            <v>8415000</v>
          </cell>
          <cell r="F572">
            <v>2103750</v>
          </cell>
          <cell r="G572" t="str">
            <v>LNH0925ND35</v>
          </cell>
        </row>
        <row r="573">
          <cell r="B573" t="str">
            <v>25806400041</v>
          </cell>
          <cell r="C573" t="str">
            <v>Trần Minh</v>
          </cell>
          <cell r="D573" t="str">
            <v>Lữ</v>
          </cell>
          <cell r="E573">
            <v>8415000</v>
          </cell>
          <cell r="F573">
            <v>2103750</v>
          </cell>
          <cell r="G573" t="str">
            <v>LNH0925ND35</v>
          </cell>
        </row>
        <row r="574">
          <cell r="B574" t="str">
            <v>25807500017</v>
          </cell>
          <cell r="C574" t="str">
            <v>Đỗ Tiến</v>
          </cell>
          <cell r="D574" t="str">
            <v>Dương</v>
          </cell>
          <cell r="E574">
            <v>8415000</v>
          </cell>
          <cell r="F574">
            <v>2103750</v>
          </cell>
          <cell r="G574" t="str">
            <v>LNH0925ND35</v>
          </cell>
        </row>
        <row r="575">
          <cell r="B575" t="str">
            <v>25807500033</v>
          </cell>
          <cell r="C575" t="str">
            <v>Phạm Minh</v>
          </cell>
          <cell r="D575" t="str">
            <v>Hòa</v>
          </cell>
          <cell r="E575">
            <v>8415000</v>
          </cell>
          <cell r="F575">
            <v>2103750</v>
          </cell>
          <cell r="G575" t="str">
            <v>LNH0925ND35</v>
          </cell>
        </row>
        <row r="576">
          <cell r="B576" t="str">
            <v>25807500037</v>
          </cell>
          <cell r="C576" t="str">
            <v>Phạm Minh</v>
          </cell>
          <cell r="D576" t="str">
            <v>Hoàng</v>
          </cell>
          <cell r="E576">
            <v>8415000</v>
          </cell>
          <cell r="F576">
            <v>2103750</v>
          </cell>
          <cell r="G576" t="str">
            <v>LNH0925ND35</v>
          </cell>
        </row>
        <row r="577">
          <cell r="B577" t="str">
            <v>25807800120</v>
          </cell>
          <cell r="C577" t="str">
            <v>Trần Văn</v>
          </cell>
          <cell r="D577" t="str">
            <v>Quyền</v>
          </cell>
          <cell r="E577">
            <v>8415000</v>
          </cell>
          <cell r="F577">
            <v>2103750</v>
          </cell>
          <cell r="G577" t="str">
            <v>LNH0925ND35</v>
          </cell>
        </row>
        <row r="578">
          <cell r="B578" t="str">
            <v>25820300056</v>
          </cell>
          <cell r="C578" t="str">
            <v>Võ Duy</v>
          </cell>
          <cell r="D578" t="str">
            <v>Thành</v>
          </cell>
          <cell r="E578">
            <v>8415000</v>
          </cell>
          <cell r="F578">
            <v>2103750</v>
          </cell>
          <cell r="G578" t="str">
            <v>LNH0925ND35</v>
          </cell>
        </row>
        <row r="579">
          <cell r="B579" t="str">
            <v>25808200090</v>
          </cell>
          <cell r="C579" t="str">
            <v>Phan Tuấn</v>
          </cell>
          <cell r="D579" t="str">
            <v>Nghĩa</v>
          </cell>
          <cell r="E579">
            <v>4465000</v>
          </cell>
          <cell r="F579">
            <v>2232500</v>
          </cell>
          <cell r="G579" t="str">
            <v>LNH0925ND35</v>
          </cell>
        </row>
        <row r="580">
          <cell r="B580" t="str">
            <v>25820300033</v>
          </cell>
          <cell r="C580" t="str">
            <v>Phạm Hồ Tân</v>
          </cell>
          <cell r="D580" t="str">
            <v>Minh</v>
          </cell>
          <cell r="E580">
            <v>4465000</v>
          </cell>
          <cell r="F580">
            <v>2232500</v>
          </cell>
          <cell r="G580" t="str">
            <v>LNH0925ND35</v>
          </cell>
        </row>
        <row r="581">
          <cell r="B581" t="str">
            <v>25807000012</v>
          </cell>
          <cell r="C581" t="str">
            <v>Trần Ngọc Minh</v>
          </cell>
          <cell r="D581" t="str">
            <v>Huyền</v>
          </cell>
          <cell r="E581">
            <v>4465000</v>
          </cell>
          <cell r="F581">
            <v>2232500</v>
          </cell>
          <cell r="G581" t="str">
            <v>LNH0925ND35</v>
          </cell>
        </row>
        <row r="582">
          <cell r="B582" t="str">
            <v>25808200180</v>
          </cell>
          <cell r="C582" t="str">
            <v>Trần Phước</v>
          </cell>
          <cell r="D582" t="str">
            <v>Đạt</v>
          </cell>
          <cell r="E582">
            <v>4465000</v>
          </cell>
          <cell r="F582">
            <v>2232500</v>
          </cell>
          <cell r="G582" t="str">
            <v>LNH0925ND35</v>
          </cell>
        </row>
        <row r="583">
          <cell r="B583" t="str">
            <v>25802800371</v>
          </cell>
          <cell r="C583" t="str">
            <v>Vũ Lê Minh</v>
          </cell>
          <cell r="D583" t="str">
            <v>Vương</v>
          </cell>
          <cell r="E583">
            <v>4415000</v>
          </cell>
          <cell r="F583">
            <v>2232500</v>
          </cell>
          <cell r="G583" t="str">
            <v>LNH0925ND36</v>
          </cell>
        </row>
        <row r="584">
          <cell r="B584" t="str">
            <v>25807900062</v>
          </cell>
          <cell r="C584" t="str">
            <v>Phạm Văn</v>
          </cell>
          <cell r="D584" t="str">
            <v>Vượng</v>
          </cell>
          <cell r="E584">
            <v>2100000</v>
          </cell>
          <cell r="F584">
            <v>2100000</v>
          </cell>
          <cell r="G584" t="str">
            <v>LNH0925ND36</v>
          </cell>
        </row>
        <row r="585">
          <cell r="B585" t="str">
            <v>25800400114</v>
          </cell>
          <cell r="C585" t="str">
            <v>Trần Thiện</v>
          </cell>
          <cell r="D585" t="str">
            <v>Nhân</v>
          </cell>
          <cell r="E585">
            <v>8475000</v>
          </cell>
          <cell r="F585">
            <v>2103750</v>
          </cell>
          <cell r="G585" t="str">
            <v>LNH0925ND36</v>
          </cell>
        </row>
        <row r="586">
          <cell r="B586" t="str">
            <v>25800400051</v>
          </cell>
          <cell r="C586" t="str">
            <v>Nguyễn Lâm</v>
          </cell>
          <cell r="D586" t="str">
            <v>Hùng</v>
          </cell>
          <cell r="E586">
            <v>8415000</v>
          </cell>
          <cell r="F586">
            <v>2103750</v>
          </cell>
          <cell r="G586" t="str">
            <v>LNH0925ND36</v>
          </cell>
        </row>
        <row r="587">
          <cell r="B587" t="str">
            <v>25800400142</v>
          </cell>
          <cell r="C587" t="str">
            <v>Đỗ Xuân</v>
          </cell>
          <cell r="D587" t="str">
            <v>Thành</v>
          </cell>
          <cell r="E587">
            <v>8415000</v>
          </cell>
          <cell r="F587">
            <v>2103750</v>
          </cell>
          <cell r="G587" t="str">
            <v>LNH0925ND36</v>
          </cell>
        </row>
        <row r="588">
          <cell r="B588" t="str">
            <v>25800500049</v>
          </cell>
          <cell r="C588" t="str">
            <v>Lê Trung</v>
          </cell>
          <cell r="D588" t="str">
            <v>Hiếu</v>
          </cell>
          <cell r="E588">
            <v>8415000</v>
          </cell>
          <cell r="F588">
            <v>2103750</v>
          </cell>
          <cell r="G588" t="str">
            <v>LNH0925ND36</v>
          </cell>
        </row>
        <row r="589">
          <cell r="B589" t="str">
            <v>25801200041</v>
          </cell>
          <cell r="C589" t="str">
            <v>Nguyễn Thị Tường</v>
          </cell>
          <cell r="D589" t="str">
            <v>Vy</v>
          </cell>
          <cell r="E589">
            <v>8415000</v>
          </cell>
          <cell r="F589">
            <v>2103750</v>
          </cell>
          <cell r="G589" t="str">
            <v>LNH0925ND36</v>
          </cell>
        </row>
        <row r="590">
          <cell r="B590" t="str">
            <v>25802600095</v>
          </cell>
          <cell r="C590" t="str">
            <v>Đinh Thị Linh</v>
          </cell>
          <cell r="D590" t="str">
            <v>Nhi</v>
          </cell>
          <cell r="E590">
            <v>8415000</v>
          </cell>
          <cell r="F590">
            <v>2103750</v>
          </cell>
          <cell r="G590" t="str">
            <v>LNH0925ND36</v>
          </cell>
        </row>
        <row r="591">
          <cell r="B591" t="str">
            <v>25802700127</v>
          </cell>
          <cell r="C591" t="str">
            <v>Lê Xuân</v>
          </cell>
          <cell r="D591" t="str">
            <v>Hưng</v>
          </cell>
          <cell r="E591">
            <v>8415000</v>
          </cell>
          <cell r="F591">
            <v>2103750</v>
          </cell>
          <cell r="G591" t="str">
            <v>LNH0925ND36</v>
          </cell>
        </row>
        <row r="592">
          <cell r="B592" t="str">
            <v>25803800037</v>
          </cell>
          <cell r="C592" t="str">
            <v>Lê Nguyễn Ngọc</v>
          </cell>
          <cell r="D592" t="str">
            <v>Ngân</v>
          </cell>
          <cell r="E592">
            <v>8415000</v>
          </cell>
          <cell r="F592">
            <v>2103750</v>
          </cell>
          <cell r="G592" t="str">
            <v>LNH0925ND36</v>
          </cell>
        </row>
        <row r="593">
          <cell r="B593" t="str">
            <v>25808200139</v>
          </cell>
          <cell r="C593" t="str">
            <v>Lương Mạnh</v>
          </cell>
          <cell r="D593" t="str">
            <v>Tuấn</v>
          </cell>
          <cell r="E593">
            <v>8415000</v>
          </cell>
          <cell r="F593">
            <v>2103750</v>
          </cell>
          <cell r="G593" t="str">
            <v>LNH0925ND36</v>
          </cell>
        </row>
        <row r="594">
          <cell r="B594" t="str">
            <v>25808700006</v>
          </cell>
          <cell r="C594" t="str">
            <v>Lê Chí</v>
          </cell>
          <cell r="D594" t="str">
            <v>Bảo</v>
          </cell>
          <cell r="E594">
            <v>8415000</v>
          </cell>
          <cell r="F594">
            <v>2103750</v>
          </cell>
          <cell r="G594" t="str">
            <v>LNH0925ND36</v>
          </cell>
        </row>
        <row r="595">
          <cell r="B595" t="str">
            <v>25820200110</v>
          </cell>
          <cell r="C595" t="str">
            <v>Nguyễn Bá</v>
          </cell>
          <cell r="D595" t="str">
            <v>An</v>
          </cell>
          <cell r="E595">
            <v>8415000</v>
          </cell>
          <cell r="F595">
            <v>2103750</v>
          </cell>
          <cell r="G595" t="str">
            <v>LNH0925ND36</v>
          </cell>
        </row>
        <row r="596">
          <cell r="B596" t="str">
            <v>25800400020</v>
          </cell>
          <cell r="C596" t="str">
            <v>Lô Khánh</v>
          </cell>
          <cell r="D596" t="str">
            <v>Chương</v>
          </cell>
          <cell r="E596">
            <v>4465000</v>
          </cell>
          <cell r="F596">
            <v>2232500</v>
          </cell>
          <cell r="G596" t="str">
            <v>LNH0925ND36</v>
          </cell>
        </row>
        <row r="597">
          <cell r="B597" t="str">
            <v>25801200005</v>
          </cell>
          <cell r="C597" t="str">
            <v>Nguyễn Thế</v>
          </cell>
          <cell r="D597" t="str">
            <v>Bảo</v>
          </cell>
          <cell r="E597">
            <v>2100000</v>
          </cell>
          <cell r="F597">
            <v>2100000</v>
          </cell>
          <cell r="G597" t="str">
            <v>LNH0925ND36</v>
          </cell>
        </row>
        <row r="598">
          <cell r="B598" t="str">
            <v>25800400220</v>
          </cell>
          <cell r="C598" t="str">
            <v>Nguyễn Trần Vương</v>
          </cell>
          <cell r="D598" t="str">
            <v>Thịnh</v>
          </cell>
          <cell r="E598">
            <v>2100000</v>
          </cell>
          <cell r="F598">
            <v>2100000</v>
          </cell>
          <cell r="G598" t="str">
            <v>LNH0925ND36</v>
          </cell>
        </row>
        <row r="599">
          <cell r="B599" t="str">
            <v>25807800108</v>
          </cell>
          <cell r="C599" t="str">
            <v>Huỳnh Hữu</v>
          </cell>
          <cell r="D599" t="str">
            <v>Phúc</v>
          </cell>
          <cell r="E599">
            <v>11050000</v>
          </cell>
          <cell r="F599">
            <v>1530000</v>
          </cell>
          <cell r="G599" t="str">
            <v>LNH0925NL01</v>
          </cell>
        </row>
        <row r="600">
          <cell r="B600" t="str">
            <v>25800500311</v>
          </cell>
          <cell r="C600" t="str">
            <v>Triệu Gia</v>
          </cell>
          <cell r="D600" t="str">
            <v>Khang</v>
          </cell>
          <cell r="E600">
            <v>8415000</v>
          </cell>
          <cell r="F600">
            <v>1530000</v>
          </cell>
          <cell r="G600" t="str">
            <v>LNH0925NL01</v>
          </cell>
        </row>
        <row r="601">
          <cell r="B601" t="str">
            <v>25800400009</v>
          </cell>
          <cell r="C601" t="str">
            <v>Lê Khắc</v>
          </cell>
          <cell r="D601" t="str">
            <v>Bảo</v>
          </cell>
          <cell r="E601">
            <v>8415000</v>
          </cell>
          <cell r="F601">
            <v>1530000</v>
          </cell>
          <cell r="G601" t="str">
            <v>LNH0925NL01</v>
          </cell>
        </row>
        <row r="602">
          <cell r="B602" t="str">
            <v>25806600141</v>
          </cell>
          <cell r="C602" t="str">
            <v>Trần Thị Mẫn</v>
          </cell>
          <cell r="D602" t="str">
            <v>Nghi</v>
          </cell>
          <cell r="E602">
            <v>7120000</v>
          </cell>
          <cell r="F602">
            <v>1530000</v>
          </cell>
          <cell r="G602" t="str">
            <v>LNH0925NL01</v>
          </cell>
        </row>
        <row r="603">
          <cell r="B603" t="str">
            <v>25800500124</v>
          </cell>
          <cell r="C603" t="str">
            <v>Trần Công Vĩnh</v>
          </cell>
          <cell r="D603" t="str">
            <v>Nguyên</v>
          </cell>
          <cell r="E603">
            <v>6120000</v>
          </cell>
          <cell r="F603">
            <v>1530000</v>
          </cell>
          <cell r="G603" t="str">
            <v>LNH0925NL01</v>
          </cell>
        </row>
        <row r="604">
          <cell r="B604" t="str">
            <v>25801700104</v>
          </cell>
          <cell r="C604" t="str">
            <v>Nguyễn Thanh</v>
          </cell>
          <cell r="D604" t="str">
            <v>Duy</v>
          </cell>
          <cell r="E604">
            <v>6120000</v>
          </cell>
          <cell r="F604">
            <v>1530000</v>
          </cell>
          <cell r="G604" t="str">
            <v>LNH0925NL01</v>
          </cell>
        </row>
        <row r="605">
          <cell r="B605" t="str">
            <v>25802600075</v>
          </cell>
          <cell r="C605" t="str">
            <v>Huỳnh Thanh Mai</v>
          </cell>
          <cell r="D605" t="str">
            <v>Ly</v>
          </cell>
          <cell r="E605">
            <v>6120000</v>
          </cell>
          <cell r="F605">
            <v>1530000</v>
          </cell>
          <cell r="G605" t="str">
            <v>LNH0925NL01</v>
          </cell>
        </row>
        <row r="606">
          <cell r="B606" t="str">
            <v>25803000213</v>
          </cell>
          <cell r="C606" t="str">
            <v>Vương Quốc</v>
          </cell>
          <cell r="D606" t="str">
            <v>Huy</v>
          </cell>
          <cell r="E606">
            <v>6120000</v>
          </cell>
          <cell r="F606">
            <v>1530000</v>
          </cell>
          <cell r="G606" t="str">
            <v>LNH0925NL01</v>
          </cell>
        </row>
        <row r="607">
          <cell r="B607" t="str">
            <v>25808100040</v>
          </cell>
          <cell r="C607" t="str">
            <v>Nguyễn Hoàng Trí</v>
          </cell>
          <cell r="D607" t="str">
            <v>Nhân</v>
          </cell>
          <cell r="E607">
            <v>6120000</v>
          </cell>
          <cell r="F607">
            <v>1530000</v>
          </cell>
          <cell r="G607" t="str">
            <v>LNH0925NL01</v>
          </cell>
        </row>
        <row r="608">
          <cell r="B608" t="str">
            <v>25808800045</v>
          </cell>
          <cell r="C608" t="str">
            <v>Phạm Thị Mỹ</v>
          </cell>
          <cell r="D608" t="str">
            <v>Lệ</v>
          </cell>
          <cell r="E608">
            <v>6120000</v>
          </cell>
          <cell r="F608">
            <v>1530000</v>
          </cell>
          <cell r="G608" t="str">
            <v>LNH0925NL01</v>
          </cell>
        </row>
        <row r="609">
          <cell r="B609" t="str">
            <v>25820600001</v>
          </cell>
          <cell r="C609" t="str">
            <v>Lưu Hồng</v>
          </cell>
          <cell r="D609" t="str">
            <v>Anh</v>
          </cell>
          <cell r="E609">
            <v>6120000</v>
          </cell>
          <cell r="F609">
            <v>1530000</v>
          </cell>
          <cell r="G609" t="str">
            <v>LNH0925NL01</v>
          </cell>
        </row>
        <row r="610">
          <cell r="B610" t="str">
            <v>25808700134</v>
          </cell>
          <cell r="C610" t="str">
            <v>Đỗ Gia</v>
          </cell>
          <cell r="D610" t="str">
            <v>Huy</v>
          </cell>
          <cell r="E610">
            <v>6120000</v>
          </cell>
          <cell r="F610">
            <v>1530000</v>
          </cell>
          <cell r="G610" t="str">
            <v>LNH0925NL01</v>
          </cell>
        </row>
        <row r="611">
          <cell r="B611" t="str">
            <v>25807800065</v>
          </cell>
          <cell r="C611" t="str">
            <v>Trần Võ Minh</v>
          </cell>
          <cell r="D611" t="str">
            <v>Khoa</v>
          </cell>
          <cell r="E611">
            <v>6120000</v>
          </cell>
          <cell r="F611">
            <v>1530000</v>
          </cell>
          <cell r="G611" t="str">
            <v>LNH0925NL01</v>
          </cell>
        </row>
        <row r="612">
          <cell r="B612" t="str">
            <v>25809700009</v>
          </cell>
          <cell r="C612" t="str">
            <v>Thạch Thị Huỳnh</v>
          </cell>
          <cell r="D612" t="str">
            <v>Như</v>
          </cell>
          <cell r="E612">
            <v>6000000</v>
          </cell>
          <cell r="F612">
            <v>1530000</v>
          </cell>
          <cell r="G612" t="str">
            <v>LNH0925NL01</v>
          </cell>
        </row>
        <row r="613">
          <cell r="B613" t="str">
            <v>25802800047</v>
          </cell>
          <cell r="C613" t="str">
            <v>Nguyễn Hải</v>
          </cell>
          <cell r="D613" t="str">
            <v>Đăng</v>
          </cell>
          <cell r="E613">
            <v>9415000</v>
          </cell>
        </row>
        <row r="614">
          <cell r="B614" t="str">
            <v>25801700057</v>
          </cell>
          <cell r="C614" t="str">
            <v>Nguyễn Thị Thủy</v>
          </cell>
          <cell r="D614" t="str">
            <v>Tiên</v>
          </cell>
          <cell r="E614">
            <v>8415000</v>
          </cell>
          <cell r="F614">
            <v>0</v>
          </cell>
        </row>
        <row r="615">
          <cell r="B615" t="str">
            <v>25801800005</v>
          </cell>
          <cell r="C615" t="str">
            <v>Phạm Mỹ Lan</v>
          </cell>
          <cell r="D615" t="str">
            <v>Anh</v>
          </cell>
          <cell r="E615">
            <v>8415000</v>
          </cell>
          <cell r="F615">
            <v>0</v>
          </cell>
        </row>
        <row r="616">
          <cell r="B616" t="str">
            <v>25802400028</v>
          </cell>
          <cell r="C616" t="str">
            <v>Nguyễn Thị Xuân</v>
          </cell>
          <cell r="D616" t="str">
            <v>Thảo</v>
          </cell>
          <cell r="E616">
            <v>8415000</v>
          </cell>
          <cell r="F616">
            <v>0</v>
          </cell>
        </row>
        <row r="617">
          <cell r="B617" t="str">
            <v>25802800160</v>
          </cell>
          <cell r="C617" t="str">
            <v>Cao Nguyễn Yến</v>
          </cell>
          <cell r="D617" t="str">
            <v>Ngọc</v>
          </cell>
          <cell r="E617">
            <v>8415000</v>
          </cell>
          <cell r="F617">
            <v>0</v>
          </cell>
        </row>
        <row r="618">
          <cell r="B618" t="str">
            <v>25802800205</v>
          </cell>
          <cell r="C618" t="str">
            <v>Phùng Thế</v>
          </cell>
          <cell r="D618" t="str">
            <v>Phong</v>
          </cell>
          <cell r="E618">
            <v>8415000</v>
          </cell>
          <cell r="F618">
            <v>0</v>
          </cell>
        </row>
        <row r="619">
          <cell r="B619" t="str">
            <v>25802800402</v>
          </cell>
          <cell r="C619" t="str">
            <v>Nguyễn Tuấn</v>
          </cell>
          <cell r="D619" t="str">
            <v>Anh</v>
          </cell>
          <cell r="E619">
            <v>8415000</v>
          </cell>
          <cell r="F619">
            <v>0</v>
          </cell>
        </row>
        <row r="620">
          <cell r="B620" t="str">
            <v>25805900008</v>
          </cell>
          <cell r="C620" t="str">
            <v>Huỳnh Tấn</v>
          </cell>
          <cell r="D620" t="str">
            <v>Dũng</v>
          </cell>
          <cell r="E620">
            <v>8415000</v>
          </cell>
          <cell r="F620">
            <v>0</v>
          </cell>
        </row>
        <row r="621">
          <cell r="B621" t="str">
            <v>25806000004</v>
          </cell>
          <cell r="C621" t="str">
            <v>Huỳnh Long</v>
          </cell>
          <cell r="D621" t="str">
            <v>Chương</v>
          </cell>
          <cell r="E621">
            <v>8415000</v>
          </cell>
          <cell r="F621">
            <v>0</v>
          </cell>
        </row>
        <row r="622">
          <cell r="B622" t="str">
            <v>25808600060</v>
          </cell>
          <cell r="C622" t="str">
            <v>Nguyễn Tấn</v>
          </cell>
          <cell r="D622" t="str">
            <v>Lộc</v>
          </cell>
          <cell r="E622">
            <v>8415000</v>
          </cell>
          <cell r="F622">
            <v>0</v>
          </cell>
        </row>
        <row r="623">
          <cell r="B623" t="str">
            <v>25808600137</v>
          </cell>
          <cell r="C623" t="str">
            <v>Lương Thị Tuyết</v>
          </cell>
          <cell r="D623" t="str">
            <v>Trinh</v>
          </cell>
          <cell r="E623">
            <v>8415000</v>
          </cell>
          <cell r="F623">
            <v>0</v>
          </cell>
        </row>
        <row r="624">
          <cell r="B624" t="str">
            <v>25808900050</v>
          </cell>
          <cell r="C624" t="str">
            <v>Trần Năng</v>
          </cell>
          <cell r="D624" t="str">
            <v>Hưng</v>
          </cell>
          <cell r="E624">
            <v>8415000</v>
          </cell>
          <cell r="F624">
            <v>0</v>
          </cell>
        </row>
        <row r="625">
          <cell r="B625" t="str">
            <v>25805900091</v>
          </cell>
          <cell r="C625" t="str">
            <v>Phạm Phương</v>
          </cell>
          <cell r="D625" t="str">
            <v>Uyên</v>
          </cell>
          <cell r="E625">
            <v>4465000</v>
          </cell>
        </row>
        <row r="626">
          <cell r="B626" t="str">
            <v>25807000043</v>
          </cell>
          <cell r="C626" t="str">
            <v>Phan Thị Thuý</v>
          </cell>
          <cell r="D626" t="str">
            <v>Vi</v>
          </cell>
          <cell r="E626">
            <v>4465000</v>
          </cell>
        </row>
        <row r="627">
          <cell r="B627" t="str">
            <v>25820700044</v>
          </cell>
          <cell r="C627" t="str">
            <v>Nguyễn Ngọc Bảo</v>
          </cell>
          <cell r="D627" t="str">
            <v>Trâm</v>
          </cell>
          <cell r="E627">
            <v>4465000</v>
          </cell>
        </row>
        <row r="628">
          <cell r="B628" t="str">
            <v>25801700022</v>
          </cell>
          <cell r="C628" t="str">
            <v>Phạm Hoàng</v>
          </cell>
          <cell r="D628" t="str">
            <v>Khang</v>
          </cell>
          <cell r="E628">
            <v>2100000</v>
          </cell>
        </row>
        <row r="629">
          <cell r="B629" t="str">
            <v>25800500093</v>
          </cell>
          <cell r="C629" t="str">
            <v>Nguyễn Trần Đăng</v>
          </cell>
          <cell r="D629" t="str">
            <v>Khoa</v>
          </cell>
          <cell r="E629">
            <v>8415000</v>
          </cell>
          <cell r="F629">
            <v>0</v>
          </cell>
        </row>
        <row r="630">
          <cell r="B630" t="str">
            <v>25800500135</v>
          </cell>
          <cell r="C630" t="str">
            <v>Lê Thanh</v>
          </cell>
          <cell r="D630" t="str">
            <v>Phong</v>
          </cell>
          <cell r="E630">
            <v>8415000</v>
          </cell>
          <cell r="F630">
            <v>0</v>
          </cell>
        </row>
        <row r="631">
          <cell r="B631" t="str">
            <v>25802700016</v>
          </cell>
          <cell r="C631" t="str">
            <v>Nguyễn Quốc</v>
          </cell>
          <cell r="D631" t="str">
            <v>Đạt</v>
          </cell>
          <cell r="E631">
            <v>8415000</v>
          </cell>
          <cell r="F631">
            <v>0</v>
          </cell>
        </row>
        <row r="632">
          <cell r="B632" t="str">
            <v>25802700162</v>
          </cell>
          <cell r="C632" t="str">
            <v>Vũ Thị Minh</v>
          </cell>
          <cell r="D632" t="str">
            <v>Thư</v>
          </cell>
          <cell r="E632">
            <v>8415000</v>
          </cell>
          <cell r="F632">
            <v>0</v>
          </cell>
        </row>
        <row r="633">
          <cell r="B633" t="str">
            <v>25806400012</v>
          </cell>
          <cell r="C633" t="str">
            <v>Nguyễn Hoàng</v>
          </cell>
          <cell r="D633" t="str">
            <v>Khôi</v>
          </cell>
          <cell r="E633">
            <v>8415000</v>
          </cell>
          <cell r="F633">
            <v>0</v>
          </cell>
        </row>
        <row r="634">
          <cell r="B634" t="str">
            <v>25807800067</v>
          </cell>
          <cell r="C634" t="str">
            <v>Lê Trà Bảo</v>
          </cell>
          <cell r="D634" t="str">
            <v>Khôi</v>
          </cell>
          <cell r="E634">
            <v>8415000</v>
          </cell>
          <cell r="F634">
            <v>0</v>
          </cell>
        </row>
        <row r="635">
          <cell r="B635" t="str">
            <v>25807900049</v>
          </cell>
          <cell r="C635" t="str">
            <v>Trần Hữu</v>
          </cell>
          <cell r="D635" t="str">
            <v>Thành</v>
          </cell>
          <cell r="E635">
            <v>8415000</v>
          </cell>
          <cell r="F635">
            <v>0</v>
          </cell>
        </row>
        <row r="636">
          <cell r="B636" t="str">
            <v>25808100045</v>
          </cell>
          <cell r="C636" t="str">
            <v>Nguyễn Hoàng</v>
          </cell>
          <cell r="D636" t="str">
            <v>Quân</v>
          </cell>
          <cell r="E636">
            <v>8415000</v>
          </cell>
          <cell r="F636">
            <v>0</v>
          </cell>
        </row>
        <row r="637">
          <cell r="B637" t="str">
            <v>25808700155</v>
          </cell>
          <cell r="C637" t="str">
            <v>Phạm Minh</v>
          </cell>
          <cell r="D637" t="str">
            <v>Quang</v>
          </cell>
          <cell r="E637">
            <v>8415000</v>
          </cell>
          <cell r="F637">
            <v>0</v>
          </cell>
        </row>
        <row r="638">
          <cell r="B638" t="str">
            <v>25820200013</v>
          </cell>
          <cell r="C638" t="str">
            <v>Mã Lương Hải</v>
          </cell>
          <cell r="D638" t="str">
            <v>Đăng</v>
          </cell>
          <cell r="E638">
            <v>8415000</v>
          </cell>
          <cell r="F638">
            <v>0</v>
          </cell>
        </row>
        <row r="639">
          <cell r="B639" t="str">
            <v>25820200064</v>
          </cell>
          <cell r="C639" t="str">
            <v>Ngô Mạnh</v>
          </cell>
          <cell r="D639" t="str">
            <v>Tuấn</v>
          </cell>
          <cell r="E639">
            <v>8415000</v>
          </cell>
          <cell r="F639">
            <v>0</v>
          </cell>
        </row>
        <row r="640">
          <cell r="B640" t="str">
            <v>25820300049</v>
          </cell>
          <cell r="C640" t="str">
            <v>Đặng Nhân</v>
          </cell>
          <cell r="D640" t="str">
            <v>Quý</v>
          </cell>
          <cell r="E640">
            <v>8415000</v>
          </cell>
          <cell r="F640">
            <v>0</v>
          </cell>
        </row>
        <row r="641">
          <cell r="B641" t="str">
            <v>25801100080</v>
          </cell>
          <cell r="C641" t="str">
            <v>Trương Quang</v>
          </cell>
          <cell r="D641" t="str">
            <v>Vinh</v>
          </cell>
          <cell r="E641">
            <v>4465000</v>
          </cell>
        </row>
        <row r="642">
          <cell r="B642" t="str">
            <v>25807100002</v>
          </cell>
          <cell r="C642" t="str">
            <v>Lưu Nguyễn Hoàng</v>
          </cell>
          <cell r="D642" t="str">
            <v>Hà</v>
          </cell>
          <cell r="E642">
            <v>4465000</v>
          </cell>
        </row>
        <row r="643">
          <cell r="B643" t="str">
            <v>25808200221</v>
          </cell>
          <cell r="C643" t="str">
            <v>Bùi Đặng Quang</v>
          </cell>
          <cell r="D643" t="str">
            <v>Minh</v>
          </cell>
          <cell r="E643">
            <v>4000000</v>
          </cell>
        </row>
        <row r="644">
          <cell r="B644" t="str">
            <v>25808500496</v>
          </cell>
          <cell r="C644" t="str">
            <v>Nguyễn Minh</v>
          </cell>
          <cell r="D644" t="str">
            <v>Như</v>
          </cell>
          <cell r="E644">
            <v>2100000</v>
          </cell>
        </row>
        <row r="645">
          <cell r="B645" t="str">
            <v>25808900070</v>
          </cell>
          <cell r="C645" t="str">
            <v>Trần Khánh</v>
          </cell>
          <cell r="D645" t="str">
            <v>Linh</v>
          </cell>
          <cell r="E645">
            <v>2100000</v>
          </cell>
        </row>
        <row r="646">
          <cell r="B646" t="str">
            <v>2388500585</v>
          </cell>
          <cell r="C646" t="str">
            <v>Nguyễn Phúc Minh</v>
          </cell>
          <cell r="D646" t="str">
            <v>Thư</v>
          </cell>
          <cell r="E646">
            <v>1600000</v>
          </cell>
          <cell r="F646">
            <v>1600000</v>
          </cell>
          <cell r="G646" t="str">
            <v>LNH0925NL01</v>
          </cell>
        </row>
        <row r="647">
          <cell r="B647" t="str">
            <v>25800400173</v>
          </cell>
          <cell r="C647" t="str">
            <v>Nguyễn Hoàng</v>
          </cell>
          <cell r="D647" t="str">
            <v>Vĩ</v>
          </cell>
          <cell r="E647">
            <v>11050000</v>
          </cell>
          <cell r="F647">
            <v>1530000</v>
          </cell>
          <cell r="G647" t="str">
            <v>LNH0925NL02</v>
          </cell>
        </row>
        <row r="648">
          <cell r="B648" t="str">
            <v>25808700184</v>
          </cell>
          <cell r="C648" t="str">
            <v>Nguyễn Ngọc Thảo</v>
          </cell>
          <cell r="D648" t="str">
            <v>Ngân</v>
          </cell>
          <cell r="E648">
            <v>11050000</v>
          </cell>
          <cell r="F648">
            <v>1530000</v>
          </cell>
          <cell r="G648" t="str">
            <v>LNH0925NL02</v>
          </cell>
        </row>
        <row r="649">
          <cell r="B649" t="str">
            <v>25820200047</v>
          </cell>
          <cell r="C649" t="str">
            <v>Nguyễn Đại</v>
          </cell>
          <cell r="D649" t="str">
            <v>Phú</v>
          </cell>
          <cell r="E649">
            <v>11050000</v>
          </cell>
          <cell r="F649">
            <v>1530000</v>
          </cell>
          <cell r="G649" t="str">
            <v>LNH0925NL02</v>
          </cell>
        </row>
        <row r="650">
          <cell r="B650" t="str">
            <v>25800400268</v>
          </cell>
          <cell r="C650" t="str">
            <v>Nguyễn Hoàng Đăng</v>
          </cell>
          <cell r="D650" t="str">
            <v>Khoa</v>
          </cell>
          <cell r="E650">
            <v>6120000</v>
          </cell>
          <cell r="F650">
            <v>1530000</v>
          </cell>
          <cell r="G650" t="str">
            <v>LNH0925NL02</v>
          </cell>
        </row>
        <row r="651">
          <cell r="B651" t="str">
            <v>25802600143</v>
          </cell>
          <cell r="C651" t="str">
            <v>Phạm Thị Hải</v>
          </cell>
          <cell r="D651" t="str">
            <v>Yến</v>
          </cell>
          <cell r="E651">
            <v>6120000</v>
          </cell>
          <cell r="F651">
            <v>1530000</v>
          </cell>
          <cell r="G651" t="str">
            <v>LNH0925NL02</v>
          </cell>
        </row>
        <row r="652">
          <cell r="B652" t="str">
            <v>25802800108</v>
          </cell>
          <cell r="C652" t="str">
            <v>Võ Trần Bảo</v>
          </cell>
          <cell r="D652" t="str">
            <v>Khang</v>
          </cell>
          <cell r="E652">
            <v>6120000</v>
          </cell>
          <cell r="F652">
            <v>1530000</v>
          </cell>
          <cell r="G652" t="str">
            <v>LNH0925NL02</v>
          </cell>
        </row>
        <row r="653">
          <cell r="B653" t="str">
            <v>25805900027</v>
          </cell>
          <cell r="C653" t="str">
            <v>Trần Thị Ngọc</v>
          </cell>
          <cell r="D653" t="str">
            <v>Nhi</v>
          </cell>
          <cell r="E653">
            <v>6120000</v>
          </cell>
          <cell r="F653">
            <v>1530000</v>
          </cell>
          <cell r="G653" t="str">
            <v>LNH0925NL02</v>
          </cell>
        </row>
        <row r="654">
          <cell r="B654" t="str">
            <v>25807800048</v>
          </cell>
          <cell r="C654" t="str">
            <v>Lê Hải Huy</v>
          </cell>
          <cell r="D654" t="str">
            <v>Hoàng</v>
          </cell>
          <cell r="E654">
            <v>6120000</v>
          </cell>
          <cell r="F654">
            <v>1530000</v>
          </cell>
          <cell r="G654" t="str">
            <v>LNH0925NL02</v>
          </cell>
        </row>
        <row r="655">
          <cell r="B655" t="str">
            <v>25807800066</v>
          </cell>
          <cell r="C655" t="str">
            <v>Đinh Duy Anh</v>
          </cell>
          <cell r="D655" t="str">
            <v>Khôi</v>
          </cell>
          <cell r="E655">
            <v>6120000</v>
          </cell>
          <cell r="F655">
            <v>1530000</v>
          </cell>
          <cell r="G655" t="str">
            <v>LNH0925NL02</v>
          </cell>
        </row>
        <row r="656">
          <cell r="B656" t="str">
            <v>25808200042</v>
          </cell>
          <cell r="C656" t="str">
            <v>Nguyễn Phi</v>
          </cell>
          <cell r="D656" t="str">
            <v>Hiệp</v>
          </cell>
          <cell r="E656">
            <v>6120000</v>
          </cell>
          <cell r="F656">
            <v>1530000</v>
          </cell>
          <cell r="G656" t="str">
            <v>LNH0925NL02</v>
          </cell>
        </row>
        <row r="657">
          <cell r="B657" t="str">
            <v>25820200020</v>
          </cell>
          <cell r="C657" t="str">
            <v>Nguyễn Nhật</v>
          </cell>
          <cell r="D657" t="str">
            <v>Hào</v>
          </cell>
          <cell r="E657">
            <v>6120000</v>
          </cell>
          <cell r="F657">
            <v>1530000</v>
          </cell>
          <cell r="G657" t="str">
            <v>LNH0925NL02</v>
          </cell>
        </row>
        <row r="658">
          <cell r="B658" t="str">
            <v>25802100002</v>
          </cell>
          <cell r="C658" t="str">
            <v>Nguyễn Hoàng</v>
          </cell>
          <cell r="D658" t="str">
            <v>Anh</v>
          </cell>
          <cell r="E658">
            <v>6120000</v>
          </cell>
          <cell r="F658">
            <v>1530000</v>
          </cell>
          <cell r="G658" t="str">
            <v>LNH0925NL02</v>
          </cell>
        </row>
        <row r="659">
          <cell r="B659" t="str">
            <v>25802600087</v>
          </cell>
          <cell r="C659" t="str">
            <v>Phạm Thị Thanh</v>
          </cell>
          <cell r="D659" t="str">
            <v>Ngân</v>
          </cell>
          <cell r="E659">
            <v>2000000</v>
          </cell>
          <cell r="F659">
            <v>1600000</v>
          </cell>
          <cell r="G659" t="str">
            <v>LNH0925NL02</v>
          </cell>
        </row>
        <row r="660">
          <cell r="B660" t="str">
            <v>25801700096</v>
          </cell>
          <cell r="C660" t="str">
            <v>Đặng Chí</v>
          </cell>
          <cell r="D660" t="str">
            <v>Dũng</v>
          </cell>
          <cell r="E660">
            <v>1600000</v>
          </cell>
          <cell r="F660">
            <v>1600000</v>
          </cell>
          <cell r="G660" t="str">
            <v>LNH0925NL02</v>
          </cell>
        </row>
        <row r="661">
          <cell r="B661" t="str">
            <v>2180606153</v>
          </cell>
          <cell r="C661" t="str">
            <v>Nguyễn Đình</v>
          </cell>
          <cell r="D661" t="str">
            <v>Huy</v>
          </cell>
          <cell r="E661">
            <v>1600000</v>
          </cell>
          <cell r="F661">
            <v>1600000</v>
          </cell>
          <cell r="G661" t="str">
            <v>LNH0925NL02</v>
          </cell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DS THANG 11"/>
    </sheetNames>
    <sheetDataSet>
      <sheetData sheetId="0">
        <row r="3">
          <cell r="A3" t="str">
            <v>25800400022</v>
          </cell>
          <cell r="B3" t="str">
            <v>Nguyễn Văn</v>
          </cell>
          <cell r="C3" t="str">
            <v>Công</v>
          </cell>
          <cell r="D3">
            <v>2103750</v>
          </cell>
          <cell r="E3" t="str">
            <v>LNH1125ND01</v>
          </cell>
        </row>
        <row r="4">
          <cell r="A4" t="str">
            <v>25800400218</v>
          </cell>
          <cell r="B4" t="str">
            <v>Tạ Minh</v>
          </cell>
          <cell r="C4" t="str">
            <v>Tân</v>
          </cell>
          <cell r="D4">
            <v>2103750</v>
          </cell>
          <cell r="E4" t="str">
            <v>LNH1125ND01</v>
          </cell>
        </row>
        <row r="5">
          <cell r="A5" t="str">
            <v>25800500107</v>
          </cell>
          <cell r="B5" t="str">
            <v>Nguyễn Phạm Tấn</v>
          </cell>
          <cell r="C5" t="str">
            <v>Lộc</v>
          </cell>
          <cell r="D5">
            <v>2103750</v>
          </cell>
          <cell r="E5" t="str">
            <v>LNH1125ND01</v>
          </cell>
        </row>
        <row r="6">
          <cell r="A6" t="str">
            <v>25803000389</v>
          </cell>
          <cell r="B6" t="str">
            <v>Nguyễn Thị Kim</v>
          </cell>
          <cell r="C6" t="str">
            <v>Ngân</v>
          </cell>
          <cell r="D6">
            <v>2103750</v>
          </cell>
          <cell r="E6" t="str">
            <v>LNH1125ND01</v>
          </cell>
        </row>
        <row r="7">
          <cell r="A7" t="str">
            <v>25809400036</v>
          </cell>
          <cell r="B7" t="str">
            <v>Lê Thanh</v>
          </cell>
          <cell r="C7" t="str">
            <v>Bình</v>
          </cell>
          <cell r="D7">
            <v>2103750</v>
          </cell>
          <cell r="E7" t="str">
            <v>LNH1125ND01</v>
          </cell>
        </row>
        <row r="8">
          <cell r="A8" t="str">
            <v>25802100035</v>
          </cell>
          <cell r="B8" t="str">
            <v>Đoàn Thanh</v>
          </cell>
          <cell r="C8" t="str">
            <v>Tài</v>
          </cell>
          <cell r="D8">
            <v>2103750</v>
          </cell>
          <cell r="E8" t="str">
            <v>LNH1125ND01</v>
          </cell>
        </row>
        <row r="9">
          <cell r="A9" t="str">
            <v>25806100301</v>
          </cell>
          <cell r="B9" t="str">
            <v>Nguyễn Nhựt Song</v>
          </cell>
          <cell r="C9" t="str">
            <v>Toàn</v>
          </cell>
          <cell r="D9">
            <v>2103750</v>
          </cell>
          <cell r="E9" t="str">
            <v>LNH1125ND01</v>
          </cell>
        </row>
        <row r="10">
          <cell r="A10" t="str">
            <v>25800500215</v>
          </cell>
          <cell r="B10" t="str">
            <v>Nguyễn Xuân</v>
          </cell>
          <cell r="C10" t="str">
            <v>Trường</v>
          </cell>
          <cell r="D10">
            <v>2103750</v>
          </cell>
          <cell r="E10" t="str">
            <v>LNH1125ND01</v>
          </cell>
        </row>
        <row r="11">
          <cell r="A11" t="str">
            <v>25801100079</v>
          </cell>
          <cell r="B11" t="str">
            <v>Trần Thị Bích</v>
          </cell>
          <cell r="C11" t="str">
            <v>Tuyền</v>
          </cell>
          <cell r="D11">
            <v>2103750</v>
          </cell>
          <cell r="E11" t="str">
            <v>LNH1125ND01</v>
          </cell>
        </row>
        <row r="12">
          <cell r="A12" t="str">
            <v>25807800064</v>
          </cell>
          <cell r="B12" t="str">
            <v>Quách Anh</v>
          </cell>
          <cell r="C12" t="str">
            <v>Khoa</v>
          </cell>
          <cell r="D12">
            <v>2103750</v>
          </cell>
          <cell r="E12" t="str">
            <v>LNH1125ND01</v>
          </cell>
        </row>
        <row r="13">
          <cell r="A13" t="str">
            <v>25808900050</v>
          </cell>
          <cell r="B13" t="str">
            <v>Trần Năng</v>
          </cell>
          <cell r="C13" t="str">
            <v>Hưng</v>
          </cell>
          <cell r="D13">
            <v>2103750</v>
          </cell>
          <cell r="E13" t="str">
            <v>LNH1125ND01</v>
          </cell>
        </row>
        <row r="14">
          <cell r="A14" t="str">
            <v>25800500135</v>
          </cell>
          <cell r="B14" t="str">
            <v>Lê Thanh</v>
          </cell>
          <cell r="C14" t="str">
            <v>Phong</v>
          </cell>
          <cell r="D14">
            <v>2103750</v>
          </cell>
          <cell r="E14" t="str">
            <v>LNH1125ND01</v>
          </cell>
        </row>
        <row r="15">
          <cell r="A15" t="str">
            <v>25802700016</v>
          </cell>
          <cell r="B15" t="str">
            <v>Nguyễn Quốc</v>
          </cell>
          <cell r="C15" t="str">
            <v>Đạt</v>
          </cell>
          <cell r="D15">
            <v>2103750</v>
          </cell>
          <cell r="E15" t="str">
            <v>LNH1125ND01</v>
          </cell>
        </row>
        <row r="16">
          <cell r="A16" t="str">
            <v>25806300027</v>
          </cell>
          <cell r="B16" t="str">
            <v>Phạm Ngọc Phương</v>
          </cell>
          <cell r="C16" t="str">
            <v>Nam</v>
          </cell>
          <cell r="D16">
            <v>2103750</v>
          </cell>
          <cell r="E16" t="str">
            <v>LNH1125ND01</v>
          </cell>
        </row>
        <row r="17">
          <cell r="A17" t="str">
            <v>25802800242</v>
          </cell>
          <cell r="B17" t="str">
            <v>Phạm Thùy Phương</v>
          </cell>
          <cell r="C17" t="str">
            <v>Thảo</v>
          </cell>
          <cell r="D17">
            <v>2232500</v>
          </cell>
          <cell r="E17" t="str">
            <v>LNH1125ND01</v>
          </cell>
        </row>
        <row r="18">
          <cell r="A18" t="str">
            <v>25802800260</v>
          </cell>
          <cell r="B18" t="str">
            <v>Trần Lê Thủy</v>
          </cell>
          <cell r="C18" t="str">
            <v>Tiên</v>
          </cell>
          <cell r="D18">
            <v>2232500</v>
          </cell>
          <cell r="E18" t="str">
            <v>LNH1125ND01</v>
          </cell>
        </row>
        <row r="19">
          <cell r="A19" t="str">
            <v>25806000008</v>
          </cell>
          <cell r="B19" t="str">
            <v>Trịnh Thùy</v>
          </cell>
          <cell r="C19" t="str">
            <v>Dương</v>
          </cell>
          <cell r="D19">
            <v>2232500</v>
          </cell>
          <cell r="E19" t="str">
            <v>LNH1125ND01</v>
          </cell>
        </row>
        <row r="20">
          <cell r="A20" t="str">
            <v>25807500153</v>
          </cell>
          <cell r="B20" t="str">
            <v>Bùi Anh</v>
          </cell>
          <cell r="C20" t="str">
            <v>Tú</v>
          </cell>
          <cell r="D20">
            <v>2232500</v>
          </cell>
          <cell r="E20" t="str">
            <v>LNH1125ND01</v>
          </cell>
        </row>
        <row r="21">
          <cell r="A21" t="str">
            <v>25808200141</v>
          </cell>
          <cell r="B21" t="str">
            <v>Nguyễn Thái</v>
          </cell>
          <cell r="C21" t="str">
            <v>Tuấn</v>
          </cell>
          <cell r="D21">
            <v>2100000</v>
          </cell>
          <cell r="E21" t="str">
            <v>LNH1125ND01</v>
          </cell>
        </row>
        <row r="22">
          <cell r="A22" t="str">
            <v>25807900049</v>
          </cell>
          <cell r="B22" t="str">
            <v>Trần Hữu</v>
          </cell>
          <cell r="C22" t="str">
            <v>Thành</v>
          </cell>
          <cell r="D22">
            <v>2103750</v>
          </cell>
          <cell r="E22" t="str">
            <v>LNH1125ND02</v>
          </cell>
        </row>
        <row r="23">
          <cell r="A23" t="str">
            <v>25802800068</v>
          </cell>
          <cell r="B23" t="str">
            <v>Lương Hoàng</v>
          </cell>
          <cell r="C23" t="str">
            <v>Hên</v>
          </cell>
          <cell r="D23">
            <v>2103750</v>
          </cell>
          <cell r="E23" t="str">
            <v>LNH1125ND02</v>
          </cell>
        </row>
        <row r="24">
          <cell r="A24" t="str">
            <v>25802800389</v>
          </cell>
          <cell r="B24" t="str">
            <v>Nguyễn Tuấn</v>
          </cell>
          <cell r="C24" t="str">
            <v>Khôi</v>
          </cell>
          <cell r="D24">
            <v>2103750</v>
          </cell>
          <cell r="E24" t="str">
            <v>LNH1125ND02</v>
          </cell>
        </row>
        <row r="25">
          <cell r="A25" t="str">
            <v>25807800074</v>
          </cell>
          <cell r="B25" t="str">
            <v>Nguyễn Hải</v>
          </cell>
          <cell r="C25" t="str">
            <v>Lĩnh</v>
          </cell>
          <cell r="D25">
            <v>2103750</v>
          </cell>
          <cell r="E25" t="str">
            <v>LNH1125ND02</v>
          </cell>
        </row>
        <row r="26">
          <cell r="A26" t="str">
            <v>25808200009</v>
          </cell>
          <cell r="B26" t="str">
            <v>Phan Huỳnh Thiên</v>
          </cell>
          <cell r="C26" t="str">
            <v>Ân</v>
          </cell>
          <cell r="D26">
            <v>2103750</v>
          </cell>
          <cell r="E26" t="str">
            <v>LNH1125ND02</v>
          </cell>
        </row>
        <row r="27">
          <cell r="A27" t="str">
            <v>25808200098</v>
          </cell>
          <cell r="B27" t="str">
            <v>Lương Trường</v>
          </cell>
          <cell r="C27" t="str">
            <v>Phát</v>
          </cell>
          <cell r="D27">
            <v>2103750</v>
          </cell>
          <cell r="E27" t="str">
            <v>LNH1125ND02</v>
          </cell>
        </row>
        <row r="28">
          <cell r="A28" t="str">
            <v>25808500135</v>
          </cell>
          <cell r="B28" t="str">
            <v>Chu Quang</v>
          </cell>
          <cell r="C28" t="str">
            <v>Huy</v>
          </cell>
          <cell r="D28">
            <v>2103750</v>
          </cell>
          <cell r="E28" t="str">
            <v>LNH1125ND02</v>
          </cell>
        </row>
        <row r="29">
          <cell r="A29" t="str">
            <v>25808600121</v>
          </cell>
          <cell r="B29" t="str">
            <v>Võ Anh</v>
          </cell>
          <cell r="C29" t="str">
            <v>Thư</v>
          </cell>
          <cell r="D29">
            <v>2103750</v>
          </cell>
          <cell r="E29" t="str">
            <v>LNH1125ND02</v>
          </cell>
        </row>
        <row r="30">
          <cell r="A30" t="str">
            <v>25805900128</v>
          </cell>
          <cell r="B30" t="str">
            <v>Huỳnh Trà Sơn</v>
          </cell>
          <cell r="C30" t="str">
            <v>Tùng</v>
          </cell>
          <cell r="D30">
            <v>2103750</v>
          </cell>
          <cell r="E30" t="str">
            <v>LNH1125ND02</v>
          </cell>
        </row>
        <row r="31">
          <cell r="A31" t="str">
            <v>25820700027</v>
          </cell>
          <cell r="B31" t="str">
            <v>Phạm Liễu Quỳnh</v>
          </cell>
          <cell r="C31" t="str">
            <v>Như</v>
          </cell>
          <cell r="D31">
            <v>2103750</v>
          </cell>
          <cell r="E31" t="str">
            <v>LNH1125ND02</v>
          </cell>
        </row>
        <row r="32">
          <cell r="A32" t="str">
            <v>25803800008</v>
          </cell>
          <cell r="B32" t="str">
            <v>Trần Quốc</v>
          </cell>
          <cell r="C32" t="str">
            <v>Bảo</v>
          </cell>
          <cell r="D32">
            <v>2232500</v>
          </cell>
          <cell r="E32" t="str">
            <v>LNH1125ND02</v>
          </cell>
        </row>
        <row r="33">
          <cell r="A33" t="str">
            <v>25820700044</v>
          </cell>
          <cell r="B33" t="str">
            <v>Nguyễn Ngọc Bảo</v>
          </cell>
          <cell r="C33" t="str">
            <v>Trâm</v>
          </cell>
          <cell r="D33">
            <v>2232500</v>
          </cell>
          <cell r="E33" t="str">
            <v>LNH1125ND02</v>
          </cell>
        </row>
        <row r="34">
          <cell r="A34" t="str">
            <v>25801100045</v>
          </cell>
          <cell r="B34" t="str">
            <v>Pham Minh</v>
          </cell>
          <cell r="C34" t="str">
            <v>Nhat</v>
          </cell>
          <cell r="D34">
            <v>2232500</v>
          </cell>
          <cell r="E34" t="str">
            <v>LNH1125ND02</v>
          </cell>
        </row>
        <row r="35">
          <cell r="A35" t="str">
            <v>25808300043</v>
          </cell>
          <cell r="B35" t="str">
            <v>Y</v>
          </cell>
          <cell r="C35" t="str">
            <v>Thê</v>
          </cell>
          <cell r="D35">
            <v>2232500</v>
          </cell>
          <cell r="E35" t="str">
            <v>LNH1125ND02</v>
          </cell>
        </row>
        <row r="36">
          <cell r="A36" t="str">
            <v>25802800141</v>
          </cell>
          <cell r="B36" t="str">
            <v>Nguyễn Đức</v>
          </cell>
          <cell r="C36" t="str">
            <v>Lợi</v>
          </cell>
          <cell r="D36">
            <v>2232500</v>
          </cell>
          <cell r="E36" t="str">
            <v>LNH1125ND02</v>
          </cell>
        </row>
        <row r="37">
          <cell r="A37" t="str">
            <v>25808200221</v>
          </cell>
          <cell r="B37" t="str">
            <v>Bùi Đặng Quang</v>
          </cell>
          <cell r="C37" t="str">
            <v>Minh</v>
          </cell>
          <cell r="D37">
            <v>2100000</v>
          </cell>
          <cell r="E37" t="str">
            <v>LNH1125ND02</v>
          </cell>
        </row>
        <row r="38">
          <cell r="A38">
            <v>25803000333</v>
          </cell>
          <cell r="B38" t="str">
            <v>Đặng Ngọc Quỳnh</v>
          </cell>
          <cell r="C38" t="str">
            <v>Mai</v>
          </cell>
          <cell r="D38">
            <v>2100000</v>
          </cell>
          <cell r="E38" t="str">
            <v>LNH1125ND02</v>
          </cell>
        </row>
        <row r="39">
          <cell r="A39" t="str">
            <v>25801300026</v>
          </cell>
          <cell r="B39" t="str">
            <v>Lê Minh</v>
          </cell>
          <cell r="C39" t="str">
            <v>Nhật</v>
          </cell>
          <cell r="D39">
            <v>2103750</v>
          </cell>
          <cell r="E39" t="str">
            <v>LNH1125ND02</v>
          </cell>
        </row>
        <row r="40">
          <cell r="A40" t="str">
            <v>0963600420</v>
          </cell>
          <cell r="B40" t="str">
            <v xml:space="preserve">Nguyễn Thành </v>
          </cell>
          <cell r="C40" t="str">
            <v>Công</v>
          </cell>
          <cell r="D40">
            <v>2100000</v>
          </cell>
          <cell r="E40" t="str">
            <v>LNH1125ND02</v>
          </cell>
        </row>
        <row r="41">
          <cell r="A41" t="str">
            <v>25802800240</v>
          </cell>
          <cell r="B41" t="str">
            <v>Nguyễn Thị Hồng</v>
          </cell>
          <cell r="C41" t="str">
            <v>Thảo</v>
          </cell>
          <cell r="D41">
            <v>2232500</v>
          </cell>
          <cell r="E41" t="str">
            <v>LNH1125NE01</v>
          </cell>
        </row>
        <row r="42">
          <cell r="A42" t="str">
            <v>25801700020</v>
          </cell>
          <cell r="B42" t="str">
            <v>Bui Quang</v>
          </cell>
          <cell r="C42" t="str">
            <v>Huy</v>
          </cell>
          <cell r="D42">
            <v>2103750</v>
          </cell>
          <cell r="E42" t="str">
            <v>LNH1125NE01</v>
          </cell>
        </row>
        <row r="43">
          <cell r="A43" t="str">
            <v>25801800183</v>
          </cell>
          <cell r="B43" t="str">
            <v>Trần Thị Minh</v>
          </cell>
          <cell r="C43" t="str">
            <v>Tú</v>
          </cell>
          <cell r="D43">
            <v>2103750</v>
          </cell>
          <cell r="E43" t="str">
            <v>LNH1125NE01</v>
          </cell>
        </row>
        <row r="44">
          <cell r="A44" t="str">
            <v>25802800103</v>
          </cell>
          <cell r="B44" t="str">
            <v>Nguyễn Hồng</v>
          </cell>
          <cell r="C44" t="str">
            <v>Khang</v>
          </cell>
          <cell r="D44">
            <v>2103750</v>
          </cell>
          <cell r="E44" t="str">
            <v>LNH1125NE01</v>
          </cell>
        </row>
        <row r="45">
          <cell r="A45" t="str">
            <v>25802800041</v>
          </cell>
          <cell r="B45" t="str">
            <v>Nguyễn Quốc</v>
          </cell>
          <cell r="C45" t="str">
            <v>Đạt</v>
          </cell>
          <cell r="D45">
            <v>2103750</v>
          </cell>
          <cell r="E45" t="str">
            <v>LNH1125NE01</v>
          </cell>
        </row>
        <row r="46">
          <cell r="A46" t="str">
            <v>25806800034</v>
          </cell>
          <cell r="B46" t="str">
            <v>Nguyễn Huỳnh Gia</v>
          </cell>
          <cell r="C46" t="str">
            <v>Linh</v>
          </cell>
          <cell r="D46">
            <v>2103750</v>
          </cell>
          <cell r="E46" t="str">
            <v>LNH1125NE01</v>
          </cell>
        </row>
        <row r="47">
          <cell r="A47" t="str">
            <v>25808600245</v>
          </cell>
          <cell r="B47" t="str">
            <v>Phan Minh</v>
          </cell>
          <cell r="C47" t="str">
            <v>Thư</v>
          </cell>
          <cell r="D47">
            <v>2103750</v>
          </cell>
          <cell r="E47" t="str">
            <v>LNH1125NE01</v>
          </cell>
        </row>
        <row r="48">
          <cell r="A48" t="str">
            <v>25801800061</v>
          </cell>
          <cell r="B48" t="str">
            <v>Nguyễn Hoàng</v>
          </cell>
          <cell r="C48" t="str">
            <v>Sang</v>
          </cell>
          <cell r="D48">
            <v>2103750</v>
          </cell>
          <cell r="E48" t="str">
            <v>LNH1125NE01</v>
          </cell>
        </row>
        <row r="49">
          <cell r="A49" t="str">
            <v>25807600039</v>
          </cell>
          <cell r="B49" t="str">
            <v>Bùi Hoàng Yến</v>
          </cell>
          <cell r="C49" t="str">
            <v>Nhi</v>
          </cell>
          <cell r="D49">
            <v>2103750</v>
          </cell>
          <cell r="E49" t="str">
            <v>LNH1125NE01</v>
          </cell>
        </row>
        <row r="50">
          <cell r="A50" t="str">
            <v>25808200100</v>
          </cell>
          <cell r="B50" t="str">
            <v>Phạm Tấn</v>
          </cell>
          <cell r="C50" t="str">
            <v>Phát</v>
          </cell>
          <cell r="D50">
            <v>2103750</v>
          </cell>
          <cell r="E50" t="str">
            <v>LNH1125NE01</v>
          </cell>
        </row>
        <row r="51">
          <cell r="A51" t="str">
            <v>25802800392</v>
          </cell>
          <cell r="B51" t="str">
            <v>Nguyễn Chí</v>
          </cell>
          <cell r="C51" t="str">
            <v>Thành</v>
          </cell>
          <cell r="D51">
            <v>2232500</v>
          </cell>
          <cell r="E51" t="str">
            <v>LNH1125NE01</v>
          </cell>
        </row>
        <row r="52">
          <cell r="A52" t="str">
            <v>25800600036</v>
          </cell>
          <cell r="B52" t="str">
            <v>Đỗ Gia</v>
          </cell>
          <cell r="C52" t="str">
            <v>Bảo</v>
          </cell>
          <cell r="D52">
            <v>2103750</v>
          </cell>
          <cell r="E52" t="str">
            <v>LNH1125NE01</v>
          </cell>
        </row>
        <row r="53">
          <cell r="A53" t="str">
            <v>25808900060</v>
          </cell>
          <cell r="B53" t="str">
            <v>Vũ Minh</v>
          </cell>
          <cell r="C53" t="str">
            <v>Khôi</v>
          </cell>
          <cell r="D53">
            <v>2103750</v>
          </cell>
          <cell r="E53" t="str">
            <v>LNH1125NE01</v>
          </cell>
        </row>
        <row r="54">
          <cell r="A54" t="str">
            <v>25801700103</v>
          </cell>
          <cell r="B54" t="str">
            <v>Phạm Trung</v>
          </cell>
          <cell r="C54" t="str">
            <v>Nghĩa</v>
          </cell>
          <cell r="D54">
            <v>2103750</v>
          </cell>
          <cell r="E54" t="str">
            <v>LNH1125NE01</v>
          </cell>
        </row>
        <row r="55">
          <cell r="A55" t="str">
            <v>25801600005</v>
          </cell>
          <cell r="B55" t="str">
            <v>Ngô Khắc Vân</v>
          </cell>
          <cell r="C55" t="str">
            <v>Anh</v>
          </cell>
          <cell r="D55">
            <v>2232500</v>
          </cell>
          <cell r="E55" t="str">
            <v>LNH1125NE01</v>
          </cell>
        </row>
        <row r="56">
          <cell r="A56" t="str">
            <v>25802700078</v>
          </cell>
          <cell r="B56" t="str">
            <v>Nguyễn Lê Phương</v>
          </cell>
          <cell r="C56" t="str">
            <v>Thảo</v>
          </cell>
          <cell r="D56">
            <v>2600000</v>
          </cell>
          <cell r="E56" t="str">
            <v>LNH1125NE01</v>
          </cell>
        </row>
        <row r="57">
          <cell r="A57" t="str">
            <v>25805900069</v>
          </cell>
          <cell r="B57" t="str">
            <v>Bùi Nguyễn Minh</v>
          </cell>
          <cell r="C57" t="str">
            <v>Anh</v>
          </cell>
          <cell r="D57">
            <v>2103750</v>
          </cell>
          <cell r="E57" t="str">
            <v>LNH1125NE02</v>
          </cell>
        </row>
        <row r="58">
          <cell r="A58" t="str">
            <v>25802800379</v>
          </cell>
          <cell r="B58" t="str">
            <v>Nguyen Thien</v>
          </cell>
          <cell r="C58" t="str">
            <v>Phuc</v>
          </cell>
          <cell r="D58">
            <v>2103750</v>
          </cell>
          <cell r="E58" t="str">
            <v>LNH1125NE02</v>
          </cell>
        </row>
        <row r="59">
          <cell r="A59" t="str">
            <v>25801700102</v>
          </cell>
          <cell r="B59" t="str">
            <v>Trần Ngọc</v>
          </cell>
          <cell r="C59" t="str">
            <v>Linh</v>
          </cell>
          <cell r="D59">
            <v>2103750</v>
          </cell>
          <cell r="E59" t="str">
            <v>LNH1125NE02</v>
          </cell>
        </row>
        <row r="60">
          <cell r="A60" t="str">
            <v>25806800053</v>
          </cell>
          <cell r="B60" t="str">
            <v>Đoàn Ngọc Yến</v>
          </cell>
          <cell r="C60" t="str">
            <v>Nhi</v>
          </cell>
          <cell r="D60">
            <v>2103750</v>
          </cell>
          <cell r="E60" t="str">
            <v>LNH1125NE02</v>
          </cell>
        </row>
        <row r="61">
          <cell r="A61" t="str">
            <v>25801900092</v>
          </cell>
          <cell r="B61" t="str">
            <v>Lê Thị Thúy</v>
          </cell>
          <cell r="C61" t="str">
            <v>Ngân</v>
          </cell>
          <cell r="D61">
            <v>2103750</v>
          </cell>
          <cell r="E61" t="str">
            <v>LNH1125NE02</v>
          </cell>
        </row>
        <row r="62">
          <cell r="A62" t="str">
            <v>25801900280</v>
          </cell>
          <cell r="B62" t="str">
            <v>Trần Nguyễn Hoàng</v>
          </cell>
          <cell r="C62" t="str">
            <v>Phúc</v>
          </cell>
          <cell r="D62">
            <v>2103750</v>
          </cell>
          <cell r="E62" t="str">
            <v>LNH1125NE02</v>
          </cell>
        </row>
        <row r="63">
          <cell r="A63" t="str">
            <v>25802800015</v>
          </cell>
          <cell r="B63" t="str">
            <v>Nguyễn Ngọc Bảo</v>
          </cell>
          <cell r="C63" t="str">
            <v>Ân</v>
          </cell>
          <cell r="D63">
            <v>2103750</v>
          </cell>
          <cell r="E63" t="str">
            <v>LNH1125NE02</v>
          </cell>
        </row>
        <row r="64">
          <cell r="A64" t="str">
            <v>25808900057</v>
          </cell>
          <cell r="B64" t="str">
            <v>Nguyễn Hoàng Anh</v>
          </cell>
          <cell r="C64" t="str">
            <v>Khoa</v>
          </cell>
          <cell r="D64">
            <v>2103750</v>
          </cell>
          <cell r="E64" t="str">
            <v>LNH1125NE02</v>
          </cell>
        </row>
        <row r="65">
          <cell r="A65" t="str">
            <v>25802800006</v>
          </cell>
          <cell r="B65" t="str">
            <v>Lê Hồng</v>
          </cell>
          <cell r="C65" t="str">
            <v>Anh</v>
          </cell>
          <cell r="D65">
            <v>2103750</v>
          </cell>
          <cell r="E65" t="str">
            <v>LNH1125NE02</v>
          </cell>
        </row>
        <row r="66">
          <cell r="A66" t="str">
            <v>25801800089</v>
          </cell>
          <cell r="B66" t="str">
            <v>Nguyễn Ngọc Như</v>
          </cell>
          <cell r="C66" t="str">
            <v>Ý</v>
          </cell>
          <cell r="D66">
            <v>2103750</v>
          </cell>
          <cell r="E66" t="str">
            <v>LNH1125NE02</v>
          </cell>
        </row>
        <row r="67">
          <cell r="A67" t="str">
            <v>25802800399</v>
          </cell>
          <cell r="B67" t="str">
            <v>Phạm Thanh</v>
          </cell>
          <cell r="C67" t="str">
            <v>Sơn</v>
          </cell>
          <cell r="D67">
            <v>2103750</v>
          </cell>
          <cell r="E67" t="str">
            <v>LNH1125NE02</v>
          </cell>
        </row>
        <row r="68">
          <cell r="A68" t="str">
            <v>25802800144</v>
          </cell>
          <cell r="B68" t="str">
            <v>Phạm Nguyễn Ngọc</v>
          </cell>
          <cell r="C68" t="str">
            <v>Mai</v>
          </cell>
          <cell r="D68">
            <v>2103750</v>
          </cell>
          <cell r="E68" t="str">
            <v>LNH1125NE02</v>
          </cell>
        </row>
        <row r="69">
          <cell r="A69" t="str">
            <v>25808900053</v>
          </cell>
          <cell r="B69" t="str">
            <v>Nguyễn Tuấn</v>
          </cell>
          <cell r="C69" t="str">
            <v>Khang</v>
          </cell>
          <cell r="D69">
            <v>2103750</v>
          </cell>
          <cell r="E69" t="str">
            <v>LNH1125NE02</v>
          </cell>
        </row>
        <row r="70">
          <cell r="A70" t="str">
            <v>25808600065</v>
          </cell>
          <cell r="B70" t="str">
            <v>Nguyễn Trà</v>
          </cell>
          <cell r="C70" t="str">
            <v>My</v>
          </cell>
          <cell r="D70">
            <v>2103750</v>
          </cell>
          <cell r="E70" t="str">
            <v>LNH1125NE02</v>
          </cell>
        </row>
        <row r="71">
          <cell r="A71" t="str">
            <v>25808600094</v>
          </cell>
          <cell r="B71" t="str">
            <v>Dương Tú</v>
          </cell>
          <cell r="C71" t="str">
            <v>Quân</v>
          </cell>
          <cell r="D71">
            <v>2103750</v>
          </cell>
          <cell r="E71" t="str">
            <v>LNH1125NE02</v>
          </cell>
        </row>
        <row r="72">
          <cell r="A72" t="str">
            <v>25808600120</v>
          </cell>
          <cell r="B72" t="str">
            <v>Trần Nguyễn Anh</v>
          </cell>
          <cell r="C72" t="str">
            <v>Thư</v>
          </cell>
          <cell r="D72">
            <v>2103750</v>
          </cell>
          <cell r="E72" t="str">
            <v>LNH1125NE02</v>
          </cell>
        </row>
        <row r="73">
          <cell r="A73" t="str">
            <v>25807500016</v>
          </cell>
          <cell r="B73" t="str">
            <v>Nguyễn Cao Thái</v>
          </cell>
          <cell r="C73" t="str">
            <v>Duy</v>
          </cell>
          <cell r="D73">
            <v>2103750</v>
          </cell>
          <cell r="E73" t="str">
            <v>LNH1125NE03</v>
          </cell>
        </row>
        <row r="74">
          <cell r="A74" t="str">
            <v>25808600134</v>
          </cell>
          <cell r="B74" t="str">
            <v>Phạm Nguyễn Huyền</v>
          </cell>
          <cell r="C74" t="str">
            <v>Trân</v>
          </cell>
          <cell r="D74">
            <v>2103750</v>
          </cell>
          <cell r="E74" t="str">
            <v>LNH1125NE03</v>
          </cell>
        </row>
        <row r="75">
          <cell r="A75" t="str">
            <v>25808900047</v>
          </cell>
          <cell r="B75" t="str">
            <v>Nguyễn Kim</v>
          </cell>
          <cell r="C75" t="str">
            <v>Huy</v>
          </cell>
          <cell r="D75">
            <v>2103750</v>
          </cell>
          <cell r="E75" t="str">
            <v>LNH1125NE03</v>
          </cell>
        </row>
        <row r="76">
          <cell r="A76" t="str">
            <v>25807500063</v>
          </cell>
          <cell r="B76" t="str">
            <v>Ngô Ngọc</v>
          </cell>
          <cell r="C76" t="str">
            <v>Long</v>
          </cell>
          <cell r="D76">
            <v>2103750</v>
          </cell>
          <cell r="E76" t="str">
            <v>LNH1125NE03</v>
          </cell>
        </row>
        <row r="77">
          <cell r="A77" t="str">
            <v>25808600069</v>
          </cell>
          <cell r="B77" t="str">
            <v>Nguyễn Ngọc Thanh</v>
          </cell>
          <cell r="C77" t="str">
            <v>Ngân</v>
          </cell>
          <cell r="D77">
            <v>2103750</v>
          </cell>
          <cell r="E77" t="str">
            <v>LNH1125NE03</v>
          </cell>
        </row>
        <row r="78">
          <cell r="A78" t="str">
            <v>25802800140</v>
          </cell>
          <cell r="B78" t="str">
            <v>Giang Hoàng Đại</v>
          </cell>
          <cell r="C78" t="str">
            <v>Lợi</v>
          </cell>
          <cell r="D78">
            <v>2103750</v>
          </cell>
          <cell r="E78" t="str">
            <v>LNH1125NE03</v>
          </cell>
        </row>
        <row r="79">
          <cell r="A79" t="str">
            <v>25808600086</v>
          </cell>
          <cell r="B79" t="str">
            <v>Tạ Thị Tuyết</v>
          </cell>
          <cell r="C79" t="str">
            <v>Nhung</v>
          </cell>
          <cell r="D79">
            <v>2103750</v>
          </cell>
          <cell r="E79" t="str">
            <v>LNH1125NE03</v>
          </cell>
        </row>
        <row r="80">
          <cell r="A80" t="str">
            <v>25802800199</v>
          </cell>
          <cell r="B80" t="str">
            <v>Trần Xuân</v>
          </cell>
          <cell r="C80" t="str">
            <v>Phát</v>
          </cell>
          <cell r="D80">
            <v>2103750</v>
          </cell>
          <cell r="E80" t="str">
            <v>LNH1125NE03</v>
          </cell>
        </row>
        <row r="81">
          <cell r="A81" t="str">
            <v>25807800050</v>
          </cell>
          <cell r="B81" t="str">
            <v>Võ Lương Nhật</v>
          </cell>
          <cell r="C81" t="str">
            <v>Hoàng</v>
          </cell>
          <cell r="D81">
            <v>2103750</v>
          </cell>
          <cell r="E81" t="str">
            <v>LNH1125NE03</v>
          </cell>
        </row>
        <row r="82">
          <cell r="A82" t="str">
            <v>25820500007</v>
          </cell>
          <cell r="B82" t="str">
            <v>Trần Vũ Anh</v>
          </cell>
          <cell r="C82" t="str">
            <v>Kiệt</v>
          </cell>
          <cell r="D82">
            <v>2232500</v>
          </cell>
          <cell r="E82" t="str">
            <v>LNH1125NE03</v>
          </cell>
        </row>
        <row r="83">
          <cell r="A83" t="str">
            <v>25802800255</v>
          </cell>
          <cell r="B83" t="str">
            <v>Phạm Nguyễn Anh</v>
          </cell>
          <cell r="C83" t="str">
            <v>Thư</v>
          </cell>
          <cell r="D83">
            <v>2232500</v>
          </cell>
          <cell r="E83" t="str">
            <v>LNH1125NE03</v>
          </cell>
        </row>
        <row r="84">
          <cell r="A84" t="str">
            <v>25809600060</v>
          </cell>
          <cell r="B84" t="str">
            <v>Đỗ Đức</v>
          </cell>
          <cell r="C84" t="str">
            <v>Tài</v>
          </cell>
          <cell r="D84">
            <v>2103750</v>
          </cell>
          <cell r="E84" t="str">
            <v>LNH1125NE03</v>
          </cell>
        </row>
        <row r="85">
          <cell r="A85" t="str">
            <v>25809600050</v>
          </cell>
          <cell r="B85" t="str">
            <v>Nguyễn Hoàng Bảo</v>
          </cell>
          <cell r="C85" t="str">
            <v>Phúc</v>
          </cell>
          <cell r="D85">
            <v>2103750</v>
          </cell>
          <cell r="E85" t="str">
            <v>LNH1125NE03</v>
          </cell>
        </row>
        <row r="86">
          <cell r="A86" t="str">
            <v>25802800347</v>
          </cell>
          <cell r="B86" t="str">
            <v>Hoàng Minh</v>
          </cell>
          <cell r="C86" t="str">
            <v>Quân</v>
          </cell>
          <cell r="D86">
            <v>2103750</v>
          </cell>
          <cell r="E86" t="str">
            <v>LNH1125NE03</v>
          </cell>
        </row>
        <row r="87">
          <cell r="A87" t="str">
            <v>25807500072</v>
          </cell>
          <cell r="B87" t="str">
            <v>Phan Thị</v>
          </cell>
          <cell r="C87" t="str">
            <v>Mừng</v>
          </cell>
          <cell r="D87">
            <v>2103750</v>
          </cell>
          <cell r="E87" t="str">
            <v>LNH1125NE03</v>
          </cell>
        </row>
        <row r="88">
          <cell r="A88" t="str">
            <v>25801500098</v>
          </cell>
          <cell r="B88" t="str">
            <v>Nguyễn Đặng Minh</v>
          </cell>
          <cell r="C88" t="str">
            <v>Trí</v>
          </cell>
          <cell r="D88">
            <v>2103750</v>
          </cell>
          <cell r="E88" t="str">
            <v>LNH1125NE03</v>
          </cell>
        </row>
        <row r="89">
          <cell r="A89" t="str">
            <v>25801200009</v>
          </cell>
          <cell r="B89" t="str">
            <v>Lê Trọng</v>
          </cell>
          <cell r="C89" t="str">
            <v>Đại</v>
          </cell>
          <cell r="D89">
            <v>2600000</v>
          </cell>
          <cell r="E89" t="str">
            <v>LNH1125NE04</v>
          </cell>
        </row>
        <row r="90">
          <cell r="A90" t="str">
            <v>25808600126</v>
          </cell>
          <cell r="B90" t="str">
            <v>Hồ Nhật</v>
          </cell>
          <cell r="C90" t="str">
            <v>Tiến</v>
          </cell>
          <cell r="D90">
            <v>2103750</v>
          </cell>
          <cell r="E90" t="str">
            <v>LNH1125NE04</v>
          </cell>
        </row>
        <row r="91">
          <cell r="A91" t="str">
            <v>25802800355</v>
          </cell>
          <cell r="B91" t="str">
            <v>Trần Thanh</v>
          </cell>
          <cell r="C91" t="str">
            <v>Tín</v>
          </cell>
          <cell r="D91">
            <v>2103750</v>
          </cell>
          <cell r="E91" t="str">
            <v>LNH1125NE04</v>
          </cell>
        </row>
        <row r="92">
          <cell r="A92" t="str">
            <v>25809600021</v>
          </cell>
          <cell r="B92" t="str">
            <v>Nguyễn Gia</v>
          </cell>
          <cell r="C92" t="str">
            <v>Hưng</v>
          </cell>
          <cell r="D92">
            <v>2103750</v>
          </cell>
          <cell r="E92" t="str">
            <v>LNH1125NE04</v>
          </cell>
        </row>
        <row r="93">
          <cell r="A93" t="str">
            <v>25802800245</v>
          </cell>
          <cell r="B93" t="str">
            <v>Trần Anh</v>
          </cell>
          <cell r="C93" t="str">
            <v>Thi</v>
          </cell>
          <cell r="D93">
            <v>2600000</v>
          </cell>
          <cell r="E93" t="str">
            <v>LNH1125NE04</v>
          </cell>
        </row>
        <row r="94">
          <cell r="A94" t="str">
            <v>25820500009</v>
          </cell>
          <cell r="B94" t="str">
            <v>Huỳnh Uyển</v>
          </cell>
          <cell r="C94" t="str">
            <v>My</v>
          </cell>
          <cell r="D94">
            <v>2600000</v>
          </cell>
          <cell r="E94" t="str">
            <v>LNH1125NE04</v>
          </cell>
        </row>
        <row r="95">
          <cell r="A95" t="str">
            <v>25809600077</v>
          </cell>
          <cell r="B95" t="str">
            <v>Lê Thành</v>
          </cell>
          <cell r="C95" t="str">
            <v>Việt</v>
          </cell>
          <cell r="D95">
            <v>2232500</v>
          </cell>
          <cell r="E95" t="str">
            <v>LNH1125NE04</v>
          </cell>
        </row>
        <row r="96">
          <cell r="A96" t="str">
            <v>25802800021</v>
          </cell>
          <cell r="B96" t="str">
            <v>Trần Ngọc</v>
          </cell>
          <cell r="C96" t="str">
            <v>Bích</v>
          </cell>
          <cell r="D96">
            <v>2232500</v>
          </cell>
          <cell r="E96" t="str">
            <v>LNH1125NE04</v>
          </cell>
        </row>
        <row r="97">
          <cell r="A97" t="str">
            <v>25809600043</v>
          </cell>
          <cell r="B97" t="str">
            <v>Nguyễn Trọng</v>
          </cell>
          <cell r="C97" t="str">
            <v>Nhân</v>
          </cell>
          <cell r="D97">
            <v>2232500</v>
          </cell>
          <cell r="E97" t="str">
            <v>LNH1125NE04</v>
          </cell>
        </row>
        <row r="98">
          <cell r="A98" t="str">
            <v>25802800087</v>
          </cell>
          <cell r="B98" t="str">
            <v>Hướng Huỳnh Gia</v>
          </cell>
          <cell r="C98" t="str">
            <v>Huy</v>
          </cell>
          <cell r="D98">
            <v>2103750</v>
          </cell>
          <cell r="E98" t="str">
            <v>LNH1125NE04</v>
          </cell>
        </row>
        <row r="99">
          <cell r="A99" t="str">
            <v>25808600014</v>
          </cell>
          <cell r="B99" t="str">
            <v>Chen Chien</v>
          </cell>
          <cell r="C99" t="str">
            <v>Chih</v>
          </cell>
          <cell r="D99">
            <v>2103750</v>
          </cell>
          <cell r="E99" t="str">
            <v>LNH1125NE04</v>
          </cell>
        </row>
        <row r="100">
          <cell r="A100" t="str">
            <v>25802800114</v>
          </cell>
          <cell r="B100" t="str">
            <v>Vũ Bùi Đăng</v>
          </cell>
          <cell r="C100" t="str">
            <v>Khoa</v>
          </cell>
          <cell r="D100">
            <v>2103750</v>
          </cell>
          <cell r="E100" t="str">
            <v>LNH1125NE04</v>
          </cell>
        </row>
        <row r="101">
          <cell r="A101" t="str">
            <v>25801100017</v>
          </cell>
          <cell r="B101" t="str">
            <v>Huỳnh Trung</v>
          </cell>
          <cell r="C101" t="str">
            <v>Hậu</v>
          </cell>
          <cell r="D101">
            <v>2103750</v>
          </cell>
          <cell r="E101" t="str">
            <v>LNH1125NE04</v>
          </cell>
        </row>
        <row r="102">
          <cell r="A102" t="str">
            <v>25802800274</v>
          </cell>
          <cell r="B102" t="str">
            <v>Lê Hoàng Bảo</v>
          </cell>
          <cell r="C102" t="str">
            <v>Trân</v>
          </cell>
          <cell r="D102">
            <v>2103750</v>
          </cell>
          <cell r="E102" t="str">
            <v>LNH1125NE04</v>
          </cell>
        </row>
        <row r="103">
          <cell r="A103" t="str">
            <v>25807400012</v>
          </cell>
          <cell r="B103" t="str">
            <v>Châu Lâm Gia</v>
          </cell>
          <cell r="C103" t="str">
            <v>Quyên</v>
          </cell>
          <cell r="D103">
            <v>2103750</v>
          </cell>
          <cell r="E103" t="str">
            <v>LNH1125NE04</v>
          </cell>
        </row>
        <row r="104">
          <cell r="A104" t="str">
            <v>25809100020</v>
          </cell>
          <cell r="B104" t="str">
            <v>Phạm Huỳnh Hai</v>
          </cell>
          <cell r="C104" t="str">
            <v>Tỷ</v>
          </cell>
          <cell r="D104">
            <v>2103750</v>
          </cell>
          <cell r="E104" t="str">
            <v>LNH1125NE04</v>
          </cell>
        </row>
        <row r="105">
          <cell r="A105" t="str">
            <v>25802100030</v>
          </cell>
          <cell r="B105" t="str">
            <v>Châu Lê Thuận</v>
          </cell>
          <cell r="C105" t="str">
            <v>Phát</v>
          </cell>
          <cell r="D105">
            <v>2103750</v>
          </cell>
          <cell r="E105" t="str">
            <v>LNH1125NE05</v>
          </cell>
        </row>
        <row r="106">
          <cell r="A106" t="str">
            <v>25808200258</v>
          </cell>
          <cell r="B106" t="str">
            <v>Ngô Phúc</v>
          </cell>
          <cell r="C106" t="str">
            <v>Hải</v>
          </cell>
          <cell r="D106">
            <v>2103750</v>
          </cell>
          <cell r="E106" t="str">
            <v>LNH1125NE05</v>
          </cell>
        </row>
        <row r="107">
          <cell r="A107" t="str">
            <v>25820300088</v>
          </cell>
          <cell r="B107" t="str">
            <v>Nông Thanh</v>
          </cell>
          <cell r="C107" t="str">
            <v>Quyền</v>
          </cell>
          <cell r="D107">
            <v>2103750</v>
          </cell>
          <cell r="E107" t="str">
            <v>LNH1125NE05</v>
          </cell>
        </row>
        <row r="108">
          <cell r="A108" t="str">
            <v>25801800021</v>
          </cell>
          <cell r="B108" t="str">
            <v>Võ Thảo</v>
          </cell>
          <cell r="C108" t="str">
            <v>Huyền</v>
          </cell>
          <cell r="D108">
            <v>2103750</v>
          </cell>
          <cell r="E108" t="str">
            <v>LNH1125NE05</v>
          </cell>
        </row>
        <row r="109">
          <cell r="A109" t="str">
            <v>25808300103</v>
          </cell>
          <cell r="B109" t="str">
            <v>Lê Thị Thuỳ</v>
          </cell>
          <cell r="C109" t="str">
            <v>Dịu</v>
          </cell>
          <cell r="D109">
            <v>2103750</v>
          </cell>
          <cell r="E109" t="str">
            <v>LNH1125NE05</v>
          </cell>
        </row>
        <row r="110">
          <cell r="A110" t="str">
            <v>25806600350</v>
          </cell>
          <cell r="B110" t="str">
            <v>Lê Gia</v>
          </cell>
          <cell r="C110" t="str">
            <v>Minh</v>
          </cell>
          <cell r="D110">
            <v>2103750</v>
          </cell>
          <cell r="E110" t="str">
            <v>LNH1125NE05</v>
          </cell>
        </row>
        <row r="111">
          <cell r="A111" t="str">
            <v>25808700079</v>
          </cell>
          <cell r="B111" t="str">
            <v>Đặng Hiểu</v>
          </cell>
          <cell r="C111" t="str">
            <v>Phúc</v>
          </cell>
          <cell r="D111">
            <v>2103750</v>
          </cell>
          <cell r="E111" t="str">
            <v>LNH1125NE05</v>
          </cell>
        </row>
        <row r="112">
          <cell r="A112" t="str">
            <v>25820300038</v>
          </cell>
          <cell r="B112" t="str">
            <v>Trần Duy</v>
          </cell>
          <cell r="C112" t="str">
            <v>Nguyên</v>
          </cell>
          <cell r="D112">
            <v>2103750</v>
          </cell>
          <cell r="E112" t="str">
            <v>LNH1125NE05</v>
          </cell>
        </row>
        <row r="113">
          <cell r="A113" t="str">
            <v>25808600018</v>
          </cell>
          <cell r="B113" t="str">
            <v>Ngô Văn</v>
          </cell>
          <cell r="C113" t="str">
            <v>Dũng</v>
          </cell>
          <cell r="D113">
            <v>2103750</v>
          </cell>
          <cell r="E113" t="str">
            <v>LNH1125NE05</v>
          </cell>
        </row>
        <row r="114">
          <cell r="A114" t="str">
            <v>25802800250</v>
          </cell>
          <cell r="B114" t="str">
            <v>Mai Thanh</v>
          </cell>
          <cell r="C114" t="str">
            <v>Thúy</v>
          </cell>
          <cell r="D114">
            <v>2232500</v>
          </cell>
          <cell r="E114" t="str">
            <v>LNH1125NE05</v>
          </cell>
        </row>
        <row r="115">
          <cell r="A115" t="str">
            <v>25802600074</v>
          </cell>
          <cell r="B115" t="str">
            <v>Huỳnh Thanh</v>
          </cell>
          <cell r="C115" t="str">
            <v>Luân</v>
          </cell>
          <cell r="D115">
            <v>2232500</v>
          </cell>
          <cell r="E115" t="str">
            <v>LNH1125NE05</v>
          </cell>
        </row>
        <row r="116">
          <cell r="A116" t="str">
            <v>25802800107</v>
          </cell>
          <cell r="B116" t="str">
            <v>Trần Vĩnh</v>
          </cell>
          <cell r="C116" t="str">
            <v>Khang</v>
          </cell>
          <cell r="D116">
            <v>2232500</v>
          </cell>
          <cell r="E116" t="str">
            <v>LNH1125NE05</v>
          </cell>
        </row>
        <row r="117">
          <cell r="A117" t="str">
            <v>25809600056</v>
          </cell>
          <cell r="B117" t="str">
            <v>Nguyễn Minh</v>
          </cell>
          <cell r="C117" t="str">
            <v>Quân</v>
          </cell>
          <cell r="D117">
            <v>2232500</v>
          </cell>
          <cell r="E117" t="str">
            <v>LNH1125NE05</v>
          </cell>
        </row>
        <row r="118">
          <cell r="A118" t="str">
            <v>25806000115</v>
          </cell>
          <cell r="B118" t="str">
            <v>Phạm Quang</v>
          </cell>
          <cell r="C118" t="str">
            <v>Huy</v>
          </cell>
          <cell r="D118">
            <v>2232500</v>
          </cell>
          <cell r="E118" t="str">
            <v>LNH1125NE05</v>
          </cell>
        </row>
        <row r="119">
          <cell r="A119" t="str">
            <v>25802800165</v>
          </cell>
          <cell r="B119" t="str">
            <v>Nguyễn Kim</v>
          </cell>
          <cell r="C119" t="str">
            <v>Ngọc</v>
          </cell>
          <cell r="D119">
            <v>2103750</v>
          </cell>
          <cell r="E119" t="str">
            <v>LNH1125NE05</v>
          </cell>
        </row>
        <row r="120">
          <cell r="A120" t="str">
            <v>25803800098</v>
          </cell>
          <cell r="B120" t="str">
            <v>Hứa Mỹ</v>
          </cell>
          <cell r="C120" t="str">
            <v>Linh</v>
          </cell>
          <cell r="D120">
            <v>2103750</v>
          </cell>
          <cell r="E120" t="str">
            <v>LNH1125NE05</v>
          </cell>
        </row>
        <row r="121">
          <cell r="A121" t="str">
            <v>25807800110</v>
          </cell>
          <cell r="B121" t="str">
            <v>Nguyễn Duyên Hoàn</v>
          </cell>
          <cell r="C121" t="str">
            <v>Phúc</v>
          </cell>
          <cell r="D121">
            <v>2103750</v>
          </cell>
          <cell r="E121" t="str">
            <v>LNH1125NE05</v>
          </cell>
        </row>
        <row r="122">
          <cell r="A122" t="str">
            <v>25808200016</v>
          </cell>
          <cell r="B122" t="str">
            <v>Nguyễn Sơn</v>
          </cell>
          <cell r="C122" t="str">
            <v>Bảo</v>
          </cell>
          <cell r="D122">
            <v>2103750</v>
          </cell>
          <cell r="E122" t="str">
            <v>LNH1125NE05</v>
          </cell>
        </row>
        <row r="123">
          <cell r="A123" t="str">
            <v>25808200072</v>
          </cell>
          <cell r="B123" t="str">
            <v>Hồng Văn</v>
          </cell>
          <cell r="C123" t="str">
            <v>Kiên</v>
          </cell>
          <cell r="D123">
            <v>2232500</v>
          </cell>
          <cell r="E123" t="str">
            <v>LNH1125NE05</v>
          </cell>
        </row>
        <row r="124">
          <cell r="A124" t="str">
            <v>25803800045</v>
          </cell>
          <cell r="B124" t="str">
            <v>Trần Ngọc Kiều</v>
          </cell>
          <cell r="C124" t="str">
            <v>Oanh</v>
          </cell>
          <cell r="D124">
            <v>2232500</v>
          </cell>
          <cell r="E124" t="str">
            <v>LNH1125NE05</v>
          </cell>
        </row>
        <row r="125">
          <cell r="A125" t="str">
            <v>25800400059</v>
          </cell>
          <cell r="B125" t="str">
            <v>Phan Quốc</v>
          </cell>
          <cell r="C125" t="str">
            <v>Huy</v>
          </cell>
          <cell r="D125">
            <v>2103750</v>
          </cell>
          <cell r="E125" t="str">
            <v>LNH1125NE05</v>
          </cell>
        </row>
        <row r="126">
          <cell r="A126" t="str">
            <v>25800500310</v>
          </cell>
          <cell r="B126" t="str">
            <v>Phan Gia</v>
          </cell>
          <cell r="C126" t="str">
            <v>Huy</v>
          </cell>
          <cell r="D126">
            <v>2103750</v>
          </cell>
          <cell r="E126" t="str">
            <v>LNH1125NE05</v>
          </cell>
        </row>
        <row r="127">
          <cell r="A127" t="str">
            <v>25801700057</v>
          </cell>
          <cell r="B127" t="str">
            <v>Nguyễn Thị Thủy</v>
          </cell>
          <cell r="C127" t="str">
            <v>Tiên</v>
          </cell>
          <cell r="D127">
            <v>2103750</v>
          </cell>
          <cell r="E127" t="str">
            <v>LNH1125NE05</v>
          </cell>
        </row>
        <row r="128">
          <cell r="A128" t="str">
            <v>25808600253</v>
          </cell>
          <cell r="B128" t="str">
            <v>Trần Thị Kim</v>
          </cell>
          <cell r="C128" t="str">
            <v>Ngân</v>
          </cell>
          <cell r="D128">
            <v>2103750</v>
          </cell>
          <cell r="E128" t="str">
            <v>LNH1125NE06</v>
          </cell>
        </row>
        <row r="129">
          <cell r="A129" t="str">
            <v>25801100082</v>
          </cell>
          <cell r="B129" t="str">
            <v>Nguyễn Thị Thảo</v>
          </cell>
          <cell r="C129" t="str">
            <v>Vy</v>
          </cell>
          <cell r="D129">
            <v>2103750</v>
          </cell>
          <cell r="E129" t="str">
            <v>LNH1125NE06</v>
          </cell>
        </row>
        <row r="130">
          <cell r="A130" t="str">
            <v>25801400451</v>
          </cell>
          <cell r="B130" t="str">
            <v>Nguyễn Thành</v>
          </cell>
          <cell r="C130" t="str">
            <v>Tài</v>
          </cell>
          <cell r="D130">
            <v>2103750</v>
          </cell>
          <cell r="E130" t="str">
            <v>LNH1125NE06</v>
          </cell>
        </row>
        <row r="131">
          <cell r="A131" t="str">
            <v>25801400608</v>
          </cell>
          <cell r="B131" t="str">
            <v>Trần Minh</v>
          </cell>
          <cell r="C131" t="str">
            <v>Thành</v>
          </cell>
          <cell r="D131">
            <v>2103750</v>
          </cell>
          <cell r="E131" t="str">
            <v>LNH1125NE06</v>
          </cell>
        </row>
        <row r="132">
          <cell r="A132" t="str">
            <v>25801900288</v>
          </cell>
          <cell r="B132" t="str">
            <v>Bùi Anh</v>
          </cell>
          <cell r="C132" t="str">
            <v>Thư</v>
          </cell>
          <cell r="D132">
            <v>2103750</v>
          </cell>
          <cell r="E132" t="str">
            <v>LNH1125NE06</v>
          </cell>
        </row>
        <row r="133">
          <cell r="A133" t="str">
            <v>25802400025</v>
          </cell>
          <cell r="B133" t="str">
            <v>Ngô Bùi Nhật</v>
          </cell>
          <cell r="C133" t="str">
            <v>Tâm</v>
          </cell>
          <cell r="D133">
            <v>2103750</v>
          </cell>
          <cell r="E133" t="str">
            <v>LNH1125NE06</v>
          </cell>
        </row>
        <row r="134">
          <cell r="A134" t="str">
            <v>25802600042</v>
          </cell>
          <cell r="B134" t="str">
            <v>Châu Ngọc</v>
          </cell>
          <cell r="C134" t="str">
            <v>Hân</v>
          </cell>
          <cell r="D134">
            <v>2103750</v>
          </cell>
          <cell r="E134" t="str">
            <v>LNH1125NE06</v>
          </cell>
        </row>
        <row r="135">
          <cell r="A135" t="str">
            <v>25806400010</v>
          </cell>
          <cell r="B135" t="str">
            <v>Trần Vũ Gia</v>
          </cell>
          <cell r="C135" t="str">
            <v>Huy</v>
          </cell>
          <cell r="D135">
            <v>2103750</v>
          </cell>
          <cell r="E135" t="str">
            <v>LNH1125NE06</v>
          </cell>
        </row>
        <row r="136">
          <cell r="A136" t="str">
            <v>25806800022</v>
          </cell>
          <cell r="B136" t="str">
            <v>Nguyễn Thị Ngọc</v>
          </cell>
          <cell r="C136" t="str">
            <v>Hân</v>
          </cell>
          <cell r="D136">
            <v>2103750</v>
          </cell>
          <cell r="E136" t="str">
            <v>LNH1125NE06</v>
          </cell>
        </row>
        <row r="137">
          <cell r="A137" t="str">
            <v>25808300049</v>
          </cell>
          <cell r="B137" t="str">
            <v>Nguyen Thi Anh</v>
          </cell>
          <cell r="C137" t="str">
            <v>Thu</v>
          </cell>
          <cell r="D137">
            <v>2103750</v>
          </cell>
          <cell r="E137" t="str">
            <v>LNH1125NE06</v>
          </cell>
        </row>
        <row r="138">
          <cell r="A138" t="str">
            <v>25808600180</v>
          </cell>
          <cell r="B138" t="str">
            <v>Nguyễn Nông Khánh</v>
          </cell>
          <cell r="C138" t="str">
            <v>Linh</v>
          </cell>
          <cell r="D138">
            <v>2103750</v>
          </cell>
          <cell r="E138" t="str">
            <v>LNH1125NE06</v>
          </cell>
        </row>
        <row r="139">
          <cell r="A139" t="str">
            <v>25801200058</v>
          </cell>
          <cell r="B139" t="str">
            <v>Nguyễn Phương</v>
          </cell>
          <cell r="C139" t="str">
            <v>Vĩnh</v>
          </cell>
          <cell r="D139">
            <v>2103750</v>
          </cell>
          <cell r="E139" t="str">
            <v>LNH1125NE06</v>
          </cell>
        </row>
        <row r="140">
          <cell r="A140" t="str">
            <v>25801800082</v>
          </cell>
          <cell r="B140" t="str">
            <v>Nguyễn Anh</v>
          </cell>
          <cell r="C140" t="str">
            <v>Tuấn</v>
          </cell>
          <cell r="D140">
            <v>2103750</v>
          </cell>
          <cell r="E140" t="str">
            <v>LNH1125NE06</v>
          </cell>
        </row>
        <row r="141">
          <cell r="A141" t="str">
            <v>25802800001</v>
          </cell>
          <cell r="B141" t="str">
            <v>Nguyễn Quốc</v>
          </cell>
          <cell r="C141" t="str">
            <v>An</v>
          </cell>
          <cell r="D141">
            <v>2103750</v>
          </cell>
          <cell r="E141" t="str">
            <v>LNH1125NE06</v>
          </cell>
        </row>
        <row r="142">
          <cell r="A142" t="str">
            <v>25802800290</v>
          </cell>
          <cell r="B142" t="str">
            <v>Ngô Bảo</v>
          </cell>
          <cell r="C142" t="str">
            <v>Uyên</v>
          </cell>
          <cell r="D142">
            <v>2103750</v>
          </cell>
          <cell r="E142" t="str">
            <v>LNH1125NE06</v>
          </cell>
        </row>
        <row r="143">
          <cell r="A143" t="str">
            <v>25820500001</v>
          </cell>
          <cell r="B143" t="str">
            <v>Bùi Duy</v>
          </cell>
          <cell r="C143" t="str">
            <v>Bảo</v>
          </cell>
          <cell r="D143">
            <v>2103750</v>
          </cell>
          <cell r="E143" t="str">
            <v>LNH1125NE06</v>
          </cell>
        </row>
        <row r="144">
          <cell r="A144" t="str">
            <v>25801100107</v>
          </cell>
          <cell r="B144" t="str">
            <v>Phan Thị Thuý</v>
          </cell>
          <cell r="C144" t="str">
            <v>Vi</v>
          </cell>
          <cell r="D144">
            <v>2103750</v>
          </cell>
          <cell r="E144" t="str">
            <v>LNH1125NE06</v>
          </cell>
        </row>
        <row r="145">
          <cell r="A145" t="str">
            <v>25802600110</v>
          </cell>
          <cell r="B145" t="str">
            <v>Nguyễn Trần Nhật</v>
          </cell>
          <cell r="C145" t="str">
            <v>Thanh</v>
          </cell>
          <cell r="D145">
            <v>2103750</v>
          </cell>
          <cell r="E145" t="str">
            <v>LNH1125NE06</v>
          </cell>
        </row>
        <row r="146">
          <cell r="A146" t="str">
            <v>25802300142</v>
          </cell>
          <cell r="B146" t="str">
            <v>Đặng Thị Khánh</v>
          </cell>
          <cell r="C146" t="str">
            <v>Ly</v>
          </cell>
          <cell r="D146">
            <v>2232500</v>
          </cell>
          <cell r="E146" t="str">
            <v>LNH1125NE06</v>
          </cell>
        </row>
        <row r="147">
          <cell r="A147" t="str">
            <v>25806100240</v>
          </cell>
          <cell r="B147" t="str">
            <v>Bùi Thị Nguyệt</v>
          </cell>
          <cell r="C147" t="str">
            <v>Hằng</v>
          </cell>
          <cell r="D147">
            <v>2232500</v>
          </cell>
          <cell r="E147" t="str">
            <v>LNH1125NE06</v>
          </cell>
        </row>
        <row r="148">
          <cell r="A148" t="str">
            <v>25807000014</v>
          </cell>
          <cell r="B148" t="str">
            <v>Huỳnh Tấn</v>
          </cell>
          <cell r="C148" t="str">
            <v>Lộc</v>
          </cell>
          <cell r="D148">
            <v>2103750</v>
          </cell>
          <cell r="E148" t="str">
            <v>LNH1125NE06</v>
          </cell>
        </row>
        <row r="149">
          <cell r="A149" t="str">
            <v>25802800134</v>
          </cell>
          <cell r="B149" t="str">
            <v>Trần Văn Đặng</v>
          </cell>
          <cell r="C149" t="str">
            <v>Long</v>
          </cell>
          <cell r="D149">
            <v>2103750</v>
          </cell>
          <cell r="E149" t="str">
            <v>LNH1125NE06</v>
          </cell>
        </row>
        <row r="150">
          <cell r="A150" t="str">
            <v>25805800021</v>
          </cell>
          <cell r="B150" t="str">
            <v>Đinh Ngọc Phương</v>
          </cell>
          <cell r="C150" t="str">
            <v>Ngân</v>
          </cell>
          <cell r="D150">
            <v>2103750</v>
          </cell>
          <cell r="E150" t="str">
            <v>LNH1125NE06</v>
          </cell>
        </row>
        <row r="151">
          <cell r="A151" t="str">
            <v>25802800061</v>
          </cell>
          <cell r="B151" t="str">
            <v>Phan Trương Bích</v>
          </cell>
          <cell r="C151" t="str">
            <v>Hằng</v>
          </cell>
          <cell r="D151">
            <v>2103750</v>
          </cell>
          <cell r="E151" t="str">
            <v>LNH1125NE07</v>
          </cell>
        </row>
        <row r="152">
          <cell r="A152" t="str">
            <v>25801100076</v>
          </cell>
          <cell r="B152" t="str">
            <v>Trần Huỳnh Vạn</v>
          </cell>
          <cell r="C152" t="str">
            <v>Trí</v>
          </cell>
          <cell r="D152">
            <v>2103750</v>
          </cell>
          <cell r="E152" t="str">
            <v>LNH1125NE07</v>
          </cell>
        </row>
        <row r="153">
          <cell r="A153" t="str">
            <v>25801100089</v>
          </cell>
          <cell r="B153" t="str">
            <v>Trần Thị</v>
          </cell>
          <cell r="C153" t="str">
            <v>Hà</v>
          </cell>
          <cell r="D153">
            <v>2103750</v>
          </cell>
          <cell r="E153" t="str">
            <v>LNH1125NE07</v>
          </cell>
        </row>
        <row r="154">
          <cell r="A154" t="str">
            <v>25802600064</v>
          </cell>
          <cell r="B154" t="str">
            <v>Huỳnh Quốc</v>
          </cell>
          <cell r="C154" t="str">
            <v>Lãm</v>
          </cell>
          <cell r="D154">
            <v>2103750</v>
          </cell>
          <cell r="E154" t="str">
            <v>LNH1125NE07</v>
          </cell>
        </row>
        <row r="155">
          <cell r="A155" t="str">
            <v>25802800152</v>
          </cell>
          <cell r="B155" t="str">
            <v>Đỗ Thị Thanh</v>
          </cell>
          <cell r="C155" t="str">
            <v>Ngân</v>
          </cell>
          <cell r="D155">
            <v>2103750</v>
          </cell>
          <cell r="E155" t="str">
            <v>LNH1125NE07</v>
          </cell>
        </row>
        <row r="156">
          <cell r="A156" t="str">
            <v>25802800177</v>
          </cell>
          <cell r="B156" t="str">
            <v>Tô Đức</v>
          </cell>
          <cell r="C156" t="str">
            <v>Nguyên</v>
          </cell>
          <cell r="D156">
            <v>2103750</v>
          </cell>
          <cell r="E156" t="str">
            <v>LNH1125NE07</v>
          </cell>
        </row>
        <row r="157">
          <cell r="A157" t="str">
            <v>25805900063</v>
          </cell>
          <cell r="B157" t="str">
            <v>Dương Phương</v>
          </cell>
          <cell r="C157" t="str">
            <v>Uyên</v>
          </cell>
          <cell r="D157">
            <v>2103750</v>
          </cell>
          <cell r="E157" t="str">
            <v>LNH1125NE07</v>
          </cell>
        </row>
        <row r="158">
          <cell r="A158" t="str">
            <v>25808100017</v>
          </cell>
          <cell r="B158" t="str">
            <v>Nguyễn Quang</v>
          </cell>
          <cell r="C158" t="str">
            <v>Huy</v>
          </cell>
          <cell r="D158">
            <v>2103750</v>
          </cell>
          <cell r="E158" t="str">
            <v>LNH1125NE07</v>
          </cell>
        </row>
        <row r="159">
          <cell r="A159" t="str">
            <v>25808500347</v>
          </cell>
          <cell r="B159" t="str">
            <v>Trang Trần Thành</v>
          </cell>
          <cell r="C159" t="str">
            <v>Thịnh</v>
          </cell>
          <cell r="D159">
            <v>2103750</v>
          </cell>
          <cell r="E159" t="str">
            <v>LNH1125NE07</v>
          </cell>
        </row>
        <row r="160">
          <cell r="A160" t="str">
            <v>25808900152</v>
          </cell>
          <cell r="B160" t="str">
            <v>Võ Thành</v>
          </cell>
          <cell r="C160" t="str">
            <v>Vinh</v>
          </cell>
          <cell r="D160">
            <v>2103750</v>
          </cell>
          <cell r="E160" t="str">
            <v>LNH1125NE07</v>
          </cell>
        </row>
        <row r="161">
          <cell r="A161" t="str">
            <v>25820200008</v>
          </cell>
          <cell r="B161" t="str">
            <v>Huỳnh Phú</v>
          </cell>
          <cell r="C161" t="str">
            <v>Cường</v>
          </cell>
          <cell r="D161">
            <v>2103750</v>
          </cell>
          <cell r="E161" t="str">
            <v>LNH1125NE07</v>
          </cell>
        </row>
        <row r="162">
          <cell r="A162" t="str">
            <v>25807000017</v>
          </cell>
          <cell r="B162" t="str">
            <v>Nguyễn Thanh</v>
          </cell>
          <cell r="C162" t="str">
            <v>Ngân</v>
          </cell>
          <cell r="D162">
            <v>2103750</v>
          </cell>
          <cell r="E162" t="str">
            <v>LNH1125NE07</v>
          </cell>
        </row>
        <row r="163">
          <cell r="A163" t="str">
            <v>25802800198</v>
          </cell>
          <cell r="B163" t="str">
            <v>Phạm Hoàng</v>
          </cell>
          <cell r="C163" t="str">
            <v>Phát</v>
          </cell>
          <cell r="D163">
            <v>2103750</v>
          </cell>
          <cell r="E163" t="str">
            <v>LNH1125NE07</v>
          </cell>
        </row>
        <row r="164">
          <cell r="A164" t="str">
            <v>25806800058</v>
          </cell>
          <cell r="B164" t="str">
            <v>Huỳnh Hoa Trinh</v>
          </cell>
          <cell r="C164" t="str">
            <v>Nữ</v>
          </cell>
          <cell r="D164">
            <v>2103750</v>
          </cell>
          <cell r="E164" t="str">
            <v>LNH1125NE07</v>
          </cell>
        </row>
        <row r="165">
          <cell r="A165" t="str">
            <v>25805900029</v>
          </cell>
          <cell r="B165" t="str">
            <v>Dương Huỳnh Thanh</v>
          </cell>
          <cell r="C165" t="str">
            <v>Như</v>
          </cell>
          <cell r="D165">
            <v>2103750</v>
          </cell>
          <cell r="E165" t="str">
            <v>LNH1125NE07</v>
          </cell>
        </row>
        <row r="166">
          <cell r="A166" t="str">
            <v>25806800057</v>
          </cell>
          <cell r="B166" t="str">
            <v>Lê Tâm</v>
          </cell>
          <cell r="C166" t="str">
            <v>Như</v>
          </cell>
          <cell r="D166">
            <v>2232500</v>
          </cell>
          <cell r="E166" t="str">
            <v>LNH1125NE07</v>
          </cell>
        </row>
        <row r="167">
          <cell r="A167" t="str">
            <v>25808900055</v>
          </cell>
          <cell r="B167" t="str">
            <v>Huỳnh Ngọc Nguyên</v>
          </cell>
          <cell r="C167" t="str">
            <v>Khanh</v>
          </cell>
          <cell r="D167">
            <v>2232500</v>
          </cell>
          <cell r="E167" t="str">
            <v>LNH1125NE08</v>
          </cell>
        </row>
        <row r="168">
          <cell r="A168" t="str">
            <v>25802600089</v>
          </cell>
          <cell r="B168" t="str">
            <v>Đặng Kim Phương</v>
          </cell>
          <cell r="C168" t="str">
            <v>Nghi</v>
          </cell>
          <cell r="D168">
            <v>2103750</v>
          </cell>
          <cell r="E168" t="str">
            <v>LNH1125NE08</v>
          </cell>
        </row>
        <row r="169">
          <cell r="A169" t="str">
            <v>25805800005</v>
          </cell>
          <cell r="B169" t="str">
            <v>Nguyễn Khoa Tuyết</v>
          </cell>
          <cell r="C169" t="str">
            <v>Chi</v>
          </cell>
          <cell r="D169">
            <v>2103750</v>
          </cell>
          <cell r="E169" t="str">
            <v>LNH1125NE08</v>
          </cell>
        </row>
        <row r="170">
          <cell r="A170" t="str">
            <v>25805800015</v>
          </cell>
          <cell r="B170" t="str">
            <v>Lương Tấn</v>
          </cell>
          <cell r="C170" t="str">
            <v>Khoa</v>
          </cell>
          <cell r="D170">
            <v>2103750</v>
          </cell>
          <cell r="E170" t="str">
            <v>LNH1125NE08</v>
          </cell>
        </row>
        <row r="171">
          <cell r="A171" t="str">
            <v>25806000112</v>
          </cell>
          <cell r="B171" t="str">
            <v>Nguyễn Ngọc</v>
          </cell>
          <cell r="C171" t="str">
            <v>Trâm</v>
          </cell>
          <cell r="D171">
            <v>2103750</v>
          </cell>
          <cell r="E171" t="str">
            <v>LNH1125NE08</v>
          </cell>
        </row>
        <row r="172">
          <cell r="A172" t="str">
            <v>25805900064</v>
          </cell>
          <cell r="B172" t="str">
            <v>Trần Ngọc Hoàng</v>
          </cell>
          <cell r="C172" t="str">
            <v>Uyên</v>
          </cell>
          <cell r="D172">
            <v>2103750</v>
          </cell>
          <cell r="E172" t="str">
            <v>LNH1125NE08</v>
          </cell>
        </row>
        <row r="173">
          <cell r="A173" t="str">
            <v>25806000038</v>
          </cell>
          <cell r="B173" t="str">
            <v>Nguyễn Hồ Thu</v>
          </cell>
          <cell r="C173" t="str">
            <v>Thủy</v>
          </cell>
          <cell r="D173">
            <v>2103750</v>
          </cell>
          <cell r="E173" t="str">
            <v>LNH1125NE08</v>
          </cell>
        </row>
        <row r="174">
          <cell r="A174" t="str">
            <v>25802600105</v>
          </cell>
          <cell r="B174" t="str">
            <v>Vưu Thanh</v>
          </cell>
          <cell r="C174" t="str">
            <v>Sơn</v>
          </cell>
          <cell r="D174">
            <v>2103750</v>
          </cell>
          <cell r="E174" t="str">
            <v>LNH1125NE08</v>
          </cell>
        </row>
        <row r="175">
          <cell r="A175" t="str">
            <v>25802800289</v>
          </cell>
          <cell r="B175" t="str">
            <v>Nguyễn Thị Lan</v>
          </cell>
          <cell r="C175" t="str">
            <v>Tường</v>
          </cell>
          <cell r="D175">
            <v>2103750</v>
          </cell>
          <cell r="E175" t="str">
            <v>LNH1125NE08</v>
          </cell>
        </row>
        <row r="176">
          <cell r="A176" t="str">
            <v>25807000021</v>
          </cell>
          <cell r="B176" t="str">
            <v>Bùi Tiến</v>
          </cell>
          <cell r="C176" t="str">
            <v>Phát</v>
          </cell>
          <cell r="D176">
            <v>2103750</v>
          </cell>
          <cell r="E176" t="str">
            <v>LNH1125NE08</v>
          </cell>
        </row>
        <row r="177">
          <cell r="A177" t="str">
            <v>25808600039</v>
          </cell>
          <cell r="B177" t="str">
            <v>Đinh Nguyễn Nhựt</v>
          </cell>
          <cell r="C177" t="str">
            <v>Huy</v>
          </cell>
          <cell r="D177">
            <v>2103750</v>
          </cell>
          <cell r="E177" t="str">
            <v>LNH1125NE08</v>
          </cell>
        </row>
        <row r="178">
          <cell r="A178" t="str">
            <v>25806800033</v>
          </cell>
          <cell r="B178" t="str">
            <v>Bùi Trúc</v>
          </cell>
          <cell r="C178" t="str">
            <v>Linh</v>
          </cell>
          <cell r="D178">
            <v>2103750</v>
          </cell>
          <cell r="E178" t="str">
            <v>LNH1125NE08</v>
          </cell>
        </row>
        <row r="179">
          <cell r="A179" t="str">
            <v>25805900012</v>
          </cell>
          <cell r="B179" t="str">
            <v>Trịnh Thị Diệu</v>
          </cell>
          <cell r="C179" t="str">
            <v>Hằng</v>
          </cell>
          <cell r="D179">
            <v>2103750</v>
          </cell>
          <cell r="E179" t="str">
            <v>LNH1125NE08</v>
          </cell>
        </row>
        <row r="180">
          <cell r="A180" t="str">
            <v>25808900132</v>
          </cell>
          <cell r="B180" t="str">
            <v>Phạm Thanh</v>
          </cell>
          <cell r="C180" t="str">
            <v>Toàn</v>
          </cell>
          <cell r="D180">
            <v>2103750</v>
          </cell>
          <cell r="E180" t="str">
            <v>LNH1125NE08</v>
          </cell>
        </row>
        <row r="181">
          <cell r="A181" t="str">
            <v>25802800070</v>
          </cell>
          <cell r="B181" t="str">
            <v>Lê Thị Thu</v>
          </cell>
          <cell r="C181" t="str">
            <v>Hiền</v>
          </cell>
          <cell r="D181">
            <v>2103750</v>
          </cell>
          <cell r="E181" t="str">
            <v>LNH1125NE08</v>
          </cell>
        </row>
        <row r="182">
          <cell r="A182" t="str">
            <v>25808600139</v>
          </cell>
          <cell r="B182" t="str">
            <v>Nguyễn Thanh</v>
          </cell>
          <cell r="C182" t="str">
            <v>Trúc</v>
          </cell>
          <cell r="D182">
            <v>2232500</v>
          </cell>
          <cell r="E182" t="str">
            <v>LNH1125NE08</v>
          </cell>
        </row>
        <row r="183">
          <cell r="A183" t="str">
            <v>25805900091</v>
          </cell>
          <cell r="B183" t="str">
            <v>Phạm Phương</v>
          </cell>
          <cell r="C183" t="str">
            <v>Uyên</v>
          </cell>
          <cell r="D183">
            <v>2232500</v>
          </cell>
          <cell r="E183" t="str">
            <v>LNH1125NE08</v>
          </cell>
        </row>
        <row r="184">
          <cell r="A184" t="str">
            <v>25802800019</v>
          </cell>
          <cell r="B184" t="str">
            <v>Ninh Gia</v>
          </cell>
          <cell r="C184" t="str">
            <v>Bảo</v>
          </cell>
          <cell r="D184">
            <v>2600000</v>
          </cell>
          <cell r="E184" t="str">
            <v>LNH1125NE08</v>
          </cell>
        </row>
        <row r="185">
          <cell r="A185" t="str">
            <v>25802800113</v>
          </cell>
          <cell r="B185" t="str">
            <v>Huỳnh Phạm Đăng</v>
          </cell>
          <cell r="C185" t="str">
            <v>Khoa</v>
          </cell>
          <cell r="D185">
            <v>2232500</v>
          </cell>
          <cell r="E185" t="str">
            <v>LNH1125NE09</v>
          </cell>
        </row>
        <row r="186">
          <cell r="A186" t="str">
            <v>25801400076</v>
          </cell>
          <cell r="B186" t="str">
            <v>Lâm Kiến</v>
          </cell>
          <cell r="C186" t="str">
            <v>Hào</v>
          </cell>
          <cell r="D186">
            <v>2232500</v>
          </cell>
          <cell r="E186" t="str">
            <v>LNH1125NE09</v>
          </cell>
        </row>
        <row r="187">
          <cell r="A187" t="str">
            <v>25807500028</v>
          </cell>
          <cell r="B187" t="str">
            <v>Tô Gia</v>
          </cell>
          <cell r="C187" t="str">
            <v>Hân</v>
          </cell>
          <cell r="D187">
            <v>2232500</v>
          </cell>
          <cell r="E187" t="str">
            <v>LNH1125NE09</v>
          </cell>
        </row>
        <row r="188">
          <cell r="A188" t="str">
            <v>25801200021</v>
          </cell>
          <cell r="B188" t="str">
            <v>Trần Quang</v>
          </cell>
          <cell r="C188" t="str">
            <v>Minh</v>
          </cell>
          <cell r="D188">
            <v>2103750</v>
          </cell>
          <cell r="E188" t="str">
            <v>LNH1125NE09</v>
          </cell>
        </row>
        <row r="189">
          <cell r="A189" t="str">
            <v>25808900043</v>
          </cell>
          <cell r="B189" t="str">
            <v>Huỳnh Xuân</v>
          </cell>
          <cell r="C189" t="str">
            <v>Hùng</v>
          </cell>
          <cell r="D189">
            <v>2103750</v>
          </cell>
          <cell r="E189" t="str">
            <v>LNH1125NE09</v>
          </cell>
        </row>
        <row r="190">
          <cell r="A190" t="str">
            <v>25808900240</v>
          </cell>
          <cell r="B190" t="str">
            <v>Phạm Văn</v>
          </cell>
          <cell r="C190" t="str">
            <v>Thành</v>
          </cell>
          <cell r="D190">
            <v>2103750</v>
          </cell>
          <cell r="E190" t="str">
            <v>LNH1125NE09</v>
          </cell>
        </row>
        <row r="191">
          <cell r="A191" t="str">
            <v>25806500014</v>
          </cell>
          <cell r="B191" t="str">
            <v>Nguyễn Thanh Ngọc</v>
          </cell>
          <cell r="C191" t="str">
            <v>Thảo</v>
          </cell>
          <cell r="D191">
            <v>2103750</v>
          </cell>
          <cell r="E191" t="str">
            <v>LNH1125NE09</v>
          </cell>
        </row>
        <row r="192">
          <cell r="A192" t="str">
            <v>25820500002</v>
          </cell>
          <cell r="B192" t="str">
            <v>Đặng Quốc</v>
          </cell>
          <cell r="C192" t="str">
            <v>Bảo</v>
          </cell>
          <cell r="D192">
            <v>2103750</v>
          </cell>
          <cell r="E192" t="str">
            <v>LNH1125NE09</v>
          </cell>
        </row>
        <row r="193">
          <cell r="A193" t="str">
            <v>25802800258</v>
          </cell>
          <cell r="B193" t="str">
            <v>Nguyễn Công</v>
          </cell>
          <cell r="C193" t="str">
            <v>Thường</v>
          </cell>
          <cell r="D193">
            <v>2103750</v>
          </cell>
          <cell r="E193" t="str">
            <v>LNH1125NE09</v>
          </cell>
        </row>
        <row r="194">
          <cell r="A194" t="str">
            <v>25806000015</v>
          </cell>
          <cell r="B194" t="str">
            <v>Đỗ Ngọc Thảo</v>
          </cell>
          <cell r="C194" t="str">
            <v>Linh</v>
          </cell>
          <cell r="D194">
            <v>2103750</v>
          </cell>
          <cell r="E194" t="str">
            <v>LNH1125NE09</v>
          </cell>
        </row>
        <row r="195">
          <cell r="A195" t="str">
            <v>25808300031</v>
          </cell>
          <cell r="B195" t="str">
            <v>Nguyễn Ngọc Thiên</v>
          </cell>
          <cell r="C195" t="str">
            <v>Ngân</v>
          </cell>
          <cell r="D195">
            <v>2103750</v>
          </cell>
          <cell r="E195" t="str">
            <v>LNH1125NE09</v>
          </cell>
        </row>
        <row r="196">
          <cell r="A196" t="str">
            <v>25808900008</v>
          </cell>
          <cell r="B196" t="str">
            <v>Le Do Hung</v>
          </cell>
          <cell r="C196" t="str">
            <v>Anh</v>
          </cell>
          <cell r="D196">
            <v>2103750</v>
          </cell>
          <cell r="E196" t="str">
            <v>LNH1125NE09</v>
          </cell>
        </row>
        <row r="197">
          <cell r="A197" t="str">
            <v>25802800020</v>
          </cell>
          <cell r="B197" t="str">
            <v>Trương Nguyễn Gia</v>
          </cell>
          <cell r="C197" t="str">
            <v>Bảo</v>
          </cell>
          <cell r="D197">
            <v>2103750</v>
          </cell>
          <cell r="E197" t="str">
            <v>LNH1125NE09</v>
          </cell>
        </row>
        <row r="198">
          <cell r="A198" t="str">
            <v>25808600090</v>
          </cell>
          <cell r="B198" t="str">
            <v>Đỗ Thị Minh</v>
          </cell>
          <cell r="C198" t="str">
            <v>Phương</v>
          </cell>
          <cell r="D198">
            <v>2103750</v>
          </cell>
          <cell r="E198" t="str">
            <v>LNH1125NE09</v>
          </cell>
        </row>
        <row r="199">
          <cell r="A199" t="str">
            <v>25801800015</v>
          </cell>
          <cell r="B199" t="str">
            <v>Đặng Nguyễn Gia</v>
          </cell>
          <cell r="C199" t="str">
            <v>Hân</v>
          </cell>
          <cell r="D199">
            <v>2232500</v>
          </cell>
          <cell r="E199" t="str">
            <v>LNH1125NE09</v>
          </cell>
        </row>
        <row r="200">
          <cell r="A200" t="str">
            <v>25802800047</v>
          </cell>
          <cell r="B200" t="str">
            <v>Nguyễn Hải</v>
          </cell>
          <cell r="C200" t="str">
            <v>Đăng</v>
          </cell>
          <cell r="D200">
            <v>2103750</v>
          </cell>
          <cell r="E200" t="str">
            <v>LNH1125NE09</v>
          </cell>
        </row>
        <row r="201">
          <cell r="A201" t="str">
            <v>25808600137</v>
          </cell>
          <cell r="B201" t="str">
            <v>Lương Thị Tuyết</v>
          </cell>
          <cell r="C201" t="str">
            <v>Trinh</v>
          </cell>
          <cell r="D201">
            <v>2103750</v>
          </cell>
          <cell r="E201" t="str">
            <v>LNH1125NE09</v>
          </cell>
        </row>
        <row r="202">
          <cell r="A202" t="str">
            <v>25806000099</v>
          </cell>
          <cell r="B202" t="str">
            <v>Huỳnh Thị Nhã</v>
          </cell>
          <cell r="C202" t="str">
            <v>Phương</v>
          </cell>
          <cell r="D202">
            <v>2103750</v>
          </cell>
          <cell r="E202" t="str">
            <v>LNH1125NE09</v>
          </cell>
        </row>
        <row r="203">
          <cell r="A203" t="str">
            <v>25806000026</v>
          </cell>
          <cell r="B203" t="str">
            <v>Phạm Văn Vĩnh</v>
          </cell>
          <cell r="C203" t="str">
            <v>Phúc</v>
          </cell>
          <cell r="D203">
            <v>2103750</v>
          </cell>
          <cell r="E203" t="str">
            <v>LNH1125NE10</v>
          </cell>
        </row>
        <row r="204">
          <cell r="A204" t="str">
            <v>25809600006</v>
          </cell>
          <cell r="B204" t="str">
            <v>Vũ Quốc</v>
          </cell>
          <cell r="C204" t="str">
            <v>Bảo</v>
          </cell>
          <cell r="D204">
            <v>2232500</v>
          </cell>
          <cell r="E204" t="str">
            <v>LNH1125NE10</v>
          </cell>
        </row>
        <row r="205">
          <cell r="A205" t="str">
            <v>25808600067</v>
          </cell>
          <cell r="B205" t="str">
            <v>Võ Lê Thảo</v>
          </cell>
          <cell r="C205" t="str">
            <v>My</v>
          </cell>
          <cell r="D205">
            <v>2232500</v>
          </cell>
          <cell r="E205" t="str">
            <v>LNH1125NE10</v>
          </cell>
        </row>
        <row r="206">
          <cell r="A206" t="str">
            <v>25802600218</v>
          </cell>
          <cell r="B206" t="str">
            <v>Nguyễn Thị Vân</v>
          </cell>
          <cell r="C206" t="str">
            <v>Anh</v>
          </cell>
          <cell r="D206">
            <v>2232500</v>
          </cell>
          <cell r="E206" t="str">
            <v>LNH1125NE10</v>
          </cell>
        </row>
        <row r="207">
          <cell r="A207" t="str">
            <v>25805900103</v>
          </cell>
          <cell r="B207" t="str">
            <v>Lê Mỹ</v>
          </cell>
          <cell r="C207" t="str">
            <v>Nhàn</v>
          </cell>
          <cell r="D207">
            <v>2103750</v>
          </cell>
          <cell r="E207" t="str">
            <v>LNH1125NE10</v>
          </cell>
        </row>
        <row r="208">
          <cell r="A208" t="str">
            <v>25808600033</v>
          </cell>
          <cell r="B208" t="str">
            <v>Phạm Thị Ngọc</v>
          </cell>
          <cell r="C208" t="str">
            <v>Hân</v>
          </cell>
          <cell r="D208">
            <v>2103750</v>
          </cell>
          <cell r="E208" t="str">
            <v>LNH1125NE10</v>
          </cell>
        </row>
        <row r="209">
          <cell r="A209" t="str">
            <v>25808600160</v>
          </cell>
          <cell r="B209" t="str">
            <v>Nguyễn Thị Như</v>
          </cell>
          <cell r="C209" t="str">
            <v>Ý</v>
          </cell>
          <cell r="D209">
            <v>2103750</v>
          </cell>
          <cell r="E209" t="str">
            <v>LNH1125NE10</v>
          </cell>
        </row>
        <row r="210">
          <cell r="A210" t="str">
            <v>25803000304</v>
          </cell>
          <cell r="B210" t="str">
            <v>Nguyễn Thị Thùy</v>
          </cell>
          <cell r="C210" t="str">
            <v>Linh</v>
          </cell>
          <cell r="D210">
            <v>2103750</v>
          </cell>
          <cell r="E210" t="str">
            <v>LNH1125NE10</v>
          </cell>
        </row>
        <row r="211">
          <cell r="A211" t="str">
            <v>25802800081</v>
          </cell>
          <cell r="B211" t="str">
            <v>Lê Xuân</v>
          </cell>
          <cell r="C211" t="str">
            <v>Hùng</v>
          </cell>
          <cell r="D211">
            <v>2103750</v>
          </cell>
          <cell r="E211" t="str">
            <v>LNH1125NE10</v>
          </cell>
        </row>
        <row r="212">
          <cell r="A212" t="str">
            <v>25802800300</v>
          </cell>
          <cell r="B212" t="str">
            <v>Trần Nguyễn Phương</v>
          </cell>
          <cell r="C212" t="str">
            <v>Vy</v>
          </cell>
          <cell r="D212">
            <v>2103750</v>
          </cell>
          <cell r="E212" t="str">
            <v>LNH1125NE10</v>
          </cell>
        </row>
        <row r="213">
          <cell r="A213" t="str">
            <v>25807100028</v>
          </cell>
          <cell r="B213" t="str">
            <v>Trần Nhật</v>
          </cell>
          <cell r="C213" t="str">
            <v>Anh</v>
          </cell>
          <cell r="D213">
            <v>2103750</v>
          </cell>
          <cell r="E213" t="str">
            <v>LNH1125NE10</v>
          </cell>
        </row>
        <row r="214">
          <cell r="A214" t="str">
            <v>25802600056</v>
          </cell>
          <cell r="B214" t="str">
            <v>Nguyễn Duy</v>
          </cell>
          <cell r="C214" t="str">
            <v>Khang</v>
          </cell>
          <cell r="D214">
            <v>2103750</v>
          </cell>
          <cell r="E214" t="str">
            <v>LNH1125NE10</v>
          </cell>
        </row>
        <row r="215">
          <cell r="A215" t="str">
            <v>25805800048</v>
          </cell>
          <cell r="B215" t="str">
            <v>Trần Chí</v>
          </cell>
          <cell r="C215" t="str">
            <v>Huy</v>
          </cell>
          <cell r="D215">
            <v>2103750</v>
          </cell>
          <cell r="E215" t="str">
            <v>LNH1125NE10</v>
          </cell>
        </row>
        <row r="216">
          <cell r="A216" t="str">
            <v>25802800351</v>
          </cell>
          <cell r="B216" t="str">
            <v>Nguyễn Duy</v>
          </cell>
          <cell r="C216" t="str">
            <v>Thắng</v>
          </cell>
          <cell r="D216">
            <v>2103750</v>
          </cell>
          <cell r="E216" t="str">
            <v>LNH1125NE10</v>
          </cell>
        </row>
        <row r="217">
          <cell r="A217" t="str">
            <v>25802300306</v>
          </cell>
          <cell r="B217" t="str">
            <v>Lê Ngọc Kiều</v>
          </cell>
          <cell r="C217" t="str">
            <v>Vy</v>
          </cell>
          <cell r="D217">
            <v>2103750</v>
          </cell>
          <cell r="E217" t="str">
            <v>LNH1125NE10</v>
          </cell>
        </row>
        <row r="218">
          <cell r="A218" t="str">
            <v>25802800151</v>
          </cell>
          <cell r="B218" t="str">
            <v>Rơ Châm</v>
          </cell>
          <cell r="C218" t="str">
            <v>Ngaoh</v>
          </cell>
          <cell r="D218">
            <v>2232500</v>
          </cell>
          <cell r="E218" t="str">
            <v>LNH1125NE10</v>
          </cell>
        </row>
        <row r="219">
          <cell r="A219" t="str">
            <v>25806000004</v>
          </cell>
          <cell r="B219" t="str">
            <v>Huỳnh Long</v>
          </cell>
          <cell r="C219" t="str">
            <v>Chương</v>
          </cell>
          <cell r="D219">
            <v>2103750</v>
          </cell>
          <cell r="E219" t="str">
            <v>LNH1125NE10</v>
          </cell>
        </row>
        <row r="220">
          <cell r="A220" t="str">
            <v>25802800055</v>
          </cell>
          <cell r="B220" t="str">
            <v>Nguyễn Xuân Hoàng</v>
          </cell>
          <cell r="C220" t="str">
            <v>Hà</v>
          </cell>
          <cell r="D220">
            <v>2103750</v>
          </cell>
          <cell r="E220" t="str">
            <v>LNH1125NE11</v>
          </cell>
        </row>
        <row r="221">
          <cell r="A221" t="str">
            <v>25802800133</v>
          </cell>
          <cell r="B221" t="str">
            <v>Đỗ Lê Thanh</v>
          </cell>
          <cell r="C221" t="str">
            <v>Loan</v>
          </cell>
          <cell r="D221">
            <v>2103750</v>
          </cell>
          <cell r="E221" t="str">
            <v>LNH1125NE11</v>
          </cell>
        </row>
        <row r="222">
          <cell r="A222" t="str">
            <v>25808600051</v>
          </cell>
          <cell r="B222" t="str">
            <v>Mã Thị</v>
          </cell>
          <cell r="C222" t="str">
            <v>Liên</v>
          </cell>
          <cell r="D222">
            <v>2103750</v>
          </cell>
          <cell r="E222" t="str">
            <v>LNH1125NE11</v>
          </cell>
        </row>
        <row r="223">
          <cell r="A223" t="str">
            <v>25802600208</v>
          </cell>
          <cell r="B223" t="str">
            <v>Phan Anh</v>
          </cell>
          <cell r="C223" t="str">
            <v>Thư</v>
          </cell>
          <cell r="D223">
            <v>2103750</v>
          </cell>
          <cell r="E223" t="str">
            <v>LNH1125NE11</v>
          </cell>
        </row>
        <row r="224">
          <cell r="A224" t="str">
            <v>25802800155</v>
          </cell>
          <cell r="B224" t="str">
            <v>Nguyễn Huỳnh Đình</v>
          </cell>
          <cell r="C224" t="str">
            <v>Nghi</v>
          </cell>
          <cell r="D224">
            <v>2103750</v>
          </cell>
          <cell r="E224" t="str">
            <v>LNH1125NE11</v>
          </cell>
        </row>
        <row r="225">
          <cell r="A225" t="str">
            <v>25808500106</v>
          </cell>
          <cell r="B225" t="str">
            <v>Phạm Ngọc</v>
          </cell>
          <cell r="C225" t="str">
            <v>Hân</v>
          </cell>
          <cell r="D225">
            <v>2103750</v>
          </cell>
          <cell r="E225" t="str">
            <v>LNH1125NE11</v>
          </cell>
        </row>
        <row r="226">
          <cell r="A226" t="str">
            <v>25801800161</v>
          </cell>
          <cell r="B226" t="str">
            <v>Nguyễn Thị Kiều</v>
          </cell>
          <cell r="C226" t="str">
            <v>Vy</v>
          </cell>
          <cell r="D226">
            <v>2103750</v>
          </cell>
          <cell r="E226" t="str">
            <v>LNH1125NE11</v>
          </cell>
        </row>
        <row r="227">
          <cell r="A227" t="str">
            <v>25802600031</v>
          </cell>
          <cell r="B227" t="str">
            <v>Nguyễn Đặng Minh</v>
          </cell>
          <cell r="C227" t="str">
            <v>Đạt</v>
          </cell>
          <cell r="D227">
            <v>2103750</v>
          </cell>
          <cell r="E227" t="str">
            <v>LNH1125NE11</v>
          </cell>
        </row>
        <row r="228">
          <cell r="A228" t="str">
            <v>25808300040</v>
          </cell>
          <cell r="B228" t="str">
            <v>Cao Chung Thái</v>
          </cell>
          <cell r="C228" t="str">
            <v>Sơn</v>
          </cell>
          <cell r="D228">
            <v>2103750</v>
          </cell>
          <cell r="E228" t="str">
            <v>LNH1125NE11</v>
          </cell>
        </row>
        <row r="229">
          <cell r="A229" t="str">
            <v>25809600068</v>
          </cell>
          <cell r="B229" t="str">
            <v>Võ Việt</v>
          </cell>
          <cell r="C229" t="str">
            <v>Trí</v>
          </cell>
          <cell r="D229">
            <v>2103750</v>
          </cell>
          <cell r="E229" t="str">
            <v>LNH1125NE11</v>
          </cell>
        </row>
        <row r="230">
          <cell r="A230" t="str">
            <v>25808900004</v>
          </cell>
          <cell r="B230" t="str">
            <v>Đào Duy</v>
          </cell>
          <cell r="C230" t="str">
            <v>Anh</v>
          </cell>
          <cell r="D230">
            <v>2103750</v>
          </cell>
          <cell r="E230" t="str">
            <v>LNH1125NE11</v>
          </cell>
        </row>
        <row r="231">
          <cell r="A231" t="str">
            <v>25808900229</v>
          </cell>
          <cell r="B231" t="str">
            <v>Nguyễn Thiên</v>
          </cell>
          <cell r="C231" t="str">
            <v>Ân</v>
          </cell>
          <cell r="D231">
            <v>2103750</v>
          </cell>
          <cell r="E231" t="str">
            <v>LNH1125NE11</v>
          </cell>
        </row>
        <row r="232">
          <cell r="A232" t="str">
            <v>25808600127</v>
          </cell>
          <cell r="B232" t="str">
            <v>Nguyễn Trung</v>
          </cell>
          <cell r="C232" t="str">
            <v>Tín</v>
          </cell>
          <cell r="D232">
            <v>2232500</v>
          </cell>
          <cell r="E232" t="str">
            <v>LNH1125NE11</v>
          </cell>
        </row>
        <row r="233">
          <cell r="A233" t="str">
            <v>25807700083</v>
          </cell>
          <cell r="B233" t="str">
            <v>Bùi Xuân</v>
          </cell>
          <cell r="C233" t="str">
            <v>Vĩnh</v>
          </cell>
          <cell r="D233">
            <v>2232500</v>
          </cell>
          <cell r="E233" t="str">
            <v>LNH1125NE11</v>
          </cell>
        </row>
        <row r="234">
          <cell r="A234" t="str">
            <v>25802800025</v>
          </cell>
          <cell r="B234" t="str">
            <v>Trần Vũ Bảo</v>
          </cell>
          <cell r="C234" t="str">
            <v>Châu</v>
          </cell>
          <cell r="D234">
            <v>2232500</v>
          </cell>
          <cell r="E234" t="str">
            <v>LNH1125NE11</v>
          </cell>
        </row>
        <row r="235">
          <cell r="A235" t="str">
            <v>25808900138</v>
          </cell>
          <cell r="B235" t="str">
            <v>Vũ Minh</v>
          </cell>
          <cell r="C235" t="str">
            <v>Triết</v>
          </cell>
          <cell r="D235">
            <v>2232500</v>
          </cell>
          <cell r="E235" t="str">
            <v>LNH1125NE11</v>
          </cell>
        </row>
        <row r="236">
          <cell r="A236" t="str">
            <v>25802800096</v>
          </cell>
          <cell r="B236" t="str">
            <v>Tran Gia</v>
          </cell>
          <cell r="C236" t="str">
            <v>Huy</v>
          </cell>
          <cell r="D236">
            <v>2103750</v>
          </cell>
          <cell r="E236" t="str">
            <v>LNH1125NE11</v>
          </cell>
        </row>
        <row r="237">
          <cell r="A237" t="str">
            <v>25802800180</v>
          </cell>
          <cell r="B237" t="str">
            <v>Thái Huỳnh</v>
          </cell>
          <cell r="C237" t="str">
            <v>Nhân</v>
          </cell>
          <cell r="D237">
            <v>2103750</v>
          </cell>
          <cell r="E237" t="str">
            <v>LNH1125NE12</v>
          </cell>
        </row>
        <row r="238">
          <cell r="A238" t="str">
            <v>25805800009</v>
          </cell>
          <cell r="B238" t="str">
            <v>Vũ Hải</v>
          </cell>
          <cell r="C238" t="str">
            <v>Hà</v>
          </cell>
          <cell r="D238">
            <v>2103750</v>
          </cell>
          <cell r="E238" t="str">
            <v>LNH1125NE12</v>
          </cell>
        </row>
        <row r="239">
          <cell r="A239" t="str">
            <v>25802800145</v>
          </cell>
          <cell r="B239" t="str">
            <v>Kiều Công</v>
          </cell>
          <cell r="C239" t="str">
            <v>Minh</v>
          </cell>
          <cell r="D239">
            <v>2103750</v>
          </cell>
          <cell r="E239" t="str">
            <v>LNH1125NE12</v>
          </cell>
        </row>
        <row r="240">
          <cell r="A240" t="str">
            <v>25805800027</v>
          </cell>
          <cell r="B240" t="str">
            <v>Lê Hiền Thảo</v>
          </cell>
          <cell r="C240" t="str">
            <v>Quyên</v>
          </cell>
          <cell r="D240">
            <v>2103750</v>
          </cell>
          <cell r="E240" t="str">
            <v>LNH1125NE12</v>
          </cell>
        </row>
        <row r="241">
          <cell r="A241" t="str">
            <v>25806800069</v>
          </cell>
          <cell r="B241" t="str">
            <v>Phạm Thị Đào</v>
          </cell>
          <cell r="C241" t="str">
            <v>Thu</v>
          </cell>
          <cell r="D241">
            <v>2103750</v>
          </cell>
          <cell r="E241" t="str">
            <v>LNH1125NE12</v>
          </cell>
        </row>
        <row r="242">
          <cell r="A242" t="str">
            <v>25801800014</v>
          </cell>
          <cell r="B242" t="str">
            <v>Nguyễn Thị Thu</v>
          </cell>
          <cell r="C242" t="str">
            <v>Hằng</v>
          </cell>
          <cell r="D242">
            <v>2103750</v>
          </cell>
          <cell r="E242" t="str">
            <v>LNH1125NE12</v>
          </cell>
        </row>
        <row r="243">
          <cell r="A243" t="str">
            <v>25808900122</v>
          </cell>
          <cell r="B243" t="str">
            <v>Nguyễn Ngọc</v>
          </cell>
          <cell r="C243" t="str">
            <v>Thuận</v>
          </cell>
          <cell r="D243">
            <v>2103750</v>
          </cell>
          <cell r="E243" t="str">
            <v>LNH1125NE12</v>
          </cell>
        </row>
        <row r="244">
          <cell r="A244" t="str">
            <v>25805900043</v>
          </cell>
          <cell r="B244" t="str">
            <v>Nguyễn Phương</v>
          </cell>
          <cell r="C244" t="str">
            <v>Thảo</v>
          </cell>
          <cell r="D244">
            <v>2103750</v>
          </cell>
          <cell r="E244" t="str">
            <v>LNH1125NE12</v>
          </cell>
        </row>
        <row r="245">
          <cell r="A245" t="str">
            <v>25808600105</v>
          </cell>
          <cell r="B245" t="str">
            <v>Lê Minh</v>
          </cell>
          <cell r="C245" t="str">
            <v>Tâm</v>
          </cell>
          <cell r="D245">
            <v>2103750</v>
          </cell>
          <cell r="E245" t="str">
            <v>LNH1125NE12</v>
          </cell>
        </row>
        <row r="246">
          <cell r="A246" t="str">
            <v>25808900014</v>
          </cell>
          <cell r="B246" t="str">
            <v>Trần Minh</v>
          </cell>
          <cell r="C246" t="str">
            <v>Chí</v>
          </cell>
          <cell r="D246">
            <v>2103750</v>
          </cell>
          <cell r="E246" t="str">
            <v>LNH1125NE12</v>
          </cell>
        </row>
        <row r="247">
          <cell r="A247" t="str">
            <v>25808900091</v>
          </cell>
          <cell r="B247" t="str">
            <v>Dương Thị Tuyết</v>
          </cell>
          <cell r="C247" t="str">
            <v>Nhi</v>
          </cell>
          <cell r="D247">
            <v>2103750</v>
          </cell>
          <cell r="E247" t="str">
            <v>LNH1125NE12</v>
          </cell>
        </row>
        <row r="248">
          <cell r="A248" t="str">
            <v>25808900109</v>
          </cell>
          <cell r="B248" t="str">
            <v>Lê Văn</v>
          </cell>
          <cell r="C248" t="str">
            <v>Tấn</v>
          </cell>
          <cell r="D248">
            <v>2103750</v>
          </cell>
          <cell r="E248" t="str">
            <v>LNH1125NE12</v>
          </cell>
        </row>
        <row r="249">
          <cell r="A249" t="str">
            <v>25808900146</v>
          </cell>
          <cell r="B249" t="str">
            <v>Phùng Minh</v>
          </cell>
          <cell r="C249" t="str">
            <v>Tuấn</v>
          </cell>
          <cell r="D249">
            <v>2103750</v>
          </cell>
          <cell r="E249" t="str">
            <v>LNH1125NE12</v>
          </cell>
        </row>
        <row r="250">
          <cell r="A250" t="str">
            <v>25802600209</v>
          </cell>
          <cell r="B250" t="str">
            <v>Bạch Đoan</v>
          </cell>
          <cell r="C250" t="str">
            <v>Linh</v>
          </cell>
          <cell r="D250">
            <v>2232500</v>
          </cell>
          <cell r="E250" t="str">
            <v>LNH1125NE12</v>
          </cell>
        </row>
        <row r="251">
          <cell r="A251" t="str">
            <v>25805800030</v>
          </cell>
          <cell r="B251" t="str">
            <v>Ngô Ngọc Minh</v>
          </cell>
          <cell r="C251" t="str">
            <v>Thư</v>
          </cell>
          <cell r="D251">
            <v>2232500</v>
          </cell>
          <cell r="E251" t="str">
            <v>LNH1125NE12</v>
          </cell>
        </row>
        <row r="252">
          <cell r="A252" t="str">
            <v>25807000055</v>
          </cell>
          <cell r="B252" t="str">
            <v>Trần Minh</v>
          </cell>
          <cell r="C252" t="str">
            <v>Mẫn</v>
          </cell>
          <cell r="D252">
            <v>2232500</v>
          </cell>
          <cell r="E252" t="str">
            <v>LNH1125NE12</v>
          </cell>
        </row>
        <row r="253">
          <cell r="A253" t="str">
            <v>25808900095</v>
          </cell>
          <cell r="B253" t="str">
            <v>Nguyễn Hữu</v>
          </cell>
          <cell r="C253" t="str">
            <v>Phát</v>
          </cell>
          <cell r="D253">
            <v>2232500</v>
          </cell>
          <cell r="E253" t="str">
            <v>LNH1125NE13</v>
          </cell>
        </row>
        <row r="254">
          <cell r="A254" t="str">
            <v>25801800110</v>
          </cell>
          <cell r="B254" t="str">
            <v>Lê Thị</v>
          </cell>
          <cell r="C254" t="str">
            <v>Nguyên</v>
          </cell>
          <cell r="D254">
            <v>2103750</v>
          </cell>
          <cell r="E254" t="str">
            <v>LNH1125NE13</v>
          </cell>
        </row>
        <row r="255">
          <cell r="A255" t="str">
            <v>25808600054</v>
          </cell>
          <cell r="B255" t="str">
            <v>Đặng Thị Thùy</v>
          </cell>
          <cell r="C255" t="str">
            <v>Linh</v>
          </cell>
          <cell r="D255">
            <v>2103750</v>
          </cell>
          <cell r="E255" t="str">
            <v>LNH1125NE13</v>
          </cell>
        </row>
        <row r="256">
          <cell r="A256" t="str">
            <v>25802600139</v>
          </cell>
          <cell r="B256" t="str">
            <v>Phạm Nguyễn Thảo</v>
          </cell>
          <cell r="C256" t="str">
            <v>Vy</v>
          </cell>
          <cell r="D256">
            <v>2103750</v>
          </cell>
          <cell r="E256" t="str">
            <v>LNH1125NE13</v>
          </cell>
        </row>
        <row r="257">
          <cell r="A257" t="str">
            <v>25808500042</v>
          </cell>
          <cell r="B257" t="str">
            <v>Trần Chí</v>
          </cell>
          <cell r="C257" t="str">
            <v>Cường</v>
          </cell>
          <cell r="D257">
            <v>2103750</v>
          </cell>
          <cell r="E257" t="str">
            <v>LNH1125NE13</v>
          </cell>
        </row>
        <row r="258">
          <cell r="A258" t="str">
            <v>25800400058</v>
          </cell>
          <cell r="B258" t="str">
            <v>Phan Ngọc Gia</v>
          </cell>
          <cell r="C258" t="str">
            <v>Huy</v>
          </cell>
          <cell r="D258">
            <v>2103750</v>
          </cell>
          <cell r="E258" t="str">
            <v>LNH1125NE13</v>
          </cell>
        </row>
        <row r="259">
          <cell r="A259" t="str">
            <v>25802300384</v>
          </cell>
          <cell r="B259" t="str">
            <v>Mai Thien</v>
          </cell>
          <cell r="C259" t="str">
            <v>Tan</v>
          </cell>
          <cell r="D259">
            <v>2103750</v>
          </cell>
          <cell r="E259" t="str">
            <v>LNH1125NE13</v>
          </cell>
        </row>
        <row r="260">
          <cell r="A260" t="str">
            <v>25802600167</v>
          </cell>
          <cell r="B260" t="str">
            <v>Lê Thị Ngọc</v>
          </cell>
          <cell r="C260" t="str">
            <v>Vy</v>
          </cell>
          <cell r="D260">
            <v>2103750</v>
          </cell>
          <cell r="E260" t="str">
            <v>LNH1125NE13</v>
          </cell>
        </row>
        <row r="261">
          <cell r="A261" t="str">
            <v>25806800047</v>
          </cell>
          <cell r="B261" t="str">
            <v>Hồng Phước</v>
          </cell>
          <cell r="C261" t="str">
            <v>Nghĩa</v>
          </cell>
          <cell r="D261">
            <v>2103750</v>
          </cell>
          <cell r="E261" t="str">
            <v>LNH1125NE13</v>
          </cell>
        </row>
        <row r="262">
          <cell r="A262" t="str">
            <v>25802600171</v>
          </cell>
          <cell r="B262" t="str">
            <v>Bùi Ngọc Hải</v>
          </cell>
          <cell r="C262" t="str">
            <v>Linh</v>
          </cell>
          <cell r="D262">
            <v>2103750</v>
          </cell>
          <cell r="E262" t="str">
            <v>LNH1125NE13</v>
          </cell>
        </row>
        <row r="263">
          <cell r="A263" t="str">
            <v>25808700110</v>
          </cell>
          <cell r="B263" t="str">
            <v>Trần Bảo</v>
          </cell>
          <cell r="C263" t="str">
            <v>Trân</v>
          </cell>
          <cell r="D263">
            <v>2103750</v>
          </cell>
          <cell r="E263" t="str">
            <v>LNH1125NE13</v>
          </cell>
        </row>
        <row r="264">
          <cell r="A264" t="str">
            <v>25802600109</v>
          </cell>
          <cell r="B264" t="str">
            <v>Ngô Tâm</v>
          </cell>
          <cell r="C264" t="str">
            <v>Thanh</v>
          </cell>
          <cell r="D264">
            <v>2232500</v>
          </cell>
          <cell r="E264" t="str">
            <v>LNH1125NE13</v>
          </cell>
        </row>
        <row r="265">
          <cell r="A265" t="str">
            <v>25801800063</v>
          </cell>
          <cell r="B265" t="str">
            <v>Nguyễn Thanh</v>
          </cell>
          <cell r="C265" t="str">
            <v>Thảo</v>
          </cell>
          <cell r="D265">
            <v>2232500</v>
          </cell>
          <cell r="E265" t="str">
            <v>LNH1125NE13</v>
          </cell>
        </row>
        <row r="266">
          <cell r="A266" t="str">
            <v>25802600022</v>
          </cell>
          <cell r="B266" t="str">
            <v>Huỳnh Quang</v>
          </cell>
          <cell r="C266" t="str">
            <v>Duy</v>
          </cell>
          <cell r="D266">
            <v>2232500</v>
          </cell>
          <cell r="E266" t="str">
            <v>LNH1125NE13</v>
          </cell>
        </row>
        <row r="267">
          <cell r="A267" t="str">
            <v>25800400012</v>
          </cell>
          <cell r="B267" t="str">
            <v>Nguyễn Gia</v>
          </cell>
          <cell r="C267" t="str">
            <v>Bảo</v>
          </cell>
          <cell r="D267">
            <v>2232500</v>
          </cell>
          <cell r="E267" t="str">
            <v>LNH1125NE13</v>
          </cell>
        </row>
        <row r="268">
          <cell r="A268" t="str">
            <v>25809100019</v>
          </cell>
          <cell r="B268" t="str">
            <v>Lê Trần Anh</v>
          </cell>
          <cell r="C268" t="str">
            <v>Tuấn</v>
          </cell>
          <cell r="D268">
            <v>2232500</v>
          </cell>
          <cell r="E268" t="str">
            <v>LNH1125NE13</v>
          </cell>
        </row>
        <row r="269">
          <cell r="A269" t="str">
            <v>25805800017</v>
          </cell>
          <cell r="B269" t="str">
            <v xml:space="preserve">Đặng Hoàng </v>
          </cell>
          <cell r="C269" t="str">
            <v xml:space="preserve"> Khôi</v>
          </cell>
          <cell r="D269">
            <v>2600000</v>
          </cell>
          <cell r="E269" t="str">
            <v>LNH1125NE14</v>
          </cell>
        </row>
        <row r="270">
          <cell r="A270" t="str">
            <v>25803000403</v>
          </cell>
          <cell r="B270" t="str">
            <v>Nguyễn Ngọc Mẩn</v>
          </cell>
          <cell r="C270" t="str">
            <v>Nghi</v>
          </cell>
          <cell r="D270">
            <v>2232500</v>
          </cell>
          <cell r="E270" t="str">
            <v>LNH1125NE14</v>
          </cell>
        </row>
        <row r="271">
          <cell r="A271" t="str">
            <v>25801800072</v>
          </cell>
          <cell r="B271" t="str">
            <v>Nguyễn Ngọc Bảo</v>
          </cell>
          <cell r="C271" t="str">
            <v>Thy</v>
          </cell>
          <cell r="D271">
            <v>2232500</v>
          </cell>
          <cell r="E271" t="str">
            <v>LNH1125NE14</v>
          </cell>
        </row>
        <row r="272">
          <cell r="A272" t="str">
            <v>25806800005</v>
          </cell>
          <cell r="B272" t="str">
            <v>Trương Thị Thúy</v>
          </cell>
          <cell r="C272" t="str">
            <v>An</v>
          </cell>
          <cell r="D272">
            <v>2103750</v>
          </cell>
          <cell r="E272" t="str">
            <v>LNH1125NE14</v>
          </cell>
        </row>
        <row r="273">
          <cell r="A273" t="str">
            <v>25808600087</v>
          </cell>
          <cell r="B273" t="str">
            <v>Võ Thị Tuyết</v>
          </cell>
          <cell r="C273" t="str">
            <v>Như</v>
          </cell>
          <cell r="D273">
            <v>2103750</v>
          </cell>
          <cell r="E273" t="str">
            <v>LNH1125NE14</v>
          </cell>
        </row>
        <row r="274">
          <cell r="A274" t="str">
            <v>25802600004</v>
          </cell>
          <cell r="B274" t="str">
            <v>Nguyen Chau</v>
          </cell>
          <cell r="C274" t="str">
            <v>Anh</v>
          </cell>
          <cell r="D274">
            <v>2103750</v>
          </cell>
          <cell r="E274" t="str">
            <v>LNH1125NE14</v>
          </cell>
        </row>
        <row r="275">
          <cell r="A275" t="str">
            <v>25808600135</v>
          </cell>
          <cell r="B275" t="str">
            <v>Trần Thị Huyền</v>
          </cell>
          <cell r="C275" t="str">
            <v>Trân</v>
          </cell>
          <cell r="D275">
            <v>2103750</v>
          </cell>
          <cell r="E275" t="str">
            <v>LNH1125NE14</v>
          </cell>
        </row>
        <row r="276">
          <cell r="A276" t="str">
            <v>25805900036</v>
          </cell>
          <cell r="B276" t="str">
            <v>Bùi Huỳnh</v>
          </cell>
          <cell r="C276" t="str">
            <v>Quyên</v>
          </cell>
          <cell r="D276">
            <v>2103750</v>
          </cell>
          <cell r="E276" t="str">
            <v>LNH1125NE14</v>
          </cell>
        </row>
        <row r="277">
          <cell r="A277" t="str">
            <v>25806800040</v>
          </cell>
          <cell r="B277" t="str">
            <v>Phan Nguyễn Trà</v>
          </cell>
          <cell r="C277" t="str">
            <v>My</v>
          </cell>
          <cell r="D277">
            <v>2103750</v>
          </cell>
          <cell r="E277" t="str">
            <v>LNH1125NE14</v>
          </cell>
        </row>
        <row r="278">
          <cell r="A278" t="str">
            <v>25808900243</v>
          </cell>
          <cell r="B278" t="str">
            <v>Đỗ Ngọc</v>
          </cell>
          <cell r="C278" t="str">
            <v>An</v>
          </cell>
          <cell r="D278">
            <v>2103750</v>
          </cell>
          <cell r="E278" t="str">
            <v>LNH1125NE14</v>
          </cell>
        </row>
        <row r="279">
          <cell r="A279" t="str">
            <v>25801100123</v>
          </cell>
          <cell r="B279" t="str">
            <v>Nguyễn Ngọc Anh</v>
          </cell>
          <cell r="C279" t="str">
            <v>Huy</v>
          </cell>
          <cell r="D279">
            <v>2103750</v>
          </cell>
          <cell r="E279" t="str">
            <v>LNH1125NE14</v>
          </cell>
        </row>
        <row r="280">
          <cell r="A280" t="str">
            <v>25807800085</v>
          </cell>
          <cell r="B280" t="str">
            <v>Tô Hoàng</v>
          </cell>
          <cell r="C280" t="str">
            <v>Minh</v>
          </cell>
          <cell r="D280">
            <v>2103750</v>
          </cell>
          <cell r="E280" t="str">
            <v>LNH1125NE14</v>
          </cell>
        </row>
        <row r="281">
          <cell r="A281" t="str">
            <v>25806000044</v>
          </cell>
          <cell r="B281" t="str">
            <v>Mai Lan</v>
          </cell>
          <cell r="C281" t="str">
            <v>Vy</v>
          </cell>
          <cell r="D281">
            <v>2232500</v>
          </cell>
          <cell r="E281" t="str">
            <v>LNH1125NE14</v>
          </cell>
        </row>
        <row r="282">
          <cell r="A282" t="str">
            <v>25808600240</v>
          </cell>
          <cell r="B282" t="str">
            <v>Nguyễn Hàn Mỹ</v>
          </cell>
          <cell r="C282" t="str">
            <v>Dung</v>
          </cell>
          <cell r="D282">
            <v>2232500</v>
          </cell>
          <cell r="E282" t="str">
            <v>LNH1125NE14</v>
          </cell>
        </row>
        <row r="283">
          <cell r="A283" t="str">
            <v>25808600150</v>
          </cell>
          <cell r="B283" t="str">
            <v>Nguyễn Thị Ngọc</v>
          </cell>
          <cell r="C283" t="str">
            <v>Vi</v>
          </cell>
          <cell r="D283">
            <v>2103750</v>
          </cell>
          <cell r="E283" t="str">
            <v>LNH1125NE14</v>
          </cell>
        </row>
        <row r="284">
          <cell r="A284" t="str">
            <v>25808600190</v>
          </cell>
          <cell r="B284" t="str">
            <v>Đinh Viết</v>
          </cell>
          <cell r="C284" t="str">
            <v>Nguyên</v>
          </cell>
          <cell r="D284">
            <v>2232500</v>
          </cell>
          <cell r="E284" t="str">
            <v>LNH1125NE14</v>
          </cell>
        </row>
        <row r="285">
          <cell r="A285" t="str">
            <v>25802800275</v>
          </cell>
          <cell r="B285" t="str">
            <v>Trần Ngọc Bảo</v>
          </cell>
          <cell r="C285" t="str">
            <v>Trân</v>
          </cell>
          <cell r="D285">
            <v>2103750</v>
          </cell>
          <cell r="E285" t="str">
            <v>LNH1125NE15</v>
          </cell>
        </row>
        <row r="286">
          <cell r="A286" t="str">
            <v>25806000071</v>
          </cell>
          <cell r="B286" t="str">
            <v>Trần Gia</v>
          </cell>
          <cell r="C286" t="str">
            <v>Nghi</v>
          </cell>
          <cell r="D286">
            <v>2103750</v>
          </cell>
          <cell r="E286" t="str">
            <v>LNH1125NE15</v>
          </cell>
        </row>
        <row r="287">
          <cell r="A287" t="str">
            <v>25800500131</v>
          </cell>
          <cell r="B287" t="str">
            <v>Vũ Văn</v>
          </cell>
          <cell r="C287" t="str">
            <v>Nhật</v>
          </cell>
          <cell r="D287">
            <v>2103750</v>
          </cell>
          <cell r="E287" t="str">
            <v>LNH1125NE15</v>
          </cell>
        </row>
        <row r="288">
          <cell r="A288" t="str">
            <v>25800400125</v>
          </cell>
          <cell r="B288" t="str">
            <v>Nguyễn Xuân</v>
          </cell>
          <cell r="C288" t="str">
            <v>Phú</v>
          </cell>
          <cell r="D288">
            <v>2103750</v>
          </cell>
          <cell r="E288" t="str">
            <v>LNH1125NE15</v>
          </cell>
        </row>
        <row r="289">
          <cell r="A289" t="str">
            <v>25801700029</v>
          </cell>
          <cell r="B289" t="str">
            <v>Tân Vĩnh Bảo</v>
          </cell>
          <cell r="C289" t="str">
            <v>Long</v>
          </cell>
          <cell r="D289">
            <v>2103750</v>
          </cell>
          <cell r="E289" t="str">
            <v>LNH1125NE15</v>
          </cell>
        </row>
        <row r="290">
          <cell r="A290" t="str">
            <v>25805900008</v>
          </cell>
          <cell r="B290" t="str">
            <v>Huỳnh Tấn</v>
          </cell>
          <cell r="C290" t="str">
            <v>Dũng</v>
          </cell>
          <cell r="D290">
            <v>2103750</v>
          </cell>
          <cell r="E290" t="str">
            <v>LNH1125NE15</v>
          </cell>
        </row>
        <row r="291">
          <cell r="A291" t="str">
            <v>25808600027</v>
          </cell>
          <cell r="B291" t="str">
            <v>Lê Thu Hải</v>
          </cell>
          <cell r="C291" t="str">
            <v>Hà</v>
          </cell>
          <cell r="D291">
            <v>2600000</v>
          </cell>
          <cell r="E291" t="str">
            <v>LNH1125NE15</v>
          </cell>
        </row>
        <row r="292">
          <cell r="A292" t="str">
            <v>25806800008</v>
          </cell>
          <cell r="B292" t="str">
            <v>Bàng Thanh</v>
          </cell>
          <cell r="C292" t="str">
            <v>Bảo</v>
          </cell>
          <cell r="D292">
            <v>2232500</v>
          </cell>
          <cell r="E292" t="str">
            <v>LNH1125NE15</v>
          </cell>
        </row>
        <row r="293">
          <cell r="A293" t="str">
            <v>25808900099</v>
          </cell>
          <cell r="B293" t="str">
            <v>Trần Văn</v>
          </cell>
          <cell r="C293" t="str">
            <v>Phúc</v>
          </cell>
          <cell r="D293">
            <v>2232500</v>
          </cell>
          <cell r="E293" t="str">
            <v>LNH1125NE15</v>
          </cell>
        </row>
        <row r="294">
          <cell r="A294" t="str">
            <v>25802600082</v>
          </cell>
          <cell r="B294" t="str">
            <v>Dương Nguyễn Hạnh</v>
          </cell>
          <cell r="C294" t="str">
            <v>Ngân</v>
          </cell>
          <cell r="D294">
            <v>2232500</v>
          </cell>
          <cell r="E294" t="str">
            <v>LNH1125NE15</v>
          </cell>
        </row>
        <row r="295">
          <cell r="A295" t="str">
            <v>25805900060</v>
          </cell>
          <cell r="B295" t="str">
            <v>Nguyễn Cửu Minh</v>
          </cell>
          <cell r="C295" t="str">
            <v>Trí</v>
          </cell>
          <cell r="D295">
            <v>2232500</v>
          </cell>
          <cell r="E295" t="str">
            <v>LNH1125NE15</v>
          </cell>
        </row>
        <row r="296">
          <cell r="A296" t="str">
            <v>25806300031</v>
          </cell>
          <cell r="B296" t="str">
            <v>Nguyễn Minh</v>
          </cell>
          <cell r="C296" t="str">
            <v>Nhật</v>
          </cell>
          <cell r="D296">
            <v>2103750</v>
          </cell>
          <cell r="E296" t="str">
            <v>LNH1125NE15</v>
          </cell>
        </row>
        <row r="297">
          <cell r="A297" t="str">
            <v>25808700047</v>
          </cell>
          <cell r="B297" t="str">
            <v>Nguyen Mai Nhat</v>
          </cell>
          <cell r="C297" t="str">
            <v>Linh</v>
          </cell>
          <cell r="D297">
            <v>2103750</v>
          </cell>
          <cell r="E297" t="str">
            <v>LNH1125NE15</v>
          </cell>
        </row>
        <row r="298">
          <cell r="A298" t="str">
            <v>25807500151</v>
          </cell>
          <cell r="B298" t="str">
            <v>Nguyễn Phạm Hoàng</v>
          </cell>
          <cell r="C298" t="str">
            <v>Trung</v>
          </cell>
          <cell r="D298">
            <v>2103750</v>
          </cell>
          <cell r="E298" t="str">
            <v>LNH1125NE15</v>
          </cell>
        </row>
        <row r="299">
          <cell r="A299" t="str">
            <v>25808200225</v>
          </cell>
          <cell r="B299" t="str">
            <v>Nguyễn Quốc</v>
          </cell>
          <cell r="C299" t="str">
            <v>Việt</v>
          </cell>
          <cell r="D299">
            <v>2103750</v>
          </cell>
          <cell r="E299" t="str">
            <v>LNH1125NE15</v>
          </cell>
        </row>
        <row r="300">
          <cell r="A300" t="str">
            <v>25802800014</v>
          </cell>
          <cell r="B300" t="str">
            <v>Bùi Võ Thiên</v>
          </cell>
          <cell r="C300" t="str">
            <v>Ân</v>
          </cell>
          <cell r="D300">
            <v>2232500</v>
          </cell>
          <cell r="E300" t="str">
            <v>LNH1125NE15</v>
          </cell>
        </row>
        <row r="301">
          <cell r="A301" t="str">
            <v>25808200052</v>
          </cell>
          <cell r="B301" t="str">
            <v>Nguyễn Quang</v>
          </cell>
          <cell r="C301" t="str">
            <v>Huy</v>
          </cell>
          <cell r="D301">
            <v>2103750</v>
          </cell>
          <cell r="E301" t="str">
            <v>LNH1125NE16</v>
          </cell>
        </row>
        <row r="302">
          <cell r="A302" t="str">
            <v>25820700063</v>
          </cell>
          <cell r="B302" t="str">
            <v>Nguyễn Thị Xuân</v>
          </cell>
          <cell r="C302" t="str">
            <v>Hồng</v>
          </cell>
          <cell r="D302">
            <v>2103750</v>
          </cell>
          <cell r="E302" t="str">
            <v>LNH1125NE16</v>
          </cell>
        </row>
        <row r="303">
          <cell r="A303" t="str">
            <v>25820300093</v>
          </cell>
          <cell r="B303" t="str">
            <v>Nguyễn Thanh</v>
          </cell>
          <cell r="C303" t="str">
            <v>Phú</v>
          </cell>
          <cell r="D303">
            <v>2103750</v>
          </cell>
          <cell r="E303" t="str">
            <v>LNH1125NE16</v>
          </cell>
        </row>
        <row r="304">
          <cell r="A304" t="str">
            <v>25800500288</v>
          </cell>
          <cell r="B304" t="str">
            <v>Nguyễn Trung</v>
          </cell>
          <cell r="C304" t="str">
            <v>Hiếu</v>
          </cell>
          <cell r="D304">
            <v>2103750</v>
          </cell>
          <cell r="E304" t="str">
            <v>LNH1125NE16</v>
          </cell>
        </row>
        <row r="305">
          <cell r="A305" t="str">
            <v>25808200147</v>
          </cell>
          <cell r="B305" t="str">
            <v>Nguyễn Anh</v>
          </cell>
          <cell r="C305" t="str">
            <v>Vũ</v>
          </cell>
          <cell r="D305">
            <v>2103750</v>
          </cell>
          <cell r="E305" t="str">
            <v>LNH1125NE16</v>
          </cell>
        </row>
        <row r="306">
          <cell r="A306" t="str">
            <v>25800500248</v>
          </cell>
          <cell r="B306" t="str">
            <v>Vũ Minh</v>
          </cell>
          <cell r="C306" t="str">
            <v>Hiếu</v>
          </cell>
          <cell r="D306">
            <v>2103750</v>
          </cell>
          <cell r="E306" t="str">
            <v>LNH1125NE16</v>
          </cell>
        </row>
        <row r="307">
          <cell r="A307" t="str">
            <v>25800500312</v>
          </cell>
          <cell r="B307" t="str">
            <v>Lưu Khải</v>
          </cell>
          <cell r="C307" t="str">
            <v>Nguyên</v>
          </cell>
          <cell r="D307">
            <v>2103750</v>
          </cell>
          <cell r="E307" t="str">
            <v>LNH1125NE16</v>
          </cell>
        </row>
        <row r="308">
          <cell r="A308" t="str">
            <v>25801900115</v>
          </cell>
          <cell r="B308" t="str">
            <v>Lê Phú</v>
          </cell>
          <cell r="C308" t="str">
            <v>Phúc</v>
          </cell>
          <cell r="D308">
            <v>2103750</v>
          </cell>
          <cell r="E308" t="str">
            <v>LNH1125NE16</v>
          </cell>
        </row>
        <row r="309">
          <cell r="A309" t="str">
            <v>25808700122</v>
          </cell>
          <cell r="B309" t="str">
            <v>Trần Như</v>
          </cell>
          <cell r="C309" t="str">
            <v>Ý</v>
          </cell>
          <cell r="D309">
            <v>2103750</v>
          </cell>
          <cell r="E309" t="str">
            <v>LNH1125NE16</v>
          </cell>
        </row>
        <row r="310">
          <cell r="A310" t="str">
            <v>25808700176</v>
          </cell>
          <cell r="B310" t="str">
            <v>Nguyễn Bảo</v>
          </cell>
          <cell r="C310" t="str">
            <v>Uyên</v>
          </cell>
          <cell r="D310">
            <v>2103750</v>
          </cell>
          <cell r="E310" t="str">
            <v>LNH1125NE16</v>
          </cell>
        </row>
        <row r="311">
          <cell r="A311" t="str">
            <v>25820200119</v>
          </cell>
          <cell r="B311" t="str">
            <v>Nguyễn Minh</v>
          </cell>
          <cell r="C311" t="str">
            <v>Hiếu</v>
          </cell>
          <cell r="D311">
            <v>2232500</v>
          </cell>
          <cell r="E311" t="str">
            <v>LNH1125NE16</v>
          </cell>
        </row>
        <row r="312">
          <cell r="A312" t="str">
            <v>25808700211</v>
          </cell>
          <cell r="B312" t="str">
            <v>Nguyễn Thanh</v>
          </cell>
          <cell r="C312" t="str">
            <v>Phong</v>
          </cell>
          <cell r="D312">
            <v>2232500</v>
          </cell>
          <cell r="E312" t="str">
            <v>LNH1125NE16</v>
          </cell>
        </row>
        <row r="313">
          <cell r="A313" t="str">
            <v>25801100118</v>
          </cell>
          <cell r="B313" t="str">
            <v>Thái Nguyễn Nam</v>
          </cell>
          <cell r="C313" t="str">
            <v>Khánh</v>
          </cell>
          <cell r="D313">
            <v>2103750</v>
          </cell>
          <cell r="E313" t="str">
            <v>LNH1125NE16</v>
          </cell>
        </row>
        <row r="314">
          <cell r="A314" t="str">
            <v>25802700012</v>
          </cell>
          <cell r="B314" t="str">
            <v>Nguyễn Thị Cẩm</v>
          </cell>
          <cell r="C314" t="str">
            <v>Bình</v>
          </cell>
          <cell r="D314">
            <v>2103750</v>
          </cell>
          <cell r="E314" t="str">
            <v>LNH1125NE16</v>
          </cell>
        </row>
        <row r="315">
          <cell r="A315" t="str">
            <v>25807500001</v>
          </cell>
          <cell r="B315" t="str">
            <v>Đoàn Ngọc Hoài</v>
          </cell>
          <cell r="C315" t="str">
            <v>An</v>
          </cell>
          <cell r="D315">
            <v>2103750</v>
          </cell>
          <cell r="E315" t="str">
            <v>LNH1125NE16</v>
          </cell>
        </row>
        <row r="316">
          <cell r="A316" t="str">
            <v>25805900032</v>
          </cell>
          <cell r="B316" t="str">
            <v>Nguyễn Lê</v>
          </cell>
          <cell r="C316" t="str">
            <v>Phát</v>
          </cell>
          <cell r="D316">
            <v>2232500</v>
          </cell>
          <cell r="E316" t="str">
            <v>LNH1125NE16</v>
          </cell>
        </row>
        <row r="317">
          <cell r="A317" t="str">
            <v>25807500227</v>
          </cell>
          <cell r="B317" t="str">
            <v>Nguyễn Ngọc Phương</v>
          </cell>
          <cell r="C317" t="str">
            <v>Trân</v>
          </cell>
          <cell r="D317">
            <v>2103750</v>
          </cell>
          <cell r="E317" t="str">
            <v>LNH1125NE17</v>
          </cell>
        </row>
        <row r="318">
          <cell r="A318" t="str">
            <v>25807500069</v>
          </cell>
          <cell r="B318" t="str">
            <v>Ly Hue</v>
          </cell>
          <cell r="C318" t="str">
            <v>Man</v>
          </cell>
          <cell r="D318">
            <v>2103750</v>
          </cell>
          <cell r="E318" t="str">
            <v>LNH1125NE17</v>
          </cell>
        </row>
        <row r="319">
          <cell r="A319" t="str">
            <v>25807500132</v>
          </cell>
          <cell r="B319" t="str">
            <v>Trần Hoàng</v>
          </cell>
          <cell r="C319" t="str">
            <v>Tiến</v>
          </cell>
          <cell r="D319">
            <v>2103750</v>
          </cell>
          <cell r="E319" t="str">
            <v>LNH1125NE17</v>
          </cell>
        </row>
        <row r="320">
          <cell r="A320" t="str">
            <v>25807900120</v>
          </cell>
          <cell r="B320" t="str">
            <v>Trần Đức</v>
          </cell>
          <cell r="C320" t="str">
            <v>Phát</v>
          </cell>
          <cell r="D320">
            <v>2103750</v>
          </cell>
          <cell r="E320" t="str">
            <v>LNH1125NE17</v>
          </cell>
        </row>
        <row r="321">
          <cell r="A321" t="str">
            <v>25820700005</v>
          </cell>
          <cell r="B321" t="str">
            <v>Võ Ngọc Vân</v>
          </cell>
          <cell r="C321" t="str">
            <v>Anh</v>
          </cell>
          <cell r="D321">
            <v>2103750</v>
          </cell>
          <cell r="E321" t="str">
            <v>LNH1125NE17</v>
          </cell>
        </row>
        <row r="322">
          <cell r="A322" t="str">
            <v>25820200060</v>
          </cell>
          <cell r="B322" t="str">
            <v>Phạm Trọng</v>
          </cell>
          <cell r="C322" t="str">
            <v>Toàn</v>
          </cell>
          <cell r="D322">
            <v>2103750</v>
          </cell>
          <cell r="E322" t="str">
            <v>LNH1125NE17</v>
          </cell>
        </row>
        <row r="323">
          <cell r="A323" t="str">
            <v>25820200112</v>
          </cell>
          <cell r="B323" t="str">
            <v>Bùi Quang</v>
          </cell>
          <cell r="C323" t="str">
            <v>Minh</v>
          </cell>
          <cell r="D323">
            <v>2103750</v>
          </cell>
          <cell r="E323" t="str">
            <v>LNH1125NE17</v>
          </cell>
        </row>
        <row r="324">
          <cell r="A324" t="str">
            <v>25802700022</v>
          </cell>
          <cell r="B324" t="str">
            <v>Nguyễn Phạm Ngọc</v>
          </cell>
          <cell r="C324" t="str">
            <v>Hân</v>
          </cell>
          <cell r="D324">
            <v>2103750</v>
          </cell>
          <cell r="E324" t="str">
            <v>LNH1125NE17</v>
          </cell>
        </row>
        <row r="325">
          <cell r="A325" t="str">
            <v>25806300003</v>
          </cell>
          <cell r="B325" t="str">
            <v>Mai Khánh</v>
          </cell>
          <cell r="C325" t="str">
            <v>Duy</v>
          </cell>
          <cell r="D325">
            <v>2232500</v>
          </cell>
          <cell r="E325" t="str">
            <v>LNH1125NE17</v>
          </cell>
        </row>
        <row r="326">
          <cell r="A326" t="str">
            <v>25820300063</v>
          </cell>
          <cell r="B326" t="str">
            <v>Thái Thành</v>
          </cell>
          <cell r="C326" t="str">
            <v>Trí</v>
          </cell>
          <cell r="D326">
            <v>2232500</v>
          </cell>
          <cell r="E326" t="str">
            <v>LNH1125NE17</v>
          </cell>
        </row>
        <row r="327">
          <cell r="A327" t="str">
            <v>25820300033</v>
          </cell>
          <cell r="B327" t="str">
            <v>Phạm Hồ Tân</v>
          </cell>
          <cell r="C327" t="str">
            <v>Minh</v>
          </cell>
          <cell r="D327">
            <v>2232500</v>
          </cell>
          <cell r="E327" t="str">
            <v>LNH1125NE17</v>
          </cell>
        </row>
        <row r="328">
          <cell r="A328" t="str">
            <v>25808200049</v>
          </cell>
          <cell r="B328" t="str">
            <v>Nguyễn Tuấn</v>
          </cell>
          <cell r="C328" t="str">
            <v>Hùng</v>
          </cell>
          <cell r="D328">
            <v>2103750</v>
          </cell>
          <cell r="E328" t="str">
            <v>LNH1125NE17</v>
          </cell>
        </row>
        <row r="329">
          <cell r="A329" t="str">
            <v>25800500133</v>
          </cell>
          <cell r="B329" t="str">
            <v>Nguyễn Tấn</v>
          </cell>
          <cell r="C329" t="str">
            <v>Phát</v>
          </cell>
          <cell r="D329">
            <v>2103750</v>
          </cell>
          <cell r="E329" t="str">
            <v>LNH1125NE17</v>
          </cell>
        </row>
        <row r="330">
          <cell r="A330" t="str">
            <v>25807500144</v>
          </cell>
          <cell r="B330" t="str">
            <v>Phạm Minh</v>
          </cell>
          <cell r="C330" t="str">
            <v>Trí</v>
          </cell>
          <cell r="D330">
            <v>2103750</v>
          </cell>
          <cell r="E330" t="str">
            <v>LNH1125NE17</v>
          </cell>
        </row>
        <row r="331">
          <cell r="A331" t="str">
            <v>25801300042</v>
          </cell>
          <cell r="B331" t="str">
            <v>Đỗ Quốc</v>
          </cell>
          <cell r="C331" t="str">
            <v>Trung</v>
          </cell>
          <cell r="D331">
            <v>2103750</v>
          </cell>
          <cell r="E331" t="str">
            <v>LNH1125NE17</v>
          </cell>
        </row>
        <row r="332">
          <cell r="A332" t="str">
            <v>25800400273</v>
          </cell>
          <cell r="B332" t="str">
            <v>Nguyễn Duy</v>
          </cell>
          <cell r="C332" t="str">
            <v>An</v>
          </cell>
          <cell r="D332">
            <v>2232500</v>
          </cell>
          <cell r="E332" t="str">
            <v>LNH1125NE17</v>
          </cell>
        </row>
        <row r="333">
          <cell r="A333" t="str">
            <v>25802700083</v>
          </cell>
          <cell r="B333" t="str">
            <v>Trần Triệu</v>
          </cell>
          <cell r="C333" t="str">
            <v>Thiện</v>
          </cell>
          <cell r="D333">
            <v>2103750</v>
          </cell>
          <cell r="E333" t="str">
            <v>LNH1125NE17</v>
          </cell>
        </row>
        <row r="334">
          <cell r="A334" t="str">
            <v>25808700161</v>
          </cell>
          <cell r="B334" t="str">
            <v>An Trang Vàng</v>
          </cell>
          <cell r="C334" t="str">
            <v>Anh</v>
          </cell>
          <cell r="D334">
            <v>2103750</v>
          </cell>
          <cell r="E334" t="str">
            <v>LNH1125NE18</v>
          </cell>
        </row>
        <row r="335">
          <cell r="A335" t="str">
            <v>25820300027</v>
          </cell>
          <cell r="B335" t="str">
            <v>Hà Đình</v>
          </cell>
          <cell r="C335" t="str">
            <v>Kiên</v>
          </cell>
          <cell r="D335">
            <v>2103750</v>
          </cell>
          <cell r="E335" t="str">
            <v>LNH1125NE18</v>
          </cell>
        </row>
        <row r="336">
          <cell r="A336" t="str">
            <v>25802700104</v>
          </cell>
          <cell r="B336" t="str">
            <v>Lê Thị Mỹ</v>
          </cell>
          <cell r="C336" t="str">
            <v>Tuyền</v>
          </cell>
          <cell r="D336">
            <v>2103750</v>
          </cell>
          <cell r="E336" t="str">
            <v>LNH1125NE18</v>
          </cell>
        </row>
        <row r="337">
          <cell r="A337" t="str">
            <v>25800500021</v>
          </cell>
          <cell r="B337" t="str">
            <v>Trương Trọng</v>
          </cell>
          <cell r="C337" t="str">
            <v>Bình</v>
          </cell>
          <cell r="D337">
            <v>2103750</v>
          </cell>
          <cell r="E337" t="str">
            <v>LNH1125NE18</v>
          </cell>
        </row>
        <row r="338">
          <cell r="A338" t="str">
            <v>25808200111</v>
          </cell>
          <cell r="B338" t="str">
            <v>Phạm Hoàng Tài Ch</v>
          </cell>
          <cell r="C338" t="str">
            <v>Tâm</v>
          </cell>
          <cell r="D338">
            <v>2103750</v>
          </cell>
          <cell r="E338" t="str">
            <v>LNH1125NE18</v>
          </cell>
        </row>
        <row r="339">
          <cell r="A339" t="str">
            <v>25806300025</v>
          </cell>
          <cell r="B339" t="str">
            <v>Hoàng Đức</v>
          </cell>
          <cell r="C339" t="str">
            <v>Mạnh</v>
          </cell>
          <cell r="D339">
            <v>2103750</v>
          </cell>
          <cell r="E339" t="str">
            <v>LNH1125NE18</v>
          </cell>
        </row>
        <row r="340">
          <cell r="A340" t="str">
            <v>25820300085</v>
          </cell>
          <cell r="B340" t="str">
            <v>Nguyễn Hoàng Trọng</v>
          </cell>
          <cell r="C340" t="str">
            <v>Phú</v>
          </cell>
          <cell r="D340">
            <v>2103750</v>
          </cell>
          <cell r="E340" t="str">
            <v>LNH1125NE18</v>
          </cell>
        </row>
        <row r="341">
          <cell r="A341" t="str">
            <v>25806400012</v>
          </cell>
          <cell r="B341" t="str">
            <v>Nguyễn Hoàng</v>
          </cell>
          <cell r="C341" t="str">
            <v>Khôi</v>
          </cell>
          <cell r="D341">
            <v>2103750</v>
          </cell>
          <cell r="E341" t="str">
            <v>LNH1125NE18</v>
          </cell>
        </row>
        <row r="342">
          <cell r="A342" t="str">
            <v>25802700162</v>
          </cell>
          <cell r="B342" t="str">
            <v>Vũ Thị Minh</v>
          </cell>
          <cell r="C342" t="str">
            <v>Thư</v>
          </cell>
          <cell r="D342">
            <v>2103750</v>
          </cell>
          <cell r="E342" t="str">
            <v>LNH1125NE18</v>
          </cell>
        </row>
        <row r="343">
          <cell r="A343" t="str">
            <v>25820700012</v>
          </cell>
          <cell r="B343" t="str">
            <v>Ngô Mạnh Trường</v>
          </cell>
          <cell r="C343" t="str">
            <v>Huy</v>
          </cell>
          <cell r="D343">
            <v>2600000</v>
          </cell>
          <cell r="E343" t="str">
            <v>LNH1125NE18</v>
          </cell>
        </row>
        <row r="344">
          <cell r="A344" t="str">
            <v>25807500126</v>
          </cell>
          <cell r="B344" t="str">
            <v>Phan Ngọc Anh</v>
          </cell>
          <cell r="C344" t="str">
            <v>Thư</v>
          </cell>
          <cell r="D344">
            <v>2232500</v>
          </cell>
          <cell r="E344" t="str">
            <v>LNH1125NE18</v>
          </cell>
        </row>
        <row r="345">
          <cell r="A345" t="str">
            <v>25801100105</v>
          </cell>
          <cell r="B345" t="str">
            <v>Võ Anh</v>
          </cell>
          <cell r="C345" t="str">
            <v>Tuấn</v>
          </cell>
          <cell r="D345">
            <v>2232500</v>
          </cell>
          <cell r="E345" t="str">
            <v>LNH1125NE18</v>
          </cell>
        </row>
        <row r="346">
          <cell r="A346" t="str">
            <v>25807900073</v>
          </cell>
          <cell r="B346" t="str">
            <v>Trương Tấn</v>
          </cell>
          <cell r="C346" t="str">
            <v>Long</v>
          </cell>
          <cell r="D346">
            <v>2103750</v>
          </cell>
          <cell r="E346" t="str">
            <v>LNH1125NE18</v>
          </cell>
        </row>
        <row r="347">
          <cell r="A347" t="str">
            <v>25808700203</v>
          </cell>
          <cell r="B347" t="str">
            <v>Mai Tấn</v>
          </cell>
          <cell r="C347" t="str">
            <v>Nhất</v>
          </cell>
          <cell r="D347">
            <v>2103750</v>
          </cell>
          <cell r="E347" t="str">
            <v>LNH1125NE18</v>
          </cell>
        </row>
        <row r="348">
          <cell r="A348" t="str">
            <v>25802700069</v>
          </cell>
          <cell r="B348" t="str">
            <v>Nguyễn Lê Trúc</v>
          </cell>
          <cell r="C348" t="str">
            <v>Quỳnh</v>
          </cell>
          <cell r="D348">
            <v>2103750</v>
          </cell>
          <cell r="E348" t="str">
            <v>LNH1125NE18</v>
          </cell>
        </row>
        <row r="349">
          <cell r="A349" t="str">
            <v>25800400130</v>
          </cell>
          <cell r="B349" t="str">
            <v>Nguyễn Lưu Đông</v>
          </cell>
          <cell r="C349" t="str">
            <v>Quân</v>
          </cell>
          <cell r="D349">
            <v>2232500</v>
          </cell>
          <cell r="E349" t="str">
            <v>LNH1125NE18</v>
          </cell>
        </row>
        <row r="350">
          <cell r="A350" t="str">
            <v>25807800158</v>
          </cell>
          <cell r="B350" t="str">
            <v>Đỗ Thanh</v>
          </cell>
          <cell r="C350" t="str">
            <v>Tùng</v>
          </cell>
          <cell r="D350">
            <v>2103750</v>
          </cell>
          <cell r="E350" t="str">
            <v>LNH1125NE19</v>
          </cell>
        </row>
        <row r="351">
          <cell r="A351" t="str">
            <v>25807700017</v>
          </cell>
          <cell r="B351" t="str">
            <v>Hà Quốc</v>
          </cell>
          <cell r="C351" t="str">
            <v>Dũng</v>
          </cell>
          <cell r="D351">
            <v>2103750</v>
          </cell>
          <cell r="E351" t="str">
            <v>LNH1125NE19</v>
          </cell>
        </row>
        <row r="352">
          <cell r="A352" t="str">
            <v>25808200096</v>
          </cell>
          <cell r="B352" t="str">
            <v>Nguyễn Đức</v>
          </cell>
          <cell r="C352" t="str">
            <v>Nhật</v>
          </cell>
          <cell r="D352">
            <v>2103750</v>
          </cell>
          <cell r="E352" t="str">
            <v>LNH1125NE19</v>
          </cell>
        </row>
        <row r="353">
          <cell r="A353" t="str">
            <v>25820700032</v>
          </cell>
          <cell r="B353" t="str">
            <v>Nguyễn Hà Linh</v>
          </cell>
          <cell r="C353" t="str">
            <v>Phương</v>
          </cell>
          <cell r="D353">
            <v>2103750</v>
          </cell>
          <cell r="E353" t="str">
            <v>LNH1125NE19</v>
          </cell>
        </row>
        <row r="354">
          <cell r="A354" t="str">
            <v>25801000044</v>
          </cell>
          <cell r="B354" t="str">
            <v>Phạm Hoàng Trang</v>
          </cell>
          <cell r="C354" t="str">
            <v>Nguyên</v>
          </cell>
          <cell r="D354">
            <v>2103750</v>
          </cell>
          <cell r="E354" t="str">
            <v>LNH1125NE19</v>
          </cell>
        </row>
        <row r="355">
          <cell r="A355" t="str">
            <v>25802700153</v>
          </cell>
          <cell r="B355" t="str">
            <v>Lê Thái</v>
          </cell>
          <cell r="C355" t="str">
            <v>Long</v>
          </cell>
          <cell r="D355">
            <v>2103750</v>
          </cell>
          <cell r="E355" t="str">
            <v>LNH1125NE19</v>
          </cell>
        </row>
        <row r="356">
          <cell r="A356" t="str">
            <v>25807500011</v>
          </cell>
          <cell r="B356" t="str">
            <v>Bùi Gia</v>
          </cell>
          <cell r="C356" t="str">
            <v>Bảo</v>
          </cell>
          <cell r="D356">
            <v>2103750</v>
          </cell>
          <cell r="E356" t="str">
            <v>LNH1125NE19</v>
          </cell>
        </row>
        <row r="357">
          <cell r="A357" t="str">
            <v>25807800156</v>
          </cell>
          <cell r="B357" t="str">
            <v>Lê Trần Quốc</v>
          </cell>
          <cell r="C357" t="str">
            <v>Tuấn</v>
          </cell>
          <cell r="D357">
            <v>2103750</v>
          </cell>
          <cell r="E357" t="str">
            <v>LNH1125NE19</v>
          </cell>
        </row>
        <row r="358">
          <cell r="A358" t="str">
            <v>25809400056</v>
          </cell>
          <cell r="B358" t="str">
            <v>Hà Thanh</v>
          </cell>
          <cell r="C358" t="str">
            <v>Duy</v>
          </cell>
          <cell r="D358">
            <v>2103750</v>
          </cell>
          <cell r="E358" t="str">
            <v>LNH1125NE19</v>
          </cell>
        </row>
        <row r="359">
          <cell r="A359" t="str">
            <v>25807500237</v>
          </cell>
          <cell r="B359" t="str">
            <v>Nguyễn Thành</v>
          </cell>
          <cell r="C359" t="str">
            <v>Luân</v>
          </cell>
          <cell r="D359">
            <v>2103750</v>
          </cell>
          <cell r="E359" t="str">
            <v>LNH1125NE19</v>
          </cell>
        </row>
        <row r="360">
          <cell r="A360" t="str">
            <v>25807900003</v>
          </cell>
          <cell r="B360" t="str">
            <v>Lê Gia</v>
          </cell>
          <cell r="C360" t="str">
            <v>Bảo</v>
          </cell>
          <cell r="D360">
            <v>2103750</v>
          </cell>
          <cell r="E360" t="str">
            <v>LNH1125NE19</v>
          </cell>
        </row>
        <row r="361">
          <cell r="A361" t="str">
            <v>25807900054</v>
          </cell>
          <cell r="B361" t="str">
            <v>Mai Thanh</v>
          </cell>
          <cell r="C361" t="str">
            <v>Thơm</v>
          </cell>
          <cell r="D361">
            <v>2103750</v>
          </cell>
          <cell r="E361" t="str">
            <v>LNH1125NE19</v>
          </cell>
        </row>
        <row r="362">
          <cell r="A362" t="str">
            <v>25800500096</v>
          </cell>
          <cell r="B362" t="str">
            <v>Đỗ Chí</v>
          </cell>
          <cell r="C362" t="str">
            <v>Kiên</v>
          </cell>
          <cell r="D362">
            <v>2103750</v>
          </cell>
          <cell r="E362" t="str">
            <v>LNH1125NE19</v>
          </cell>
        </row>
        <row r="363">
          <cell r="A363" t="str">
            <v>25807500007</v>
          </cell>
          <cell r="B363" t="str">
            <v>Nguyen Thi Mai</v>
          </cell>
          <cell r="C363" t="str">
            <v>Anh</v>
          </cell>
          <cell r="D363">
            <v>2103750</v>
          </cell>
          <cell r="E363" t="str">
            <v>LNH1125NE19</v>
          </cell>
        </row>
        <row r="364">
          <cell r="A364" t="str">
            <v>25820300009</v>
          </cell>
          <cell r="B364" t="str">
            <v>Trịnh Nhật</v>
          </cell>
          <cell r="C364" t="str">
            <v>Đông</v>
          </cell>
          <cell r="D364">
            <v>2103750</v>
          </cell>
          <cell r="E364" t="str">
            <v>LNH1125NE19</v>
          </cell>
        </row>
        <row r="365">
          <cell r="A365" t="str">
            <v>25808700114</v>
          </cell>
          <cell r="B365" t="str">
            <v>Nguyễn Hữu</v>
          </cell>
          <cell r="C365" t="str">
            <v>Trường</v>
          </cell>
          <cell r="D365">
            <v>2103750</v>
          </cell>
          <cell r="E365" t="str">
            <v>LNH1125NE19</v>
          </cell>
        </row>
        <row r="366">
          <cell r="A366" t="str">
            <v>25807900080</v>
          </cell>
          <cell r="B366" t="str">
            <v>Hoàng Gia Anh</v>
          </cell>
          <cell r="C366" t="str">
            <v>Kiệt</v>
          </cell>
          <cell r="D366">
            <v>2600000</v>
          </cell>
          <cell r="E366" t="str">
            <v>LNH1125NE19</v>
          </cell>
        </row>
        <row r="367">
          <cell r="A367" t="str">
            <v>25820700064</v>
          </cell>
          <cell r="B367" t="str">
            <v>Võ Thị Huyền</v>
          </cell>
          <cell r="C367" t="str">
            <v>Trân</v>
          </cell>
          <cell r="D367">
            <v>2232500</v>
          </cell>
          <cell r="E367" t="str">
            <v>LNH1125NE19</v>
          </cell>
        </row>
        <row r="368">
          <cell r="A368" t="str">
            <v>25802700181</v>
          </cell>
          <cell r="B368" t="str">
            <v>Nguyễn Khắc</v>
          </cell>
          <cell r="C368" t="str">
            <v>Úc</v>
          </cell>
          <cell r="D368">
            <v>2232500</v>
          </cell>
          <cell r="E368" t="str">
            <v>LNH1125NE19</v>
          </cell>
        </row>
        <row r="369">
          <cell r="A369" t="str">
            <v>25802700094</v>
          </cell>
          <cell r="B369" t="str">
            <v>Bùi Thị Ngọc</v>
          </cell>
          <cell r="C369" t="str">
            <v>Trâm</v>
          </cell>
          <cell r="D369">
            <v>2232500</v>
          </cell>
          <cell r="E369" t="str">
            <v>LNH1125NE19</v>
          </cell>
        </row>
        <row r="370">
          <cell r="A370" t="str">
            <v>25807500161</v>
          </cell>
          <cell r="B370" t="str">
            <v>Nguyễn Phương</v>
          </cell>
          <cell r="C370" t="str">
            <v>Uyên</v>
          </cell>
          <cell r="D370">
            <v>2232500</v>
          </cell>
          <cell r="E370" t="str">
            <v>LNH1125NE19</v>
          </cell>
        </row>
        <row r="371">
          <cell r="A371" t="str">
            <v>25807900052</v>
          </cell>
          <cell r="B371" t="str">
            <v>Trần Minh</v>
          </cell>
          <cell r="C371" t="str">
            <v>Thiện</v>
          </cell>
          <cell r="D371">
            <v>2232500</v>
          </cell>
          <cell r="E371" t="str">
            <v>LNH1125NE19</v>
          </cell>
        </row>
        <row r="372">
          <cell r="A372" t="str">
            <v>25808700026</v>
          </cell>
          <cell r="B372" t="str">
            <v>Nguyễn Phạm Minh</v>
          </cell>
          <cell r="C372" t="str">
            <v>Hiếu</v>
          </cell>
          <cell r="D372">
            <v>2103750</v>
          </cell>
          <cell r="E372" t="str">
            <v>LNH1125NE19</v>
          </cell>
        </row>
        <row r="373">
          <cell r="A373" t="str">
            <v>25802700147</v>
          </cell>
          <cell r="B373" t="str">
            <v>Vũ Nguyễn Thu</v>
          </cell>
          <cell r="C373" t="str">
            <v>Yến</v>
          </cell>
          <cell r="D373">
            <v>2103750</v>
          </cell>
          <cell r="E373" t="str">
            <v>LNH1125NE20</v>
          </cell>
        </row>
        <row r="374">
          <cell r="A374" t="str">
            <v>25801300015</v>
          </cell>
          <cell r="B374" t="str">
            <v>Dương Thị Minh</v>
          </cell>
          <cell r="C374" t="str">
            <v>Lộc</v>
          </cell>
          <cell r="D374">
            <v>2103750</v>
          </cell>
          <cell r="E374" t="str">
            <v>LNH1125NE20</v>
          </cell>
        </row>
        <row r="375">
          <cell r="A375" t="str">
            <v>25802700203</v>
          </cell>
          <cell r="B375" t="str">
            <v>Đỗ Nguyễn Thu</v>
          </cell>
          <cell r="C375" t="str">
            <v>Nguyệt</v>
          </cell>
          <cell r="D375">
            <v>2103750</v>
          </cell>
          <cell r="E375" t="str">
            <v>LNH1125NE20</v>
          </cell>
        </row>
        <row r="376">
          <cell r="A376" t="str">
            <v>25807500053</v>
          </cell>
          <cell r="B376" t="str">
            <v>Trần Tuấn</v>
          </cell>
          <cell r="C376" t="str">
            <v>Kiệt</v>
          </cell>
          <cell r="D376">
            <v>2103750</v>
          </cell>
          <cell r="E376" t="str">
            <v>LNH1125NE20</v>
          </cell>
        </row>
        <row r="377">
          <cell r="A377" t="str">
            <v>25808700221</v>
          </cell>
          <cell r="B377" t="str">
            <v>Huỳnh Phúc</v>
          </cell>
          <cell r="C377" t="str">
            <v>Chiến</v>
          </cell>
          <cell r="D377">
            <v>2103750</v>
          </cell>
          <cell r="E377" t="str">
            <v>LNH1125NE20</v>
          </cell>
        </row>
        <row r="378">
          <cell r="A378" t="str">
            <v>25807800251</v>
          </cell>
          <cell r="B378" t="str">
            <v>Nguyễn Lê</v>
          </cell>
          <cell r="C378" t="str">
            <v>Khanh</v>
          </cell>
          <cell r="D378">
            <v>2103750</v>
          </cell>
          <cell r="E378" t="str">
            <v>LNH1125NE20</v>
          </cell>
        </row>
        <row r="379">
          <cell r="A379" t="str">
            <v>25800500278</v>
          </cell>
          <cell r="B379" t="str">
            <v>Phạm Thế</v>
          </cell>
          <cell r="C379" t="str">
            <v>Lân</v>
          </cell>
          <cell r="D379">
            <v>2103750</v>
          </cell>
          <cell r="E379" t="str">
            <v>LNH1125NE20</v>
          </cell>
        </row>
        <row r="380">
          <cell r="A380" t="str">
            <v>25807700003</v>
          </cell>
          <cell r="B380" t="str">
            <v>Nguyễn Việt</v>
          </cell>
          <cell r="C380" t="str">
            <v>Anh</v>
          </cell>
          <cell r="D380">
            <v>2103750</v>
          </cell>
          <cell r="E380" t="str">
            <v>LNH1125NE20</v>
          </cell>
        </row>
        <row r="381">
          <cell r="A381" t="str">
            <v>25807800151</v>
          </cell>
          <cell r="B381" t="str">
            <v>Nguyễn Phước</v>
          </cell>
          <cell r="C381" t="str">
            <v>Trung</v>
          </cell>
          <cell r="D381">
            <v>2103750</v>
          </cell>
          <cell r="E381" t="str">
            <v>LNH1125NE20</v>
          </cell>
        </row>
        <row r="382">
          <cell r="A382" t="str">
            <v>25803800063</v>
          </cell>
          <cell r="B382" t="str">
            <v>Nguyễn Hoàng Nhựt</v>
          </cell>
          <cell r="C382" t="str">
            <v>Trí</v>
          </cell>
          <cell r="D382">
            <v>2232500</v>
          </cell>
          <cell r="E382" t="str">
            <v>LNH1125NE20</v>
          </cell>
        </row>
        <row r="383">
          <cell r="A383" t="str">
            <v>25802700054</v>
          </cell>
          <cell r="B383" t="str">
            <v>Lê Thị Tuyết</v>
          </cell>
          <cell r="C383" t="str">
            <v>Ngân</v>
          </cell>
          <cell r="D383">
            <v>2232500</v>
          </cell>
          <cell r="E383" t="str">
            <v>LNH1125NE20</v>
          </cell>
        </row>
        <row r="384">
          <cell r="A384" t="str">
            <v>25802700193</v>
          </cell>
          <cell r="B384" t="str">
            <v>Lý Thị Ngọc</v>
          </cell>
          <cell r="C384" t="str">
            <v>Trâm</v>
          </cell>
          <cell r="D384">
            <v>2232500</v>
          </cell>
          <cell r="E384" t="str">
            <v>LNH1125NE20</v>
          </cell>
        </row>
        <row r="385">
          <cell r="A385" t="str">
            <v>25800600195</v>
          </cell>
          <cell r="B385" t="str">
            <v>Nguyễn Thanh</v>
          </cell>
          <cell r="C385" t="str">
            <v>Hiền</v>
          </cell>
          <cell r="D385">
            <v>2232500</v>
          </cell>
          <cell r="E385" t="str">
            <v>LNH1125NE20</v>
          </cell>
        </row>
        <row r="386">
          <cell r="A386" t="str">
            <v>25808200036</v>
          </cell>
          <cell r="B386" t="str">
            <v>Nguyễn Hải</v>
          </cell>
          <cell r="C386" t="str">
            <v>Đăng</v>
          </cell>
          <cell r="D386">
            <v>2232500</v>
          </cell>
          <cell r="E386" t="str">
            <v>LNH1125NE20</v>
          </cell>
        </row>
        <row r="387">
          <cell r="A387" t="str">
            <v>25809600017</v>
          </cell>
          <cell r="B387" t="str">
            <v>Phan Nguyễn Anh</v>
          </cell>
          <cell r="C387" t="str">
            <v>Đức</v>
          </cell>
          <cell r="D387">
            <v>2103750</v>
          </cell>
          <cell r="E387" t="str">
            <v>LNH1125NE20</v>
          </cell>
        </row>
        <row r="388">
          <cell r="A388" t="str">
            <v>25808600083</v>
          </cell>
          <cell r="B388" t="str">
            <v>Nguyễn Thị Khánh</v>
          </cell>
          <cell r="C388" t="str">
            <v>Nhi</v>
          </cell>
          <cell r="D388">
            <v>2103750</v>
          </cell>
          <cell r="E388" t="str">
            <v>LNH1125NE20</v>
          </cell>
        </row>
        <row r="389">
          <cell r="A389" t="str">
            <v>25803800007</v>
          </cell>
          <cell r="B389" t="str">
            <v>Nguyễn Lâm Thiên</v>
          </cell>
          <cell r="C389" t="str">
            <v>Bảo</v>
          </cell>
          <cell r="D389">
            <v>2103750</v>
          </cell>
          <cell r="E389" t="str">
            <v>LNH1125NE20</v>
          </cell>
        </row>
        <row r="390">
          <cell r="A390" t="str">
            <v>25800601138</v>
          </cell>
          <cell r="B390" t="str">
            <v>Nguyễn Văn</v>
          </cell>
          <cell r="C390" t="str">
            <v>Lợi</v>
          </cell>
          <cell r="D390">
            <v>2103750</v>
          </cell>
          <cell r="E390" t="str">
            <v>LNH1125NE21</v>
          </cell>
        </row>
        <row r="391">
          <cell r="A391" t="str">
            <v>25802700192</v>
          </cell>
          <cell r="B391" t="str">
            <v>Nguyễn Tấn</v>
          </cell>
          <cell r="C391" t="str">
            <v>Phát</v>
          </cell>
          <cell r="D391">
            <v>2103750</v>
          </cell>
          <cell r="E391" t="str">
            <v>LNH1125NE21</v>
          </cell>
        </row>
        <row r="392">
          <cell r="A392" t="str">
            <v>25807800070</v>
          </cell>
          <cell r="B392" t="str">
            <v>Lê Hữu</v>
          </cell>
          <cell r="C392" t="str">
            <v>Kiệt</v>
          </cell>
          <cell r="D392">
            <v>2103750</v>
          </cell>
          <cell r="E392" t="str">
            <v>LNH1125NE21</v>
          </cell>
        </row>
        <row r="393">
          <cell r="A393" t="str">
            <v>25808700180</v>
          </cell>
          <cell r="B393" t="str">
            <v>Đinh Thế</v>
          </cell>
          <cell r="C393" t="str">
            <v>Hiển</v>
          </cell>
          <cell r="D393">
            <v>2103750</v>
          </cell>
          <cell r="E393" t="str">
            <v>LNH1125NE21</v>
          </cell>
        </row>
        <row r="394">
          <cell r="A394" t="str">
            <v>25807800075</v>
          </cell>
          <cell r="B394" t="str">
            <v>Lê Trọng</v>
          </cell>
          <cell r="C394" t="str">
            <v>Long</v>
          </cell>
          <cell r="D394">
            <v>2103750</v>
          </cell>
          <cell r="E394" t="str">
            <v>LNH1125NE21</v>
          </cell>
        </row>
        <row r="395">
          <cell r="A395" t="str">
            <v>25808200117</v>
          </cell>
          <cell r="B395" t="str">
            <v>Nguyễn Thuận</v>
          </cell>
          <cell r="C395" t="str">
            <v>Thanh</v>
          </cell>
          <cell r="D395">
            <v>2103750</v>
          </cell>
          <cell r="E395" t="str">
            <v>LNH1125NE21</v>
          </cell>
        </row>
        <row r="396">
          <cell r="A396" t="str">
            <v>25808200122</v>
          </cell>
          <cell r="B396" t="str">
            <v>Võ Nhất</v>
          </cell>
          <cell r="C396" t="str">
            <v>Thiên</v>
          </cell>
          <cell r="D396">
            <v>2103750</v>
          </cell>
          <cell r="E396" t="str">
            <v>LNH1125NE21</v>
          </cell>
        </row>
        <row r="397">
          <cell r="A397" t="str">
            <v>25800400151</v>
          </cell>
          <cell r="B397" t="str">
            <v>Phạm Hoàng</v>
          </cell>
          <cell r="C397" t="str">
            <v>Thông</v>
          </cell>
          <cell r="D397">
            <v>2103750</v>
          </cell>
          <cell r="E397" t="str">
            <v>LNH1125NE21</v>
          </cell>
        </row>
        <row r="398">
          <cell r="A398" t="str">
            <v>25807500078</v>
          </cell>
          <cell r="B398" t="str">
            <v>Nguyễn Hoài Như</v>
          </cell>
          <cell r="C398" t="str">
            <v>Ngọc</v>
          </cell>
          <cell r="D398">
            <v>2103750</v>
          </cell>
          <cell r="E398" t="str">
            <v>LNH1125NE21</v>
          </cell>
        </row>
        <row r="399">
          <cell r="A399" t="str">
            <v>25808200027</v>
          </cell>
          <cell r="B399" t="str">
            <v>Hà Hải</v>
          </cell>
          <cell r="C399" t="str">
            <v>Dương</v>
          </cell>
          <cell r="D399">
            <v>2103750</v>
          </cell>
          <cell r="E399" t="str">
            <v>LNH1125NE21</v>
          </cell>
        </row>
        <row r="400">
          <cell r="A400" t="str">
            <v>25800400052</v>
          </cell>
          <cell r="B400" t="str">
            <v>Châu Gia</v>
          </cell>
          <cell r="C400" t="str">
            <v>Huy</v>
          </cell>
          <cell r="D400">
            <v>2103750</v>
          </cell>
          <cell r="E400" t="str">
            <v>LNH1125NE21</v>
          </cell>
        </row>
        <row r="401">
          <cell r="A401" t="str">
            <v>25800400245</v>
          </cell>
          <cell r="B401" t="str">
            <v>Châu Anh</v>
          </cell>
          <cell r="C401" t="str">
            <v>Kiệt</v>
          </cell>
          <cell r="D401">
            <v>2103750</v>
          </cell>
          <cell r="E401" t="str">
            <v>LNH1125NE21</v>
          </cell>
        </row>
        <row r="402">
          <cell r="A402" t="str">
            <v>25800500093</v>
          </cell>
          <cell r="B402" t="str">
            <v>Nguyễn Trần Đăng</v>
          </cell>
          <cell r="C402" t="str">
            <v>Khoa</v>
          </cell>
          <cell r="D402">
            <v>2103750</v>
          </cell>
          <cell r="E402" t="str">
            <v>LNH1125NE21</v>
          </cell>
        </row>
        <row r="403">
          <cell r="A403" t="str">
            <v>25807500093</v>
          </cell>
          <cell r="B403" t="str">
            <v>Võ Thành</v>
          </cell>
          <cell r="C403" t="str">
            <v>Phát</v>
          </cell>
          <cell r="D403">
            <v>2232500</v>
          </cell>
          <cell r="E403" t="str">
            <v>LNH1125NE21</v>
          </cell>
        </row>
        <row r="404">
          <cell r="A404" t="str">
            <v>25802700006</v>
          </cell>
          <cell r="B404" t="str">
            <v>Lê Quốc</v>
          </cell>
          <cell r="C404" t="str">
            <v>Anh</v>
          </cell>
          <cell r="D404">
            <v>2103750</v>
          </cell>
          <cell r="E404" t="str">
            <v>LNH1125NE21</v>
          </cell>
        </row>
        <row r="405">
          <cell r="A405" t="str">
            <v>25808900011</v>
          </cell>
          <cell r="B405" t="str">
            <v>Dương Hoàng</v>
          </cell>
          <cell r="C405" t="str">
            <v>Ân</v>
          </cell>
          <cell r="D405">
            <v>2232500</v>
          </cell>
          <cell r="E405" t="str">
            <v>LNH1125NE21</v>
          </cell>
        </row>
        <row r="406">
          <cell r="A406" t="str">
            <v>25808200123</v>
          </cell>
          <cell r="B406" t="str">
            <v>Lê Ngọc</v>
          </cell>
          <cell r="C406" t="str">
            <v>Thiện</v>
          </cell>
          <cell r="D406">
            <v>2103750</v>
          </cell>
          <cell r="E406" t="str">
            <v>LNH1125NE22</v>
          </cell>
        </row>
        <row r="407">
          <cell r="A407" t="str">
            <v>25808200104</v>
          </cell>
          <cell r="B407" t="str">
            <v>Tôn Thất Dương</v>
          </cell>
          <cell r="C407" t="str">
            <v>Quang</v>
          </cell>
          <cell r="D407">
            <v>2103750</v>
          </cell>
          <cell r="E407" t="str">
            <v>LNH1125NE22</v>
          </cell>
        </row>
        <row r="408">
          <cell r="A408" t="str">
            <v>25808700023</v>
          </cell>
          <cell r="B408" t="str">
            <v>Phùng Thanh</v>
          </cell>
          <cell r="C408" t="str">
            <v>Hằng</v>
          </cell>
          <cell r="D408">
            <v>2103750</v>
          </cell>
          <cell r="E408" t="str">
            <v>LNH1125NE22</v>
          </cell>
        </row>
        <row r="409">
          <cell r="A409" t="str">
            <v>25808700099</v>
          </cell>
          <cell r="B409" t="str">
            <v>Lê Nguyễn Mỹ</v>
          </cell>
          <cell r="C409" t="str">
            <v>Thường</v>
          </cell>
          <cell r="D409">
            <v>2103750</v>
          </cell>
          <cell r="E409" t="str">
            <v>LNH1125NE22</v>
          </cell>
        </row>
        <row r="410">
          <cell r="A410" t="str">
            <v>25808200269</v>
          </cell>
          <cell r="B410" t="str">
            <v>Nguyễn Thành</v>
          </cell>
          <cell r="C410" t="str">
            <v>Tiến</v>
          </cell>
          <cell r="D410">
            <v>2103750</v>
          </cell>
          <cell r="E410" t="str">
            <v>LNH1125NE22</v>
          </cell>
        </row>
        <row r="411">
          <cell r="A411" t="str">
            <v>25809600059</v>
          </cell>
          <cell r="B411" t="str">
            <v>Trần Thanh</v>
          </cell>
          <cell r="C411" t="str">
            <v>Sơn</v>
          </cell>
          <cell r="D411">
            <v>2103750</v>
          </cell>
          <cell r="E411" t="str">
            <v>LNH1125NE22</v>
          </cell>
        </row>
        <row r="412">
          <cell r="A412" t="str">
            <v>25807500115</v>
          </cell>
          <cell r="B412" t="str">
            <v>Huỳnh</v>
          </cell>
          <cell r="C412" t="str">
            <v>Thân</v>
          </cell>
          <cell r="D412">
            <v>2103750</v>
          </cell>
          <cell r="E412" t="str">
            <v>LNH1125NE22</v>
          </cell>
        </row>
        <row r="413">
          <cell r="A413" t="str">
            <v>25808100019</v>
          </cell>
          <cell r="B413" t="str">
            <v>Trần Gia</v>
          </cell>
          <cell r="C413" t="str">
            <v>Huy</v>
          </cell>
          <cell r="D413">
            <v>2103750</v>
          </cell>
          <cell r="E413" t="str">
            <v>LNH1125NE22</v>
          </cell>
        </row>
        <row r="414">
          <cell r="A414" t="str">
            <v>25808200067</v>
          </cell>
          <cell r="B414" t="str">
            <v>Nguyễn Ngọc Đăng</v>
          </cell>
          <cell r="C414" t="str">
            <v>Khoa</v>
          </cell>
          <cell r="D414">
            <v>2103750</v>
          </cell>
          <cell r="E414" t="str">
            <v>LNH1125NE22</v>
          </cell>
        </row>
        <row r="415">
          <cell r="A415" t="str">
            <v>25808700015</v>
          </cell>
          <cell r="B415" t="str">
            <v>Dương Hữu Khánh</v>
          </cell>
          <cell r="C415" t="str">
            <v>Đạt</v>
          </cell>
          <cell r="D415">
            <v>2103750</v>
          </cell>
          <cell r="E415" t="str">
            <v>LNH1125NE22</v>
          </cell>
        </row>
        <row r="416">
          <cell r="A416" t="str">
            <v>25808900066</v>
          </cell>
          <cell r="B416" t="str">
            <v>Nguyễn Văn</v>
          </cell>
          <cell r="C416" t="str">
            <v>Lai</v>
          </cell>
          <cell r="D416">
            <v>2600000</v>
          </cell>
          <cell r="E416" t="str">
            <v>LNH1125NE22</v>
          </cell>
        </row>
        <row r="417">
          <cell r="A417" t="str">
            <v>25808700067</v>
          </cell>
          <cell r="B417" t="str">
            <v>Nguyễn Thị Yến</v>
          </cell>
          <cell r="C417" t="str">
            <v>Nhi</v>
          </cell>
          <cell r="D417">
            <v>2103750</v>
          </cell>
          <cell r="E417" t="str">
            <v>LNH1125NE22</v>
          </cell>
        </row>
        <row r="418">
          <cell r="A418" t="str">
            <v>25808700077</v>
          </cell>
          <cell r="B418" t="str">
            <v>Trần Thanh</v>
          </cell>
          <cell r="C418" t="str">
            <v>Phong</v>
          </cell>
          <cell r="D418">
            <v>2103750</v>
          </cell>
          <cell r="E418" t="str">
            <v>LNH1125NE22</v>
          </cell>
        </row>
        <row r="419">
          <cell r="A419" t="str">
            <v>25806300028</v>
          </cell>
          <cell r="B419" t="str">
            <v>Trần Hoài</v>
          </cell>
          <cell r="C419" t="str">
            <v>Nam</v>
          </cell>
          <cell r="D419">
            <v>2103750</v>
          </cell>
          <cell r="E419" t="str">
            <v>LNH1125NE22</v>
          </cell>
        </row>
        <row r="420">
          <cell r="A420" t="str">
            <v>25820200051</v>
          </cell>
          <cell r="B420" t="str">
            <v>Nguyễn Trọng</v>
          </cell>
          <cell r="C420" t="str">
            <v>Phúc</v>
          </cell>
          <cell r="D420">
            <v>2103750</v>
          </cell>
          <cell r="E420" t="str">
            <v>LNH1125NE22</v>
          </cell>
        </row>
        <row r="421">
          <cell r="A421">
            <v>25808500293</v>
          </cell>
          <cell r="B421" t="str">
            <v xml:space="preserve"> Bùi Anh </v>
          </cell>
          <cell r="C421" t="str">
            <v>Quân</v>
          </cell>
          <cell r="D421">
            <v>2232500</v>
          </cell>
          <cell r="E421" t="str">
            <v>LNH1125NE22</v>
          </cell>
        </row>
        <row r="422">
          <cell r="A422" t="str">
            <v>25808700155</v>
          </cell>
          <cell r="B422" t="str">
            <v>Phạm Minh</v>
          </cell>
          <cell r="C422" t="str">
            <v>Quang</v>
          </cell>
          <cell r="D422">
            <v>2103750</v>
          </cell>
          <cell r="E422" t="str">
            <v>LNH1125NE22</v>
          </cell>
        </row>
        <row r="423">
          <cell r="A423" t="str">
            <v>25800400110</v>
          </cell>
          <cell r="B423" t="str">
            <v>Lê Trung</v>
          </cell>
          <cell r="C423" t="str">
            <v>Nguyên</v>
          </cell>
          <cell r="D423">
            <v>2103750</v>
          </cell>
          <cell r="E423" t="str">
            <v>LNH1125NE23</v>
          </cell>
        </row>
        <row r="424">
          <cell r="A424" t="str">
            <v>25800400049</v>
          </cell>
          <cell r="B424" t="str">
            <v>Trương Vĩnh</v>
          </cell>
          <cell r="C424" t="str">
            <v>Hội</v>
          </cell>
          <cell r="D424">
            <v>2103750</v>
          </cell>
          <cell r="E424" t="str">
            <v>LNH1125NE23</v>
          </cell>
        </row>
        <row r="425">
          <cell r="A425" t="str">
            <v>25800400077</v>
          </cell>
          <cell r="B425" t="str">
            <v>Nguyễn Đăng</v>
          </cell>
          <cell r="C425" t="str">
            <v>Khoa</v>
          </cell>
          <cell r="D425">
            <v>2103750</v>
          </cell>
          <cell r="E425" t="str">
            <v>LNH1125NE23</v>
          </cell>
        </row>
        <row r="426">
          <cell r="A426" t="str">
            <v>25800500155</v>
          </cell>
          <cell r="B426" t="str">
            <v>Phạm Duy</v>
          </cell>
          <cell r="C426" t="str">
            <v>Tân</v>
          </cell>
          <cell r="D426">
            <v>2103750</v>
          </cell>
          <cell r="E426" t="str">
            <v>LNH1125NE23</v>
          </cell>
        </row>
        <row r="427">
          <cell r="A427" t="str">
            <v>25808700011</v>
          </cell>
          <cell r="B427" t="str">
            <v>Lâm Ngọc Thùy</v>
          </cell>
          <cell r="C427" t="str">
            <v>Dương</v>
          </cell>
          <cell r="D427">
            <v>2103750</v>
          </cell>
          <cell r="E427" t="str">
            <v>LNH1125NE23</v>
          </cell>
        </row>
        <row r="428">
          <cell r="A428" t="str">
            <v>25805800054</v>
          </cell>
          <cell r="B428" t="str">
            <v>Lê Hoàng</v>
          </cell>
          <cell r="C428" t="str">
            <v>Anh</v>
          </cell>
          <cell r="D428">
            <v>2103750</v>
          </cell>
          <cell r="E428" t="str">
            <v>LNH1125NE23</v>
          </cell>
        </row>
        <row r="429">
          <cell r="A429" t="str">
            <v>25800400106</v>
          </cell>
          <cell r="B429" t="str">
            <v>Đặng Hiếu</v>
          </cell>
          <cell r="C429" t="str">
            <v>Nghĩa</v>
          </cell>
          <cell r="D429">
            <v>2103750</v>
          </cell>
          <cell r="E429" t="str">
            <v>LNH1125NE23</v>
          </cell>
        </row>
        <row r="430">
          <cell r="A430" t="str">
            <v>25800500109</v>
          </cell>
          <cell r="B430" t="str">
            <v>Nguyễn Huỳnh Nhựt</v>
          </cell>
          <cell r="C430" t="str">
            <v>Minh</v>
          </cell>
          <cell r="D430">
            <v>2103750</v>
          </cell>
          <cell r="E430" t="str">
            <v>LNH1125NE23</v>
          </cell>
        </row>
        <row r="431">
          <cell r="A431" t="str">
            <v>25800600343</v>
          </cell>
          <cell r="B431" t="str">
            <v>Nguyễn Đăng</v>
          </cell>
          <cell r="C431" t="str">
            <v>Khoa</v>
          </cell>
          <cell r="D431">
            <v>2103750</v>
          </cell>
          <cell r="E431" t="str">
            <v>LNH1125NE23</v>
          </cell>
        </row>
        <row r="432">
          <cell r="A432" t="str">
            <v>25807500098</v>
          </cell>
          <cell r="B432" t="str">
            <v>Phan Ngọc Phú</v>
          </cell>
          <cell r="C432" t="str">
            <v>Quí</v>
          </cell>
          <cell r="D432">
            <v>2103750</v>
          </cell>
          <cell r="E432" t="str">
            <v>LNH1125NE23</v>
          </cell>
        </row>
        <row r="433">
          <cell r="A433" t="str">
            <v>25808200079</v>
          </cell>
          <cell r="B433" t="str">
            <v>Đặng Thái</v>
          </cell>
          <cell r="C433" t="str">
            <v>Lộc</v>
          </cell>
          <cell r="D433">
            <v>2103750</v>
          </cell>
          <cell r="E433" t="str">
            <v>LNH1125NE23</v>
          </cell>
        </row>
        <row r="434">
          <cell r="A434" t="str">
            <v>25808700092</v>
          </cell>
          <cell r="B434" t="str">
            <v>Nguyễn Chiến</v>
          </cell>
          <cell r="C434" t="str">
            <v>Thắng</v>
          </cell>
          <cell r="D434">
            <v>2103750</v>
          </cell>
          <cell r="E434" t="str">
            <v>LNH1125NE23</v>
          </cell>
        </row>
        <row r="435">
          <cell r="A435" t="str">
            <v>25820100019</v>
          </cell>
          <cell r="B435" t="str">
            <v>Hồ Quốc</v>
          </cell>
          <cell r="C435" t="str">
            <v>Khánh</v>
          </cell>
          <cell r="D435">
            <v>2103750</v>
          </cell>
          <cell r="E435" t="str">
            <v>LNH1125NE23</v>
          </cell>
        </row>
        <row r="436">
          <cell r="A436" t="str">
            <v>25820100030</v>
          </cell>
          <cell r="B436" t="str">
            <v>Phan Vũ Gia</v>
          </cell>
          <cell r="C436" t="str">
            <v>Minh</v>
          </cell>
          <cell r="D436">
            <v>2103750</v>
          </cell>
          <cell r="E436" t="str">
            <v>LNH1125NE23</v>
          </cell>
        </row>
        <row r="437">
          <cell r="A437" t="str">
            <v>25820100044</v>
          </cell>
          <cell r="B437" t="str">
            <v>Chiêm Hoàng</v>
          </cell>
          <cell r="C437" t="str">
            <v>Tân</v>
          </cell>
          <cell r="D437">
            <v>2103750</v>
          </cell>
          <cell r="E437" t="str">
            <v>LNH1125NE23</v>
          </cell>
        </row>
        <row r="438">
          <cell r="A438" t="str">
            <v>25800400117</v>
          </cell>
          <cell r="B438" t="str">
            <v>Vũ Hoàng Minh</v>
          </cell>
          <cell r="C438" t="str">
            <v>Nhật</v>
          </cell>
          <cell r="D438">
            <v>2103750</v>
          </cell>
          <cell r="E438" t="str">
            <v>LNH1125NE23</v>
          </cell>
        </row>
        <row r="439">
          <cell r="A439" t="str">
            <v>25800400133</v>
          </cell>
          <cell r="B439" t="str">
            <v>Trương Tấn</v>
          </cell>
          <cell r="C439" t="str">
            <v>Sang</v>
          </cell>
          <cell r="D439">
            <v>2103750</v>
          </cell>
          <cell r="E439" t="str">
            <v>LNH1125NE23</v>
          </cell>
        </row>
        <row r="440">
          <cell r="A440" t="str">
            <v>25800400244</v>
          </cell>
          <cell r="B440" t="str">
            <v>Nguyễn Đăng</v>
          </cell>
          <cell r="C440" t="str">
            <v>Khang</v>
          </cell>
          <cell r="D440">
            <v>2103750</v>
          </cell>
          <cell r="E440" t="str">
            <v>LNH1125NE23</v>
          </cell>
        </row>
        <row r="441">
          <cell r="A441" t="str">
            <v>25801200012</v>
          </cell>
          <cell r="B441" t="str">
            <v>Hứa Nguyễn Gia</v>
          </cell>
          <cell r="C441" t="str">
            <v>Hân</v>
          </cell>
          <cell r="D441">
            <v>2103750</v>
          </cell>
          <cell r="E441" t="str">
            <v>LNH1125NE23</v>
          </cell>
        </row>
        <row r="442">
          <cell r="A442" t="str">
            <v>25800400055</v>
          </cell>
          <cell r="B442" t="str">
            <v>Ngô Lâm Bảo</v>
          </cell>
          <cell r="C442" t="str">
            <v>Huy</v>
          </cell>
          <cell r="D442">
            <v>2103750</v>
          </cell>
          <cell r="E442" t="str">
            <v>LNH1125NE23</v>
          </cell>
        </row>
        <row r="443">
          <cell r="A443" t="str">
            <v>25808200053</v>
          </cell>
          <cell r="B443" t="str">
            <v>Thái Ngọc</v>
          </cell>
          <cell r="C443" t="str">
            <v>Huy</v>
          </cell>
          <cell r="D443">
            <v>2232500</v>
          </cell>
          <cell r="E443" t="str">
            <v>LNH1125NE23</v>
          </cell>
        </row>
        <row r="444">
          <cell r="A444" t="str">
            <v>25800500113</v>
          </cell>
          <cell r="B444" t="str">
            <v>Nguyễn Chí</v>
          </cell>
          <cell r="C444" t="str">
            <v>Nam</v>
          </cell>
          <cell r="D444">
            <v>2232500</v>
          </cell>
          <cell r="E444" t="str">
            <v>LNH1125NE23</v>
          </cell>
        </row>
        <row r="445">
          <cell r="A445" t="str">
            <v>25801800033</v>
          </cell>
          <cell r="B445" t="str">
            <v>Đoàn Đắc</v>
          </cell>
          <cell r="C445" t="str">
            <v>Mạnh</v>
          </cell>
          <cell r="D445">
            <v>2232500</v>
          </cell>
          <cell r="E445" t="str">
            <v>LNH1125NE23</v>
          </cell>
        </row>
        <row r="446">
          <cell r="A446" t="str">
            <v>25820100011</v>
          </cell>
          <cell r="B446" t="str">
            <v>Nguyễn Hoàng Minh</v>
          </cell>
          <cell r="C446" t="str">
            <v>Đức</v>
          </cell>
          <cell r="D446">
            <v>2232500</v>
          </cell>
          <cell r="E446" t="str">
            <v>LNH1125NE24</v>
          </cell>
        </row>
        <row r="447">
          <cell r="A447" t="str">
            <v>25808200108</v>
          </cell>
          <cell r="B447" t="str">
            <v>Tô Phước</v>
          </cell>
          <cell r="C447" t="str">
            <v>Sang</v>
          </cell>
          <cell r="D447">
            <v>2103750</v>
          </cell>
          <cell r="E447" t="str">
            <v>LNH1125NE24</v>
          </cell>
        </row>
        <row r="448">
          <cell r="A448" t="str">
            <v>25800400291</v>
          </cell>
          <cell r="B448" t="str">
            <v>Phùng Minh</v>
          </cell>
          <cell r="C448" t="str">
            <v>Trí</v>
          </cell>
          <cell r="D448">
            <v>2103750</v>
          </cell>
          <cell r="E448" t="str">
            <v>LNH1125NE24</v>
          </cell>
        </row>
        <row r="449">
          <cell r="A449" t="str">
            <v>25800500136</v>
          </cell>
          <cell r="B449" t="str">
            <v>Nguyễn Anh</v>
          </cell>
          <cell r="C449" t="str">
            <v>Phong</v>
          </cell>
          <cell r="D449">
            <v>2103750</v>
          </cell>
          <cell r="E449" t="str">
            <v>LNH1125NE24</v>
          </cell>
        </row>
        <row r="450">
          <cell r="A450" t="str">
            <v>25801200018</v>
          </cell>
          <cell r="B450" t="str">
            <v>Nguyễn Thị Hoàng</v>
          </cell>
          <cell r="C450" t="str">
            <v>Kiều</v>
          </cell>
          <cell r="D450">
            <v>2103750</v>
          </cell>
          <cell r="E450" t="str">
            <v>LNH1125NE24</v>
          </cell>
        </row>
        <row r="451">
          <cell r="A451" t="str">
            <v>25801200039</v>
          </cell>
          <cell r="B451" t="str">
            <v>Huỳnh Trần Thảo</v>
          </cell>
          <cell r="C451" t="str">
            <v>Vy</v>
          </cell>
          <cell r="D451">
            <v>2103750</v>
          </cell>
          <cell r="E451" t="str">
            <v>LNH1125NE24</v>
          </cell>
        </row>
        <row r="452">
          <cell r="A452" t="str">
            <v>25802700134</v>
          </cell>
          <cell r="B452" t="str">
            <v>Phan Bảo</v>
          </cell>
          <cell r="C452" t="str">
            <v>Luân</v>
          </cell>
          <cell r="D452">
            <v>2103750</v>
          </cell>
          <cell r="E452" t="str">
            <v>LNH1125NE24</v>
          </cell>
        </row>
        <row r="453">
          <cell r="A453" t="str">
            <v>25807500032</v>
          </cell>
          <cell r="B453" t="str">
            <v>Trần Ngọc</v>
          </cell>
          <cell r="C453" t="str">
            <v>Hiếu</v>
          </cell>
          <cell r="D453">
            <v>2103750</v>
          </cell>
          <cell r="E453" t="str">
            <v>LNH1125NE24</v>
          </cell>
        </row>
        <row r="454">
          <cell r="A454" t="str">
            <v>25807500124</v>
          </cell>
          <cell r="B454" t="str">
            <v>Nguyễn Anh</v>
          </cell>
          <cell r="C454" t="str">
            <v>Thư</v>
          </cell>
          <cell r="D454">
            <v>2103750</v>
          </cell>
          <cell r="E454" t="str">
            <v>LNH1125NE24</v>
          </cell>
        </row>
        <row r="455">
          <cell r="A455" t="str">
            <v>25807900042</v>
          </cell>
          <cell r="B455" t="str">
            <v>Trần Nhật</v>
          </cell>
          <cell r="C455" t="str">
            <v>Quang</v>
          </cell>
          <cell r="D455">
            <v>2103750</v>
          </cell>
          <cell r="E455" t="str">
            <v>LNH1125NE24</v>
          </cell>
        </row>
        <row r="456">
          <cell r="A456" t="str">
            <v>25820100017</v>
          </cell>
          <cell r="B456" t="str">
            <v>Trần Huỳnh Quang</v>
          </cell>
          <cell r="C456" t="str">
            <v>Huy</v>
          </cell>
          <cell r="D456">
            <v>2103750</v>
          </cell>
          <cell r="E456" t="str">
            <v>LNH1125NE24</v>
          </cell>
        </row>
        <row r="457">
          <cell r="A457" t="str">
            <v>25820100028</v>
          </cell>
          <cell r="B457" t="str">
            <v>Trần Nguyễn Hoàng</v>
          </cell>
          <cell r="C457" t="str">
            <v>Long</v>
          </cell>
          <cell r="D457">
            <v>2103750</v>
          </cell>
          <cell r="E457" t="str">
            <v>LNH1125NE24</v>
          </cell>
        </row>
        <row r="458">
          <cell r="A458" t="str">
            <v>25820300020</v>
          </cell>
          <cell r="B458" t="str">
            <v>Nguyễn</v>
          </cell>
          <cell r="C458" t="str">
            <v>Huỳnh</v>
          </cell>
          <cell r="D458">
            <v>2103750</v>
          </cell>
          <cell r="E458" t="str">
            <v>LNH1125NE24</v>
          </cell>
        </row>
        <row r="459">
          <cell r="A459" t="str">
            <v>25807700031</v>
          </cell>
          <cell r="B459" t="str">
            <v>Nguyễn Văn</v>
          </cell>
          <cell r="C459" t="str">
            <v>Hoàng</v>
          </cell>
          <cell r="D459">
            <v>2232500</v>
          </cell>
          <cell r="E459" t="str">
            <v>LNH1125NE24</v>
          </cell>
        </row>
        <row r="460">
          <cell r="A460" t="str">
            <v>25801100044</v>
          </cell>
          <cell r="B460" t="str">
            <v>Lê Văn</v>
          </cell>
          <cell r="C460" t="str">
            <v>Nhân</v>
          </cell>
          <cell r="D460">
            <v>2103750</v>
          </cell>
          <cell r="E460" t="str">
            <v>LNH1125NE24</v>
          </cell>
        </row>
        <row r="461">
          <cell r="A461" t="str">
            <v>25802100067</v>
          </cell>
          <cell r="B461" t="str">
            <v>Nguyễn Hà Hạnh</v>
          </cell>
          <cell r="C461" t="str">
            <v>Phương</v>
          </cell>
          <cell r="D461">
            <v>2103750</v>
          </cell>
          <cell r="E461" t="str">
            <v>LNH1125NE24</v>
          </cell>
        </row>
        <row r="462">
          <cell r="A462" t="str">
            <v>25801100080</v>
          </cell>
          <cell r="B462" t="str">
            <v>Trương Quang</v>
          </cell>
          <cell r="C462" t="str">
            <v>Vinh</v>
          </cell>
          <cell r="D462">
            <v>2232500</v>
          </cell>
          <cell r="E462" t="str">
            <v>LNH1125NE25</v>
          </cell>
        </row>
        <row r="463">
          <cell r="A463" t="str">
            <v>25800500121</v>
          </cell>
          <cell r="B463" t="str">
            <v>Nguyễn Chỉnh</v>
          </cell>
          <cell r="C463" t="str">
            <v>Nghiêm</v>
          </cell>
          <cell r="D463">
            <v>2103750</v>
          </cell>
          <cell r="E463" t="str">
            <v>LNH1125NE25</v>
          </cell>
        </row>
        <row r="464">
          <cell r="A464" t="str">
            <v>25808200085</v>
          </cell>
          <cell r="B464" t="str">
            <v>Nguyen Hoang</v>
          </cell>
          <cell r="C464" t="str">
            <v>Minh</v>
          </cell>
          <cell r="D464">
            <v>2103750</v>
          </cell>
          <cell r="E464" t="str">
            <v>LNH1125NE25</v>
          </cell>
        </row>
        <row r="465">
          <cell r="A465" t="str">
            <v>25820200133</v>
          </cell>
          <cell r="B465" t="str">
            <v>Nguyễn Quang</v>
          </cell>
          <cell r="C465" t="str">
            <v>Đại</v>
          </cell>
          <cell r="D465">
            <v>2103750</v>
          </cell>
          <cell r="E465" t="str">
            <v>LNH1125NE25</v>
          </cell>
        </row>
        <row r="466">
          <cell r="A466" t="str">
            <v>25803800021</v>
          </cell>
          <cell r="B466" t="str">
            <v>Đỗ Quốc</v>
          </cell>
          <cell r="C466" t="str">
            <v>Khánh</v>
          </cell>
          <cell r="D466">
            <v>2103750</v>
          </cell>
          <cell r="E466" t="str">
            <v>LNH1125NE25</v>
          </cell>
        </row>
        <row r="467">
          <cell r="A467" t="str">
            <v>25807500054</v>
          </cell>
          <cell r="B467" t="str">
            <v>Đặng Mỹ</v>
          </cell>
          <cell r="C467" t="str">
            <v>Kiều</v>
          </cell>
          <cell r="D467">
            <v>2103750</v>
          </cell>
          <cell r="E467" t="str">
            <v>LNH1125NE25</v>
          </cell>
        </row>
        <row r="468">
          <cell r="A468" t="str">
            <v>25807800143</v>
          </cell>
          <cell r="B468" t="str">
            <v>Phạm Nguyễn Minh</v>
          </cell>
          <cell r="C468" t="str">
            <v>Tiến</v>
          </cell>
          <cell r="D468">
            <v>2103750</v>
          </cell>
          <cell r="E468" t="str">
            <v>LNH1125NE25</v>
          </cell>
        </row>
        <row r="469">
          <cell r="A469" t="str">
            <v>25803800037</v>
          </cell>
          <cell r="B469" t="str">
            <v>Lê Nguyễn Ngọc</v>
          </cell>
          <cell r="C469" t="str">
            <v>Ngân</v>
          </cell>
          <cell r="D469">
            <v>2103750</v>
          </cell>
          <cell r="E469" t="str">
            <v>LNH1125NE25</v>
          </cell>
        </row>
        <row r="470">
          <cell r="A470" t="str">
            <v>25820200013</v>
          </cell>
          <cell r="B470" t="str">
            <v>Mã Lương Hải</v>
          </cell>
          <cell r="C470" t="str">
            <v>Đăng</v>
          </cell>
          <cell r="D470">
            <v>2103750</v>
          </cell>
          <cell r="E470" t="str">
            <v>LNH1125NE25</v>
          </cell>
        </row>
        <row r="471">
          <cell r="A471" t="str">
            <v>25800500277</v>
          </cell>
          <cell r="B471" t="str">
            <v>Vũ Đức</v>
          </cell>
          <cell r="C471" t="str">
            <v>Hòa</v>
          </cell>
          <cell r="D471">
            <v>2232500</v>
          </cell>
          <cell r="E471" t="str">
            <v>LNH1125NE25</v>
          </cell>
        </row>
        <row r="472">
          <cell r="A472" t="str">
            <v>25801000013</v>
          </cell>
          <cell r="B472" t="str">
            <v>Trần Đặng Kim</v>
          </cell>
          <cell r="C472" t="str">
            <v>Ngân</v>
          </cell>
          <cell r="D472">
            <v>2232500</v>
          </cell>
          <cell r="E472" t="str">
            <v>LNH1125NE25</v>
          </cell>
        </row>
        <row r="473">
          <cell r="A473" t="str">
            <v>25807800116</v>
          </cell>
          <cell r="B473" t="str">
            <v>Nguyễn Trần Minh</v>
          </cell>
          <cell r="C473" t="str">
            <v>Quân</v>
          </cell>
          <cell r="D473">
            <v>2232500</v>
          </cell>
          <cell r="E473" t="str">
            <v>LNH1125NE25</v>
          </cell>
        </row>
        <row r="474">
          <cell r="A474" t="str">
            <v>25808200028</v>
          </cell>
          <cell r="B474" t="str">
            <v>Nguyễn Bá Hoàng</v>
          </cell>
          <cell r="C474" t="str">
            <v>Dương</v>
          </cell>
          <cell r="D474">
            <v>2232500</v>
          </cell>
          <cell r="E474" t="str">
            <v>LNH1125NE25</v>
          </cell>
        </row>
        <row r="475">
          <cell r="A475" t="str">
            <v>25800400294</v>
          </cell>
          <cell r="B475" t="str">
            <v>Đinh Ngọc Xuân</v>
          </cell>
          <cell r="C475" t="str">
            <v>Giang</v>
          </cell>
          <cell r="D475">
            <v>2103750</v>
          </cell>
          <cell r="E475" t="str">
            <v>LNH1125NE25</v>
          </cell>
        </row>
        <row r="476">
          <cell r="A476" t="str">
            <v>25808700190</v>
          </cell>
          <cell r="B476" t="str">
            <v>Lê Minh</v>
          </cell>
          <cell r="C476" t="str">
            <v>Long</v>
          </cell>
          <cell r="D476">
            <v>2103750</v>
          </cell>
          <cell r="E476" t="str">
            <v>LNH1125NE25</v>
          </cell>
        </row>
        <row r="477">
          <cell r="A477" t="str">
            <v>25802800185</v>
          </cell>
          <cell r="B477" t="str">
            <v>Chu Yến</v>
          </cell>
          <cell r="C477" t="str">
            <v>Nhi</v>
          </cell>
          <cell r="D477">
            <v>2103750</v>
          </cell>
          <cell r="E477" t="str">
            <v>LNH1125NE25</v>
          </cell>
        </row>
        <row r="478">
          <cell r="A478" t="str">
            <v>25807900016</v>
          </cell>
          <cell r="B478" t="str">
            <v>Nguyễn Duy</v>
          </cell>
          <cell r="C478" t="str">
            <v>Hùng</v>
          </cell>
          <cell r="D478">
            <v>2103750</v>
          </cell>
          <cell r="E478" t="str">
            <v>LNH1125NE26</v>
          </cell>
        </row>
        <row r="479">
          <cell r="A479" t="str">
            <v>25820700004</v>
          </cell>
          <cell r="B479" t="str">
            <v>Trần Quỳnh</v>
          </cell>
          <cell r="C479" t="str">
            <v>Anh</v>
          </cell>
          <cell r="D479">
            <v>2103750</v>
          </cell>
          <cell r="E479" t="str">
            <v>LNH1125NE26</v>
          </cell>
        </row>
        <row r="480">
          <cell r="A480" t="str">
            <v>25820700010</v>
          </cell>
          <cell r="B480" t="str">
            <v>Nguyễn Dương Hiền</v>
          </cell>
          <cell r="C480" t="str">
            <v>Hòa</v>
          </cell>
          <cell r="D480">
            <v>2103750</v>
          </cell>
          <cell r="E480" t="str">
            <v>LNH1125NE26</v>
          </cell>
        </row>
        <row r="481">
          <cell r="A481" t="str">
            <v>25802100071</v>
          </cell>
          <cell r="B481" t="str">
            <v>Nguyễn Vinh</v>
          </cell>
          <cell r="C481" t="str">
            <v>Quang</v>
          </cell>
          <cell r="D481">
            <v>2103750</v>
          </cell>
          <cell r="E481" t="str">
            <v>LNH1125NE26</v>
          </cell>
        </row>
        <row r="482">
          <cell r="A482" t="str">
            <v>25802700081</v>
          </cell>
          <cell r="B482" t="str">
            <v>Dương Nguyễn Ngọc</v>
          </cell>
          <cell r="C482" t="str">
            <v>Thắng</v>
          </cell>
          <cell r="D482">
            <v>2103750</v>
          </cell>
          <cell r="E482" t="str">
            <v>LNH1125NE26</v>
          </cell>
        </row>
        <row r="483">
          <cell r="A483" t="str">
            <v>25800400275</v>
          </cell>
          <cell r="B483" t="str">
            <v>Trần Lê Hữu</v>
          </cell>
          <cell r="C483" t="str">
            <v>Hậu</v>
          </cell>
          <cell r="D483">
            <v>2103750</v>
          </cell>
          <cell r="E483" t="str">
            <v>LNH1125NE26</v>
          </cell>
        </row>
        <row r="484">
          <cell r="A484" t="str">
            <v>25808200070</v>
          </cell>
          <cell r="B484" t="str">
            <v>Trần Minh</v>
          </cell>
          <cell r="C484" t="str">
            <v>Khoa</v>
          </cell>
          <cell r="D484">
            <v>2103750</v>
          </cell>
          <cell r="E484" t="str">
            <v>LNH1125NE26</v>
          </cell>
        </row>
        <row r="485">
          <cell r="A485" t="str">
            <v>25808200137</v>
          </cell>
          <cell r="B485" t="str">
            <v>Trần Minh</v>
          </cell>
          <cell r="C485" t="str">
            <v>Tú</v>
          </cell>
          <cell r="D485">
            <v>2103750</v>
          </cell>
          <cell r="E485" t="str">
            <v>LNH1125NE26</v>
          </cell>
        </row>
        <row r="486">
          <cell r="A486" t="str">
            <v>25820300043</v>
          </cell>
          <cell r="B486" t="str">
            <v>Trần Tấn</v>
          </cell>
          <cell r="C486" t="str">
            <v>Phát</v>
          </cell>
          <cell r="D486">
            <v>2103750</v>
          </cell>
          <cell r="E486" t="str">
            <v>LNH1125NE26</v>
          </cell>
        </row>
        <row r="487">
          <cell r="A487" t="str">
            <v>25820300026</v>
          </cell>
          <cell r="B487" t="str">
            <v>Phạm Nguyễn Đăng</v>
          </cell>
          <cell r="C487" t="str">
            <v>Khoa</v>
          </cell>
          <cell r="D487">
            <v>2103750</v>
          </cell>
          <cell r="E487" t="str">
            <v>LNH1125NE26</v>
          </cell>
        </row>
        <row r="488">
          <cell r="A488" t="str">
            <v>25806400021</v>
          </cell>
          <cell r="B488" t="str">
            <v>Lê Ngọc Quỳnh</v>
          </cell>
          <cell r="C488" t="str">
            <v>Trang</v>
          </cell>
          <cell r="D488">
            <v>2103750</v>
          </cell>
          <cell r="E488" t="str">
            <v>LNH1125NE26</v>
          </cell>
        </row>
        <row r="489">
          <cell r="A489" t="str">
            <v>25820300019</v>
          </cell>
          <cell r="B489" t="str">
            <v>Trần Quốc</v>
          </cell>
          <cell r="C489" t="str">
            <v>Huy</v>
          </cell>
          <cell r="D489">
            <v>2103750</v>
          </cell>
          <cell r="E489" t="str">
            <v>LNH1125NE26</v>
          </cell>
        </row>
        <row r="490">
          <cell r="A490" t="str">
            <v>25808200093</v>
          </cell>
          <cell r="B490" t="str">
            <v>Nguyễn Khắc</v>
          </cell>
          <cell r="C490" t="str">
            <v>Nguyên</v>
          </cell>
          <cell r="D490">
            <v>2103750</v>
          </cell>
          <cell r="E490" t="str">
            <v>LNH1125NE26</v>
          </cell>
        </row>
        <row r="491">
          <cell r="A491" t="str">
            <v>25801100001</v>
          </cell>
          <cell r="B491" t="str">
            <v>Đinh Tuấn</v>
          </cell>
          <cell r="C491" t="str">
            <v>Anh</v>
          </cell>
          <cell r="D491">
            <v>2103750</v>
          </cell>
          <cell r="E491" t="str">
            <v>LNH1125NE26</v>
          </cell>
        </row>
        <row r="492">
          <cell r="A492" t="str">
            <v>25807800199</v>
          </cell>
          <cell r="B492" t="str">
            <v>Trần Vĩnh</v>
          </cell>
          <cell r="C492" t="str">
            <v>Phúc</v>
          </cell>
          <cell r="D492">
            <v>2232500</v>
          </cell>
          <cell r="E492" t="str">
            <v>LNH1125NE26</v>
          </cell>
        </row>
        <row r="493">
          <cell r="A493" t="str">
            <v>25807800067</v>
          </cell>
          <cell r="B493" t="str">
            <v>Lê Trà Bảo</v>
          </cell>
          <cell r="C493" t="str">
            <v>Khôi</v>
          </cell>
          <cell r="D493">
            <v>2103750</v>
          </cell>
          <cell r="E493" t="str">
            <v>LNH1125NE26</v>
          </cell>
        </row>
        <row r="494">
          <cell r="A494" t="str">
            <v>25800400152</v>
          </cell>
          <cell r="B494" t="str">
            <v>Đào Quốc</v>
          </cell>
          <cell r="C494" t="str">
            <v>Thuận</v>
          </cell>
          <cell r="D494">
            <v>2103750</v>
          </cell>
          <cell r="E494" t="str">
            <v>LNH1125NE27</v>
          </cell>
        </row>
        <row r="495">
          <cell r="A495" t="str">
            <v>25800400088</v>
          </cell>
          <cell r="B495" t="str">
            <v>Nguyễn Đỗ Anh</v>
          </cell>
          <cell r="C495" t="str">
            <v>Kiệt</v>
          </cell>
          <cell r="D495">
            <v>2103750</v>
          </cell>
          <cell r="E495" t="str">
            <v>LNH1125NE27</v>
          </cell>
        </row>
        <row r="496">
          <cell r="A496" t="str">
            <v>25801200066</v>
          </cell>
          <cell r="B496" t="str">
            <v>Lê Nguyễn Hoài</v>
          </cell>
          <cell r="C496" t="str">
            <v>Thương</v>
          </cell>
          <cell r="D496">
            <v>2103750</v>
          </cell>
          <cell r="E496" t="str">
            <v>LNH1125NE27</v>
          </cell>
        </row>
        <row r="497">
          <cell r="A497" t="str">
            <v>25806400003</v>
          </cell>
          <cell r="B497" t="str">
            <v>Đỗ</v>
          </cell>
          <cell r="C497" t="str">
            <v>Duẫn</v>
          </cell>
          <cell r="D497">
            <v>2103750</v>
          </cell>
          <cell r="E497" t="str">
            <v>LNH1125NE27</v>
          </cell>
        </row>
        <row r="498">
          <cell r="A498" t="str">
            <v>25807500033</v>
          </cell>
          <cell r="B498" t="str">
            <v>Phạm Minh</v>
          </cell>
          <cell r="C498" t="str">
            <v>Hòa</v>
          </cell>
          <cell r="D498">
            <v>2103750</v>
          </cell>
          <cell r="E498" t="str">
            <v>LNH1125NE27</v>
          </cell>
        </row>
        <row r="499">
          <cell r="A499" t="str">
            <v>25807500037</v>
          </cell>
          <cell r="B499" t="str">
            <v>Phạm Minh</v>
          </cell>
          <cell r="C499" t="str">
            <v>Hoàng</v>
          </cell>
          <cell r="D499">
            <v>2103750</v>
          </cell>
          <cell r="E499" t="str">
            <v>LNH1125NE27</v>
          </cell>
        </row>
        <row r="500">
          <cell r="A500" t="str">
            <v>25807800120</v>
          </cell>
          <cell r="B500" t="str">
            <v>Trần Văn</v>
          </cell>
          <cell r="C500" t="str">
            <v>Quyền</v>
          </cell>
          <cell r="D500">
            <v>2103750</v>
          </cell>
          <cell r="E500" t="str">
            <v>LNH1125NE27</v>
          </cell>
        </row>
        <row r="501">
          <cell r="A501" t="str">
            <v>25820300056</v>
          </cell>
          <cell r="B501" t="str">
            <v>Võ Duy</v>
          </cell>
          <cell r="C501" t="str">
            <v>Thành</v>
          </cell>
          <cell r="D501">
            <v>2103750</v>
          </cell>
          <cell r="E501" t="str">
            <v>LNH1125NE27</v>
          </cell>
        </row>
        <row r="502">
          <cell r="A502" t="str">
            <v>25800400142</v>
          </cell>
          <cell r="B502" t="str">
            <v>Đỗ Xuân</v>
          </cell>
          <cell r="C502" t="str">
            <v>Thành</v>
          </cell>
          <cell r="D502">
            <v>2103750</v>
          </cell>
          <cell r="E502" t="str">
            <v>LNH1125NE27</v>
          </cell>
        </row>
        <row r="503">
          <cell r="A503" t="str">
            <v>25820300049</v>
          </cell>
          <cell r="B503" t="str">
            <v>Đặng Nhân</v>
          </cell>
          <cell r="C503" t="str">
            <v>Quý</v>
          </cell>
          <cell r="D503">
            <v>2103750</v>
          </cell>
          <cell r="E503" t="str">
            <v>LNH1125NE27</v>
          </cell>
        </row>
        <row r="504">
          <cell r="A504" t="str">
            <v>25807000012</v>
          </cell>
          <cell r="B504" t="str">
            <v>Trần Ngọc Minh</v>
          </cell>
          <cell r="C504" t="str">
            <v>Huyền</v>
          </cell>
          <cell r="D504">
            <v>2232500</v>
          </cell>
          <cell r="E504" t="str">
            <v>LNH1125NE27</v>
          </cell>
        </row>
        <row r="505">
          <cell r="A505" t="str">
            <v>25807100002</v>
          </cell>
          <cell r="B505" t="str">
            <v>Lưu Nguyễn Hoàng</v>
          </cell>
          <cell r="C505" t="str">
            <v>Hà</v>
          </cell>
          <cell r="D505">
            <v>2232500</v>
          </cell>
          <cell r="E505" t="str">
            <v>LNH1125NE27</v>
          </cell>
        </row>
        <row r="506">
          <cell r="A506" t="str">
            <v>25802800371</v>
          </cell>
          <cell r="B506" t="str">
            <v>Vũ Lê Minh</v>
          </cell>
          <cell r="C506" t="str">
            <v>Vương</v>
          </cell>
          <cell r="D506">
            <v>2232500</v>
          </cell>
          <cell r="E506" t="str">
            <v>LNH1125NE27</v>
          </cell>
        </row>
        <row r="507">
          <cell r="A507" t="str">
            <v>25800600077</v>
          </cell>
          <cell r="B507" t="str">
            <v>Sơn Trung</v>
          </cell>
          <cell r="C507" t="str">
            <v>Chiến</v>
          </cell>
          <cell r="D507">
            <v>2103750</v>
          </cell>
          <cell r="E507" t="str">
            <v>LNH1125NE27</v>
          </cell>
        </row>
        <row r="508">
          <cell r="A508" t="str">
            <v>25800500007</v>
          </cell>
          <cell r="B508" t="str">
            <v>Nguyễn Huy</v>
          </cell>
          <cell r="C508" t="str">
            <v>Anh</v>
          </cell>
          <cell r="D508">
            <v>2103750</v>
          </cell>
          <cell r="E508" t="str">
            <v>LNH1125NE27</v>
          </cell>
        </row>
        <row r="509">
          <cell r="A509" t="str">
            <v>25807800112</v>
          </cell>
          <cell r="B509" t="str">
            <v>Nguyễn Hoàng Minh</v>
          </cell>
          <cell r="C509" t="str">
            <v>Quang</v>
          </cell>
          <cell r="D509">
            <v>2232500</v>
          </cell>
          <cell r="E509" t="str">
            <v>LNH1125NE27</v>
          </cell>
        </row>
        <row r="510">
          <cell r="A510" t="str">
            <v>25802800160</v>
          </cell>
          <cell r="B510" t="str">
            <v>Cao Nguyễn Yến</v>
          </cell>
          <cell r="C510" t="str">
            <v>Ngọc</v>
          </cell>
          <cell r="D510">
            <v>2103750</v>
          </cell>
          <cell r="E510" t="str">
            <v>LNH1125NE27</v>
          </cell>
        </row>
        <row r="511">
          <cell r="A511" t="str">
            <v>25808100045</v>
          </cell>
          <cell r="B511" t="str">
            <v>Nguyễn Hoàng</v>
          </cell>
          <cell r="C511" t="str">
            <v>Quân</v>
          </cell>
          <cell r="D511">
            <v>2103750</v>
          </cell>
          <cell r="E511" t="str">
            <v>LNH1125NE27</v>
          </cell>
        </row>
        <row r="512">
          <cell r="A512" t="str">
            <v>25800400287</v>
          </cell>
          <cell r="B512" t="str">
            <v>Nguyễn Minh</v>
          </cell>
          <cell r="C512" t="str">
            <v>Hiếu</v>
          </cell>
          <cell r="D512">
            <v>2103750</v>
          </cell>
          <cell r="E512" t="str">
            <v>LNH1125NE28</v>
          </cell>
        </row>
        <row r="513">
          <cell r="A513" t="str">
            <v>25801100128</v>
          </cell>
          <cell r="B513" t="str">
            <v>Nguyễn Tấn</v>
          </cell>
          <cell r="C513" t="str">
            <v>Việt</v>
          </cell>
          <cell r="D513">
            <v>2103750</v>
          </cell>
          <cell r="E513" t="str">
            <v>LNH1125NE28</v>
          </cell>
        </row>
        <row r="514">
          <cell r="A514" t="str">
            <v>25801200035</v>
          </cell>
          <cell r="B514" t="str">
            <v>Trần Quốc</v>
          </cell>
          <cell r="C514" t="str">
            <v>Toàn</v>
          </cell>
          <cell r="D514">
            <v>2103750</v>
          </cell>
          <cell r="E514" t="str">
            <v>LNH1125NE28</v>
          </cell>
        </row>
        <row r="515">
          <cell r="A515" t="str">
            <v>25800500108</v>
          </cell>
          <cell r="B515" t="str">
            <v>Tô Tấn</v>
          </cell>
          <cell r="C515" t="str">
            <v>Lộc</v>
          </cell>
          <cell r="D515">
            <v>2103750</v>
          </cell>
          <cell r="E515" t="str">
            <v>LNH1125NE28</v>
          </cell>
        </row>
        <row r="516">
          <cell r="A516" t="str">
            <v>25800600669</v>
          </cell>
          <cell r="B516" t="str">
            <v>Trần Thị Hoài</v>
          </cell>
          <cell r="C516" t="str">
            <v>Thương</v>
          </cell>
          <cell r="D516">
            <v>2103750</v>
          </cell>
          <cell r="E516" t="str">
            <v>LNH1125NE28</v>
          </cell>
        </row>
        <row r="517">
          <cell r="A517" t="str">
            <v>25803800039</v>
          </cell>
          <cell r="B517" t="str">
            <v>Lâm Đinh Bảo</v>
          </cell>
          <cell r="C517" t="str">
            <v>Nghi</v>
          </cell>
          <cell r="D517">
            <v>2103750</v>
          </cell>
          <cell r="E517" t="str">
            <v>LNH1125NE28</v>
          </cell>
        </row>
        <row r="518">
          <cell r="A518" t="str">
            <v>25808200125</v>
          </cell>
          <cell r="B518" t="str">
            <v>Dương Văn Minh</v>
          </cell>
          <cell r="C518" t="str">
            <v>Thông</v>
          </cell>
          <cell r="D518">
            <v>2103750</v>
          </cell>
          <cell r="E518" t="str">
            <v>LNH1125NE28</v>
          </cell>
        </row>
        <row r="519">
          <cell r="A519" t="str">
            <v>25800500025</v>
          </cell>
          <cell r="B519" t="str">
            <v>Hoàng Ngọc</v>
          </cell>
          <cell r="C519" t="str">
            <v>Duy</v>
          </cell>
          <cell r="D519">
            <v>2103750</v>
          </cell>
          <cell r="E519" t="str">
            <v>LNH1125NE28</v>
          </cell>
        </row>
        <row r="520">
          <cell r="A520" t="str">
            <v>25800500134</v>
          </cell>
          <cell r="B520" t="str">
            <v>Huỳnh Nguyễn Lâm</v>
          </cell>
          <cell r="C520" t="str">
            <v>Phong</v>
          </cell>
          <cell r="D520">
            <v>2103750</v>
          </cell>
          <cell r="E520" t="str">
            <v>LNH1125NE28</v>
          </cell>
        </row>
        <row r="521">
          <cell r="A521" t="str">
            <v>25800500075</v>
          </cell>
          <cell r="B521" t="str">
            <v>Lê Trọng</v>
          </cell>
          <cell r="C521" t="str">
            <v>Kha</v>
          </cell>
          <cell r="D521">
            <v>2103750</v>
          </cell>
          <cell r="E521" t="str">
            <v>LNH1125NE28</v>
          </cell>
        </row>
        <row r="522">
          <cell r="A522" t="str">
            <v>25801100062</v>
          </cell>
          <cell r="B522" t="str">
            <v>Phạm Nhật</v>
          </cell>
          <cell r="C522" t="str">
            <v>Thiên</v>
          </cell>
          <cell r="D522">
            <v>2103750</v>
          </cell>
          <cell r="E522" t="str">
            <v>LNH1125NE28</v>
          </cell>
        </row>
        <row r="523">
          <cell r="A523" t="str">
            <v>25808200228</v>
          </cell>
          <cell r="B523" t="str">
            <v>Trương Gia</v>
          </cell>
          <cell r="C523" t="str">
            <v>Bảo</v>
          </cell>
          <cell r="D523">
            <v>2103750</v>
          </cell>
          <cell r="E523" t="str">
            <v>LNH1125NE28</v>
          </cell>
        </row>
        <row r="524">
          <cell r="A524" t="str">
            <v>25800400290</v>
          </cell>
          <cell r="B524" t="str">
            <v>Nguyễn Trường</v>
          </cell>
          <cell r="C524" t="str">
            <v>Tín</v>
          </cell>
          <cell r="D524">
            <v>2103750</v>
          </cell>
          <cell r="E524" t="str">
            <v>LNH1125NE28</v>
          </cell>
        </row>
        <row r="525">
          <cell r="A525" t="str">
            <v>25806000105</v>
          </cell>
          <cell r="B525" t="str">
            <v>Vũ Đỗ Như</v>
          </cell>
          <cell r="C525" t="str">
            <v>Quỳnh</v>
          </cell>
          <cell r="D525">
            <v>2103750</v>
          </cell>
          <cell r="E525" t="str">
            <v>LNH1125NE28</v>
          </cell>
        </row>
        <row r="526">
          <cell r="A526" t="str">
            <v>25800400150</v>
          </cell>
          <cell r="B526" t="str">
            <v>Lưu Nguyễn Minh</v>
          </cell>
          <cell r="C526" t="str">
            <v>Thông</v>
          </cell>
          <cell r="D526">
            <v>2103750</v>
          </cell>
          <cell r="E526" t="str">
            <v>LNH1125NE28</v>
          </cell>
        </row>
        <row r="527">
          <cell r="A527" t="str">
            <v>25803800060</v>
          </cell>
          <cell r="B527" t="str">
            <v>Nguyễn Thùy</v>
          </cell>
          <cell r="C527" t="str">
            <v>Trang</v>
          </cell>
          <cell r="D527">
            <v>2103750</v>
          </cell>
          <cell r="E527" t="str">
            <v>LNH1125NE28</v>
          </cell>
        </row>
        <row r="528">
          <cell r="A528" t="str">
            <v>25807800212</v>
          </cell>
          <cell r="B528" t="str">
            <v>Nguyễn Gia</v>
          </cell>
          <cell r="C528" t="str">
            <v>Khương</v>
          </cell>
          <cell r="D528">
            <v>2103750</v>
          </cell>
          <cell r="E528" t="str">
            <v>LNH1125NE29</v>
          </cell>
        </row>
        <row r="529">
          <cell r="A529" t="str">
            <v>25801300045</v>
          </cell>
          <cell r="B529" t="str">
            <v>Võ Quốc</v>
          </cell>
          <cell r="C529" t="str">
            <v>Vinh</v>
          </cell>
          <cell r="D529">
            <v>2103750</v>
          </cell>
          <cell r="E529" t="str">
            <v>LNH1125NE29</v>
          </cell>
        </row>
        <row r="530">
          <cell r="A530" t="str">
            <v>25808700068</v>
          </cell>
          <cell r="B530" t="str">
            <v>Trần Thị Ngọc</v>
          </cell>
          <cell r="C530" t="str">
            <v>Nhi</v>
          </cell>
          <cell r="D530">
            <v>2103750</v>
          </cell>
          <cell r="E530" t="str">
            <v>LNH1125NE29</v>
          </cell>
        </row>
        <row r="531">
          <cell r="A531" t="str">
            <v>25801100007</v>
          </cell>
          <cell r="B531" t="str">
            <v>Phan Minh</v>
          </cell>
          <cell r="C531" t="str">
            <v>Chiến</v>
          </cell>
          <cell r="D531">
            <v>2103750</v>
          </cell>
          <cell r="E531" t="str">
            <v>LNH1125NE29</v>
          </cell>
        </row>
        <row r="532">
          <cell r="A532" t="str">
            <v>25808700009</v>
          </cell>
          <cell r="B532" t="str">
            <v>Nguyễn Ngọc</v>
          </cell>
          <cell r="C532" t="str">
            <v>Diệp</v>
          </cell>
          <cell r="D532">
            <v>2103750</v>
          </cell>
          <cell r="E532" t="str">
            <v>LNH1125NE29</v>
          </cell>
        </row>
        <row r="533">
          <cell r="A533" t="str">
            <v>25801100004</v>
          </cell>
          <cell r="B533" t="str">
            <v>Dương Gia</v>
          </cell>
          <cell r="C533" t="str">
            <v>Bảo</v>
          </cell>
          <cell r="D533">
            <v>2103750</v>
          </cell>
          <cell r="E533" t="str">
            <v>LNH1125NE29</v>
          </cell>
        </row>
        <row r="534">
          <cell r="A534" t="str">
            <v>25805900117</v>
          </cell>
          <cell r="B534" t="str">
            <v>Đặng Thị Trúc</v>
          </cell>
          <cell r="C534" t="str">
            <v>Phương</v>
          </cell>
          <cell r="D534">
            <v>2103750</v>
          </cell>
          <cell r="E534" t="str">
            <v>LNH1125NE29</v>
          </cell>
        </row>
        <row r="535">
          <cell r="A535" t="str">
            <v>25800500111</v>
          </cell>
          <cell r="B535" t="str">
            <v>Trần Nguyễn Hoàng</v>
          </cell>
          <cell r="C535" t="str">
            <v>Minh</v>
          </cell>
          <cell r="D535">
            <v>2103750</v>
          </cell>
          <cell r="E535" t="str">
            <v>LNH1125NE29</v>
          </cell>
        </row>
        <row r="536">
          <cell r="A536" t="str">
            <v>25802100018</v>
          </cell>
          <cell r="B536" t="str">
            <v>Lê Anh</v>
          </cell>
          <cell r="C536" t="str">
            <v>Khoa</v>
          </cell>
          <cell r="D536">
            <v>2103750</v>
          </cell>
          <cell r="E536" t="str">
            <v>LNH1125NE29</v>
          </cell>
        </row>
        <row r="537">
          <cell r="A537" t="str">
            <v>25807700035</v>
          </cell>
          <cell r="B537" t="str">
            <v>Chung Long</v>
          </cell>
          <cell r="C537" t="str">
            <v>Khang</v>
          </cell>
          <cell r="D537">
            <v>2103750</v>
          </cell>
          <cell r="E537" t="str">
            <v>LNH1125NE29</v>
          </cell>
        </row>
        <row r="538">
          <cell r="A538" t="str">
            <v>25808200051</v>
          </cell>
          <cell r="B538" t="str">
            <v>Lư Gia</v>
          </cell>
          <cell r="C538" t="str">
            <v>Huy</v>
          </cell>
          <cell r="D538">
            <v>2103750</v>
          </cell>
          <cell r="E538" t="str">
            <v>LNH1125NE29</v>
          </cell>
        </row>
        <row r="539">
          <cell r="A539" t="str">
            <v>25808200280</v>
          </cell>
          <cell r="B539" t="str">
            <v>Nguyễn Văn</v>
          </cell>
          <cell r="C539" t="str">
            <v>Triều</v>
          </cell>
          <cell r="D539">
            <v>2103750</v>
          </cell>
          <cell r="E539" t="str">
            <v>LNH1125NE29</v>
          </cell>
        </row>
        <row r="540">
          <cell r="A540" t="str">
            <v>25800500162</v>
          </cell>
          <cell r="B540" t="str">
            <v>Đinh Công</v>
          </cell>
          <cell r="C540" t="str">
            <v>Thắng</v>
          </cell>
          <cell r="D540">
            <v>2103750</v>
          </cell>
          <cell r="E540" t="str">
            <v>LNH1125NE29</v>
          </cell>
        </row>
        <row r="541">
          <cell r="A541" t="str">
            <v>25807800073</v>
          </cell>
          <cell r="B541" t="str">
            <v>Võ Thanh</v>
          </cell>
          <cell r="C541" t="str">
            <v>Liêm</v>
          </cell>
          <cell r="D541">
            <v>2103750</v>
          </cell>
          <cell r="E541" t="str">
            <v>LNH1125NE29</v>
          </cell>
        </row>
        <row r="542">
          <cell r="A542" t="str">
            <v>25807700081</v>
          </cell>
          <cell r="B542" t="str">
            <v>Đặng Hoàng</v>
          </cell>
          <cell r="C542" t="str">
            <v>Vinh</v>
          </cell>
          <cell r="D542">
            <v>2232500</v>
          </cell>
          <cell r="E542" t="str">
            <v>LNH1125NE29</v>
          </cell>
        </row>
        <row r="543">
          <cell r="A543" t="str">
            <v>25820300030</v>
          </cell>
          <cell r="B543" t="str">
            <v>Lâm Hoàng</v>
          </cell>
          <cell r="C543" t="str">
            <v>Long</v>
          </cell>
          <cell r="D543">
            <v>2232500</v>
          </cell>
          <cell r="E543" t="str">
            <v>LNH1125NE29</v>
          </cell>
        </row>
        <row r="544">
          <cell r="A544" t="str">
            <v>25803800044</v>
          </cell>
          <cell r="B544" t="str">
            <v>Phạm Minh</v>
          </cell>
          <cell r="C544" t="str">
            <v>Nhựt</v>
          </cell>
          <cell r="D544">
            <v>2232500</v>
          </cell>
          <cell r="E544" t="str">
            <v>LNH1125NE30</v>
          </cell>
        </row>
        <row r="545">
          <cell r="A545" t="str">
            <v>25801600070</v>
          </cell>
          <cell r="B545" t="str">
            <v>Phan Thành</v>
          </cell>
          <cell r="C545" t="str">
            <v>Nhân</v>
          </cell>
          <cell r="D545">
            <v>2103750</v>
          </cell>
          <cell r="E545" t="str">
            <v>LNH1125NE30</v>
          </cell>
        </row>
        <row r="546">
          <cell r="A546" t="str">
            <v>25802100009</v>
          </cell>
          <cell r="B546" t="str">
            <v>Nguyễn Văn</v>
          </cell>
          <cell r="C546" t="str">
            <v>Đông</v>
          </cell>
          <cell r="D546">
            <v>2103750</v>
          </cell>
          <cell r="E546" t="str">
            <v>LNH1125NE30</v>
          </cell>
        </row>
        <row r="547">
          <cell r="A547" t="str">
            <v>25801300024</v>
          </cell>
          <cell r="B547" t="str">
            <v>Lê Huỳnh Khánh</v>
          </cell>
          <cell r="C547" t="str">
            <v>Nguyên</v>
          </cell>
          <cell r="D547">
            <v>2103750</v>
          </cell>
          <cell r="E547" t="str">
            <v>LNH1125NE30</v>
          </cell>
        </row>
        <row r="548">
          <cell r="A548" t="str">
            <v>25801300028</v>
          </cell>
          <cell r="B548" t="str">
            <v>Nguyễn Thị Yến</v>
          </cell>
          <cell r="C548" t="str">
            <v>Nhi</v>
          </cell>
          <cell r="D548">
            <v>2103750</v>
          </cell>
          <cell r="E548" t="str">
            <v>LNH1125NE30</v>
          </cell>
        </row>
        <row r="549">
          <cell r="A549" t="str">
            <v>25820200068</v>
          </cell>
          <cell r="B549" t="str">
            <v>Nguyễn Minh Như</v>
          </cell>
          <cell r="C549" t="str">
            <v>Ý</v>
          </cell>
          <cell r="D549">
            <v>2103750</v>
          </cell>
          <cell r="E549" t="str">
            <v>LNH1125NE30</v>
          </cell>
        </row>
        <row r="550">
          <cell r="A550" t="str">
            <v>25820700014</v>
          </cell>
          <cell r="B550" t="str">
            <v>Nguyễn Thị Kiều</v>
          </cell>
          <cell r="C550" t="str">
            <v>Loan</v>
          </cell>
          <cell r="D550">
            <v>2103750</v>
          </cell>
          <cell r="E550" t="str">
            <v>LNH1125NE30</v>
          </cell>
        </row>
        <row r="551">
          <cell r="A551" t="str">
            <v>25808900092</v>
          </cell>
          <cell r="B551" t="str">
            <v>Trần Yến</v>
          </cell>
          <cell r="C551" t="str">
            <v>Nhi</v>
          </cell>
          <cell r="D551">
            <v>2103750</v>
          </cell>
          <cell r="E551" t="str">
            <v>LNH1125NE30</v>
          </cell>
        </row>
        <row r="552">
          <cell r="A552" t="str">
            <v>25807700074</v>
          </cell>
          <cell r="B552" t="str">
            <v>Phạm Lương</v>
          </cell>
          <cell r="C552" t="str">
            <v>Toàn</v>
          </cell>
          <cell r="D552">
            <v>2103750</v>
          </cell>
          <cell r="E552" t="str">
            <v>LNH1125NE30</v>
          </cell>
        </row>
        <row r="553">
          <cell r="A553" t="str">
            <v>25800400170</v>
          </cell>
          <cell r="B553" t="str">
            <v>Tô Bùi Hoàng</v>
          </cell>
          <cell r="C553" t="str">
            <v>Tuấn</v>
          </cell>
          <cell r="D553">
            <v>2103750</v>
          </cell>
          <cell r="E553" t="str">
            <v>LNH1125NE30</v>
          </cell>
        </row>
        <row r="554">
          <cell r="A554" t="str">
            <v>25800500012</v>
          </cell>
          <cell r="B554" t="str">
            <v>Dương Gia</v>
          </cell>
          <cell r="C554" t="str">
            <v>Bảo</v>
          </cell>
          <cell r="D554">
            <v>2103750</v>
          </cell>
          <cell r="E554" t="str">
            <v>LNH1125NE30</v>
          </cell>
        </row>
        <row r="555">
          <cell r="A555" t="str">
            <v>25800600765</v>
          </cell>
          <cell r="B555" t="str">
            <v>Phan Anh</v>
          </cell>
          <cell r="C555" t="str">
            <v>Tuấn</v>
          </cell>
          <cell r="D555">
            <v>2103750</v>
          </cell>
          <cell r="E555" t="str">
            <v>LNH1125NE30</v>
          </cell>
        </row>
        <row r="556">
          <cell r="A556" t="str">
            <v>25803800058</v>
          </cell>
          <cell r="B556" t="str">
            <v>Giang Quốc</v>
          </cell>
          <cell r="C556" t="str">
            <v>Thịnh</v>
          </cell>
          <cell r="D556">
            <v>2103750</v>
          </cell>
          <cell r="E556" t="str">
            <v>LNH1125NE30</v>
          </cell>
        </row>
        <row r="557">
          <cell r="A557" t="str">
            <v>25807800030</v>
          </cell>
          <cell r="B557" t="str">
            <v>Nguyễn Bá Công</v>
          </cell>
          <cell r="C557" t="str">
            <v>Định</v>
          </cell>
          <cell r="D557">
            <v>2103750</v>
          </cell>
          <cell r="E557" t="str">
            <v>LNH1125NE30</v>
          </cell>
        </row>
        <row r="558">
          <cell r="A558" t="str">
            <v>25808200223</v>
          </cell>
          <cell r="B558" t="str">
            <v>Nguyễn Thanh</v>
          </cell>
          <cell r="C558" t="str">
            <v>Phong</v>
          </cell>
          <cell r="D558">
            <v>2103750</v>
          </cell>
          <cell r="E558" t="str">
            <v>LNH1125NE30</v>
          </cell>
        </row>
        <row r="559">
          <cell r="A559" t="str">
            <v>25808700072</v>
          </cell>
          <cell r="B559" t="str">
            <v>Nguyễn Hoàng</v>
          </cell>
          <cell r="C559" t="str">
            <v>Nhựt</v>
          </cell>
          <cell r="D559">
            <v>2103750</v>
          </cell>
          <cell r="E559" t="str">
            <v>LNH1125NE30</v>
          </cell>
        </row>
        <row r="560">
          <cell r="A560" t="str">
            <v>25800400114</v>
          </cell>
          <cell r="B560" t="str">
            <v>Trần Thiện</v>
          </cell>
          <cell r="C560" t="str">
            <v>Nhân</v>
          </cell>
          <cell r="D560">
            <v>2103750</v>
          </cell>
          <cell r="E560" t="str">
            <v>LNH1125NE31</v>
          </cell>
        </row>
        <row r="561">
          <cell r="A561" t="str">
            <v>25806000034</v>
          </cell>
          <cell r="B561" t="str">
            <v>Nguyễn Nhật Thanh</v>
          </cell>
          <cell r="C561" t="str">
            <v>Sơn</v>
          </cell>
          <cell r="D561">
            <v>2103750</v>
          </cell>
          <cell r="E561" t="str">
            <v>LNH1125NE31</v>
          </cell>
        </row>
        <row r="562">
          <cell r="A562" t="str">
            <v>25802100069</v>
          </cell>
          <cell r="B562" t="str">
            <v>Lương Bảo</v>
          </cell>
          <cell r="C562" t="str">
            <v>Huy</v>
          </cell>
          <cell r="D562">
            <v>2103750</v>
          </cell>
          <cell r="E562" t="str">
            <v>LNH1125NE31</v>
          </cell>
        </row>
        <row r="563">
          <cell r="A563" t="str">
            <v>25800500149</v>
          </cell>
          <cell r="B563" t="str">
            <v>Nguyễn Ngọc Đức</v>
          </cell>
          <cell r="C563" t="str">
            <v>Tài</v>
          </cell>
          <cell r="D563">
            <v>2103750</v>
          </cell>
          <cell r="E563" t="str">
            <v>LNH1125NE31</v>
          </cell>
        </row>
        <row r="564">
          <cell r="A564" t="str">
            <v>25800500005</v>
          </cell>
          <cell r="B564" t="str">
            <v>Lê Tuấn</v>
          </cell>
          <cell r="C564" t="str">
            <v>Anh</v>
          </cell>
          <cell r="D564">
            <v>2103750</v>
          </cell>
          <cell r="E564" t="str">
            <v>LNH1125NE31</v>
          </cell>
        </row>
        <row r="565">
          <cell r="A565" t="str">
            <v>25800500306</v>
          </cell>
          <cell r="B565" t="str">
            <v>Hà Minh</v>
          </cell>
          <cell r="C565" t="str">
            <v>Đức</v>
          </cell>
          <cell r="D565">
            <v>2103750</v>
          </cell>
          <cell r="E565" t="str">
            <v>LNH1125NE31</v>
          </cell>
        </row>
        <row r="566">
          <cell r="A566" t="str">
            <v>25800400122</v>
          </cell>
          <cell r="B566" t="str">
            <v>Đặng Nguyễn Hoàng</v>
          </cell>
          <cell r="C566" t="str">
            <v>Phú</v>
          </cell>
          <cell r="D566">
            <v>2103750</v>
          </cell>
          <cell r="E566" t="str">
            <v>LNH1125NE31</v>
          </cell>
        </row>
        <row r="567">
          <cell r="A567" t="str">
            <v>25806400041</v>
          </cell>
          <cell r="B567" t="str">
            <v>Trần Minh</v>
          </cell>
          <cell r="C567" t="str">
            <v>Lữ</v>
          </cell>
          <cell r="D567">
            <v>2103750</v>
          </cell>
          <cell r="E567" t="str">
            <v>LNH1125NE31</v>
          </cell>
        </row>
        <row r="568">
          <cell r="A568" t="str">
            <v>25807500017</v>
          </cell>
          <cell r="B568" t="str">
            <v>Đỗ Tiến</v>
          </cell>
          <cell r="C568" t="str">
            <v>Dương</v>
          </cell>
          <cell r="D568">
            <v>2103750</v>
          </cell>
          <cell r="E568" t="str">
            <v>LNH1125NE31</v>
          </cell>
        </row>
        <row r="569">
          <cell r="A569" t="str">
            <v>25800400051</v>
          </cell>
          <cell r="B569" t="str">
            <v>Nguyễn Lâm</v>
          </cell>
          <cell r="C569" t="str">
            <v>Hùng</v>
          </cell>
          <cell r="D569">
            <v>2103750</v>
          </cell>
          <cell r="E569" t="str">
            <v>LNH1125NE31</v>
          </cell>
        </row>
        <row r="570">
          <cell r="A570" t="str">
            <v>25800500049</v>
          </cell>
          <cell r="B570" t="str">
            <v>Lê Trung</v>
          </cell>
          <cell r="C570" t="str">
            <v>Hiếu</v>
          </cell>
          <cell r="D570">
            <v>2103750</v>
          </cell>
          <cell r="E570" t="str">
            <v>LNH1125NE31</v>
          </cell>
        </row>
        <row r="571">
          <cell r="A571" t="str">
            <v>25801200041</v>
          </cell>
          <cell r="B571" t="str">
            <v>Nguyễn Thị Tường</v>
          </cell>
          <cell r="C571" t="str">
            <v>Vy</v>
          </cell>
          <cell r="D571">
            <v>2103750</v>
          </cell>
          <cell r="E571" t="str">
            <v>LNH1125NE31</v>
          </cell>
        </row>
        <row r="572">
          <cell r="A572" t="str">
            <v>25802600095</v>
          </cell>
          <cell r="B572" t="str">
            <v>Đinh Thị Linh</v>
          </cell>
          <cell r="C572" t="str">
            <v>Nhi</v>
          </cell>
          <cell r="D572">
            <v>2103750</v>
          </cell>
          <cell r="E572" t="str">
            <v>LNH1125NE31</v>
          </cell>
        </row>
        <row r="573">
          <cell r="A573" t="str">
            <v>25802700127</v>
          </cell>
          <cell r="B573" t="str">
            <v>Lê Xuân</v>
          </cell>
          <cell r="C573" t="str">
            <v>Hưng</v>
          </cell>
          <cell r="D573">
            <v>2103750</v>
          </cell>
          <cell r="E573" t="str">
            <v>LNH1125NE31</v>
          </cell>
        </row>
        <row r="574">
          <cell r="A574" t="str">
            <v>25808200139</v>
          </cell>
          <cell r="B574" t="str">
            <v>Lương Mạnh</v>
          </cell>
          <cell r="C574" t="str">
            <v>Tuấn</v>
          </cell>
          <cell r="D574">
            <v>2103750</v>
          </cell>
          <cell r="E574" t="str">
            <v>LNH1125NE31</v>
          </cell>
        </row>
        <row r="575">
          <cell r="A575" t="str">
            <v>25808700006</v>
          </cell>
          <cell r="B575" t="str">
            <v>Lê Chí</v>
          </cell>
          <cell r="C575" t="str">
            <v>Bảo</v>
          </cell>
          <cell r="D575">
            <v>2103750</v>
          </cell>
          <cell r="E575" t="str">
            <v>LNH1125NE31</v>
          </cell>
        </row>
        <row r="576">
          <cell r="A576" t="str">
            <v>25820200110</v>
          </cell>
          <cell r="B576" t="str">
            <v>Nguyễn Bá</v>
          </cell>
          <cell r="C576" t="str">
            <v>An</v>
          </cell>
          <cell r="D576">
            <v>2103750</v>
          </cell>
          <cell r="E576" t="str">
            <v>LNH1125NE31</v>
          </cell>
        </row>
        <row r="577">
          <cell r="A577" t="str">
            <v>25820200064</v>
          </cell>
          <cell r="B577" t="str">
            <v>Ngô Mạnh</v>
          </cell>
          <cell r="C577" t="str">
            <v>Tuấn</v>
          </cell>
          <cell r="D577">
            <v>2103750</v>
          </cell>
          <cell r="E577" t="str">
            <v>LNH1125NE31</v>
          </cell>
        </row>
        <row r="578">
          <cell r="A578" t="str">
            <v>25800500253</v>
          </cell>
          <cell r="B578" t="str">
            <v>Hà Hữu</v>
          </cell>
          <cell r="C578" t="str">
            <v>Minh</v>
          </cell>
          <cell r="D578">
            <v>2232500</v>
          </cell>
          <cell r="E578" t="str">
            <v>LNH1125NE31</v>
          </cell>
        </row>
        <row r="579">
          <cell r="A579" t="str">
            <v>25808200180</v>
          </cell>
          <cell r="B579" t="str">
            <v>Trần Phước</v>
          </cell>
          <cell r="C579" t="str">
            <v>Đạt</v>
          </cell>
          <cell r="D579">
            <v>2232500</v>
          </cell>
          <cell r="E579" t="str">
            <v>LNH1125NE31</v>
          </cell>
        </row>
        <row r="580">
          <cell r="A580" t="str">
            <v>25800400020</v>
          </cell>
          <cell r="B580" t="str">
            <v>Lô Khánh</v>
          </cell>
          <cell r="C580" t="str">
            <v>Chương</v>
          </cell>
          <cell r="D580">
            <v>2232500</v>
          </cell>
          <cell r="E580" t="str">
            <v>LNH1125NE31</v>
          </cell>
        </row>
        <row r="581">
          <cell r="A581" t="str">
            <v>25820100087</v>
          </cell>
          <cell r="B581" t="str">
            <v>Vũ Hoàng</v>
          </cell>
          <cell r="C581" t="str">
            <v>Duy</v>
          </cell>
          <cell r="D581">
            <v>2600000</v>
          </cell>
          <cell r="E581" t="str">
            <v>LNH1125NE31</v>
          </cell>
        </row>
        <row r="582">
          <cell r="A582" t="str">
            <v>25800400097</v>
          </cell>
          <cell r="B582" t="str">
            <v>Lê Đức</v>
          </cell>
          <cell r="C582" t="str">
            <v>Lượng</v>
          </cell>
          <cell r="D582">
            <v>2103750</v>
          </cell>
          <cell r="E582" t="str">
            <v>LNH1125NE31</v>
          </cell>
        </row>
        <row r="583">
          <cell r="A583" t="str">
            <v>25807800108</v>
          </cell>
          <cell r="B583" t="str">
            <v>Huỳnh Hữu</v>
          </cell>
          <cell r="C583" t="str">
            <v>Phúc</v>
          </cell>
          <cell r="D583">
            <v>1530000</v>
          </cell>
          <cell r="E583" t="str">
            <v>LNH1125NO01</v>
          </cell>
        </row>
        <row r="584">
          <cell r="A584" t="str">
            <v>25808900231</v>
          </cell>
          <cell r="B584" t="str">
            <v>Vũ Trung</v>
          </cell>
          <cell r="C584" t="str">
            <v>Nguyên</v>
          </cell>
          <cell r="D584">
            <v>2103750</v>
          </cell>
          <cell r="E584" t="str">
            <v>LNH1125NO01</v>
          </cell>
        </row>
        <row r="585">
          <cell r="A585" t="str">
            <v>25800400009</v>
          </cell>
          <cell r="B585" t="str">
            <v>Lê Khắc</v>
          </cell>
          <cell r="C585" t="str">
            <v>Bảo</v>
          </cell>
          <cell r="D585">
            <v>1530000</v>
          </cell>
          <cell r="E585" t="str">
            <v>LNH1125NO01</v>
          </cell>
        </row>
        <row r="586">
          <cell r="A586" t="str">
            <v>25806600141</v>
          </cell>
          <cell r="B586" t="str">
            <v>Trần Thị Mẫn</v>
          </cell>
          <cell r="C586" t="str">
            <v>Nghi</v>
          </cell>
          <cell r="D586">
            <v>1530000</v>
          </cell>
          <cell r="E586" t="str">
            <v>LNH1125NO01</v>
          </cell>
        </row>
        <row r="587">
          <cell r="A587" t="str">
            <v>25801700104</v>
          </cell>
          <cell r="B587" t="str">
            <v>Nguyễn Thanh</v>
          </cell>
          <cell r="C587" t="str">
            <v>Duy</v>
          </cell>
          <cell r="D587">
            <v>1530000</v>
          </cell>
          <cell r="E587" t="str">
            <v>LNH1125NO01</v>
          </cell>
        </row>
        <row r="588">
          <cell r="A588" t="str">
            <v>25802600075</v>
          </cell>
          <cell r="B588" t="str">
            <v>Huỳnh Thanh Mai</v>
          </cell>
          <cell r="C588" t="str">
            <v>Ly</v>
          </cell>
          <cell r="D588">
            <v>1530000</v>
          </cell>
          <cell r="E588" t="str">
            <v>LNH1125NO01</v>
          </cell>
        </row>
        <row r="589">
          <cell r="A589" t="str">
            <v>25803000213</v>
          </cell>
          <cell r="B589" t="str">
            <v>Vương Quốc</v>
          </cell>
          <cell r="C589" t="str">
            <v>Huy</v>
          </cell>
          <cell r="D589">
            <v>1530000</v>
          </cell>
          <cell r="E589" t="str">
            <v>LNH1125NO01</v>
          </cell>
        </row>
        <row r="590">
          <cell r="A590" t="str">
            <v>25808100040</v>
          </cell>
          <cell r="B590" t="str">
            <v>Nguyễn Hoàng Trí</v>
          </cell>
          <cell r="C590" t="str">
            <v>Nhân</v>
          </cell>
          <cell r="D590">
            <v>1530000</v>
          </cell>
          <cell r="E590" t="str">
            <v>LNH1125NO01</v>
          </cell>
        </row>
        <row r="591">
          <cell r="A591" t="str">
            <v>25808800045</v>
          </cell>
          <cell r="B591" t="str">
            <v>Phạm Thị Mỹ</v>
          </cell>
          <cell r="C591" t="str">
            <v>Lệ</v>
          </cell>
          <cell r="D591">
            <v>1530000</v>
          </cell>
          <cell r="E591" t="str">
            <v>LNH1125NO01</v>
          </cell>
        </row>
        <row r="592">
          <cell r="A592" t="str">
            <v>25802600143</v>
          </cell>
          <cell r="B592" t="str">
            <v>Phạm Thị Hải</v>
          </cell>
          <cell r="C592" t="str">
            <v>Yến</v>
          </cell>
          <cell r="D592">
            <v>1530000</v>
          </cell>
          <cell r="E592" t="str">
            <v>LNH1125NO01</v>
          </cell>
        </row>
        <row r="593">
          <cell r="A593" t="str">
            <v>25802800108</v>
          </cell>
          <cell r="B593" t="str">
            <v>Võ Trần Bảo</v>
          </cell>
          <cell r="C593" t="str">
            <v>Khang</v>
          </cell>
          <cell r="D593">
            <v>1530000</v>
          </cell>
          <cell r="E593" t="str">
            <v>LNH1125NO01</v>
          </cell>
        </row>
        <row r="594">
          <cell r="A594" t="str">
            <v>25807600154</v>
          </cell>
          <cell r="B594" t="str">
            <v>Thạch Thị Huỳnh</v>
          </cell>
          <cell r="C594" t="str">
            <v>Như</v>
          </cell>
          <cell r="D594">
            <v>1530000</v>
          </cell>
          <cell r="E594" t="str">
            <v>LNH1125NO01</v>
          </cell>
        </row>
        <row r="595">
          <cell r="A595" t="str">
            <v>2288903513</v>
          </cell>
          <cell r="B595" t="str">
            <v>Trương Nguyễn Văn</v>
          </cell>
          <cell r="C595" t="str">
            <v>Tiền</v>
          </cell>
          <cell r="D595">
            <v>1600000</v>
          </cell>
          <cell r="E595" t="str">
            <v>LNH1125NO01</v>
          </cell>
        </row>
        <row r="596">
          <cell r="A596" t="str">
            <v>25802300124</v>
          </cell>
          <cell r="B596" t="str">
            <v>Nguyễn Thùy</v>
          </cell>
          <cell r="C596" t="str">
            <v>Linh</v>
          </cell>
          <cell r="D596">
            <v>1600000</v>
          </cell>
          <cell r="E596" t="str">
            <v>LNH1125NO01</v>
          </cell>
        </row>
        <row r="597">
          <cell r="A597" t="str">
            <v>25807800148</v>
          </cell>
          <cell r="B597" t="str">
            <v>Trần Phan Đức</v>
          </cell>
          <cell r="C597" t="str">
            <v>Trí</v>
          </cell>
          <cell r="D597">
            <v>1600000</v>
          </cell>
          <cell r="E597" t="str">
            <v>LNH1125NO01</v>
          </cell>
        </row>
        <row r="598">
          <cell r="A598" t="str">
            <v>25807800229</v>
          </cell>
          <cell r="B598" t="str">
            <v>Phan Huynh Quoc</v>
          </cell>
          <cell r="C598" t="str">
            <v>Thang</v>
          </cell>
          <cell r="D598">
            <v>1600000</v>
          </cell>
          <cell r="E598" t="str">
            <v>LNH1125NO01</v>
          </cell>
        </row>
        <row r="599">
          <cell r="A599" t="str">
            <v>25802600087</v>
          </cell>
          <cell r="B599" t="str">
            <v>Phạm Thị Thanh</v>
          </cell>
          <cell r="C599" t="str">
            <v>Ngân</v>
          </cell>
          <cell r="D599">
            <v>1600000</v>
          </cell>
          <cell r="E599" t="str">
            <v>LNH1125NO01</v>
          </cell>
        </row>
        <row r="600">
          <cell r="A600" t="str">
            <v>25800400173</v>
          </cell>
          <cell r="B600" t="str">
            <v>Nguyễn Hoàng</v>
          </cell>
          <cell r="C600" t="str">
            <v>Vĩ</v>
          </cell>
          <cell r="D600">
            <v>1530000</v>
          </cell>
          <cell r="E600" t="str">
            <v>LNH1125NO02</v>
          </cell>
        </row>
        <row r="601">
          <cell r="A601" t="str">
            <v>25808700184</v>
          </cell>
          <cell r="B601" t="str">
            <v>Nguyễn Ngọc Thảo</v>
          </cell>
          <cell r="C601" t="str">
            <v>Ngân</v>
          </cell>
          <cell r="D601">
            <v>1530000</v>
          </cell>
          <cell r="E601" t="str">
            <v>LNH1125NO02</v>
          </cell>
        </row>
        <row r="602">
          <cell r="A602" t="str">
            <v>25820200047</v>
          </cell>
          <cell r="B602" t="str">
            <v>Nguyễn Đại</v>
          </cell>
          <cell r="C602" t="str">
            <v>Phú</v>
          </cell>
          <cell r="D602">
            <v>1530000</v>
          </cell>
          <cell r="E602" t="str">
            <v>LNH1125NO02</v>
          </cell>
        </row>
        <row r="603">
          <cell r="A603" t="str">
            <v>25800500276</v>
          </cell>
          <cell r="B603" t="str">
            <v>Nguyễn Trọng</v>
          </cell>
          <cell r="C603" t="str">
            <v>Hảo</v>
          </cell>
          <cell r="D603">
            <v>1530000</v>
          </cell>
          <cell r="E603" t="str">
            <v>LNH1125NO02</v>
          </cell>
        </row>
        <row r="604">
          <cell r="A604" t="str">
            <v>25808600073</v>
          </cell>
          <cell r="B604" t="str">
            <v>Huỳnh Thị Hồng</v>
          </cell>
          <cell r="C604" t="str">
            <v>Ngọc</v>
          </cell>
          <cell r="D604">
            <v>1530000</v>
          </cell>
          <cell r="E604" t="str">
            <v>LNH1125NO02</v>
          </cell>
        </row>
        <row r="605">
          <cell r="A605" t="str">
            <v>25800500124</v>
          </cell>
          <cell r="B605" t="str">
            <v>Trần Công Vĩnh</v>
          </cell>
          <cell r="C605" t="str">
            <v>Nguyên</v>
          </cell>
          <cell r="D605">
            <v>1530000</v>
          </cell>
          <cell r="E605" t="str">
            <v>LNH1125NO02</v>
          </cell>
        </row>
        <row r="606">
          <cell r="A606" t="str">
            <v>25820600001</v>
          </cell>
          <cell r="B606" t="str">
            <v>Lưu Hồng</v>
          </cell>
          <cell r="C606" t="str">
            <v>Anh</v>
          </cell>
          <cell r="D606">
            <v>1530000</v>
          </cell>
          <cell r="E606" t="str">
            <v>LNH1125NO02</v>
          </cell>
        </row>
        <row r="607">
          <cell r="A607" t="str">
            <v>25808700134</v>
          </cell>
          <cell r="B607" t="str">
            <v>Đỗ Gia</v>
          </cell>
          <cell r="C607" t="str">
            <v>Huy</v>
          </cell>
          <cell r="D607">
            <v>1530000</v>
          </cell>
          <cell r="E607" t="str">
            <v>LNH1125NO02</v>
          </cell>
        </row>
        <row r="608">
          <cell r="A608" t="str">
            <v>25807800065</v>
          </cell>
          <cell r="B608" t="str">
            <v>Trần Võ Minh</v>
          </cell>
          <cell r="C608" t="str">
            <v>Khoa</v>
          </cell>
          <cell r="D608">
            <v>1530000</v>
          </cell>
          <cell r="E608" t="str">
            <v>LNH1125NO02</v>
          </cell>
        </row>
        <row r="609">
          <cell r="A609" t="str">
            <v>25800400268</v>
          </cell>
          <cell r="B609" t="str">
            <v>Nguyễn Hoàng Đăng</v>
          </cell>
          <cell r="C609" t="str">
            <v>Khoa</v>
          </cell>
          <cell r="D609">
            <v>1530000</v>
          </cell>
          <cell r="E609" t="str">
            <v>LNH1125NO02</v>
          </cell>
        </row>
        <row r="610">
          <cell r="A610" t="str">
            <v>25805900027</v>
          </cell>
          <cell r="B610" t="str">
            <v>Trần Thị Ngọc</v>
          </cell>
          <cell r="C610" t="str">
            <v>Nhi</v>
          </cell>
          <cell r="D610">
            <v>1530000</v>
          </cell>
          <cell r="E610" t="str">
            <v>LNH1125NO02</v>
          </cell>
        </row>
        <row r="611">
          <cell r="A611" t="str">
            <v>25807800066</v>
          </cell>
          <cell r="B611" t="str">
            <v>Đinh Duy Anh</v>
          </cell>
          <cell r="C611" t="str">
            <v>Khôi</v>
          </cell>
          <cell r="D611">
            <v>1530000</v>
          </cell>
          <cell r="E611" t="str">
            <v>LNH1125NO02</v>
          </cell>
        </row>
        <row r="612">
          <cell r="A612" t="str">
            <v>25808200042</v>
          </cell>
          <cell r="B612" t="str">
            <v>Nguyễn Phi</v>
          </cell>
          <cell r="C612" t="str">
            <v>Hiệp</v>
          </cell>
          <cell r="D612">
            <v>1530000</v>
          </cell>
          <cell r="E612" t="str">
            <v>LNH1125NO02</v>
          </cell>
        </row>
        <row r="613">
          <cell r="A613" t="str">
            <v>25820200020</v>
          </cell>
          <cell r="B613" t="str">
            <v>Nguyễn Nhật</v>
          </cell>
          <cell r="C613" t="str">
            <v>Hào</v>
          </cell>
          <cell r="D613">
            <v>1530000</v>
          </cell>
          <cell r="E613" t="str">
            <v>LNH1125NO02</v>
          </cell>
        </row>
        <row r="614">
          <cell r="A614" t="str">
            <v>25802100002</v>
          </cell>
          <cell r="B614" t="str">
            <v>Nguyễn Hoàng</v>
          </cell>
          <cell r="C614" t="str">
            <v>Anh</v>
          </cell>
          <cell r="D614">
            <v>1530000</v>
          </cell>
          <cell r="E614" t="str">
            <v>LNH1125NO02</v>
          </cell>
        </row>
        <row r="615">
          <cell r="A615" t="str">
            <v>25802800098</v>
          </cell>
          <cell r="B615" t="str">
            <v>Nguyễn Lệ</v>
          </cell>
          <cell r="C615" t="str">
            <v>Hương</v>
          </cell>
          <cell r="D615">
            <v>1530000</v>
          </cell>
          <cell r="E615" t="str">
            <v>LNH1125NO02</v>
          </cell>
        </row>
        <row r="616">
          <cell r="A616" t="str">
            <v>25807800048</v>
          </cell>
          <cell r="B616" t="str">
            <v>Lê Hải Huy</v>
          </cell>
          <cell r="C616" t="str">
            <v>Hoàng</v>
          </cell>
          <cell r="D616">
            <v>1530000</v>
          </cell>
          <cell r="E616" t="str">
            <v>LNH1125NO02</v>
          </cell>
        </row>
      </sheetData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TONG HOP "/>
      <sheetName val="Sheet1"/>
      <sheetName val="Sheet2"/>
    </sheetNames>
    <sheetDataSet>
      <sheetData sheetId="0">
        <row r="5">
          <cell r="B5" t="str">
            <v>25808300031</v>
          </cell>
          <cell r="C5" t="str">
            <v>Nguyễn Ngọc Thiên</v>
          </cell>
          <cell r="D5" t="str">
            <v>Ngân</v>
          </cell>
          <cell r="E5">
            <v>8415000</v>
          </cell>
          <cell r="F5">
            <v>2103750</v>
          </cell>
          <cell r="G5" t="str">
            <v>LNH0925ND10</v>
          </cell>
          <cell r="J5">
            <v>2103750</v>
          </cell>
          <cell r="K5" t="str">
            <v>LNH1125NE09</v>
          </cell>
          <cell r="N5">
            <v>2103750</v>
          </cell>
          <cell r="O5" t="str">
            <v>LNH0326NE01</v>
          </cell>
        </row>
        <row r="6">
          <cell r="B6" t="str">
            <v>25808500344</v>
          </cell>
          <cell r="C6" t="str">
            <v>Nguyễn Kim Trường</v>
          </cell>
          <cell r="D6" t="str">
            <v>Thịnh</v>
          </cell>
          <cell r="E6">
            <v>4700000</v>
          </cell>
          <cell r="F6">
            <v>2100000</v>
          </cell>
          <cell r="G6" t="str">
            <v>LNH0925ND12</v>
          </cell>
          <cell r="N6">
            <v>2600000</v>
          </cell>
          <cell r="O6" t="str">
            <v>LNH0326NE01</v>
          </cell>
        </row>
        <row r="7">
          <cell r="B7" t="str">
            <v>25808900050</v>
          </cell>
          <cell r="C7" t="str">
            <v>Trần Năng</v>
          </cell>
          <cell r="D7" t="str">
            <v>Hưng</v>
          </cell>
          <cell r="E7">
            <v>8415000</v>
          </cell>
          <cell r="J7">
            <v>2103750</v>
          </cell>
          <cell r="K7" t="str">
            <v>LNH1125ND01</v>
          </cell>
          <cell r="N7">
            <v>2103750</v>
          </cell>
          <cell r="O7" t="str">
            <v>LNH0326NE01</v>
          </cell>
        </row>
        <row r="8">
          <cell r="B8" t="str">
            <v>25800400022</v>
          </cell>
          <cell r="C8" t="str">
            <v>Nguyễn Văn</v>
          </cell>
          <cell r="D8" t="str">
            <v>Công</v>
          </cell>
          <cell r="E8">
            <v>8415000</v>
          </cell>
          <cell r="J8">
            <v>2103750</v>
          </cell>
          <cell r="K8" t="str">
            <v>LNH1125ND01</v>
          </cell>
          <cell r="N8">
            <v>2103750</v>
          </cell>
          <cell r="O8" t="str">
            <v>LNH0326NE01</v>
          </cell>
        </row>
        <row r="9">
          <cell r="B9" t="str">
            <v>25800400218</v>
          </cell>
          <cell r="C9" t="str">
            <v>Tạ Minh</v>
          </cell>
          <cell r="D9" t="str">
            <v>Tân</v>
          </cell>
          <cell r="E9">
            <v>8415000</v>
          </cell>
          <cell r="J9">
            <v>2103750</v>
          </cell>
          <cell r="K9" t="str">
            <v>LNH1125ND01</v>
          </cell>
          <cell r="N9">
            <v>2103750</v>
          </cell>
          <cell r="O9" t="str">
            <v>LNH0326NE01</v>
          </cell>
        </row>
        <row r="10">
          <cell r="B10" t="str">
            <v>25800500215</v>
          </cell>
          <cell r="C10" t="str">
            <v>Nguyễn Xuân</v>
          </cell>
          <cell r="D10" t="str">
            <v>Trường</v>
          </cell>
          <cell r="E10">
            <v>8415000</v>
          </cell>
          <cell r="J10">
            <v>2103750</v>
          </cell>
          <cell r="K10" t="str">
            <v>LNH1125ND01</v>
          </cell>
          <cell r="N10">
            <v>2103750</v>
          </cell>
          <cell r="O10" t="str">
            <v>LNH0326NE01</v>
          </cell>
        </row>
        <row r="11">
          <cell r="B11" t="str">
            <v>25802800389</v>
          </cell>
          <cell r="C11" t="str">
            <v>Nguyễn Tuấn</v>
          </cell>
          <cell r="D11" t="str">
            <v>Khôi</v>
          </cell>
          <cell r="E11">
            <v>8415000</v>
          </cell>
          <cell r="J11">
            <v>2103750</v>
          </cell>
          <cell r="K11" t="str">
            <v>LNH1125ND02</v>
          </cell>
          <cell r="N11">
            <v>2103750</v>
          </cell>
          <cell r="O11" t="str">
            <v>LNH0326NE01</v>
          </cell>
        </row>
        <row r="12">
          <cell r="B12" t="str">
            <v>25807400005</v>
          </cell>
          <cell r="C12" t="str">
            <v>Nguyễn Văn Huy</v>
          </cell>
          <cell r="D12" t="str">
            <v>Hoàng</v>
          </cell>
          <cell r="E12">
            <v>8415000</v>
          </cell>
          <cell r="N12">
            <v>2103750</v>
          </cell>
          <cell r="O12" t="str">
            <v>LNH0326NE01</v>
          </cell>
        </row>
        <row r="13">
          <cell r="B13" t="str">
            <v>25807800064</v>
          </cell>
          <cell r="C13" t="str">
            <v>Quách Anh</v>
          </cell>
          <cell r="D13" t="str">
            <v>Khoa</v>
          </cell>
          <cell r="E13">
            <v>8415000</v>
          </cell>
          <cell r="J13">
            <v>2103750</v>
          </cell>
          <cell r="K13" t="str">
            <v>LNH1125ND01</v>
          </cell>
          <cell r="N13">
            <v>2103750</v>
          </cell>
          <cell r="O13" t="str">
            <v>LNH0326NE01</v>
          </cell>
        </row>
        <row r="14">
          <cell r="B14" t="str">
            <v>25802100035</v>
          </cell>
          <cell r="C14" t="str">
            <v>Đoàn Thanh</v>
          </cell>
          <cell r="D14" t="str">
            <v>Tài</v>
          </cell>
          <cell r="E14">
            <v>8415000</v>
          </cell>
          <cell r="J14">
            <v>2103750</v>
          </cell>
          <cell r="K14" t="str">
            <v>LNH1125ND01</v>
          </cell>
          <cell r="N14">
            <v>2103750</v>
          </cell>
          <cell r="O14" t="str">
            <v>LNH0326NE01</v>
          </cell>
        </row>
        <row r="15">
          <cell r="B15" t="str">
            <v>25808300043</v>
          </cell>
          <cell r="C15" t="str">
            <v>Y</v>
          </cell>
          <cell r="D15" t="str">
            <v>Thê</v>
          </cell>
          <cell r="E15">
            <v>4465000</v>
          </cell>
          <cell r="J15">
            <v>2232500</v>
          </cell>
          <cell r="K15" t="str">
            <v>LNH1125ND02</v>
          </cell>
          <cell r="N15">
            <v>2232500</v>
          </cell>
          <cell r="O15" t="str">
            <v>LNH0326NE01</v>
          </cell>
        </row>
        <row r="16">
          <cell r="B16" t="str">
            <v>25802800061</v>
          </cell>
          <cell r="C16" t="str">
            <v>Phan Trương Bích</v>
          </cell>
          <cell r="D16" t="str">
            <v>Hằng</v>
          </cell>
          <cell r="E16">
            <v>8415000</v>
          </cell>
          <cell r="J16">
            <v>2103750</v>
          </cell>
          <cell r="K16" t="str">
            <v>LNH1125NE07</v>
          </cell>
          <cell r="N16">
            <v>2103750</v>
          </cell>
          <cell r="O16" t="str">
            <v>LNH0326NE01</v>
          </cell>
        </row>
        <row r="17">
          <cell r="B17" t="str">
            <v>25802800141</v>
          </cell>
          <cell r="C17" t="str">
            <v>Nguyễn Đức</v>
          </cell>
          <cell r="D17" t="str">
            <v>Lợi</v>
          </cell>
          <cell r="E17">
            <v>4465000</v>
          </cell>
          <cell r="J17">
            <v>2232500</v>
          </cell>
          <cell r="K17" t="str">
            <v>LNH1125ND02</v>
          </cell>
          <cell r="N17">
            <v>2232500</v>
          </cell>
          <cell r="O17" t="str">
            <v>LNH0326NE01</v>
          </cell>
        </row>
        <row r="18">
          <cell r="B18" t="str">
            <v>25805900128</v>
          </cell>
          <cell r="C18" t="str">
            <v>Huỳnh Trà Sơn</v>
          </cell>
          <cell r="D18" t="str">
            <v>Tùng</v>
          </cell>
          <cell r="E18">
            <v>8415000</v>
          </cell>
          <cell r="J18">
            <v>2103750</v>
          </cell>
          <cell r="K18" t="str">
            <v>LNH1125ND02</v>
          </cell>
          <cell r="N18">
            <v>2103750</v>
          </cell>
          <cell r="O18" t="str">
            <v>LNH0326NE01</v>
          </cell>
        </row>
        <row r="19">
          <cell r="B19" t="str">
            <v>1911820446</v>
          </cell>
          <cell r="C19" t="str">
            <v>Bùi Thiện</v>
          </cell>
          <cell r="D19" t="str">
            <v>Nhân</v>
          </cell>
          <cell r="E19">
            <v>2600000</v>
          </cell>
          <cell r="N19">
            <v>2600000</v>
          </cell>
          <cell r="O19" t="str">
            <v>LNH0326NE01</v>
          </cell>
        </row>
        <row r="20">
          <cell r="B20" t="str">
            <v>25801800094</v>
          </cell>
          <cell r="C20" t="str">
            <v>Bế Thị Hồng</v>
          </cell>
          <cell r="D20" t="str">
            <v>Cúc</v>
          </cell>
          <cell r="E20">
            <v>8415000</v>
          </cell>
          <cell r="N20">
            <v>2103750</v>
          </cell>
          <cell r="O20" t="str">
            <v>LNH0326NE01</v>
          </cell>
        </row>
        <row r="21">
          <cell r="B21" t="str">
            <v>25806300055</v>
          </cell>
          <cell r="C21" t="str">
            <v xml:space="preserve">Nguyễn Văn </v>
          </cell>
          <cell r="D21" t="str">
            <v>Tuấn</v>
          </cell>
          <cell r="E21">
            <v>8415000</v>
          </cell>
          <cell r="F21">
            <v>2103750</v>
          </cell>
          <cell r="G21" t="str">
            <v>LNH0925ND15</v>
          </cell>
          <cell r="N21">
            <v>2103750</v>
          </cell>
          <cell r="O21" t="str">
            <v>LNH0326NE02</v>
          </cell>
        </row>
        <row r="22">
          <cell r="B22" t="str">
            <v>25800500021</v>
          </cell>
          <cell r="C22" t="str">
            <v>Trương Trọng</v>
          </cell>
          <cell r="D22" t="str">
            <v>Bình</v>
          </cell>
          <cell r="E22">
            <v>8415000</v>
          </cell>
          <cell r="F22">
            <v>2103750</v>
          </cell>
          <cell r="G22" t="str">
            <v>LNH0925ND30</v>
          </cell>
          <cell r="J22">
            <v>2103750</v>
          </cell>
          <cell r="K22" t="str">
            <v>LNH1125NE18</v>
          </cell>
          <cell r="N22">
            <v>2103750</v>
          </cell>
          <cell r="O22" t="str">
            <v>LNH0326NE02</v>
          </cell>
        </row>
        <row r="23">
          <cell r="B23" t="str">
            <v>25800500135</v>
          </cell>
          <cell r="C23" t="str">
            <v>Lê Thanh</v>
          </cell>
          <cell r="D23" t="str">
            <v>Phong</v>
          </cell>
          <cell r="E23">
            <v>8415000</v>
          </cell>
          <cell r="J23">
            <v>2103750</v>
          </cell>
          <cell r="K23" t="str">
            <v>LNH1125ND01</v>
          </cell>
          <cell r="N23">
            <v>2103750</v>
          </cell>
          <cell r="O23" t="str">
            <v>LNH0326NE02</v>
          </cell>
        </row>
        <row r="24">
          <cell r="B24" t="str">
            <v>25807900049</v>
          </cell>
          <cell r="C24" t="str">
            <v>Trần Hữu</v>
          </cell>
          <cell r="D24" t="str">
            <v>Thành</v>
          </cell>
          <cell r="E24">
            <v>8415000</v>
          </cell>
          <cell r="J24">
            <v>2103750</v>
          </cell>
          <cell r="K24" t="str">
            <v>LNH1125ND02</v>
          </cell>
          <cell r="N24">
            <v>2103750</v>
          </cell>
          <cell r="O24" t="str">
            <v>LNH0326NE02</v>
          </cell>
        </row>
        <row r="25">
          <cell r="B25" t="str">
            <v>25802800068</v>
          </cell>
          <cell r="C25" t="str">
            <v>Lương Hoàng</v>
          </cell>
          <cell r="D25" t="str">
            <v>Hên</v>
          </cell>
          <cell r="E25">
            <v>8415000</v>
          </cell>
          <cell r="J25">
            <v>2103750</v>
          </cell>
          <cell r="K25" t="str">
            <v>LNH1125ND02</v>
          </cell>
          <cell r="N25">
            <v>2103750</v>
          </cell>
          <cell r="O25" t="str">
            <v>LNH0326NE02</v>
          </cell>
        </row>
        <row r="26">
          <cell r="B26" t="str">
            <v>25806300027</v>
          </cell>
          <cell r="C26" t="str">
            <v>Phạm Ngọc Phương</v>
          </cell>
          <cell r="D26" t="str">
            <v>Nam</v>
          </cell>
          <cell r="E26">
            <v>8415000</v>
          </cell>
          <cell r="H26">
            <v>2103750</v>
          </cell>
          <cell r="I26" t="str">
            <v>LNH1025ND02</v>
          </cell>
          <cell r="J26">
            <v>2103750</v>
          </cell>
          <cell r="K26" t="str">
            <v>LNH1125ND01</v>
          </cell>
          <cell r="N26">
            <v>2103750</v>
          </cell>
          <cell r="O26" t="str">
            <v>LNH0326NE02</v>
          </cell>
        </row>
        <row r="27">
          <cell r="B27" t="str">
            <v>25807800074</v>
          </cell>
          <cell r="C27" t="str">
            <v>Nguyễn Hải</v>
          </cell>
          <cell r="D27" t="str">
            <v>Lĩnh</v>
          </cell>
          <cell r="E27">
            <v>8415000</v>
          </cell>
          <cell r="J27">
            <v>2103750</v>
          </cell>
          <cell r="K27" t="str">
            <v>LNH1125ND02</v>
          </cell>
          <cell r="N27">
            <v>2103750</v>
          </cell>
          <cell r="O27" t="str">
            <v>LNH0326NE02</v>
          </cell>
        </row>
        <row r="28">
          <cell r="B28" t="str">
            <v>25801100045</v>
          </cell>
          <cell r="C28" t="str">
            <v>Pham Minh</v>
          </cell>
          <cell r="D28" t="str">
            <v>Nhat</v>
          </cell>
          <cell r="E28">
            <v>4465000</v>
          </cell>
          <cell r="J28">
            <v>2232500</v>
          </cell>
          <cell r="K28" t="str">
            <v>LNH1125ND02</v>
          </cell>
          <cell r="N28">
            <v>2232500</v>
          </cell>
          <cell r="O28" t="str">
            <v>LNH0326NE02</v>
          </cell>
        </row>
        <row r="29">
          <cell r="B29" t="str">
            <v>25800400294</v>
          </cell>
          <cell r="C29" t="str">
            <v>Đinh Ngọc Xuân</v>
          </cell>
          <cell r="D29" t="str">
            <v>Giang</v>
          </cell>
          <cell r="E29">
            <v>8415000</v>
          </cell>
          <cell r="J29">
            <v>2103750</v>
          </cell>
          <cell r="K29" t="str">
            <v>LNH1125NE25</v>
          </cell>
          <cell r="N29">
            <v>2103750</v>
          </cell>
          <cell r="O29" t="str">
            <v>LNH0326NE02</v>
          </cell>
        </row>
        <row r="30">
          <cell r="B30" t="str">
            <v>25802100067</v>
          </cell>
          <cell r="C30" t="str">
            <v>Nguyễn Hà Hạnh</v>
          </cell>
          <cell r="D30" t="str">
            <v>Phương</v>
          </cell>
          <cell r="E30">
            <v>8415000</v>
          </cell>
          <cell r="J30">
            <v>2103750</v>
          </cell>
          <cell r="K30" t="str">
            <v>LNH1125NE24</v>
          </cell>
          <cell r="N30">
            <v>2103750</v>
          </cell>
          <cell r="O30" t="str">
            <v>LNH0326NE02</v>
          </cell>
        </row>
        <row r="31">
          <cell r="B31" t="str">
            <v>25807500016</v>
          </cell>
          <cell r="C31" t="str">
            <v>Nguyễn Cao Thái</v>
          </cell>
          <cell r="D31" t="str">
            <v>Duy</v>
          </cell>
          <cell r="E31">
            <v>8415000</v>
          </cell>
          <cell r="J31">
            <v>2103750</v>
          </cell>
          <cell r="K31" t="str">
            <v>LNH1125NE03</v>
          </cell>
          <cell r="N31">
            <v>2103750</v>
          </cell>
          <cell r="O31" t="str">
            <v>LNH0326NE02</v>
          </cell>
        </row>
        <row r="32">
          <cell r="B32" t="str">
            <v>25820700033</v>
          </cell>
          <cell r="C32" t="str">
            <v>Võ Ngọc Minh</v>
          </cell>
          <cell r="D32" t="str">
            <v>Phương</v>
          </cell>
          <cell r="E32">
            <v>2600000</v>
          </cell>
          <cell r="N32">
            <v>2600000</v>
          </cell>
          <cell r="O32" t="str">
            <v>LNH0326NE02</v>
          </cell>
        </row>
        <row r="33">
          <cell r="B33" t="str">
            <v>25800400016</v>
          </cell>
          <cell r="C33" t="str">
            <v>Phạm Lê Gia</v>
          </cell>
          <cell r="D33" t="str">
            <v>Bảo</v>
          </cell>
          <cell r="E33">
            <v>2600000</v>
          </cell>
          <cell r="N33">
            <v>2600000</v>
          </cell>
          <cell r="O33" t="str">
            <v>LNH0326NE02</v>
          </cell>
        </row>
        <row r="34">
          <cell r="B34" t="str">
            <v>25802500026</v>
          </cell>
          <cell r="C34" t="str">
            <v>Hồng Quốc</v>
          </cell>
          <cell r="D34" t="str">
            <v>Bảo</v>
          </cell>
          <cell r="E34">
            <v>2600000</v>
          </cell>
          <cell r="N34">
            <v>2600000</v>
          </cell>
          <cell r="O34" t="str">
            <v>LNH0326NE02</v>
          </cell>
        </row>
        <row r="35">
          <cell r="B35" t="str">
            <v>25807800016</v>
          </cell>
          <cell r="C35" t="str">
            <v>Trương Quốc</v>
          </cell>
          <cell r="D35" t="str">
            <v>Bảo</v>
          </cell>
          <cell r="E35">
            <v>2600000</v>
          </cell>
          <cell r="N35">
            <v>2600000</v>
          </cell>
          <cell r="O35" t="str">
            <v>LNH0326NE02</v>
          </cell>
        </row>
        <row r="36">
          <cell r="B36" t="str">
            <v>24806107982</v>
          </cell>
          <cell r="C36" t="str">
            <v>Vũ Kiều Ngoc</v>
          </cell>
          <cell r="D36" t="str">
            <v>Lan</v>
          </cell>
          <cell r="E36">
            <v>2600000</v>
          </cell>
          <cell r="N36">
            <v>2600000</v>
          </cell>
          <cell r="O36" t="str">
            <v>LNH0326NE02</v>
          </cell>
        </row>
        <row r="37">
          <cell r="B37" t="str">
            <v>25802800041</v>
          </cell>
          <cell r="C37" t="str">
            <v>Nguyễn Quốc</v>
          </cell>
          <cell r="D37" t="str">
            <v>Đạt</v>
          </cell>
          <cell r="E37">
            <v>8415000</v>
          </cell>
          <cell r="F37">
            <v>2103750</v>
          </cell>
          <cell r="G37" t="str">
            <v>LNH0925ND02</v>
          </cell>
          <cell r="J37">
            <v>2103750</v>
          </cell>
          <cell r="K37" t="str">
            <v>LNH1125NE01</v>
          </cell>
          <cell r="N37">
            <v>1530000</v>
          </cell>
          <cell r="O37" t="str">
            <v>LNH0326NS01</v>
          </cell>
        </row>
        <row r="38">
          <cell r="B38" t="str">
            <v>25808900231</v>
          </cell>
          <cell r="C38" t="str">
            <v>Vũ Trung</v>
          </cell>
          <cell r="D38" t="str">
            <v>Nguyên</v>
          </cell>
          <cell r="E38">
            <v>8415000</v>
          </cell>
          <cell r="F38">
            <v>2103750</v>
          </cell>
          <cell r="G38" t="str">
            <v>LNH0925ND02</v>
          </cell>
          <cell r="J38">
            <v>1530000</v>
          </cell>
          <cell r="K38" t="str">
            <v>LNH1125NO01</v>
          </cell>
          <cell r="L38">
            <v>1530000</v>
          </cell>
          <cell r="M38" t="str">
            <v>LNH0126NP01</v>
          </cell>
          <cell r="N38">
            <v>1530000</v>
          </cell>
          <cell r="O38" t="str">
            <v>LNH0326NS01</v>
          </cell>
        </row>
        <row r="39">
          <cell r="B39" t="str">
            <v>25800500276</v>
          </cell>
          <cell r="C39" t="str">
            <v>Nguyễn Trọng</v>
          </cell>
          <cell r="D39" t="str">
            <v>Hảo</v>
          </cell>
          <cell r="E39">
            <v>8415000</v>
          </cell>
          <cell r="F39">
            <v>2103750</v>
          </cell>
          <cell r="G39" t="str">
            <v>LNH0925ND26</v>
          </cell>
          <cell r="J39">
            <v>1530000</v>
          </cell>
          <cell r="K39" t="str">
            <v>LNH1125NO02</v>
          </cell>
          <cell r="L39">
            <v>1530000</v>
          </cell>
          <cell r="M39" t="str">
            <v>LNH0126NP02</v>
          </cell>
          <cell r="N39">
            <v>1530000</v>
          </cell>
          <cell r="O39" t="str">
            <v>LNH0326NS01</v>
          </cell>
        </row>
        <row r="40">
          <cell r="B40" t="str">
            <v>25807800108</v>
          </cell>
          <cell r="C40" t="str">
            <v>Huỳnh Hữu</v>
          </cell>
          <cell r="D40" t="str">
            <v>Phúc</v>
          </cell>
          <cell r="E40">
            <v>11050000</v>
          </cell>
          <cell r="F40">
            <v>1530000</v>
          </cell>
          <cell r="G40" t="str">
            <v>LNH0925NL01</v>
          </cell>
          <cell r="J40">
            <v>1530000</v>
          </cell>
          <cell r="K40" t="str">
            <v>LNH1125NO01</v>
          </cell>
          <cell r="L40">
            <v>1530000</v>
          </cell>
          <cell r="M40" t="str">
            <v>LNH0126NP01</v>
          </cell>
          <cell r="N40">
            <v>1530000</v>
          </cell>
          <cell r="O40" t="str">
            <v>LNH0326NS01</v>
          </cell>
        </row>
        <row r="41">
          <cell r="B41" t="str">
            <v>25801700104</v>
          </cell>
          <cell r="C41" t="str">
            <v>Nguyễn Thanh</v>
          </cell>
          <cell r="D41" t="str">
            <v>Duy</v>
          </cell>
          <cell r="E41">
            <v>6120000</v>
          </cell>
          <cell r="F41">
            <v>1530000</v>
          </cell>
          <cell r="G41" t="str">
            <v>LNH0925NL01</v>
          </cell>
          <cell r="J41">
            <v>1530000</v>
          </cell>
          <cell r="K41" t="str">
            <v>LNH1125NO01</v>
          </cell>
          <cell r="L41">
            <v>1530000</v>
          </cell>
          <cell r="M41" t="str">
            <v>LNH0126NP01</v>
          </cell>
          <cell r="N41">
            <v>1530000</v>
          </cell>
          <cell r="O41" t="str">
            <v>LNH0326NS01</v>
          </cell>
        </row>
        <row r="42">
          <cell r="B42" t="str">
            <v>25803000213</v>
          </cell>
          <cell r="C42" t="str">
            <v>Vương Quốc</v>
          </cell>
          <cell r="D42" t="str">
            <v>Huy</v>
          </cell>
          <cell r="E42">
            <v>6120000</v>
          </cell>
          <cell r="F42">
            <v>1530000</v>
          </cell>
          <cell r="G42" t="str">
            <v>LNH0925NL01</v>
          </cell>
          <cell r="J42">
            <v>1530000</v>
          </cell>
          <cell r="K42" t="str">
            <v>LNH1125NO01</v>
          </cell>
          <cell r="L42">
            <v>1530000</v>
          </cell>
          <cell r="M42" t="str">
            <v>LNH0126NP02</v>
          </cell>
          <cell r="N42">
            <v>1530000</v>
          </cell>
          <cell r="O42" t="str">
            <v>LNH0326NS01</v>
          </cell>
        </row>
        <row r="43">
          <cell r="B43" t="str">
            <v>25820600001</v>
          </cell>
          <cell r="C43" t="str">
            <v>Lưu Hồng</v>
          </cell>
          <cell r="D43" t="str">
            <v>Anh</v>
          </cell>
          <cell r="E43">
            <v>6120000</v>
          </cell>
          <cell r="F43">
            <v>1530000</v>
          </cell>
          <cell r="G43" t="str">
            <v>LNH0925NL01</v>
          </cell>
          <cell r="J43">
            <v>1530000</v>
          </cell>
          <cell r="K43" t="str">
            <v>LNH1125NO02</v>
          </cell>
          <cell r="L43">
            <v>1530000</v>
          </cell>
          <cell r="M43" t="str">
            <v>LNH0126NP01</v>
          </cell>
          <cell r="N43">
            <v>1530000</v>
          </cell>
          <cell r="O43" t="str">
            <v>LNH0326NS01</v>
          </cell>
        </row>
        <row r="44">
          <cell r="B44" t="str">
            <v>25808700134</v>
          </cell>
          <cell r="C44" t="str">
            <v>Đỗ Gia</v>
          </cell>
          <cell r="D44" t="str">
            <v>Huy</v>
          </cell>
          <cell r="E44">
            <v>6120000</v>
          </cell>
          <cell r="F44">
            <v>1530000</v>
          </cell>
          <cell r="G44" t="str">
            <v>LNH0925NL01</v>
          </cell>
          <cell r="J44">
            <v>1530000</v>
          </cell>
          <cell r="K44" t="str">
            <v>LNH1125NO02</v>
          </cell>
          <cell r="L44">
            <v>1530000</v>
          </cell>
          <cell r="M44" t="str">
            <v>LNH0126NP01</v>
          </cell>
          <cell r="N44">
            <v>1530000</v>
          </cell>
          <cell r="O44" t="str">
            <v>LNH0326NS01</v>
          </cell>
        </row>
        <row r="45">
          <cell r="B45" t="str">
            <v>25807800065</v>
          </cell>
          <cell r="C45" t="str">
            <v>Trần Võ Minh</v>
          </cell>
          <cell r="D45" t="str">
            <v>Khoa</v>
          </cell>
          <cell r="E45">
            <v>6120000</v>
          </cell>
          <cell r="F45">
            <v>1530000</v>
          </cell>
          <cell r="G45" t="str">
            <v>LNH0925NL01</v>
          </cell>
          <cell r="J45">
            <v>1530000</v>
          </cell>
          <cell r="K45" t="str">
            <v>LNH1125NO02</v>
          </cell>
          <cell r="L45">
            <v>1530000</v>
          </cell>
          <cell r="M45" t="str">
            <v>LNH0126NP01</v>
          </cell>
          <cell r="N45">
            <v>1530000</v>
          </cell>
          <cell r="O45" t="str">
            <v>LNH0326NS01</v>
          </cell>
        </row>
        <row r="46">
          <cell r="B46" t="str">
            <v>25807600154</v>
          </cell>
          <cell r="C46" t="str">
            <v>Thạch Thị Huỳnh</v>
          </cell>
          <cell r="D46" t="str">
            <v>Như</v>
          </cell>
          <cell r="E46">
            <v>6120000</v>
          </cell>
          <cell r="F46">
            <v>1530000</v>
          </cell>
          <cell r="G46" t="str">
            <v>LNH0925NL01</v>
          </cell>
          <cell r="J46">
            <v>1530000</v>
          </cell>
          <cell r="K46" t="str">
            <v>LNH1125NO01</v>
          </cell>
          <cell r="L46">
            <v>1530000</v>
          </cell>
          <cell r="M46" t="str">
            <v>LNH0126NP01</v>
          </cell>
          <cell r="N46">
            <v>1530000</v>
          </cell>
          <cell r="O46" t="str">
            <v>LNH0326NS01</v>
          </cell>
        </row>
        <row r="47">
          <cell r="B47" t="str">
            <v>25800400268</v>
          </cell>
          <cell r="C47" t="str">
            <v>Nguyễn Hoàng Đăng</v>
          </cell>
          <cell r="D47" t="str">
            <v>Khoa</v>
          </cell>
          <cell r="E47">
            <v>6120000</v>
          </cell>
          <cell r="F47">
            <v>1530000</v>
          </cell>
          <cell r="G47" t="str">
            <v>LNH0925NL02</v>
          </cell>
          <cell r="J47">
            <v>1530000</v>
          </cell>
          <cell r="K47" t="str">
            <v>LNH1125NO02</v>
          </cell>
          <cell r="L47">
            <v>1530000</v>
          </cell>
          <cell r="M47" t="str">
            <v>LNH0126NP01</v>
          </cell>
          <cell r="N47">
            <v>1530000</v>
          </cell>
          <cell r="O47" t="str">
            <v>LNH0326NS01</v>
          </cell>
        </row>
        <row r="48">
          <cell r="B48" t="str">
            <v>25802600143</v>
          </cell>
          <cell r="C48" t="str">
            <v>Phạm Thị Hải</v>
          </cell>
          <cell r="D48" t="str">
            <v>Yến</v>
          </cell>
          <cell r="E48">
            <v>6120000</v>
          </cell>
          <cell r="F48">
            <v>1530000</v>
          </cell>
          <cell r="G48" t="str">
            <v>LNH0925NL02</v>
          </cell>
          <cell r="J48">
            <v>1530000</v>
          </cell>
          <cell r="K48" t="str">
            <v>LNH1125NO01</v>
          </cell>
          <cell r="L48">
            <v>1530000</v>
          </cell>
          <cell r="M48" t="str">
            <v>LNH0126NP01</v>
          </cell>
          <cell r="N48">
            <v>1530000</v>
          </cell>
          <cell r="O48" t="str">
            <v>LNH0326NS01</v>
          </cell>
        </row>
        <row r="49">
          <cell r="B49" t="str">
            <v>25802800108</v>
          </cell>
          <cell r="C49" t="str">
            <v>Võ Trần Bảo</v>
          </cell>
          <cell r="D49" t="str">
            <v>Khang</v>
          </cell>
          <cell r="E49">
            <v>6120000</v>
          </cell>
          <cell r="F49">
            <v>1530000</v>
          </cell>
          <cell r="G49" t="str">
            <v>LNH0925NL02</v>
          </cell>
          <cell r="J49">
            <v>1530000</v>
          </cell>
          <cell r="K49" t="str">
            <v>LNH1125NO01</v>
          </cell>
          <cell r="L49">
            <v>1530000</v>
          </cell>
          <cell r="M49" t="str">
            <v>LNH0126NP01</v>
          </cell>
          <cell r="N49">
            <v>1530000</v>
          </cell>
          <cell r="O49" t="str">
            <v>LNH0326NS01</v>
          </cell>
        </row>
        <row r="50">
          <cell r="B50" t="str">
            <v>25803800012</v>
          </cell>
          <cell r="C50" t="str">
            <v>Lê Thanh</v>
          </cell>
          <cell r="D50" t="str">
            <v>Đạt</v>
          </cell>
          <cell r="E50">
            <v>3800000</v>
          </cell>
          <cell r="L50">
            <v>1900000</v>
          </cell>
          <cell r="M50" t="str">
            <v>LNH0126NP01</v>
          </cell>
          <cell r="N50">
            <v>1900000</v>
          </cell>
          <cell r="O50" t="str">
            <v>LNH0326NS01</v>
          </cell>
        </row>
        <row r="51">
          <cell r="B51" t="str">
            <v>2383000855</v>
          </cell>
          <cell r="C51" t="str">
            <v>Nguyễn Minh</v>
          </cell>
          <cell r="D51" t="str">
            <v xml:space="preserve"> Phương</v>
          </cell>
          <cell r="E51">
            <v>3600000</v>
          </cell>
          <cell r="N51">
            <v>2000000</v>
          </cell>
          <cell r="O51" t="str">
            <v>LNH0326NS01</v>
          </cell>
        </row>
        <row r="52">
          <cell r="B52" t="str">
            <v>2180608872</v>
          </cell>
          <cell r="C52" t="str">
            <v>Nguyễn Thành</v>
          </cell>
          <cell r="D52" t="str">
            <v>Kiệt</v>
          </cell>
          <cell r="E52">
            <v>2000000</v>
          </cell>
          <cell r="N52">
            <v>2000000</v>
          </cell>
          <cell r="O52" t="str">
            <v>LNH0326NS01</v>
          </cell>
        </row>
        <row r="53">
          <cell r="B53" t="str">
            <v>25808600073</v>
          </cell>
          <cell r="C53" t="str">
            <v>Huỳnh Thị Hồng</v>
          </cell>
          <cell r="D53" t="str">
            <v>Ngọc</v>
          </cell>
          <cell r="E53">
            <v>8415000</v>
          </cell>
          <cell r="F53">
            <v>2103750</v>
          </cell>
          <cell r="G53" t="str">
            <v>LNH0925ND26</v>
          </cell>
          <cell r="J53">
            <v>1530000</v>
          </cell>
          <cell r="K53" t="str">
            <v>LNH1125NO02</v>
          </cell>
          <cell r="L53">
            <v>1530000</v>
          </cell>
          <cell r="M53" t="str">
            <v>LNH0126NP02</v>
          </cell>
          <cell r="N53">
            <v>1530000</v>
          </cell>
          <cell r="O53" t="str">
            <v>LNH0326NS02</v>
          </cell>
        </row>
        <row r="54">
          <cell r="B54" t="str">
            <v>25800400009</v>
          </cell>
          <cell r="C54" t="str">
            <v>Lê Khắc</v>
          </cell>
          <cell r="D54" t="str">
            <v>Bảo</v>
          </cell>
          <cell r="E54">
            <v>8415000</v>
          </cell>
          <cell r="F54">
            <v>1530000</v>
          </cell>
          <cell r="G54" t="str">
            <v>LNH0925NL01</v>
          </cell>
          <cell r="J54">
            <v>1530000</v>
          </cell>
          <cell r="K54" t="str">
            <v>LNH1125NO01</v>
          </cell>
          <cell r="L54">
            <v>1530000</v>
          </cell>
          <cell r="M54" t="str">
            <v>LNH0126NP02</v>
          </cell>
          <cell r="N54">
            <v>1530000</v>
          </cell>
          <cell r="O54" t="str">
            <v>LNH0326NS02</v>
          </cell>
        </row>
        <row r="55">
          <cell r="B55" t="str">
            <v>25800500124</v>
          </cell>
          <cell r="C55" t="str">
            <v>Trần Công Vĩnh</v>
          </cell>
          <cell r="D55" t="str">
            <v>Nguyên</v>
          </cell>
          <cell r="E55">
            <v>6120000</v>
          </cell>
          <cell r="F55">
            <v>1530000</v>
          </cell>
          <cell r="G55" t="str">
            <v>LNH0925NL01</v>
          </cell>
          <cell r="J55">
            <v>1530000</v>
          </cell>
          <cell r="K55" t="str">
            <v>LNH1125NO02</v>
          </cell>
          <cell r="L55">
            <v>1530000</v>
          </cell>
          <cell r="M55" t="str">
            <v>LNH0126NP02</v>
          </cell>
          <cell r="N55">
            <v>1530000</v>
          </cell>
          <cell r="O55" t="str">
            <v>LNH0326NS02</v>
          </cell>
        </row>
        <row r="56">
          <cell r="B56" t="str">
            <v>25808100040</v>
          </cell>
          <cell r="C56" t="str">
            <v>Nguyễn Hoàng Trí</v>
          </cell>
          <cell r="D56" t="str">
            <v>Nhân</v>
          </cell>
          <cell r="E56">
            <v>6120000</v>
          </cell>
          <cell r="F56">
            <v>1530000</v>
          </cell>
          <cell r="G56" t="str">
            <v>LNH0925NL01</v>
          </cell>
          <cell r="J56">
            <v>1530000</v>
          </cell>
          <cell r="K56" t="str">
            <v>LNH1125NO01</v>
          </cell>
          <cell r="L56">
            <v>1530000</v>
          </cell>
          <cell r="M56" t="str">
            <v>LNH0126NP02</v>
          </cell>
          <cell r="N56">
            <v>1530000</v>
          </cell>
          <cell r="O56" t="str">
            <v>LNH0326NS02</v>
          </cell>
        </row>
        <row r="57">
          <cell r="B57" t="str">
            <v>25808800045</v>
          </cell>
          <cell r="C57" t="str">
            <v>Phạm Thị Mỹ</v>
          </cell>
          <cell r="D57" t="str">
            <v>Lệ</v>
          </cell>
          <cell r="E57">
            <v>6120000</v>
          </cell>
          <cell r="F57">
            <v>1530000</v>
          </cell>
          <cell r="G57" t="str">
            <v>LNH0925NL01</v>
          </cell>
          <cell r="J57">
            <v>1530000</v>
          </cell>
          <cell r="K57" t="str">
            <v>LNH1125NO01</v>
          </cell>
          <cell r="L57">
            <v>1530000</v>
          </cell>
          <cell r="M57" t="str">
            <v>LNH0126NP02</v>
          </cell>
          <cell r="N57">
            <v>1530000</v>
          </cell>
          <cell r="O57" t="str">
            <v>LNH0326NS02</v>
          </cell>
        </row>
        <row r="58">
          <cell r="B58" t="str">
            <v>25800400173</v>
          </cell>
          <cell r="C58" t="str">
            <v>Nguyễn Hoàng</v>
          </cell>
          <cell r="D58" t="str">
            <v>Vĩ</v>
          </cell>
          <cell r="E58">
            <v>11050000</v>
          </cell>
          <cell r="F58">
            <v>1530000</v>
          </cell>
          <cell r="G58" t="str">
            <v>LNH0925NL02</v>
          </cell>
          <cell r="J58">
            <v>1530000</v>
          </cell>
          <cell r="K58" t="str">
            <v>LNH1125NO02</v>
          </cell>
          <cell r="L58">
            <v>1530000</v>
          </cell>
          <cell r="M58" t="str">
            <v>LNH0126NP02</v>
          </cell>
          <cell r="N58">
            <v>1530000</v>
          </cell>
          <cell r="O58" t="str">
            <v>LNH0326NS02</v>
          </cell>
        </row>
        <row r="59">
          <cell r="B59" t="str">
            <v>25808700184</v>
          </cell>
          <cell r="C59" t="str">
            <v>Nguyễn Ngọc Thảo</v>
          </cell>
          <cell r="D59" t="str">
            <v>Ngân</v>
          </cell>
          <cell r="E59">
            <v>11050000</v>
          </cell>
          <cell r="F59">
            <v>1530000</v>
          </cell>
          <cell r="G59" t="str">
            <v>LNH0925NL02</v>
          </cell>
          <cell r="J59">
            <v>1530000</v>
          </cell>
          <cell r="K59" t="str">
            <v>LNH1125NO02</v>
          </cell>
          <cell r="L59">
            <v>1530000</v>
          </cell>
          <cell r="M59" t="str">
            <v>LNH0126NP02</v>
          </cell>
          <cell r="N59">
            <v>1530000</v>
          </cell>
          <cell r="O59" t="str">
            <v>LNH0326NS02</v>
          </cell>
        </row>
        <row r="60">
          <cell r="B60" t="str">
            <v>25820200047</v>
          </cell>
          <cell r="C60" t="str">
            <v>Nguyễn Đại</v>
          </cell>
          <cell r="D60" t="str">
            <v>Phú</v>
          </cell>
          <cell r="E60">
            <v>11050000</v>
          </cell>
          <cell r="F60">
            <v>1530000</v>
          </cell>
          <cell r="G60" t="str">
            <v>LNH0925NL02</v>
          </cell>
          <cell r="J60">
            <v>1530000</v>
          </cell>
          <cell r="K60" t="str">
            <v>LNH1125NO02</v>
          </cell>
          <cell r="L60">
            <v>1530000</v>
          </cell>
          <cell r="M60" t="str">
            <v>LNH0126NP02</v>
          </cell>
          <cell r="N60">
            <v>1530000</v>
          </cell>
          <cell r="O60" t="str">
            <v>LNH0326NS02</v>
          </cell>
        </row>
        <row r="61">
          <cell r="B61" t="str">
            <v>25805900027</v>
          </cell>
          <cell r="C61" t="str">
            <v>Trần Thị Ngọc</v>
          </cell>
          <cell r="D61" t="str">
            <v>Nhi</v>
          </cell>
          <cell r="E61">
            <v>6120000</v>
          </cell>
          <cell r="F61">
            <v>1530000</v>
          </cell>
          <cell r="G61" t="str">
            <v>LNH0925NL02</v>
          </cell>
          <cell r="J61">
            <v>1530000</v>
          </cell>
          <cell r="K61" t="str">
            <v>LNH1125NO02</v>
          </cell>
          <cell r="L61">
            <v>1530000</v>
          </cell>
          <cell r="M61" t="str">
            <v>LNH0126NP01</v>
          </cell>
          <cell r="N61">
            <v>1530000</v>
          </cell>
          <cell r="O61" t="str">
            <v>LNH0326NS02</v>
          </cell>
        </row>
        <row r="62">
          <cell r="B62" t="str">
            <v>25807800048</v>
          </cell>
          <cell r="C62" t="str">
            <v>Lê Hải Huy</v>
          </cell>
          <cell r="D62" t="str">
            <v>Hoàng</v>
          </cell>
          <cell r="E62">
            <v>6120000</v>
          </cell>
          <cell r="F62">
            <v>1530000</v>
          </cell>
          <cell r="G62" t="str">
            <v>LNH0925NL02</v>
          </cell>
          <cell r="J62">
            <v>1530000</v>
          </cell>
          <cell r="K62" t="str">
            <v>LNH1125NO02</v>
          </cell>
          <cell r="L62">
            <v>1530000</v>
          </cell>
          <cell r="M62" t="str">
            <v>LNH0126NP01</v>
          </cell>
          <cell r="N62">
            <v>1530000</v>
          </cell>
          <cell r="O62" t="str">
            <v>LNH0326NS02</v>
          </cell>
        </row>
        <row r="63">
          <cell r="B63" t="str">
            <v>25807800066</v>
          </cell>
          <cell r="C63" t="str">
            <v>Đinh Duy Anh</v>
          </cell>
          <cell r="D63" t="str">
            <v>Khôi</v>
          </cell>
          <cell r="E63">
            <v>6120000</v>
          </cell>
          <cell r="F63">
            <v>1530000</v>
          </cell>
          <cell r="G63" t="str">
            <v>LNH0925NL02</v>
          </cell>
          <cell r="J63">
            <v>1530000</v>
          </cell>
          <cell r="K63" t="str">
            <v>LNH1125NO02</v>
          </cell>
          <cell r="L63">
            <v>1530000</v>
          </cell>
          <cell r="M63" t="str">
            <v>LNH0126NP02</v>
          </cell>
          <cell r="N63">
            <v>1530000</v>
          </cell>
          <cell r="O63" t="str">
            <v>LNH0326NS02</v>
          </cell>
        </row>
        <row r="64">
          <cell r="B64" t="str">
            <v>25808200042</v>
          </cell>
          <cell r="C64" t="str">
            <v>Nguyễn Phi</v>
          </cell>
          <cell r="D64" t="str">
            <v>Hiệp</v>
          </cell>
          <cell r="E64">
            <v>6120000</v>
          </cell>
          <cell r="F64">
            <v>1530000</v>
          </cell>
          <cell r="G64" t="str">
            <v>LNH0925NL02</v>
          </cell>
          <cell r="J64">
            <v>1530000</v>
          </cell>
          <cell r="K64" t="str">
            <v>LNH1125NO02</v>
          </cell>
          <cell r="L64">
            <v>1530000</v>
          </cell>
          <cell r="M64" t="str">
            <v>LNH0126NP02</v>
          </cell>
          <cell r="N64">
            <v>1530000</v>
          </cell>
          <cell r="O64" t="str">
            <v>LNH0326NS02</v>
          </cell>
        </row>
        <row r="65">
          <cell r="B65" t="str">
            <v>25820200020</v>
          </cell>
          <cell r="C65" t="str">
            <v>Nguyễn Nhật</v>
          </cell>
          <cell r="D65" t="str">
            <v>Hào</v>
          </cell>
          <cell r="E65">
            <v>6120000</v>
          </cell>
          <cell r="F65">
            <v>1530000</v>
          </cell>
          <cell r="G65" t="str">
            <v>LNH0925NL02</v>
          </cell>
          <cell r="J65">
            <v>1530000</v>
          </cell>
          <cell r="K65" t="str">
            <v>LNH1125NO02</v>
          </cell>
          <cell r="L65">
            <v>1530000</v>
          </cell>
          <cell r="M65" t="str">
            <v>LNH0126NP02</v>
          </cell>
          <cell r="N65">
            <v>1530000</v>
          </cell>
          <cell r="O65" t="str">
            <v>LNH0326NS02</v>
          </cell>
        </row>
        <row r="66">
          <cell r="B66" t="str">
            <v>25802100002</v>
          </cell>
          <cell r="C66" t="str">
            <v>Nguyễn Hoàng</v>
          </cell>
          <cell r="D66" t="str">
            <v>Anh</v>
          </cell>
          <cell r="E66">
            <v>6120000</v>
          </cell>
          <cell r="F66">
            <v>1530000</v>
          </cell>
          <cell r="G66" t="str">
            <v>LNH0925NL02</v>
          </cell>
          <cell r="J66">
            <v>1530000</v>
          </cell>
          <cell r="K66" t="str">
            <v>LNH1125NO02</v>
          </cell>
          <cell r="L66">
            <v>1530000</v>
          </cell>
          <cell r="M66" t="str">
            <v>LNH0126NP01</v>
          </cell>
          <cell r="N66">
            <v>1530000</v>
          </cell>
          <cell r="O66" t="str">
            <v>LNH0326NS02</v>
          </cell>
        </row>
        <row r="67">
          <cell r="B67" t="str">
            <v>25802600087</v>
          </cell>
          <cell r="C67" t="str">
            <v>Phạm Thị Thanh</v>
          </cell>
          <cell r="D67" t="str">
            <v>Ngân</v>
          </cell>
          <cell r="E67">
            <v>7200000</v>
          </cell>
          <cell r="F67">
            <v>1600000</v>
          </cell>
          <cell r="G67" t="str">
            <v>LNH0925NL02</v>
          </cell>
          <cell r="J67">
            <v>1600000</v>
          </cell>
          <cell r="K67" t="str">
            <v>LNH1125NO01</v>
          </cell>
          <cell r="L67">
            <v>2000000</v>
          </cell>
          <cell r="M67" t="str">
            <v>LNH0126NP02</v>
          </cell>
          <cell r="N67">
            <v>2000000</v>
          </cell>
          <cell r="O67" t="str">
            <v>LNH0326NS02</v>
          </cell>
        </row>
        <row r="68">
          <cell r="B68" t="str">
            <v>25802800098</v>
          </cell>
          <cell r="C68" t="str">
            <v>Nguyễn Lệ</v>
          </cell>
          <cell r="D68" t="str">
            <v>Hương</v>
          </cell>
          <cell r="E68">
            <v>6120000</v>
          </cell>
          <cell r="F68">
            <v>1530000</v>
          </cell>
          <cell r="G68" t="str">
            <v>LNH0925NL02</v>
          </cell>
          <cell r="J68">
            <v>1530000</v>
          </cell>
          <cell r="K68" t="str">
            <v>LNH1125NO02</v>
          </cell>
          <cell r="L68">
            <v>1530000</v>
          </cell>
          <cell r="M68" t="str">
            <v>LNH0126NP01</v>
          </cell>
          <cell r="N68">
            <v>1530000</v>
          </cell>
          <cell r="O68" t="str">
            <v>LNH0326NS02</v>
          </cell>
        </row>
        <row r="69">
          <cell r="B69" t="str">
            <v>25801700020</v>
          </cell>
          <cell r="C69" t="str">
            <v>Bui Quang</v>
          </cell>
          <cell r="D69" t="str">
            <v>Huy</v>
          </cell>
          <cell r="E69">
            <v>8415000</v>
          </cell>
          <cell r="F69">
            <v>2103750</v>
          </cell>
          <cell r="G69" t="str">
            <v>LNH0925ND01</v>
          </cell>
          <cell r="J69">
            <v>2103750</v>
          </cell>
          <cell r="K69" t="str">
            <v>LNH1125NE01</v>
          </cell>
          <cell r="N69">
            <v>2103750</v>
          </cell>
          <cell r="O69" t="str">
            <v>LNH0326NG01</v>
          </cell>
        </row>
        <row r="70">
          <cell r="B70" t="str">
            <v>25802800055</v>
          </cell>
          <cell r="C70" t="str">
            <v>Nguyễn Xuân Hoàng</v>
          </cell>
          <cell r="D70" t="str">
            <v>Hà</v>
          </cell>
          <cell r="E70">
            <v>8415000</v>
          </cell>
          <cell r="F70">
            <v>2103750</v>
          </cell>
          <cell r="G70" t="str">
            <v>LNH0925ND01</v>
          </cell>
          <cell r="J70">
            <v>2103750</v>
          </cell>
          <cell r="K70" t="str">
            <v>LNH1125NE11</v>
          </cell>
          <cell r="N70">
            <v>2103750</v>
          </cell>
          <cell r="O70" t="str">
            <v>LNH0326NG01</v>
          </cell>
        </row>
        <row r="71">
          <cell r="B71" t="str">
            <v>25802800133</v>
          </cell>
          <cell r="C71" t="str">
            <v>Đỗ Lê Thanh</v>
          </cell>
          <cell r="D71" t="str">
            <v>Loan</v>
          </cell>
          <cell r="E71">
            <v>8415000</v>
          </cell>
          <cell r="F71">
            <v>2103750</v>
          </cell>
          <cell r="G71" t="str">
            <v>LNH0925ND01</v>
          </cell>
          <cell r="J71">
            <v>2103750</v>
          </cell>
          <cell r="K71" t="str">
            <v>LNH1125NE11</v>
          </cell>
          <cell r="N71">
            <v>2103750</v>
          </cell>
          <cell r="O71" t="str">
            <v>LNH0326NG01</v>
          </cell>
        </row>
        <row r="72">
          <cell r="B72" t="str">
            <v>25808600245</v>
          </cell>
          <cell r="C72" t="str">
            <v>Phan Minh</v>
          </cell>
          <cell r="D72" t="str">
            <v>Thư</v>
          </cell>
          <cell r="E72">
            <v>8415000</v>
          </cell>
          <cell r="F72">
            <v>2103750</v>
          </cell>
          <cell r="G72" t="str">
            <v>LNH0925ND02</v>
          </cell>
          <cell r="J72">
            <v>2103750</v>
          </cell>
          <cell r="K72" t="str">
            <v>LNH1125NE01</v>
          </cell>
          <cell r="N72">
            <v>2103750</v>
          </cell>
          <cell r="O72" t="str">
            <v>LNH0326NG01</v>
          </cell>
        </row>
        <row r="73">
          <cell r="B73" t="str">
            <v>25801800061</v>
          </cell>
          <cell r="C73" t="str">
            <v>Nguyễn Hoàng</v>
          </cell>
          <cell r="D73" t="str">
            <v>Sang</v>
          </cell>
          <cell r="E73">
            <v>8415000</v>
          </cell>
          <cell r="F73">
            <v>2103750</v>
          </cell>
          <cell r="G73" t="str">
            <v>LNH0925ND03</v>
          </cell>
          <cell r="J73">
            <v>2103750</v>
          </cell>
          <cell r="K73" t="str">
            <v>LNH1125NE01</v>
          </cell>
          <cell r="N73">
            <v>2103750</v>
          </cell>
          <cell r="O73" t="str">
            <v>LNH0326NG01</v>
          </cell>
        </row>
        <row r="74">
          <cell r="B74" t="str">
            <v>25801900092</v>
          </cell>
          <cell r="C74" t="str">
            <v>Lê Thị Thúy</v>
          </cell>
          <cell r="D74" t="str">
            <v>Ngân</v>
          </cell>
          <cell r="E74">
            <v>8415000</v>
          </cell>
          <cell r="F74">
            <v>2103750</v>
          </cell>
          <cell r="G74" t="str">
            <v>LNH0925ND03</v>
          </cell>
          <cell r="J74">
            <v>2103750</v>
          </cell>
          <cell r="K74" t="str">
            <v>LNH1125NE02</v>
          </cell>
          <cell r="N74">
            <v>2103750</v>
          </cell>
          <cell r="O74" t="str">
            <v>LNH0326NG01</v>
          </cell>
        </row>
        <row r="75">
          <cell r="B75" t="str">
            <v>25801900280</v>
          </cell>
          <cell r="C75" t="str">
            <v>Trần Nguyễn Hoàng</v>
          </cell>
          <cell r="D75" t="str">
            <v>Phúc</v>
          </cell>
          <cell r="E75">
            <v>8415000</v>
          </cell>
          <cell r="F75">
            <v>2103750</v>
          </cell>
          <cell r="G75" t="str">
            <v>LNH0925ND03</v>
          </cell>
          <cell r="J75">
            <v>2103750</v>
          </cell>
          <cell r="K75" t="str">
            <v>LNH1125NE02</v>
          </cell>
          <cell r="N75">
            <v>2103750</v>
          </cell>
          <cell r="O75" t="str">
            <v>LNH0326NG01</v>
          </cell>
        </row>
        <row r="76">
          <cell r="B76" t="str">
            <v>25802800347</v>
          </cell>
          <cell r="C76" t="str">
            <v>Hoàng Minh</v>
          </cell>
          <cell r="D76" t="str">
            <v>Quân</v>
          </cell>
          <cell r="E76">
            <v>8415000</v>
          </cell>
          <cell r="F76">
            <v>2103750</v>
          </cell>
          <cell r="G76" t="str">
            <v>LNH0925ND04</v>
          </cell>
          <cell r="J76">
            <v>2103750</v>
          </cell>
          <cell r="K76" t="str">
            <v>LNH1125NE03</v>
          </cell>
          <cell r="N76">
            <v>2103750</v>
          </cell>
          <cell r="O76" t="str">
            <v>LNH0326NG01</v>
          </cell>
        </row>
        <row r="77">
          <cell r="B77" t="str">
            <v>25806800069</v>
          </cell>
          <cell r="C77" t="str">
            <v>Phạm Thị Đào</v>
          </cell>
          <cell r="D77" t="str">
            <v>Thu</v>
          </cell>
          <cell r="E77">
            <v>8415000</v>
          </cell>
          <cell r="F77">
            <v>2103750</v>
          </cell>
          <cell r="G77" t="str">
            <v>LNH0925ND05</v>
          </cell>
          <cell r="J77">
            <v>2103750</v>
          </cell>
          <cell r="K77" t="str">
            <v>LNH1125NE12</v>
          </cell>
          <cell r="N77">
            <v>2103750</v>
          </cell>
          <cell r="O77" t="str">
            <v>LNH0326NG01</v>
          </cell>
        </row>
        <row r="78">
          <cell r="B78" t="str">
            <v>25807400012</v>
          </cell>
          <cell r="C78" t="str">
            <v>Châu Lâm Gia</v>
          </cell>
          <cell r="D78" t="str">
            <v>Quyên</v>
          </cell>
          <cell r="E78">
            <v>8415000</v>
          </cell>
          <cell r="F78">
            <v>2103750</v>
          </cell>
          <cell r="G78" t="str">
            <v>LNH0925ND06</v>
          </cell>
          <cell r="J78">
            <v>2103750</v>
          </cell>
          <cell r="K78" t="str">
            <v>LNH1125NE04</v>
          </cell>
          <cell r="N78">
            <v>2103750</v>
          </cell>
          <cell r="O78" t="str">
            <v>LNH0326NG01</v>
          </cell>
        </row>
        <row r="79">
          <cell r="B79" t="str">
            <v>25801900288</v>
          </cell>
          <cell r="C79" t="str">
            <v>Bùi Anh</v>
          </cell>
          <cell r="D79" t="str">
            <v>Thư</v>
          </cell>
          <cell r="E79">
            <v>8415000</v>
          </cell>
          <cell r="F79">
            <v>2103750</v>
          </cell>
          <cell r="G79" t="str">
            <v>LNH0925ND08</v>
          </cell>
          <cell r="J79">
            <v>2103750</v>
          </cell>
          <cell r="K79" t="str">
            <v>LNH1125NE06</v>
          </cell>
          <cell r="N79">
            <v>2103750</v>
          </cell>
          <cell r="O79" t="str">
            <v>LNH0326NG01</v>
          </cell>
        </row>
        <row r="80">
          <cell r="B80" t="str">
            <v>25802800351</v>
          </cell>
          <cell r="C80" t="str">
            <v>Nguyễn Duy</v>
          </cell>
          <cell r="D80" t="str">
            <v>Thắng</v>
          </cell>
          <cell r="E80">
            <v>8415000</v>
          </cell>
          <cell r="F80">
            <v>2103750</v>
          </cell>
          <cell r="G80" t="str">
            <v>LNH0925ND11</v>
          </cell>
          <cell r="J80">
            <v>2103750</v>
          </cell>
          <cell r="K80" t="str">
            <v>LNH1125NE10</v>
          </cell>
          <cell r="N80">
            <v>2103750</v>
          </cell>
          <cell r="O80" t="str">
            <v>LNH0326NG01</v>
          </cell>
        </row>
        <row r="81">
          <cell r="B81" t="str">
            <v>25808300040</v>
          </cell>
          <cell r="C81" t="str">
            <v>Cao Chung Thái</v>
          </cell>
          <cell r="D81" t="str">
            <v>Sơn</v>
          </cell>
          <cell r="E81">
            <v>8415000</v>
          </cell>
          <cell r="F81">
            <v>2103750</v>
          </cell>
          <cell r="G81" t="str">
            <v>LNH0925ND13</v>
          </cell>
          <cell r="J81">
            <v>2103750</v>
          </cell>
          <cell r="K81" t="str">
            <v>LNH1125NE11</v>
          </cell>
          <cell r="N81">
            <v>2103750</v>
          </cell>
          <cell r="O81" t="str">
            <v>LNH0326NG01</v>
          </cell>
        </row>
        <row r="82">
          <cell r="B82" t="str">
            <v>25802600097</v>
          </cell>
          <cell r="C82" t="str">
            <v>Phạm Cao Thái An</v>
          </cell>
          <cell r="D82" t="str">
            <v>Nhiên</v>
          </cell>
          <cell r="E82">
            <v>8415000</v>
          </cell>
          <cell r="F82">
            <v>2103750</v>
          </cell>
          <cell r="G82" t="str">
            <v>LNH0925ND15</v>
          </cell>
          <cell r="K82" t="str">
            <v>Level 3,4</v>
          </cell>
          <cell r="N82">
            <v>2103750</v>
          </cell>
          <cell r="O82" t="str">
            <v>LNH0326NG01</v>
          </cell>
        </row>
        <row r="83">
          <cell r="B83" t="str">
            <v>25801200066</v>
          </cell>
          <cell r="C83" t="str">
            <v>Lê Nguyễn Hoài</v>
          </cell>
          <cell r="D83" t="str">
            <v>Thương</v>
          </cell>
          <cell r="E83">
            <v>8415000</v>
          </cell>
          <cell r="F83">
            <v>2103750</v>
          </cell>
          <cell r="G83" t="str">
            <v>LNH0925ND35</v>
          </cell>
          <cell r="J83">
            <v>2103750</v>
          </cell>
          <cell r="K83" t="str">
            <v>LNH1125NE27</v>
          </cell>
          <cell r="N83">
            <v>2103750</v>
          </cell>
          <cell r="O83" t="str">
            <v>LNH0326NG01</v>
          </cell>
        </row>
        <row r="84">
          <cell r="B84" t="str">
            <v>25807700041</v>
          </cell>
          <cell r="C84" t="str">
            <v>Phan Tử Gia</v>
          </cell>
          <cell r="D84" t="str">
            <v>Khiêm</v>
          </cell>
          <cell r="E84">
            <v>4940000</v>
          </cell>
          <cell r="K84" t="str">
            <v>Level 3,4</v>
          </cell>
          <cell r="N84">
            <v>2470000</v>
          </cell>
          <cell r="O84" t="str">
            <v>LNH0326NG01</v>
          </cell>
        </row>
        <row r="85">
          <cell r="B85" t="str">
            <v>25808900095</v>
          </cell>
          <cell r="C85" t="str">
            <v>Nguyễn Hữu</v>
          </cell>
          <cell r="D85" t="str">
            <v>Phát</v>
          </cell>
          <cell r="E85">
            <v>9405000</v>
          </cell>
          <cell r="F85">
            <v>2232500</v>
          </cell>
          <cell r="G85" t="str">
            <v>LNH0925ND14</v>
          </cell>
          <cell r="J85">
            <v>2232500</v>
          </cell>
          <cell r="K85" t="str">
            <v>LNH1125NE13</v>
          </cell>
          <cell r="N85">
            <v>2470000</v>
          </cell>
          <cell r="O85" t="str">
            <v>LNH0326NG01</v>
          </cell>
        </row>
        <row r="86">
          <cell r="B86" t="str">
            <v>25807600039</v>
          </cell>
          <cell r="C86" t="str">
            <v>Bùi Hoàng Yến</v>
          </cell>
          <cell r="D86" t="str">
            <v>Nhi</v>
          </cell>
          <cell r="E86">
            <v>8415000</v>
          </cell>
          <cell r="F86">
            <v>2103750</v>
          </cell>
          <cell r="G86" t="str">
            <v>LNH0925ND03</v>
          </cell>
          <cell r="J86">
            <v>2103750</v>
          </cell>
          <cell r="K86" t="str">
            <v>LNH1125NE01</v>
          </cell>
          <cell r="N86">
            <v>2103750</v>
          </cell>
          <cell r="O86" t="str">
            <v>LNH0326NG02</v>
          </cell>
        </row>
        <row r="87">
          <cell r="B87" t="str">
            <v>25808900260</v>
          </cell>
          <cell r="C87" t="str">
            <v>Dinh Gia</v>
          </cell>
          <cell r="D87" t="str">
            <v>Bao</v>
          </cell>
          <cell r="E87">
            <v>8415000</v>
          </cell>
          <cell r="F87">
            <v>2103750</v>
          </cell>
          <cell r="G87" t="str">
            <v>LNH0925ND04</v>
          </cell>
          <cell r="N87">
            <v>2103750</v>
          </cell>
          <cell r="O87" t="str">
            <v>LNH0326NG02</v>
          </cell>
        </row>
        <row r="88">
          <cell r="B88" t="str">
            <v>25802600056</v>
          </cell>
          <cell r="C88" t="str">
            <v>Nguyễn Duy</v>
          </cell>
          <cell r="D88" t="str">
            <v>Khang</v>
          </cell>
          <cell r="E88">
            <v>8415000</v>
          </cell>
          <cell r="F88">
            <v>2103750</v>
          </cell>
          <cell r="G88" t="str">
            <v>LNH0925ND04</v>
          </cell>
          <cell r="J88">
            <v>2103750</v>
          </cell>
          <cell r="K88" t="str">
            <v>LNH1125NE10</v>
          </cell>
          <cell r="N88">
            <v>2103750</v>
          </cell>
          <cell r="O88" t="str">
            <v>LNH0326NG02</v>
          </cell>
        </row>
        <row r="89">
          <cell r="B89" t="str">
            <v>25808600087</v>
          </cell>
          <cell r="C89" t="str">
            <v>Võ Thị Tuyết</v>
          </cell>
          <cell r="D89" t="str">
            <v>Như</v>
          </cell>
          <cell r="E89">
            <v>8415000</v>
          </cell>
          <cell r="F89">
            <v>2103750</v>
          </cell>
          <cell r="G89" t="str">
            <v>LNH0925ND04</v>
          </cell>
          <cell r="J89">
            <v>2103750</v>
          </cell>
          <cell r="K89" t="str">
            <v>LNH1125NE14</v>
          </cell>
          <cell r="N89">
            <v>2103750</v>
          </cell>
          <cell r="O89" t="str">
            <v>LNH0326NG02</v>
          </cell>
        </row>
        <row r="90">
          <cell r="B90" t="str">
            <v>25806500015</v>
          </cell>
          <cell r="C90" t="str">
            <v>Đặng Tất</v>
          </cell>
          <cell r="D90" t="str">
            <v>Thắng</v>
          </cell>
          <cell r="E90">
            <v>8415000</v>
          </cell>
          <cell r="F90">
            <v>2103750</v>
          </cell>
          <cell r="G90" t="str">
            <v>LNH0925ND05</v>
          </cell>
          <cell r="K90" t="str">
            <v>Level 3,4</v>
          </cell>
          <cell r="N90">
            <v>2103750</v>
          </cell>
          <cell r="O90" t="str">
            <v>LNH0326NG02</v>
          </cell>
        </row>
        <row r="91">
          <cell r="B91" t="str">
            <v>25808600134</v>
          </cell>
          <cell r="C91" t="str">
            <v>Phạm Nguyễn Huyền</v>
          </cell>
          <cell r="D91" t="str">
            <v>Trân</v>
          </cell>
          <cell r="E91">
            <v>8415000</v>
          </cell>
          <cell r="F91">
            <v>2103750</v>
          </cell>
          <cell r="G91" t="str">
            <v>LNH0925ND05</v>
          </cell>
          <cell r="J91">
            <v>2103750</v>
          </cell>
          <cell r="K91" t="str">
            <v>LNH1125NE03</v>
          </cell>
          <cell r="N91">
            <v>2103750</v>
          </cell>
          <cell r="O91" t="str">
            <v>LNH0326NG02</v>
          </cell>
        </row>
        <row r="92">
          <cell r="B92" t="str">
            <v>25801600070</v>
          </cell>
          <cell r="C92" t="str">
            <v>Phan Thành</v>
          </cell>
          <cell r="D92" t="str">
            <v>Nhân</v>
          </cell>
          <cell r="E92">
            <v>8415000</v>
          </cell>
          <cell r="F92">
            <v>2103750</v>
          </cell>
          <cell r="G92" t="str">
            <v>LNH0925ND08</v>
          </cell>
          <cell r="J92">
            <v>2103750</v>
          </cell>
          <cell r="K92" t="str">
            <v>LNH1125NE30</v>
          </cell>
          <cell r="N92">
            <v>2103750</v>
          </cell>
          <cell r="O92" t="str">
            <v>LNH0326NG02</v>
          </cell>
        </row>
        <row r="93">
          <cell r="B93" t="str">
            <v>25802600031</v>
          </cell>
          <cell r="C93" t="str">
            <v>Nguyễn Đặng Minh</v>
          </cell>
          <cell r="D93" t="str">
            <v>Đạt</v>
          </cell>
          <cell r="E93">
            <v>8415000</v>
          </cell>
          <cell r="F93">
            <v>2103750</v>
          </cell>
          <cell r="G93" t="str">
            <v>LNH0925ND12</v>
          </cell>
          <cell r="J93">
            <v>2103750</v>
          </cell>
          <cell r="K93" t="str">
            <v>LNH1125NE11</v>
          </cell>
          <cell r="N93">
            <v>2103750</v>
          </cell>
          <cell r="O93" t="str">
            <v>LNH0326NG02</v>
          </cell>
        </row>
        <row r="94">
          <cell r="B94" t="str">
            <v>25801800072</v>
          </cell>
          <cell r="C94" t="str">
            <v>Nguyễn Ngọc Bảo</v>
          </cell>
          <cell r="D94" t="str">
            <v>Thy</v>
          </cell>
          <cell r="E94">
            <v>7065000</v>
          </cell>
          <cell r="F94">
            <v>2232500</v>
          </cell>
          <cell r="G94" t="str">
            <v>LNH0925ND13</v>
          </cell>
          <cell r="J94">
            <v>2232500</v>
          </cell>
          <cell r="K94" t="str">
            <v>LNH1125NE14</v>
          </cell>
          <cell r="N94">
            <v>2600000</v>
          </cell>
          <cell r="O94" t="str">
            <v>LNH0326NG02</v>
          </cell>
        </row>
        <row r="95">
          <cell r="B95" t="str">
            <v>25808600086</v>
          </cell>
          <cell r="C95" t="str">
            <v>Tạ Thị Tuyết</v>
          </cell>
          <cell r="D95" t="str">
            <v>Nhung</v>
          </cell>
          <cell r="E95">
            <v>8415000</v>
          </cell>
          <cell r="F95">
            <v>2103750</v>
          </cell>
          <cell r="G95" t="str">
            <v>LNH0925ND14</v>
          </cell>
          <cell r="J95">
            <v>2103750</v>
          </cell>
          <cell r="K95" t="str">
            <v>LNH1125NE03</v>
          </cell>
          <cell r="N95">
            <v>2103750</v>
          </cell>
          <cell r="O95" t="str">
            <v>LNH0326NG02</v>
          </cell>
        </row>
        <row r="96">
          <cell r="B96" t="str">
            <v>25820300038</v>
          </cell>
          <cell r="C96" t="str">
            <v>Trần Duy</v>
          </cell>
          <cell r="D96" t="str">
            <v>Nguyên</v>
          </cell>
          <cell r="E96">
            <v>8415000</v>
          </cell>
          <cell r="F96">
            <v>2103750</v>
          </cell>
          <cell r="G96" t="str">
            <v>LNH0925ND15</v>
          </cell>
          <cell r="J96">
            <v>2103750</v>
          </cell>
          <cell r="K96" t="str">
            <v>LNH1125NE05</v>
          </cell>
          <cell r="N96">
            <v>2103750</v>
          </cell>
          <cell r="O96" t="str">
            <v>LNH0326NG02</v>
          </cell>
        </row>
        <row r="97">
          <cell r="B97" t="str">
            <v>25807800050</v>
          </cell>
          <cell r="C97" t="str">
            <v>Võ Lương Nhật</v>
          </cell>
          <cell r="D97" t="str">
            <v>Hoàng</v>
          </cell>
          <cell r="E97">
            <v>8415000</v>
          </cell>
          <cell r="F97">
            <v>2103750</v>
          </cell>
          <cell r="G97" t="str">
            <v>LNH0925ND23</v>
          </cell>
          <cell r="J97">
            <v>2103750</v>
          </cell>
          <cell r="K97" t="str">
            <v>LNH1125NE03</v>
          </cell>
          <cell r="N97">
            <v>2103750</v>
          </cell>
          <cell r="O97" t="str">
            <v>LNH0326NG02</v>
          </cell>
        </row>
        <row r="98">
          <cell r="B98" t="str">
            <v>25800500012</v>
          </cell>
          <cell r="C98" t="str">
            <v>Dương Gia</v>
          </cell>
          <cell r="D98" t="str">
            <v>Bảo</v>
          </cell>
          <cell r="E98">
            <v>8415000</v>
          </cell>
          <cell r="F98">
            <v>2103750</v>
          </cell>
          <cell r="G98" t="str">
            <v>LNH0925ND33</v>
          </cell>
          <cell r="J98">
            <v>2103750</v>
          </cell>
          <cell r="K98" t="str">
            <v>LNH1125NE30</v>
          </cell>
          <cell r="N98">
            <v>2103750</v>
          </cell>
          <cell r="O98" t="str">
            <v>LNH0326NG02</v>
          </cell>
        </row>
        <row r="99">
          <cell r="B99" t="str">
            <v>25802800245</v>
          </cell>
          <cell r="C99" t="str">
            <v>Trần Anh</v>
          </cell>
          <cell r="D99" t="str">
            <v>Thi</v>
          </cell>
          <cell r="E99">
            <v>7540000</v>
          </cell>
          <cell r="J99">
            <v>2600000</v>
          </cell>
          <cell r="K99" t="str">
            <v>LNH1125NE04</v>
          </cell>
          <cell r="N99">
            <v>2470000</v>
          </cell>
          <cell r="O99" t="str">
            <v>LNH0326NG02</v>
          </cell>
        </row>
        <row r="100">
          <cell r="B100" t="str">
            <v>25820500009</v>
          </cell>
          <cell r="C100" t="str">
            <v>Huỳnh Uyển</v>
          </cell>
          <cell r="D100" t="str">
            <v>My</v>
          </cell>
          <cell r="E100">
            <v>7540000</v>
          </cell>
          <cell r="J100">
            <v>2600000</v>
          </cell>
          <cell r="K100" t="str">
            <v>LNH1125NE04</v>
          </cell>
          <cell r="N100">
            <v>2470000</v>
          </cell>
          <cell r="O100" t="str">
            <v>LNH0326NG02</v>
          </cell>
        </row>
        <row r="101">
          <cell r="B101" t="str">
            <v>25806300036</v>
          </cell>
          <cell r="C101" t="str">
            <v>Huỳnh Minh</v>
          </cell>
          <cell r="D101" t="str">
            <v>Trí</v>
          </cell>
          <cell r="E101">
            <v>4940000</v>
          </cell>
          <cell r="K101" t="str">
            <v>Level 3,4</v>
          </cell>
          <cell r="N101">
            <v>2470000</v>
          </cell>
          <cell r="O101" t="str">
            <v>LNH0326NG02</v>
          </cell>
        </row>
        <row r="102">
          <cell r="B102" t="str">
            <v>25807000027</v>
          </cell>
          <cell r="C102" t="str">
            <v>Hồ Kiều</v>
          </cell>
          <cell r="D102" t="str">
            <v>Trang</v>
          </cell>
          <cell r="E102">
            <v>4940000</v>
          </cell>
          <cell r="K102" t="str">
            <v>Level 3,4</v>
          </cell>
          <cell r="N102">
            <v>2470000</v>
          </cell>
          <cell r="O102" t="str">
            <v>LNH0326NG02</v>
          </cell>
        </row>
        <row r="103">
          <cell r="B103" t="str">
            <v>25802800070</v>
          </cell>
          <cell r="C103" t="str">
            <v>Lê Thị Thu</v>
          </cell>
          <cell r="D103" t="str">
            <v>Hiền</v>
          </cell>
          <cell r="E103">
            <v>8415000</v>
          </cell>
          <cell r="F103">
            <v>2103750</v>
          </cell>
          <cell r="G103" t="str">
            <v>LNH0925ND01</v>
          </cell>
          <cell r="J103">
            <v>2103750</v>
          </cell>
          <cell r="K103" t="str">
            <v>LNH1125NE08</v>
          </cell>
          <cell r="N103">
            <v>2103750</v>
          </cell>
          <cell r="O103" t="str">
            <v>LNH0326NG03</v>
          </cell>
        </row>
        <row r="104">
          <cell r="B104" t="str">
            <v>25809600050</v>
          </cell>
          <cell r="C104" t="str">
            <v>Nguyễn Hoàng Bảo</v>
          </cell>
          <cell r="D104" t="str">
            <v>Phúc</v>
          </cell>
          <cell r="E104">
            <v>8415000</v>
          </cell>
          <cell r="F104">
            <v>2103750</v>
          </cell>
          <cell r="G104" t="str">
            <v>LNH0925ND01</v>
          </cell>
          <cell r="J104">
            <v>2103750</v>
          </cell>
          <cell r="K104" t="str">
            <v>LNH1125NE03</v>
          </cell>
          <cell r="N104">
            <v>2103750</v>
          </cell>
          <cell r="O104" t="str">
            <v>LNH0326NG03</v>
          </cell>
        </row>
        <row r="105">
          <cell r="B105" t="str">
            <v>25802800087</v>
          </cell>
          <cell r="C105" t="str">
            <v>Hướng Huỳnh Gia</v>
          </cell>
          <cell r="D105" t="str">
            <v>Huy</v>
          </cell>
          <cell r="E105">
            <v>8415000</v>
          </cell>
          <cell r="F105">
            <v>2103750</v>
          </cell>
          <cell r="G105" t="str">
            <v>LNH0925ND02</v>
          </cell>
          <cell r="J105">
            <v>2103750</v>
          </cell>
          <cell r="K105" t="str">
            <v>LNH1125NE04</v>
          </cell>
          <cell r="N105">
            <v>2103750</v>
          </cell>
          <cell r="O105" t="str">
            <v>LNH0326NG03</v>
          </cell>
        </row>
        <row r="106">
          <cell r="B106" t="str">
            <v>25808600084</v>
          </cell>
          <cell r="C106" t="str">
            <v>Lý Thị Tuyết</v>
          </cell>
          <cell r="D106" t="str">
            <v>Nhung</v>
          </cell>
          <cell r="E106">
            <v>8415000</v>
          </cell>
          <cell r="F106">
            <v>2103750</v>
          </cell>
          <cell r="G106" t="str">
            <v>LNH0925ND02</v>
          </cell>
          <cell r="N106">
            <v>2103750</v>
          </cell>
          <cell r="O106" t="str">
            <v>LNH0326NG03</v>
          </cell>
        </row>
        <row r="107">
          <cell r="B107" t="str">
            <v>25808600150</v>
          </cell>
          <cell r="C107" t="str">
            <v>Nguyễn Thị Ngọc</v>
          </cell>
          <cell r="D107" t="str">
            <v>Vi</v>
          </cell>
          <cell r="E107">
            <v>8415000</v>
          </cell>
          <cell r="F107">
            <v>2103750</v>
          </cell>
          <cell r="G107" t="str">
            <v>LNH0925ND02</v>
          </cell>
          <cell r="J107">
            <v>2103750</v>
          </cell>
          <cell r="K107" t="str">
            <v>LNH1125NE14</v>
          </cell>
          <cell r="N107">
            <v>2103750</v>
          </cell>
          <cell r="O107" t="str">
            <v>LNH0326NG03</v>
          </cell>
        </row>
        <row r="108">
          <cell r="B108" t="str">
            <v>25808600014</v>
          </cell>
          <cell r="C108" t="str">
            <v>Chen Chien</v>
          </cell>
          <cell r="D108" t="str">
            <v>Chih</v>
          </cell>
          <cell r="E108">
            <v>8415000</v>
          </cell>
          <cell r="F108">
            <v>2103750</v>
          </cell>
          <cell r="G108" t="str">
            <v>LNH0925ND04</v>
          </cell>
          <cell r="J108">
            <v>2103750</v>
          </cell>
          <cell r="K108" t="str">
            <v>LNH1125NE04</v>
          </cell>
          <cell r="N108">
            <v>2103750</v>
          </cell>
          <cell r="O108" t="str">
            <v>LNH0326NG03</v>
          </cell>
        </row>
        <row r="109">
          <cell r="B109" t="str">
            <v>25802800114</v>
          </cell>
          <cell r="C109" t="str">
            <v>Vũ Bùi Đăng</v>
          </cell>
          <cell r="D109" t="str">
            <v>Khoa</v>
          </cell>
          <cell r="E109">
            <v>8415000</v>
          </cell>
          <cell r="F109">
            <v>2103750</v>
          </cell>
          <cell r="G109" t="str">
            <v>LNH0925ND05</v>
          </cell>
          <cell r="J109">
            <v>2103750</v>
          </cell>
          <cell r="K109" t="str">
            <v>LNH1125NE04</v>
          </cell>
          <cell r="N109">
            <v>2103750</v>
          </cell>
          <cell r="O109" t="str">
            <v>LNH0326NG03</v>
          </cell>
        </row>
        <row r="110">
          <cell r="B110" t="str">
            <v>25808600051</v>
          </cell>
          <cell r="C110" t="str">
            <v>Mã Thị</v>
          </cell>
          <cell r="D110" t="str">
            <v>Liên</v>
          </cell>
          <cell r="E110">
            <v>8415000</v>
          </cell>
          <cell r="F110">
            <v>2103750</v>
          </cell>
          <cell r="G110" t="str">
            <v>LNH0925ND05</v>
          </cell>
          <cell r="J110">
            <v>2103750</v>
          </cell>
          <cell r="K110" t="str">
            <v>LNH1125NE11</v>
          </cell>
          <cell r="N110">
            <v>2103750</v>
          </cell>
          <cell r="O110" t="str">
            <v>LNH0326NG03</v>
          </cell>
        </row>
        <row r="111">
          <cell r="B111" t="str">
            <v>25808900047</v>
          </cell>
          <cell r="C111" t="str">
            <v>Nguyễn Kim</v>
          </cell>
          <cell r="D111" t="str">
            <v>Huy</v>
          </cell>
          <cell r="E111">
            <v>8415000</v>
          </cell>
          <cell r="F111">
            <v>2103750</v>
          </cell>
          <cell r="G111" t="str">
            <v>LNH0925ND05</v>
          </cell>
          <cell r="J111">
            <v>2103750</v>
          </cell>
          <cell r="K111" t="str">
            <v>LNH1125NE03</v>
          </cell>
          <cell r="N111">
            <v>2103750</v>
          </cell>
          <cell r="O111" t="str">
            <v>LNH0326NG03</v>
          </cell>
        </row>
        <row r="112">
          <cell r="B112" t="str">
            <v>25802800107</v>
          </cell>
          <cell r="C112" t="str">
            <v>Trần Vĩnh</v>
          </cell>
          <cell r="D112" t="str">
            <v>Khang</v>
          </cell>
          <cell r="E112">
            <v>9405000</v>
          </cell>
          <cell r="F112">
            <v>2232500</v>
          </cell>
          <cell r="G112" t="str">
            <v>LNH0925ND07</v>
          </cell>
          <cell r="J112">
            <v>2232500</v>
          </cell>
          <cell r="K112" t="str">
            <v>LNH1125NE05</v>
          </cell>
          <cell r="N112">
            <v>2470000</v>
          </cell>
          <cell r="O112" t="str">
            <v>LNH0326NG03</v>
          </cell>
        </row>
        <row r="113">
          <cell r="B113" t="str">
            <v>25802300306</v>
          </cell>
          <cell r="C113" t="str">
            <v>Lê Ngọc Kiều</v>
          </cell>
          <cell r="D113" t="str">
            <v>Vy</v>
          </cell>
          <cell r="E113">
            <v>8415000</v>
          </cell>
          <cell r="F113">
            <v>2103750</v>
          </cell>
          <cell r="G113" t="str">
            <v>LNH0925ND12</v>
          </cell>
          <cell r="J113">
            <v>2103750</v>
          </cell>
          <cell r="K113" t="str">
            <v>LNH1125NE10</v>
          </cell>
          <cell r="N113">
            <v>2103750</v>
          </cell>
          <cell r="O113" t="str">
            <v>LNH0326NG03</v>
          </cell>
        </row>
        <row r="114">
          <cell r="B114" t="str">
            <v>25802800140</v>
          </cell>
          <cell r="C114" t="str">
            <v>Giang Hoàng Đại</v>
          </cell>
          <cell r="D114" t="str">
            <v>Lợi</v>
          </cell>
          <cell r="E114">
            <v>8415000</v>
          </cell>
          <cell r="F114">
            <v>2103750</v>
          </cell>
          <cell r="G114" t="str">
            <v>LNH0925ND14</v>
          </cell>
          <cell r="J114">
            <v>2103750</v>
          </cell>
          <cell r="K114" t="str">
            <v>LNH1125NE03</v>
          </cell>
          <cell r="N114">
            <v>2103750</v>
          </cell>
          <cell r="O114" t="str">
            <v>LNH0326NG03</v>
          </cell>
        </row>
        <row r="115">
          <cell r="B115" t="str">
            <v>25808600027</v>
          </cell>
          <cell r="C115" t="str">
            <v>Lê Thu Hải</v>
          </cell>
          <cell r="D115" t="str">
            <v>Hà</v>
          </cell>
          <cell r="E115">
            <v>7540000</v>
          </cell>
          <cell r="J115">
            <v>2600000</v>
          </cell>
          <cell r="K115" t="str">
            <v>LNH1125NE15</v>
          </cell>
          <cell r="N115">
            <v>2470000</v>
          </cell>
          <cell r="O115" t="str">
            <v>LNH0326NG03</v>
          </cell>
        </row>
        <row r="116">
          <cell r="B116" t="str">
            <v>25802400007</v>
          </cell>
          <cell r="C116" t="str">
            <v>Lê Gia</v>
          </cell>
          <cell r="D116" t="str">
            <v>Hân</v>
          </cell>
          <cell r="E116">
            <v>4940000</v>
          </cell>
          <cell r="K116" t="str">
            <v>Level 3,4</v>
          </cell>
          <cell r="N116">
            <v>2470000</v>
          </cell>
          <cell r="O116" t="str">
            <v>LNH0326NG03</v>
          </cell>
        </row>
        <row r="117">
          <cell r="B117" t="str">
            <v>25802800120</v>
          </cell>
          <cell r="C117" t="str">
            <v>Dương Gia</v>
          </cell>
          <cell r="D117" t="str">
            <v>Kiệt</v>
          </cell>
          <cell r="E117">
            <v>4940000</v>
          </cell>
          <cell r="K117" t="str">
            <v>Level 3,4</v>
          </cell>
          <cell r="N117">
            <v>2470000</v>
          </cell>
          <cell r="O117" t="str">
            <v>LNH0326NG03</v>
          </cell>
        </row>
        <row r="118">
          <cell r="B118" t="str">
            <v>25801800033</v>
          </cell>
          <cell r="C118" t="str">
            <v>Đoàn Đắc</v>
          </cell>
          <cell r="D118" t="str">
            <v>Mạnh</v>
          </cell>
          <cell r="E118">
            <v>4465000</v>
          </cell>
          <cell r="J118">
            <v>2232500</v>
          </cell>
          <cell r="K118" t="str">
            <v>LNH1125NE23</v>
          </cell>
          <cell r="N118">
            <v>2232500</v>
          </cell>
          <cell r="O118" t="str">
            <v>LNH0326NG03</v>
          </cell>
        </row>
        <row r="119">
          <cell r="B119" t="str">
            <v>25802300124</v>
          </cell>
          <cell r="C119" t="str">
            <v>Nguyễn Thùy</v>
          </cell>
          <cell r="D119" t="str">
            <v>Linh</v>
          </cell>
          <cell r="E119">
            <v>4200000</v>
          </cell>
          <cell r="J119">
            <v>1600000</v>
          </cell>
          <cell r="K119" t="str">
            <v>LNH1125NO01</v>
          </cell>
          <cell r="N119">
            <v>2600000</v>
          </cell>
          <cell r="O119" t="str">
            <v>LNH0326NG03</v>
          </cell>
        </row>
        <row r="120">
          <cell r="B120" t="str">
            <v>25809600060</v>
          </cell>
          <cell r="C120" t="str">
            <v>Đỗ Đức</v>
          </cell>
          <cell r="D120" t="str">
            <v>Tài</v>
          </cell>
          <cell r="E120">
            <v>8415000</v>
          </cell>
          <cell r="J120">
            <v>2103750</v>
          </cell>
          <cell r="K120" t="str">
            <v>LNH1125NE03</v>
          </cell>
          <cell r="N120">
            <v>2103750</v>
          </cell>
          <cell r="O120" t="str">
            <v>LNH0326NG03</v>
          </cell>
        </row>
        <row r="121">
          <cell r="B121" t="str">
            <v>25802800379</v>
          </cell>
          <cell r="C121" t="str">
            <v>Nguyen Thien</v>
          </cell>
          <cell r="D121" t="str">
            <v>Phuc</v>
          </cell>
          <cell r="E121">
            <v>8415000</v>
          </cell>
          <cell r="F121">
            <v>2103750</v>
          </cell>
          <cell r="G121" t="str">
            <v>LNH0925ND01</v>
          </cell>
          <cell r="J121">
            <v>2103750</v>
          </cell>
          <cell r="K121" t="str">
            <v>LNH1125NE02</v>
          </cell>
          <cell r="N121">
            <v>2103750</v>
          </cell>
          <cell r="O121" t="str">
            <v>LNH0326NG04</v>
          </cell>
        </row>
        <row r="122">
          <cell r="B122" t="str">
            <v>25801700102</v>
          </cell>
          <cell r="C122" t="str">
            <v>Trần Ngọc</v>
          </cell>
          <cell r="D122" t="str">
            <v>Linh</v>
          </cell>
          <cell r="E122">
            <v>8415000</v>
          </cell>
          <cell r="F122">
            <v>2103750</v>
          </cell>
          <cell r="G122" t="str">
            <v>LNH0925ND02</v>
          </cell>
          <cell r="J122">
            <v>2103750</v>
          </cell>
          <cell r="K122" t="str">
            <v>LNH1125NE02</v>
          </cell>
          <cell r="N122">
            <v>2103750</v>
          </cell>
          <cell r="O122" t="str">
            <v>LNH0326NG04</v>
          </cell>
        </row>
        <row r="123">
          <cell r="B123" t="str">
            <v>25808600253</v>
          </cell>
          <cell r="C123" t="str">
            <v>Trần Thị Kim</v>
          </cell>
          <cell r="D123" t="str">
            <v>Ngân</v>
          </cell>
          <cell r="E123">
            <v>8415000</v>
          </cell>
          <cell r="F123">
            <v>2103750</v>
          </cell>
          <cell r="G123" t="str">
            <v>LNH0925ND05</v>
          </cell>
          <cell r="J123">
            <v>2103750</v>
          </cell>
          <cell r="K123" t="str">
            <v>LNH1125NE06</v>
          </cell>
          <cell r="N123">
            <v>2103750</v>
          </cell>
          <cell r="O123" t="str">
            <v>LNH0326NG04</v>
          </cell>
        </row>
        <row r="124">
          <cell r="B124" t="str">
            <v>25801100017</v>
          </cell>
          <cell r="C124" t="str">
            <v>Huỳnh Trung</v>
          </cell>
          <cell r="D124" t="str">
            <v>Hậu</v>
          </cell>
          <cell r="E124">
            <v>8415000</v>
          </cell>
          <cell r="F124">
            <v>2103750</v>
          </cell>
          <cell r="G124" t="str">
            <v>LNH0925ND06</v>
          </cell>
          <cell r="J124">
            <v>2103750</v>
          </cell>
          <cell r="K124" t="str">
            <v>LNH1125NE04</v>
          </cell>
          <cell r="N124">
            <v>2103750</v>
          </cell>
          <cell r="O124" t="str">
            <v>LNH0326NG04</v>
          </cell>
        </row>
        <row r="125">
          <cell r="B125" t="str">
            <v>25802600089</v>
          </cell>
          <cell r="C125" t="str">
            <v>Đặng Kim Phương</v>
          </cell>
          <cell r="D125" t="str">
            <v>Nghi</v>
          </cell>
          <cell r="E125">
            <v>8415000</v>
          </cell>
          <cell r="F125">
            <v>2103750</v>
          </cell>
          <cell r="G125" t="str">
            <v>LNH0925ND06</v>
          </cell>
          <cell r="J125">
            <v>2103750</v>
          </cell>
          <cell r="K125" t="str">
            <v>LNH1125NE08</v>
          </cell>
          <cell r="N125">
            <v>2103750</v>
          </cell>
          <cell r="O125" t="str">
            <v>LNH0326NG04</v>
          </cell>
        </row>
        <row r="126">
          <cell r="B126" t="str">
            <v>25802800274</v>
          </cell>
          <cell r="C126" t="str">
            <v>Lê Hoàng Bảo</v>
          </cell>
          <cell r="D126" t="str">
            <v>Trân</v>
          </cell>
          <cell r="E126">
            <v>8415000</v>
          </cell>
          <cell r="F126">
            <v>2103750</v>
          </cell>
          <cell r="G126" t="str">
            <v>LNH0925ND06</v>
          </cell>
          <cell r="J126">
            <v>2103750</v>
          </cell>
          <cell r="K126" t="str">
            <v>LNH1125NE04</v>
          </cell>
          <cell r="N126">
            <v>2103750</v>
          </cell>
          <cell r="O126" t="str">
            <v>LNH0326NG04</v>
          </cell>
        </row>
        <row r="127">
          <cell r="B127" t="str">
            <v>25805800005</v>
          </cell>
          <cell r="C127" t="str">
            <v>Nguyễn Khoa Tuyết</v>
          </cell>
          <cell r="D127" t="str">
            <v>Chi</v>
          </cell>
          <cell r="E127">
            <v>8415000</v>
          </cell>
          <cell r="F127">
            <v>2103750</v>
          </cell>
          <cell r="G127" t="str">
            <v>LNH0925ND06</v>
          </cell>
          <cell r="J127">
            <v>2103750</v>
          </cell>
          <cell r="K127" t="str">
            <v>LNH1125NE08</v>
          </cell>
          <cell r="N127">
            <v>2103750</v>
          </cell>
          <cell r="O127" t="str">
            <v>LNH0326NG04</v>
          </cell>
        </row>
        <row r="128">
          <cell r="B128" t="str">
            <v>25805800015</v>
          </cell>
          <cell r="C128" t="str">
            <v>Lương Tấn</v>
          </cell>
          <cell r="D128" t="str">
            <v>Khoa</v>
          </cell>
          <cell r="E128">
            <v>8415000</v>
          </cell>
          <cell r="F128">
            <v>2103750</v>
          </cell>
          <cell r="G128" t="str">
            <v>LNH0925ND06</v>
          </cell>
          <cell r="J128">
            <v>2103750</v>
          </cell>
          <cell r="K128" t="str">
            <v>LNH1125NE08</v>
          </cell>
          <cell r="N128">
            <v>2103750</v>
          </cell>
          <cell r="O128" t="str">
            <v>LNH0326NG04</v>
          </cell>
        </row>
        <row r="129">
          <cell r="B129" t="str">
            <v>25801400608</v>
          </cell>
          <cell r="C129" t="str">
            <v>Trần Minh</v>
          </cell>
          <cell r="D129" t="str">
            <v>Thành</v>
          </cell>
          <cell r="E129">
            <v>8415000</v>
          </cell>
          <cell r="F129">
            <v>2103750</v>
          </cell>
          <cell r="G129" t="str">
            <v>LNH0925ND08</v>
          </cell>
          <cell r="J129">
            <v>2103750</v>
          </cell>
          <cell r="K129" t="str">
            <v>LNH1125NE06</v>
          </cell>
          <cell r="N129">
            <v>2103750</v>
          </cell>
          <cell r="O129" t="str">
            <v>LNH0326NG04</v>
          </cell>
        </row>
        <row r="130">
          <cell r="B130" t="str">
            <v>25802400025</v>
          </cell>
          <cell r="C130" t="str">
            <v>Ngô Bùi Nhật</v>
          </cell>
          <cell r="D130" t="str">
            <v>Tâm</v>
          </cell>
          <cell r="E130">
            <v>8415000</v>
          </cell>
          <cell r="F130">
            <v>2103750</v>
          </cell>
          <cell r="G130" t="str">
            <v>LNH0925ND08</v>
          </cell>
          <cell r="J130">
            <v>2103750</v>
          </cell>
          <cell r="K130" t="str">
            <v>LNH1125NE06</v>
          </cell>
          <cell r="N130">
            <v>2103750</v>
          </cell>
          <cell r="O130" t="str">
            <v>LNH0326NG04</v>
          </cell>
        </row>
        <row r="131">
          <cell r="B131" t="str">
            <v>25801500098</v>
          </cell>
          <cell r="C131" t="str">
            <v>Nguyễn Đặng Minh</v>
          </cell>
          <cell r="D131" t="str">
            <v>Trí</v>
          </cell>
          <cell r="E131">
            <v>8415000</v>
          </cell>
          <cell r="F131">
            <v>2103750</v>
          </cell>
          <cell r="G131" t="str">
            <v>LNH0925ND09</v>
          </cell>
          <cell r="J131">
            <v>2103750</v>
          </cell>
          <cell r="K131" t="str">
            <v>LNH1125NE03</v>
          </cell>
          <cell r="N131">
            <v>2103750</v>
          </cell>
          <cell r="O131" t="str">
            <v>LNH0326NG04</v>
          </cell>
        </row>
        <row r="132">
          <cell r="B132" t="str">
            <v>25808500042</v>
          </cell>
          <cell r="C132" t="str">
            <v>Trần Chí</v>
          </cell>
          <cell r="D132" t="str">
            <v>Cường</v>
          </cell>
          <cell r="E132">
            <v>8415000</v>
          </cell>
          <cell r="F132">
            <v>2103750</v>
          </cell>
          <cell r="G132" t="str">
            <v>LNH0925ND12</v>
          </cell>
          <cell r="J132">
            <v>2103750</v>
          </cell>
          <cell r="K132" t="str">
            <v>LNH1125NE13</v>
          </cell>
          <cell r="N132">
            <v>2103750</v>
          </cell>
          <cell r="O132" t="str">
            <v>LNH0326NG04</v>
          </cell>
        </row>
        <row r="133">
          <cell r="B133" t="str">
            <v>25809300003</v>
          </cell>
          <cell r="C133" t="str">
            <v>Nguyễn Đắc</v>
          </cell>
          <cell r="D133" t="str">
            <v>Tài</v>
          </cell>
          <cell r="E133">
            <v>8415000</v>
          </cell>
          <cell r="F133">
            <v>2103750</v>
          </cell>
          <cell r="G133" t="str">
            <v>LNH0925ND12</v>
          </cell>
          <cell r="N133">
            <v>2103750</v>
          </cell>
          <cell r="O133" t="str">
            <v>LNH0326NG04</v>
          </cell>
        </row>
        <row r="134">
          <cell r="B134" t="str">
            <v>25802300384</v>
          </cell>
          <cell r="C134" t="str">
            <v>Mai Thien</v>
          </cell>
          <cell r="D134" t="str">
            <v>Tan</v>
          </cell>
          <cell r="E134">
            <v>8415000</v>
          </cell>
          <cell r="F134">
            <v>2103750</v>
          </cell>
          <cell r="G134" t="str">
            <v>LNH0925ND15</v>
          </cell>
          <cell r="J134">
            <v>2103750</v>
          </cell>
          <cell r="K134" t="str">
            <v>LNH1125NE13</v>
          </cell>
          <cell r="N134">
            <v>2103750</v>
          </cell>
          <cell r="O134" t="str">
            <v>LNH0326NG04</v>
          </cell>
        </row>
        <row r="135">
          <cell r="B135" t="str">
            <v>25806800047</v>
          </cell>
          <cell r="C135" t="str">
            <v>Hồng Phước</v>
          </cell>
          <cell r="D135" t="str">
            <v>Nghĩa</v>
          </cell>
          <cell r="E135">
            <v>8415000</v>
          </cell>
          <cell r="F135">
            <v>2103750</v>
          </cell>
          <cell r="G135" t="str">
            <v>LNH0925ND17</v>
          </cell>
          <cell r="J135">
            <v>2103750</v>
          </cell>
          <cell r="K135" t="str">
            <v>LNH1125NE13</v>
          </cell>
          <cell r="N135">
            <v>2103750</v>
          </cell>
          <cell r="O135" t="str">
            <v>LNH0326NG04</v>
          </cell>
        </row>
        <row r="136">
          <cell r="B136" t="str">
            <v>25809600015</v>
          </cell>
          <cell r="C136" t="str">
            <v>Lê Duy Hải</v>
          </cell>
          <cell r="D136" t="str">
            <v>Đăng</v>
          </cell>
          <cell r="E136">
            <v>8415000</v>
          </cell>
          <cell r="N136">
            <v>2103750</v>
          </cell>
          <cell r="O136" t="str">
            <v>LNH0326NG04</v>
          </cell>
        </row>
        <row r="137">
          <cell r="B137" t="str">
            <v>25805800017</v>
          </cell>
          <cell r="C137" t="str">
            <v xml:space="preserve">Đặng Hoàng </v>
          </cell>
          <cell r="D137" t="str">
            <v xml:space="preserve"> Khôi</v>
          </cell>
          <cell r="E137">
            <v>7540000</v>
          </cell>
          <cell r="J137">
            <v>2600000</v>
          </cell>
          <cell r="K137" t="str">
            <v>LNH1125NE14</v>
          </cell>
          <cell r="N137">
            <v>2470000</v>
          </cell>
          <cell r="O137" t="str">
            <v>LNH0326NG04</v>
          </cell>
        </row>
        <row r="138">
          <cell r="B138" t="str">
            <v>25802100030</v>
          </cell>
          <cell r="C138" t="str">
            <v>Châu Lê Thuận</v>
          </cell>
          <cell r="D138" t="str">
            <v>Phát</v>
          </cell>
          <cell r="E138">
            <v>8415000</v>
          </cell>
          <cell r="F138">
            <v>2103750</v>
          </cell>
          <cell r="G138" t="str">
            <v>LNH0925ND07</v>
          </cell>
          <cell r="J138">
            <v>2103750</v>
          </cell>
          <cell r="K138" t="str">
            <v>LNH1125NE05</v>
          </cell>
          <cell r="N138">
            <v>2103750</v>
          </cell>
          <cell r="O138" t="str">
            <v>LNH0326NG05</v>
          </cell>
        </row>
        <row r="139">
          <cell r="B139" t="str">
            <v>25801400451</v>
          </cell>
          <cell r="C139" t="str">
            <v>Nguyễn Thành</v>
          </cell>
          <cell r="D139" t="str">
            <v>Tài</v>
          </cell>
          <cell r="E139">
            <v>8415000</v>
          </cell>
          <cell r="F139">
            <v>2103750</v>
          </cell>
          <cell r="G139" t="str">
            <v>LNH0925ND08</v>
          </cell>
          <cell r="J139">
            <v>2103750</v>
          </cell>
          <cell r="K139" t="str">
            <v>LNH1125NE06</v>
          </cell>
          <cell r="N139">
            <v>2103750</v>
          </cell>
          <cell r="O139" t="str">
            <v>LNH0326NG05</v>
          </cell>
        </row>
        <row r="140">
          <cell r="B140" t="str">
            <v>25805900064</v>
          </cell>
          <cell r="C140" t="str">
            <v>Trần Ngọc Hoàng</v>
          </cell>
          <cell r="D140" t="str">
            <v>Uyên</v>
          </cell>
          <cell r="E140">
            <v>8415000</v>
          </cell>
          <cell r="F140">
            <v>2103750</v>
          </cell>
          <cell r="G140" t="str">
            <v>LNH0925ND08</v>
          </cell>
          <cell r="J140">
            <v>2103750</v>
          </cell>
          <cell r="K140" t="str">
            <v>LNH1125NE08</v>
          </cell>
          <cell r="N140">
            <v>2103750</v>
          </cell>
          <cell r="O140" t="str">
            <v>LNH0326NG05</v>
          </cell>
        </row>
        <row r="141">
          <cell r="B141" t="str">
            <v>25808300049</v>
          </cell>
          <cell r="C141" t="str">
            <v>Nguyen Thi Anh</v>
          </cell>
          <cell r="D141" t="str">
            <v>Thu</v>
          </cell>
          <cell r="E141">
            <v>8415000</v>
          </cell>
          <cell r="F141">
            <v>2103750</v>
          </cell>
          <cell r="G141" t="str">
            <v>LNH0925ND08</v>
          </cell>
          <cell r="J141">
            <v>2103750</v>
          </cell>
          <cell r="K141" t="str">
            <v>LNH1125NE06</v>
          </cell>
          <cell r="N141">
            <v>2103750</v>
          </cell>
          <cell r="O141" t="str">
            <v>LNH0326NG05</v>
          </cell>
        </row>
        <row r="142">
          <cell r="B142" t="str">
            <v>25820500002</v>
          </cell>
          <cell r="C142" t="str">
            <v>Đặng Quốc</v>
          </cell>
          <cell r="D142" t="str">
            <v>Bảo</v>
          </cell>
          <cell r="E142">
            <v>8415000</v>
          </cell>
          <cell r="F142">
            <v>2103750</v>
          </cell>
          <cell r="G142" t="str">
            <v>LNH0925ND09</v>
          </cell>
          <cell r="J142">
            <v>2103750</v>
          </cell>
          <cell r="K142" t="str">
            <v>LNH1125NE09</v>
          </cell>
          <cell r="N142">
            <v>2103750</v>
          </cell>
          <cell r="O142" t="str">
            <v>LNH0326NG05</v>
          </cell>
        </row>
        <row r="143">
          <cell r="B143" t="str">
            <v>25820500001</v>
          </cell>
          <cell r="C143" t="str">
            <v>Bùi Duy</v>
          </cell>
          <cell r="D143" t="str">
            <v>Bảo</v>
          </cell>
          <cell r="E143">
            <v>8415000</v>
          </cell>
          <cell r="F143">
            <v>2103750</v>
          </cell>
          <cell r="G143" t="str">
            <v>LNH0925ND10</v>
          </cell>
          <cell r="J143">
            <v>2103750</v>
          </cell>
          <cell r="K143" t="str">
            <v>LNH1125NE06</v>
          </cell>
          <cell r="N143">
            <v>2103750</v>
          </cell>
          <cell r="O143" t="str">
            <v>LNH0326NG05</v>
          </cell>
        </row>
        <row r="144">
          <cell r="B144" t="str">
            <v>25805900003</v>
          </cell>
          <cell r="C144" t="str">
            <v>Đinh Thị Ngọc</v>
          </cell>
          <cell r="D144" t="str">
            <v>Ánh</v>
          </cell>
          <cell r="E144">
            <v>8415000</v>
          </cell>
          <cell r="F144">
            <v>2103750</v>
          </cell>
          <cell r="G144" t="str">
            <v>LNH0925ND11</v>
          </cell>
          <cell r="N144">
            <v>2103750</v>
          </cell>
          <cell r="O144" t="str">
            <v>LNH0326NG05</v>
          </cell>
        </row>
        <row r="145">
          <cell r="B145" t="str">
            <v>25808600039</v>
          </cell>
          <cell r="C145" t="str">
            <v>Đinh Nguyễn Nhựt</v>
          </cell>
          <cell r="D145" t="str">
            <v>Huy</v>
          </cell>
          <cell r="E145">
            <v>8415000</v>
          </cell>
          <cell r="F145">
            <v>2103750</v>
          </cell>
          <cell r="G145" t="str">
            <v>LNH0925ND13</v>
          </cell>
          <cell r="J145">
            <v>2103750</v>
          </cell>
          <cell r="K145" t="str">
            <v>LNH1125NE08</v>
          </cell>
          <cell r="N145">
            <v>2103750</v>
          </cell>
          <cell r="O145" t="str">
            <v>LNH0326NG05</v>
          </cell>
        </row>
        <row r="146">
          <cell r="B146" t="str">
            <v>25805900036</v>
          </cell>
          <cell r="C146" t="str">
            <v>Bùi Huỳnh</v>
          </cell>
          <cell r="D146" t="str">
            <v>Quyên</v>
          </cell>
          <cell r="E146">
            <v>8415000</v>
          </cell>
          <cell r="F146">
            <v>2103750</v>
          </cell>
          <cell r="G146" t="str">
            <v>LNH0925ND16</v>
          </cell>
          <cell r="J146">
            <v>2103750</v>
          </cell>
          <cell r="K146" t="str">
            <v>LNH1125NE14</v>
          </cell>
          <cell r="N146">
            <v>2103750</v>
          </cell>
          <cell r="O146" t="str">
            <v>LNH0326NG05</v>
          </cell>
        </row>
        <row r="147">
          <cell r="B147" t="str">
            <v>25806800040</v>
          </cell>
          <cell r="C147" t="str">
            <v>Phan Nguyễn Trà</v>
          </cell>
          <cell r="D147" t="str">
            <v>My</v>
          </cell>
          <cell r="E147">
            <v>8415000</v>
          </cell>
          <cell r="F147">
            <v>2103750</v>
          </cell>
          <cell r="G147" t="str">
            <v>LNH0925ND16</v>
          </cell>
          <cell r="J147">
            <v>2103750</v>
          </cell>
          <cell r="K147" t="str">
            <v>LNH1125NE14</v>
          </cell>
          <cell r="N147">
            <v>2103750</v>
          </cell>
          <cell r="O147" t="str">
            <v>LNH0326NG05</v>
          </cell>
        </row>
        <row r="148">
          <cell r="B148" t="str">
            <v>25800400125</v>
          </cell>
          <cell r="C148" t="str">
            <v>Nguyễn Xuân</v>
          </cell>
          <cell r="D148" t="str">
            <v>Phú</v>
          </cell>
          <cell r="E148">
            <v>8415000</v>
          </cell>
          <cell r="F148">
            <v>2103750</v>
          </cell>
          <cell r="G148" t="str">
            <v>LNH0925ND17</v>
          </cell>
          <cell r="J148">
            <v>2103750</v>
          </cell>
          <cell r="K148" t="str">
            <v>LNH1125NE15</v>
          </cell>
          <cell r="N148">
            <v>2103750</v>
          </cell>
          <cell r="O148" t="str">
            <v>LNH0326NG05</v>
          </cell>
        </row>
        <row r="149">
          <cell r="B149" t="str">
            <v>25802600110</v>
          </cell>
          <cell r="C149" t="str">
            <v>Nguyễn Trần Nhật</v>
          </cell>
          <cell r="D149" t="str">
            <v>Thanh</v>
          </cell>
          <cell r="E149">
            <v>8415000</v>
          </cell>
          <cell r="F149">
            <v>2103750</v>
          </cell>
          <cell r="G149" t="str">
            <v>LNH0925ND18</v>
          </cell>
          <cell r="J149">
            <v>2103750</v>
          </cell>
          <cell r="K149" t="str">
            <v>LNH1125NE06</v>
          </cell>
          <cell r="N149">
            <v>2103750</v>
          </cell>
          <cell r="O149" t="str">
            <v>LNH0326NG05</v>
          </cell>
        </row>
        <row r="150">
          <cell r="B150" t="str">
            <v>25808700011</v>
          </cell>
          <cell r="C150" t="str">
            <v>Lâm Ngọc Thùy</v>
          </cell>
          <cell r="D150" t="str">
            <v>Dương</v>
          </cell>
          <cell r="E150">
            <v>8415000</v>
          </cell>
          <cell r="F150">
            <v>2103750</v>
          </cell>
          <cell r="G150" t="str">
            <v>LNH0925ND25</v>
          </cell>
          <cell r="J150">
            <v>2103750</v>
          </cell>
          <cell r="K150" t="str">
            <v>LNH1125NE23</v>
          </cell>
          <cell r="N150">
            <v>2103750</v>
          </cell>
          <cell r="O150" t="str">
            <v>LNH0326NG05</v>
          </cell>
        </row>
        <row r="151">
          <cell r="B151" t="str">
            <v>25820100019</v>
          </cell>
          <cell r="C151" t="str">
            <v>Hồ Quốc</v>
          </cell>
          <cell r="D151" t="str">
            <v>Khánh</v>
          </cell>
          <cell r="E151">
            <v>8415000</v>
          </cell>
          <cell r="F151">
            <v>2103750</v>
          </cell>
          <cell r="G151" t="str">
            <v>LNH0925ND27</v>
          </cell>
          <cell r="J151">
            <v>2103750</v>
          </cell>
          <cell r="K151" t="str">
            <v>LNH1125NE23</v>
          </cell>
          <cell r="N151">
            <v>2103750</v>
          </cell>
          <cell r="O151" t="str">
            <v>LNH0326NG05</v>
          </cell>
        </row>
        <row r="152">
          <cell r="B152" t="str">
            <v>25800500310</v>
          </cell>
          <cell r="C152" t="str">
            <v>Phan Gia</v>
          </cell>
          <cell r="D152" t="str">
            <v>Huy</v>
          </cell>
          <cell r="E152">
            <v>8415000</v>
          </cell>
          <cell r="F152">
            <v>2103750</v>
          </cell>
          <cell r="G152" t="str">
            <v>LNH0925ND34</v>
          </cell>
          <cell r="J152">
            <v>2103750</v>
          </cell>
          <cell r="K152" t="str">
            <v>LNH1125NE05</v>
          </cell>
          <cell r="N152">
            <v>2103750</v>
          </cell>
          <cell r="O152" t="str">
            <v>LNH0326NG05</v>
          </cell>
        </row>
        <row r="153">
          <cell r="B153" t="str">
            <v>25808700053</v>
          </cell>
          <cell r="C153" t="str">
            <v>Đặng Công</v>
          </cell>
          <cell r="D153" t="str">
            <v>Minh</v>
          </cell>
          <cell r="E153">
            <v>4465000</v>
          </cell>
          <cell r="F153">
            <v>2232500</v>
          </cell>
          <cell r="G153" t="str">
            <v>LNH0925ND34</v>
          </cell>
          <cell r="N153">
            <v>2232500</v>
          </cell>
          <cell r="O153" t="str">
            <v>LNH0326NG05</v>
          </cell>
        </row>
        <row r="154">
          <cell r="B154" t="str">
            <v>25808200090</v>
          </cell>
          <cell r="C154" t="str">
            <v>Phan Tuấn</v>
          </cell>
          <cell r="D154" t="str">
            <v>Nghĩa</v>
          </cell>
          <cell r="E154">
            <v>4465000</v>
          </cell>
          <cell r="F154">
            <v>2232500</v>
          </cell>
          <cell r="G154" t="str">
            <v>LNH0925ND35</v>
          </cell>
          <cell r="N154">
            <v>2232500</v>
          </cell>
          <cell r="O154" t="str">
            <v>LNH0326NG05</v>
          </cell>
        </row>
        <row r="155">
          <cell r="B155" t="str">
            <v>25802800205</v>
          </cell>
          <cell r="C155" t="str">
            <v>Phùng Thế</v>
          </cell>
          <cell r="D155" t="str">
            <v>Phong</v>
          </cell>
          <cell r="E155">
            <v>8415000</v>
          </cell>
          <cell r="H155">
            <v>2103750</v>
          </cell>
          <cell r="I155" t="str">
            <v>LNH1025ND01</v>
          </cell>
          <cell r="N155">
            <v>2103750</v>
          </cell>
          <cell r="O155" t="str">
            <v>LNH0326NG05</v>
          </cell>
        </row>
        <row r="156">
          <cell r="B156" t="str">
            <v>25802800081</v>
          </cell>
          <cell r="C156" t="str">
            <v>Lê Xuân</v>
          </cell>
          <cell r="D156" t="str">
            <v>Hùng</v>
          </cell>
          <cell r="E156">
            <v>8415000</v>
          </cell>
          <cell r="F156">
            <v>2103750</v>
          </cell>
          <cell r="G156" t="str">
            <v>LNH0925ND03</v>
          </cell>
          <cell r="J156">
            <v>2103750</v>
          </cell>
          <cell r="K156" t="str">
            <v>LNH1125NE10</v>
          </cell>
          <cell r="N156">
            <v>2103750</v>
          </cell>
          <cell r="O156" t="str">
            <v>LNH0326NG06</v>
          </cell>
        </row>
        <row r="157">
          <cell r="B157" t="str">
            <v>25806800005</v>
          </cell>
          <cell r="C157" t="str">
            <v>Trương Thị Thúy</v>
          </cell>
          <cell r="D157" t="str">
            <v>An</v>
          </cell>
          <cell r="E157">
            <v>8415000</v>
          </cell>
          <cell r="F157">
            <v>2103750</v>
          </cell>
          <cell r="G157" t="str">
            <v>LNH0925ND03</v>
          </cell>
          <cell r="J157">
            <v>2103750</v>
          </cell>
          <cell r="K157" t="str">
            <v>LNH1125NE14</v>
          </cell>
          <cell r="N157">
            <v>2103750</v>
          </cell>
          <cell r="O157" t="str">
            <v>LNH0326NG06</v>
          </cell>
        </row>
        <row r="158">
          <cell r="B158" t="str">
            <v>25806800008</v>
          </cell>
          <cell r="C158" t="str">
            <v>Bàng Thanh</v>
          </cell>
          <cell r="D158" t="str">
            <v>Bảo</v>
          </cell>
          <cell r="E158">
            <v>9405000</v>
          </cell>
          <cell r="F158">
            <v>2232500</v>
          </cell>
          <cell r="G158" t="str">
            <v>LNH0925ND04</v>
          </cell>
          <cell r="J158">
            <v>2232500</v>
          </cell>
          <cell r="K158" t="str">
            <v>LNH1125NE15</v>
          </cell>
          <cell r="N158">
            <v>2470000</v>
          </cell>
          <cell r="O158" t="str">
            <v>LNH0326NG06</v>
          </cell>
        </row>
        <row r="159">
          <cell r="B159" t="str">
            <v>25802600004</v>
          </cell>
          <cell r="C159" t="str">
            <v>Nguyen Chau</v>
          </cell>
          <cell r="D159" t="str">
            <v>Anh</v>
          </cell>
          <cell r="E159">
            <v>8415000</v>
          </cell>
          <cell r="F159">
            <v>2103750</v>
          </cell>
          <cell r="G159" t="str">
            <v>LNH0925ND06</v>
          </cell>
          <cell r="J159">
            <v>2103750</v>
          </cell>
          <cell r="K159" t="str">
            <v>LNH1125NE14</v>
          </cell>
          <cell r="N159">
            <v>2103750</v>
          </cell>
          <cell r="O159" t="str">
            <v>LNH0326NG06</v>
          </cell>
        </row>
        <row r="160">
          <cell r="B160" t="str">
            <v>25807000014</v>
          </cell>
          <cell r="C160" t="str">
            <v>Huỳnh Tấn</v>
          </cell>
          <cell r="D160" t="str">
            <v>Lộc</v>
          </cell>
          <cell r="E160">
            <v>8415000</v>
          </cell>
          <cell r="F160">
            <v>2103750</v>
          </cell>
          <cell r="G160" t="str">
            <v>LNH0925ND06</v>
          </cell>
          <cell r="J160">
            <v>2103750</v>
          </cell>
          <cell r="K160" t="str">
            <v>LNH1125NE06</v>
          </cell>
          <cell r="N160">
            <v>2103750</v>
          </cell>
          <cell r="O160" t="str">
            <v>LNH0326NG06</v>
          </cell>
        </row>
        <row r="161">
          <cell r="B161" t="str">
            <v>25801100082</v>
          </cell>
          <cell r="C161" t="str">
            <v>Nguyễn Thị Thảo</v>
          </cell>
          <cell r="D161" t="str">
            <v>Vy</v>
          </cell>
          <cell r="E161">
            <v>8415000</v>
          </cell>
          <cell r="F161">
            <v>2103750</v>
          </cell>
          <cell r="G161" t="str">
            <v>LNH0925ND08</v>
          </cell>
          <cell r="J161">
            <v>2103750</v>
          </cell>
          <cell r="K161" t="str">
            <v>LNH1125NE06</v>
          </cell>
          <cell r="N161">
            <v>2103750</v>
          </cell>
          <cell r="O161" t="str">
            <v>LNH0326NG06</v>
          </cell>
        </row>
        <row r="162">
          <cell r="B162" t="str">
            <v>25808600054</v>
          </cell>
          <cell r="C162" t="str">
            <v>Đặng Thị Thùy</v>
          </cell>
          <cell r="D162" t="str">
            <v>Linh</v>
          </cell>
          <cell r="E162">
            <v>8415000</v>
          </cell>
          <cell r="F162">
            <v>2103750</v>
          </cell>
          <cell r="G162" t="str">
            <v>LNH0925ND08</v>
          </cell>
          <cell r="J162">
            <v>2103750</v>
          </cell>
          <cell r="K162" t="str">
            <v>LNH1125NE13</v>
          </cell>
          <cell r="N162">
            <v>2103750</v>
          </cell>
          <cell r="O162" t="str">
            <v>LNH0326NG06</v>
          </cell>
        </row>
        <row r="163">
          <cell r="B163" t="str">
            <v>25808600180</v>
          </cell>
          <cell r="C163" t="str">
            <v>Nguyễn Nông Khánh</v>
          </cell>
          <cell r="D163" t="str">
            <v>Linh</v>
          </cell>
          <cell r="E163">
            <v>8415000</v>
          </cell>
          <cell r="F163">
            <v>2103750</v>
          </cell>
          <cell r="G163" t="str">
            <v>LNH0925ND08</v>
          </cell>
          <cell r="J163">
            <v>2103750</v>
          </cell>
          <cell r="K163" t="str">
            <v>LNH1125NE06</v>
          </cell>
          <cell r="N163">
            <v>2103750</v>
          </cell>
          <cell r="O163" t="str">
            <v>LNH0326NG06</v>
          </cell>
        </row>
        <row r="164">
          <cell r="B164" t="str">
            <v>25802600105</v>
          </cell>
          <cell r="C164" t="str">
            <v>Vưu Thanh</v>
          </cell>
          <cell r="D164" t="str">
            <v>Sơn</v>
          </cell>
          <cell r="E164">
            <v>8415000</v>
          </cell>
          <cell r="F164">
            <v>2103750</v>
          </cell>
          <cell r="G164" t="str">
            <v>LNH0925ND09</v>
          </cell>
          <cell r="J164">
            <v>2103750</v>
          </cell>
          <cell r="K164" t="str">
            <v>LNH1125NE08</v>
          </cell>
          <cell r="N164">
            <v>2103750</v>
          </cell>
          <cell r="O164" t="str">
            <v>LNH0326NG06</v>
          </cell>
        </row>
        <row r="165">
          <cell r="B165" t="str">
            <v>25802800290</v>
          </cell>
          <cell r="C165" t="str">
            <v>Ngô Bảo</v>
          </cell>
          <cell r="D165" t="str">
            <v>Uyên</v>
          </cell>
          <cell r="E165">
            <v>8415000</v>
          </cell>
          <cell r="F165">
            <v>2103750</v>
          </cell>
          <cell r="G165" t="str">
            <v>LNH0925ND09</v>
          </cell>
          <cell r="J165">
            <v>2103750</v>
          </cell>
          <cell r="K165" t="str">
            <v>LNH1125NE06</v>
          </cell>
          <cell r="N165">
            <v>2103750</v>
          </cell>
          <cell r="O165" t="str">
            <v>LNH0326NG06</v>
          </cell>
        </row>
        <row r="166">
          <cell r="B166" t="str">
            <v>25801100107</v>
          </cell>
          <cell r="C166" t="str">
            <v>Phan Thị Thuý</v>
          </cell>
          <cell r="D166" t="str">
            <v>Vi</v>
          </cell>
          <cell r="E166">
            <v>8415000</v>
          </cell>
          <cell r="F166">
            <v>2103750</v>
          </cell>
          <cell r="G166" t="str">
            <v>LNH0925ND10</v>
          </cell>
          <cell r="J166">
            <v>2103750</v>
          </cell>
          <cell r="K166" t="str">
            <v>LNH1125NE06</v>
          </cell>
          <cell r="N166">
            <v>2103750</v>
          </cell>
          <cell r="O166" t="str">
            <v>LNH0326NG06</v>
          </cell>
        </row>
        <row r="167">
          <cell r="B167" t="str">
            <v>25801700029</v>
          </cell>
          <cell r="C167" t="str">
            <v>Tân Vĩnh Bảo</v>
          </cell>
          <cell r="D167" t="str">
            <v>Long</v>
          </cell>
          <cell r="E167">
            <v>8415000</v>
          </cell>
          <cell r="F167">
            <v>2103750</v>
          </cell>
          <cell r="G167" t="str">
            <v>LNH0925ND17</v>
          </cell>
          <cell r="J167">
            <v>2103750</v>
          </cell>
          <cell r="K167" t="str">
            <v>LNH1125NE15</v>
          </cell>
          <cell r="N167">
            <v>2103750</v>
          </cell>
          <cell r="O167" t="str">
            <v>LNH0326NG06</v>
          </cell>
        </row>
        <row r="168">
          <cell r="B168" t="str">
            <v>25805900008</v>
          </cell>
          <cell r="C168" t="str">
            <v>Huỳnh Tấn</v>
          </cell>
          <cell r="D168" t="str">
            <v>Dũng</v>
          </cell>
          <cell r="E168">
            <v>8415000</v>
          </cell>
          <cell r="H168">
            <v>2103750</v>
          </cell>
          <cell r="I168" t="str">
            <v>LNH1025ND01</v>
          </cell>
          <cell r="J168">
            <v>2103750</v>
          </cell>
          <cell r="K168" t="str">
            <v>LNH1125NE15</v>
          </cell>
          <cell r="N168">
            <v>2103750</v>
          </cell>
          <cell r="O168" t="str">
            <v>LNH0326NG06</v>
          </cell>
        </row>
        <row r="169">
          <cell r="B169" t="str">
            <v>25807000043</v>
          </cell>
          <cell r="C169" t="str">
            <v>Phan Thị Thuý</v>
          </cell>
          <cell r="D169" t="str">
            <v>Vi</v>
          </cell>
          <cell r="E169">
            <v>4465000</v>
          </cell>
          <cell r="N169">
            <v>2232500</v>
          </cell>
          <cell r="O169" t="str">
            <v>LNH0326NG06</v>
          </cell>
        </row>
        <row r="170">
          <cell r="B170" t="str">
            <v>25802800260</v>
          </cell>
          <cell r="C170" t="str">
            <v>Trần Lê Thủy</v>
          </cell>
          <cell r="D170" t="str">
            <v>Tiên</v>
          </cell>
          <cell r="E170">
            <v>4465000</v>
          </cell>
          <cell r="J170">
            <v>2232500</v>
          </cell>
          <cell r="K170" t="str">
            <v>LNH1125ND01</v>
          </cell>
          <cell r="N170">
            <v>2232500</v>
          </cell>
          <cell r="O170" t="str">
            <v>LNH0326NG06</v>
          </cell>
        </row>
        <row r="171">
          <cell r="B171" t="str">
            <v>25801700022</v>
          </cell>
          <cell r="C171" t="str">
            <v>Phạm Hoàng</v>
          </cell>
          <cell r="D171" t="str">
            <v>Khang</v>
          </cell>
          <cell r="E171">
            <v>4700000</v>
          </cell>
          <cell r="H171">
            <v>2100000</v>
          </cell>
          <cell r="I171" t="str">
            <v>LNH1025ND01</v>
          </cell>
          <cell r="N171">
            <v>2600000</v>
          </cell>
          <cell r="O171" t="str">
            <v>LNH0326NG06</v>
          </cell>
        </row>
        <row r="172">
          <cell r="B172" t="str">
            <v>25808700190</v>
          </cell>
          <cell r="C172" t="str">
            <v>Lê Minh</v>
          </cell>
          <cell r="D172" t="str">
            <v>Long</v>
          </cell>
          <cell r="E172">
            <v>8415000</v>
          </cell>
          <cell r="J172">
            <v>2103750</v>
          </cell>
          <cell r="K172" t="str">
            <v>LNH1125NE25</v>
          </cell>
          <cell r="N172">
            <v>2103750</v>
          </cell>
          <cell r="O172" t="str">
            <v>LNH0326NG06</v>
          </cell>
        </row>
        <row r="173">
          <cell r="B173" t="str">
            <v>25802800103</v>
          </cell>
          <cell r="C173" t="str">
            <v>Nguyễn Hồng</v>
          </cell>
          <cell r="D173" t="str">
            <v>Khang</v>
          </cell>
          <cell r="E173">
            <v>8415000</v>
          </cell>
          <cell r="F173">
            <v>2103750</v>
          </cell>
          <cell r="G173" t="str">
            <v>LNH0925ND01</v>
          </cell>
          <cell r="J173">
            <v>2103750</v>
          </cell>
          <cell r="K173" t="str">
            <v>LNH1125NE01</v>
          </cell>
          <cell r="N173">
            <v>2103750</v>
          </cell>
          <cell r="O173" t="str">
            <v>LNH0326NG07</v>
          </cell>
        </row>
        <row r="174">
          <cell r="B174" t="str">
            <v>25802800165</v>
          </cell>
          <cell r="C174" t="str">
            <v>Nguyễn Kim</v>
          </cell>
          <cell r="D174" t="str">
            <v>Ngọc</v>
          </cell>
          <cell r="E174">
            <v>8415000</v>
          </cell>
          <cell r="F174">
            <v>2103750</v>
          </cell>
          <cell r="G174" t="str">
            <v>LNH0925ND03</v>
          </cell>
          <cell r="J174">
            <v>2103750</v>
          </cell>
          <cell r="K174" t="str">
            <v>LNH1125NE05</v>
          </cell>
          <cell r="N174">
            <v>2103750</v>
          </cell>
          <cell r="O174" t="str">
            <v>LNH0326NG07</v>
          </cell>
        </row>
        <row r="175">
          <cell r="B175" t="str">
            <v>25802800145</v>
          </cell>
          <cell r="C175" t="str">
            <v>Kiều Công</v>
          </cell>
          <cell r="D175" t="str">
            <v>Minh</v>
          </cell>
          <cell r="E175">
            <v>8415000</v>
          </cell>
          <cell r="F175">
            <v>2103750</v>
          </cell>
          <cell r="G175" t="str">
            <v>LNH0925ND05</v>
          </cell>
          <cell r="J175">
            <v>2103750</v>
          </cell>
          <cell r="K175" t="str">
            <v>LNH1125NE12</v>
          </cell>
          <cell r="N175">
            <v>2103750</v>
          </cell>
          <cell r="O175" t="str">
            <v>LNH0326NG07</v>
          </cell>
        </row>
        <row r="176">
          <cell r="B176" t="str">
            <v>25806000112</v>
          </cell>
          <cell r="C176" t="str">
            <v>Nguyễn Ngọc</v>
          </cell>
          <cell r="D176" t="str">
            <v>Trâm</v>
          </cell>
          <cell r="E176">
            <v>8415000</v>
          </cell>
          <cell r="F176">
            <v>2103750</v>
          </cell>
          <cell r="G176" t="str">
            <v>LNH0925ND07</v>
          </cell>
          <cell r="J176">
            <v>2103750</v>
          </cell>
          <cell r="K176" t="str">
            <v>LNH1125NE08</v>
          </cell>
          <cell r="N176">
            <v>2103750</v>
          </cell>
          <cell r="O176" t="str">
            <v>LNH0326NG07</v>
          </cell>
        </row>
        <row r="177">
          <cell r="B177" t="str">
            <v>25801200058</v>
          </cell>
          <cell r="C177" t="str">
            <v>Nguyễn Phương</v>
          </cell>
          <cell r="D177" t="str">
            <v>Vĩnh</v>
          </cell>
          <cell r="E177">
            <v>8415000</v>
          </cell>
          <cell r="F177">
            <v>2103750</v>
          </cell>
          <cell r="G177" t="str">
            <v>LNH0925ND09</v>
          </cell>
          <cell r="J177">
            <v>2103750</v>
          </cell>
          <cell r="K177" t="str">
            <v>LNH1125NE06</v>
          </cell>
          <cell r="N177">
            <v>2103750</v>
          </cell>
          <cell r="O177" t="str">
            <v>LNH0326NG07</v>
          </cell>
        </row>
        <row r="178">
          <cell r="B178" t="str">
            <v>25802800001</v>
          </cell>
          <cell r="C178" t="str">
            <v>Nguyễn Quốc</v>
          </cell>
          <cell r="D178" t="str">
            <v>An</v>
          </cell>
          <cell r="E178">
            <v>8415000</v>
          </cell>
          <cell r="F178">
            <v>2103750</v>
          </cell>
          <cell r="G178" t="str">
            <v>LNH0925ND09</v>
          </cell>
          <cell r="J178">
            <v>2103750</v>
          </cell>
          <cell r="K178" t="str">
            <v>LNH1125NE06</v>
          </cell>
          <cell r="N178">
            <v>2103750</v>
          </cell>
          <cell r="O178" t="str">
            <v>LNH0326NG07</v>
          </cell>
        </row>
        <row r="179">
          <cell r="B179" t="str">
            <v>25802800134</v>
          </cell>
          <cell r="C179" t="str">
            <v>Trần Văn Đặng</v>
          </cell>
          <cell r="D179" t="str">
            <v>Long</v>
          </cell>
          <cell r="E179">
            <v>8415000</v>
          </cell>
          <cell r="F179">
            <v>2103750</v>
          </cell>
          <cell r="G179" t="str">
            <v>LNH0925ND09</v>
          </cell>
          <cell r="J179">
            <v>2103750</v>
          </cell>
          <cell r="K179" t="str">
            <v>LNH1125NE06</v>
          </cell>
          <cell r="N179">
            <v>2103750</v>
          </cell>
          <cell r="O179" t="str">
            <v>LNH0326NG07</v>
          </cell>
        </row>
        <row r="180">
          <cell r="B180" t="str">
            <v>25802800258</v>
          </cell>
          <cell r="C180" t="str">
            <v>Nguyễn Công</v>
          </cell>
          <cell r="D180" t="str">
            <v>Thường</v>
          </cell>
          <cell r="E180">
            <v>8415000</v>
          </cell>
          <cell r="F180">
            <v>2103750</v>
          </cell>
          <cell r="G180" t="str">
            <v>LNH0925ND09</v>
          </cell>
          <cell r="J180">
            <v>2103750</v>
          </cell>
          <cell r="K180" t="str">
            <v>LNH1125NE09</v>
          </cell>
          <cell r="N180">
            <v>2103750</v>
          </cell>
          <cell r="O180" t="str">
            <v>LNH0326NG07</v>
          </cell>
        </row>
        <row r="181">
          <cell r="B181" t="str">
            <v>25806000015</v>
          </cell>
          <cell r="C181" t="str">
            <v>Đỗ Ngọc Thảo</v>
          </cell>
          <cell r="D181" t="str">
            <v>Linh</v>
          </cell>
          <cell r="E181">
            <v>8415000</v>
          </cell>
          <cell r="F181">
            <v>2103750</v>
          </cell>
          <cell r="G181" t="str">
            <v>LNH0925ND09</v>
          </cell>
          <cell r="J181">
            <v>2103750</v>
          </cell>
          <cell r="K181" t="str">
            <v>LNH1125NE09</v>
          </cell>
          <cell r="N181">
            <v>2103750</v>
          </cell>
          <cell r="O181" t="str">
            <v>LNH0326NG07</v>
          </cell>
        </row>
        <row r="182">
          <cell r="B182" t="str">
            <v>25802800289</v>
          </cell>
          <cell r="C182" t="str">
            <v>Nguyễn Thị Lan</v>
          </cell>
          <cell r="D182" t="str">
            <v>Tường</v>
          </cell>
          <cell r="E182">
            <v>8415000</v>
          </cell>
          <cell r="F182">
            <v>2103750</v>
          </cell>
          <cell r="G182" t="str">
            <v>LNH0925ND11</v>
          </cell>
          <cell r="J182">
            <v>2103750</v>
          </cell>
          <cell r="K182" t="str">
            <v>LNH1125NE08</v>
          </cell>
          <cell r="N182">
            <v>2103750</v>
          </cell>
          <cell r="O182" t="str">
            <v>LNH0326NG07</v>
          </cell>
        </row>
        <row r="183">
          <cell r="B183" t="str">
            <v>25807000021</v>
          </cell>
          <cell r="C183" t="str">
            <v>Bùi Tiến</v>
          </cell>
          <cell r="D183" t="str">
            <v>Phát</v>
          </cell>
          <cell r="E183">
            <v>8415000</v>
          </cell>
          <cell r="F183">
            <v>2103750</v>
          </cell>
          <cell r="G183" t="str">
            <v>LNH0925ND13</v>
          </cell>
          <cell r="J183">
            <v>2103750</v>
          </cell>
          <cell r="K183" t="str">
            <v>LNH1125NE08</v>
          </cell>
          <cell r="N183">
            <v>2103750</v>
          </cell>
          <cell r="O183" t="str">
            <v>LNH0326NG07</v>
          </cell>
        </row>
        <row r="184">
          <cell r="B184" t="str">
            <v>25806800033</v>
          </cell>
          <cell r="C184" t="str">
            <v>Bùi Trúc</v>
          </cell>
          <cell r="D184" t="str">
            <v>Linh</v>
          </cell>
          <cell r="E184">
            <v>8415000</v>
          </cell>
          <cell r="F184">
            <v>2103750</v>
          </cell>
          <cell r="G184" t="str">
            <v>LNH0925ND16</v>
          </cell>
          <cell r="J184">
            <v>2103750</v>
          </cell>
          <cell r="K184" t="str">
            <v>LNH1125NE08</v>
          </cell>
          <cell r="N184">
            <v>2103750</v>
          </cell>
          <cell r="O184" t="str">
            <v>LNH0326NG07</v>
          </cell>
        </row>
        <row r="185">
          <cell r="B185" t="str">
            <v>25808600018</v>
          </cell>
          <cell r="C185" t="str">
            <v>Ngô Văn</v>
          </cell>
          <cell r="D185" t="str">
            <v>Dũng</v>
          </cell>
          <cell r="E185">
            <v>8415000</v>
          </cell>
          <cell r="F185">
            <v>2103750</v>
          </cell>
          <cell r="G185" t="str">
            <v>LNH0925ND16</v>
          </cell>
          <cell r="J185">
            <v>2103750</v>
          </cell>
          <cell r="K185" t="str">
            <v>LNH1125NE05</v>
          </cell>
          <cell r="N185">
            <v>2103750</v>
          </cell>
          <cell r="O185" t="str">
            <v>LNH0326NG07</v>
          </cell>
        </row>
        <row r="186">
          <cell r="B186" t="str">
            <v>25805900012</v>
          </cell>
          <cell r="C186" t="str">
            <v>Trịnh Thị Diệu</v>
          </cell>
          <cell r="D186" t="str">
            <v>Hằng</v>
          </cell>
          <cell r="E186">
            <v>8415000</v>
          </cell>
          <cell r="F186">
            <v>2103750</v>
          </cell>
          <cell r="G186" t="str">
            <v>LNH0925ND17</v>
          </cell>
          <cell r="J186">
            <v>2103750</v>
          </cell>
          <cell r="K186" t="str">
            <v>LNH1125NE08</v>
          </cell>
          <cell r="N186">
            <v>2103750</v>
          </cell>
          <cell r="O186" t="str">
            <v>LNH0326NG07</v>
          </cell>
        </row>
        <row r="187">
          <cell r="B187" t="str">
            <v>25808600158</v>
          </cell>
          <cell r="C187" t="str">
            <v>Trương Ngọc Minh</v>
          </cell>
          <cell r="D187" t="str">
            <v>Vy</v>
          </cell>
          <cell r="E187">
            <v>4700000</v>
          </cell>
          <cell r="F187">
            <v>2100000</v>
          </cell>
          <cell r="G187" t="str">
            <v>LNH0925ND17</v>
          </cell>
          <cell r="N187">
            <v>2600000</v>
          </cell>
          <cell r="O187" t="str">
            <v>LNH0326NG07</v>
          </cell>
        </row>
        <row r="188">
          <cell r="B188" t="str">
            <v>25808900132</v>
          </cell>
          <cell r="C188" t="str">
            <v>Phạm Thanh</v>
          </cell>
          <cell r="D188" t="str">
            <v>Toàn</v>
          </cell>
          <cell r="E188">
            <v>8415000</v>
          </cell>
          <cell r="F188">
            <v>2103750</v>
          </cell>
          <cell r="G188" t="str">
            <v>LNH0925ND21</v>
          </cell>
          <cell r="J188">
            <v>2103750</v>
          </cell>
          <cell r="K188" t="str">
            <v>LNH1125NE08</v>
          </cell>
          <cell r="N188">
            <v>2103750</v>
          </cell>
          <cell r="O188" t="str">
            <v>LNH0326NG07</v>
          </cell>
        </row>
        <row r="189">
          <cell r="B189" t="str">
            <v>25801700057</v>
          </cell>
          <cell r="C189" t="str">
            <v>Nguyễn Thị Thủy</v>
          </cell>
          <cell r="D189" t="str">
            <v>Tiên</v>
          </cell>
          <cell r="E189">
            <v>8415000</v>
          </cell>
          <cell r="H189">
            <v>2103750</v>
          </cell>
          <cell r="I189" t="str">
            <v>LNH1025ND01</v>
          </cell>
          <cell r="J189">
            <v>2103750</v>
          </cell>
          <cell r="K189" t="str">
            <v>LNH1125NE05</v>
          </cell>
          <cell r="N189">
            <v>2103750</v>
          </cell>
          <cell r="O189" t="str">
            <v>LNH0326NG07</v>
          </cell>
        </row>
        <row r="190">
          <cell r="B190" t="str">
            <v>25802800300</v>
          </cell>
          <cell r="C190" t="str">
            <v>Trần Nguyễn Phương</v>
          </cell>
          <cell r="D190" t="str">
            <v>Vy</v>
          </cell>
          <cell r="E190">
            <v>8415000</v>
          </cell>
          <cell r="F190">
            <v>2103750</v>
          </cell>
          <cell r="G190" t="str">
            <v>LNH0925ND03</v>
          </cell>
          <cell r="J190">
            <v>2103750</v>
          </cell>
          <cell r="K190" t="str">
            <v>LNH1125NE10</v>
          </cell>
          <cell r="N190">
            <v>2103750</v>
          </cell>
          <cell r="O190" t="str">
            <v>LNH0326NG08</v>
          </cell>
        </row>
        <row r="191">
          <cell r="B191" t="str">
            <v>25801800082</v>
          </cell>
          <cell r="C191" t="str">
            <v>Nguyễn Anh</v>
          </cell>
          <cell r="D191" t="str">
            <v>Tuấn</v>
          </cell>
          <cell r="E191">
            <v>8415000</v>
          </cell>
          <cell r="F191">
            <v>2103750</v>
          </cell>
          <cell r="G191" t="str">
            <v>LNH0925ND09</v>
          </cell>
          <cell r="J191">
            <v>2103750</v>
          </cell>
          <cell r="K191" t="str">
            <v>LNH1125NE06</v>
          </cell>
          <cell r="N191">
            <v>2103750</v>
          </cell>
          <cell r="O191" t="str">
            <v>LNH0326NG08</v>
          </cell>
        </row>
        <row r="192">
          <cell r="B192" t="str">
            <v>25808900077</v>
          </cell>
          <cell r="C192" t="str">
            <v>Lâm Hoàng</v>
          </cell>
          <cell r="D192" t="str">
            <v>Mạnh</v>
          </cell>
          <cell r="E192">
            <v>8415000</v>
          </cell>
          <cell r="F192">
            <v>2103750</v>
          </cell>
          <cell r="G192" t="str">
            <v>LNH0925ND10</v>
          </cell>
          <cell r="N192">
            <v>2103750</v>
          </cell>
          <cell r="O192" t="str">
            <v>LNH0326NG08</v>
          </cell>
        </row>
        <row r="193">
          <cell r="B193" t="str">
            <v>25801100076</v>
          </cell>
          <cell r="C193" t="str">
            <v>Trần Huỳnh Vạn</v>
          </cell>
          <cell r="D193" t="str">
            <v>Trí</v>
          </cell>
          <cell r="E193">
            <v>8415000</v>
          </cell>
          <cell r="F193">
            <v>2103750</v>
          </cell>
          <cell r="G193" t="str">
            <v>LNH0925ND10</v>
          </cell>
          <cell r="J193">
            <v>2103750</v>
          </cell>
          <cell r="K193" t="str">
            <v>LNH1125NE07</v>
          </cell>
          <cell r="N193">
            <v>2103750</v>
          </cell>
          <cell r="O193" t="str">
            <v>LNH0326NG08</v>
          </cell>
        </row>
        <row r="194">
          <cell r="B194" t="str">
            <v>25802600064</v>
          </cell>
          <cell r="C194" t="str">
            <v>Huỳnh Quốc</v>
          </cell>
          <cell r="D194" t="str">
            <v>Lãm</v>
          </cell>
          <cell r="E194">
            <v>8415000</v>
          </cell>
          <cell r="F194">
            <v>2103750</v>
          </cell>
          <cell r="G194" t="str">
            <v>LNH0925ND10</v>
          </cell>
          <cell r="J194">
            <v>2103750</v>
          </cell>
          <cell r="K194" t="str">
            <v>LNH1125NE07</v>
          </cell>
          <cell r="N194">
            <v>2103750</v>
          </cell>
          <cell r="O194" t="str">
            <v>LNH0326NG08</v>
          </cell>
        </row>
        <row r="195">
          <cell r="B195" t="str">
            <v>25802800177</v>
          </cell>
          <cell r="C195" t="str">
            <v>Tô Đức</v>
          </cell>
          <cell r="D195" t="str">
            <v>Nguyên</v>
          </cell>
          <cell r="E195">
            <v>8415000</v>
          </cell>
          <cell r="F195">
            <v>2103750</v>
          </cell>
          <cell r="G195" t="str">
            <v>LNH0925ND10</v>
          </cell>
          <cell r="J195">
            <v>2103750</v>
          </cell>
          <cell r="K195" t="str">
            <v>LNH1125NE07</v>
          </cell>
          <cell r="N195">
            <v>2103750</v>
          </cell>
          <cell r="O195" t="str">
            <v>LNH0326NG08</v>
          </cell>
        </row>
        <row r="196">
          <cell r="B196" t="str">
            <v>25805900063</v>
          </cell>
          <cell r="C196" t="str">
            <v>Dương Phương</v>
          </cell>
          <cell r="D196" t="str">
            <v>Uyên</v>
          </cell>
          <cell r="E196">
            <v>8415000</v>
          </cell>
          <cell r="F196">
            <v>2103750</v>
          </cell>
          <cell r="G196" t="str">
            <v>LNH0925ND10</v>
          </cell>
          <cell r="J196">
            <v>2103750</v>
          </cell>
          <cell r="K196" t="str">
            <v>LNH1125NE07</v>
          </cell>
          <cell r="N196">
            <v>2103750</v>
          </cell>
          <cell r="O196" t="str">
            <v>LNH0326NG08</v>
          </cell>
        </row>
        <row r="197">
          <cell r="B197" t="str">
            <v>25808100017</v>
          </cell>
          <cell r="C197" t="str">
            <v>Nguyễn Quang</v>
          </cell>
          <cell r="D197" t="str">
            <v>Huy</v>
          </cell>
          <cell r="E197">
            <v>8415000</v>
          </cell>
          <cell r="F197">
            <v>2103750</v>
          </cell>
          <cell r="G197" t="str">
            <v>LNH0925ND11</v>
          </cell>
          <cell r="J197">
            <v>2103750</v>
          </cell>
          <cell r="K197" t="str">
            <v>LNH1125NE07</v>
          </cell>
          <cell r="N197">
            <v>2103750</v>
          </cell>
          <cell r="O197" t="str">
            <v>LNH0326NG08</v>
          </cell>
        </row>
        <row r="198">
          <cell r="B198" t="str">
            <v>25808500347</v>
          </cell>
          <cell r="C198" t="str">
            <v>Trang Trần Thành</v>
          </cell>
          <cell r="D198" t="str">
            <v>Thịnh</v>
          </cell>
          <cell r="E198">
            <v>8415000</v>
          </cell>
          <cell r="F198">
            <v>2103750</v>
          </cell>
          <cell r="G198" t="str">
            <v>LNH0925ND11</v>
          </cell>
          <cell r="J198">
            <v>2103750</v>
          </cell>
          <cell r="K198" t="str">
            <v>LNH1125NE07</v>
          </cell>
          <cell r="N198">
            <v>2103750</v>
          </cell>
          <cell r="O198" t="str">
            <v>LNH0326NG08</v>
          </cell>
        </row>
        <row r="199">
          <cell r="B199" t="str">
            <v>25808900152</v>
          </cell>
          <cell r="C199" t="str">
            <v>Võ Thành</v>
          </cell>
          <cell r="D199" t="str">
            <v>Vinh</v>
          </cell>
          <cell r="E199">
            <v>8415000</v>
          </cell>
          <cell r="F199">
            <v>2103750</v>
          </cell>
          <cell r="G199" t="str">
            <v>LNH0925ND11</v>
          </cell>
          <cell r="J199">
            <v>2103750</v>
          </cell>
          <cell r="K199" t="str">
            <v>LNH1125NE07</v>
          </cell>
          <cell r="N199">
            <v>2103750</v>
          </cell>
          <cell r="O199" t="str">
            <v>LNH0326NG08</v>
          </cell>
        </row>
        <row r="200">
          <cell r="B200" t="str">
            <v>25820200008</v>
          </cell>
          <cell r="C200" t="str">
            <v>Huỳnh Phú</v>
          </cell>
          <cell r="D200" t="str">
            <v>Cường</v>
          </cell>
          <cell r="E200">
            <v>8415000</v>
          </cell>
          <cell r="F200">
            <v>2103750</v>
          </cell>
          <cell r="G200" t="str">
            <v>LNH0925ND11</v>
          </cell>
          <cell r="J200">
            <v>2103750</v>
          </cell>
          <cell r="K200" t="str">
            <v>LNH1125NE07</v>
          </cell>
          <cell r="N200">
            <v>2103750</v>
          </cell>
          <cell r="O200" t="str">
            <v>LNH0326NG08</v>
          </cell>
        </row>
        <row r="201">
          <cell r="B201" t="str">
            <v>25808900055</v>
          </cell>
          <cell r="C201" t="str">
            <v>Huỳnh Ngọc Nguyên</v>
          </cell>
          <cell r="D201" t="str">
            <v>Khanh</v>
          </cell>
          <cell r="E201">
            <v>7065000</v>
          </cell>
          <cell r="F201">
            <v>2232500</v>
          </cell>
          <cell r="G201" t="str">
            <v>LNH0925ND11</v>
          </cell>
          <cell r="J201">
            <v>2232500</v>
          </cell>
          <cell r="K201" t="str">
            <v>LNH1125NE08</v>
          </cell>
          <cell r="N201">
            <v>2600000</v>
          </cell>
          <cell r="O201" t="str">
            <v>LNH0326NG08</v>
          </cell>
        </row>
        <row r="202">
          <cell r="B202" t="str">
            <v>25807000017</v>
          </cell>
          <cell r="C202" t="str">
            <v>Nguyễn Thanh</v>
          </cell>
          <cell r="D202" t="str">
            <v>Ngân</v>
          </cell>
          <cell r="E202">
            <v>8415000</v>
          </cell>
          <cell r="F202">
            <v>2103750</v>
          </cell>
          <cell r="G202" t="str">
            <v>LNH0925ND15</v>
          </cell>
          <cell r="J202">
            <v>2103750</v>
          </cell>
          <cell r="K202" t="str">
            <v>LNH1125NE07</v>
          </cell>
          <cell r="N202">
            <v>2103750</v>
          </cell>
          <cell r="O202" t="str">
            <v>LNH0326NG08</v>
          </cell>
        </row>
        <row r="203">
          <cell r="B203" t="str">
            <v>25802800198</v>
          </cell>
          <cell r="C203" t="str">
            <v>Phạm Hoàng</v>
          </cell>
          <cell r="D203" t="str">
            <v>Phát</v>
          </cell>
          <cell r="E203">
            <v>8415000</v>
          </cell>
          <cell r="F203">
            <v>2103750</v>
          </cell>
          <cell r="G203" t="str">
            <v>LNH0925ND16</v>
          </cell>
          <cell r="J203">
            <v>2103750</v>
          </cell>
          <cell r="K203" t="str">
            <v>LNH1125NE07</v>
          </cell>
          <cell r="N203">
            <v>2103750</v>
          </cell>
          <cell r="O203" t="str">
            <v>LNH0326NG08</v>
          </cell>
        </row>
        <row r="204">
          <cell r="B204" t="str">
            <v>25807500115</v>
          </cell>
          <cell r="C204" t="str">
            <v>Huỳnh</v>
          </cell>
          <cell r="D204" t="str">
            <v>Thân</v>
          </cell>
          <cell r="E204">
            <v>8415000</v>
          </cell>
          <cell r="F204">
            <v>2103750</v>
          </cell>
          <cell r="G204" t="str">
            <v>LNH0925ND26</v>
          </cell>
          <cell r="J204">
            <v>2103750</v>
          </cell>
          <cell r="K204" t="str">
            <v>LNH1125NE22</v>
          </cell>
          <cell r="N204">
            <v>2103750</v>
          </cell>
          <cell r="O204" t="str">
            <v>LNH0326NG08</v>
          </cell>
        </row>
        <row r="205">
          <cell r="B205" t="str">
            <v>25808200067</v>
          </cell>
          <cell r="C205" t="str">
            <v>Nguyễn Ngọc Đăng</v>
          </cell>
          <cell r="D205" t="str">
            <v>Khoa</v>
          </cell>
          <cell r="E205">
            <v>8415000</v>
          </cell>
          <cell r="F205">
            <v>2103750</v>
          </cell>
          <cell r="G205" t="str">
            <v>LNH0925ND26</v>
          </cell>
          <cell r="J205">
            <v>2103750</v>
          </cell>
          <cell r="K205" t="str">
            <v>LNH1125NE22</v>
          </cell>
          <cell r="N205">
            <v>2103750</v>
          </cell>
          <cell r="O205" t="str">
            <v>LNH0326NG08</v>
          </cell>
        </row>
        <row r="206">
          <cell r="B206" t="str">
            <v>25805800021</v>
          </cell>
          <cell r="C206" t="str">
            <v>Đinh Ngọc Phương</v>
          </cell>
          <cell r="D206" t="str">
            <v>Ngân</v>
          </cell>
          <cell r="E206">
            <v>8415000</v>
          </cell>
          <cell r="J206">
            <v>2103750</v>
          </cell>
          <cell r="K206" t="str">
            <v>LNH1125NE06</v>
          </cell>
          <cell r="N206">
            <v>2103750</v>
          </cell>
          <cell r="O206" t="str">
            <v>LNH0326NG08</v>
          </cell>
        </row>
        <row r="207">
          <cell r="B207" t="str">
            <v>25806000099</v>
          </cell>
          <cell r="C207" t="str">
            <v>Huỳnh Thị Nhã</v>
          </cell>
          <cell r="D207" t="str">
            <v>Phương</v>
          </cell>
          <cell r="E207">
            <v>8415000</v>
          </cell>
          <cell r="H207">
            <v>2103750</v>
          </cell>
          <cell r="I207" t="str">
            <v>LNH1025ND01</v>
          </cell>
          <cell r="J207">
            <v>2103750</v>
          </cell>
          <cell r="K207" t="str">
            <v>LNH1125NE09</v>
          </cell>
          <cell r="N207">
            <v>2103750</v>
          </cell>
          <cell r="O207" t="str">
            <v>LNH0326NG08</v>
          </cell>
        </row>
        <row r="208">
          <cell r="B208" t="str">
            <v>25801800183</v>
          </cell>
          <cell r="C208" t="str">
            <v>Trần Thị Minh</v>
          </cell>
          <cell r="D208" t="str">
            <v>Tú</v>
          </cell>
          <cell r="E208">
            <v>8415000</v>
          </cell>
          <cell r="F208">
            <v>2103750</v>
          </cell>
          <cell r="G208" t="str">
            <v>LNH0925ND01</v>
          </cell>
          <cell r="J208">
            <v>2103750</v>
          </cell>
          <cell r="K208" t="str">
            <v>LNH1125NE01</v>
          </cell>
          <cell r="N208">
            <v>2103750</v>
          </cell>
          <cell r="O208" t="str">
            <v>LNH0326NG09</v>
          </cell>
        </row>
        <row r="209">
          <cell r="B209" t="str">
            <v>25805900103</v>
          </cell>
          <cell r="C209" t="str">
            <v>Lê Mỹ</v>
          </cell>
          <cell r="D209" t="str">
            <v>Nhàn</v>
          </cell>
          <cell r="E209">
            <v>8415000</v>
          </cell>
          <cell r="F209">
            <v>2103750</v>
          </cell>
          <cell r="G209" t="str">
            <v>LNH0925ND01</v>
          </cell>
          <cell r="J209">
            <v>2103750</v>
          </cell>
          <cell r="K209" t="str">
            <v>LNH1125NE10</v>
          </cell>
          <cell r="N209">
            <v>2103750</v>
          </cell>
          <cell r="O209" t="str">
            <v>LNH0326NG09</v>
          </cell>
        </row>
        <row r="210">
          <cell r="B210" t="str">
            <v>25807100028</v>
          </cell>
          <cell r="C210" t="str">
            <v>Trần Nhật</v>
          </cell>
          <cell r="D210" t="str">
            <v>Anh</v>
          </cell>
          <cell r="E210">
            <v>8415000</v>
          </cell>
          <cell r="F210">
            <v>2103750</v>
          </cell>
          <cell r="G210" t="str">
            <v>LNH0925ND03</v>
          </cell>
          <cell r="J210">
            <v>2103750</v>
          </cell>
          <cell r="K210" t="str">
            <v>LNH1125NE10</v>
          </cell>
          <cell r="N210">
            <v>2103750</v>
          </cell>
          <cell r="O210" t="str">
            <v>LNH0326NG09</v>
          </cell>
        </row>
        <row r="211">
          <cell r="B211" t="str">
            <v>25808600065</v>
          </cell>
          <cell r="C211" t="str">
            <v>Nguyễn Trà</v>
          </cell>
          <cell r="D211" t="str">
            <v>My</v>
          </cell>
          <cell r="E211">
            <v>8415000</v>
          </cell>
          <cell r="F211">
            <v>2103750</v>
          </cell>
          <cell r="G211" t="str">
            <v>LNH0925ND03</v>
          </cell>
          <cell r="J211">
            <v>2103750</v>
          </cell>
          <cell r="K211" t="str">
            <v>LNH1125NE02</v>
          </cell>
          <cell r="N211">
            <v>2103750</v>
          </cell>
          <cell r="O211" t="str">
            <v>LNH0326NG09</v>
          </cell>
        </row>
        <row r="212">
          <cell r="B212" t="str">
            <v>25808600094</v>
          </cell>
          <cell r="C212" t="str">
            <v>Dương Tú</v>
          </cell>
          <cell r="D212" t="str">
            <v>Quân</v>
          </cell>
          <cell r="E212">
            <v>8415000</v>
          </cell>
          <cell r="F212">
            <v>2103750</v>
          </cell>
          <cell r="G212" t="str">
            <v>LNH0925ND03</v>
          </cell>
          <cell r="J212">
            <v>2103750</v>
          </cell>
          <cell r="K212" t="str">
            <v>LNH1125NE02</v>
          </cell>
          <cell r="N212">
            <v>2103750</v>
          </cell>
          <cell r="O212" t="str">
            <v>LNH0326NG09</v>
          </cell>
        </row>
        <row r="213">
          <cell r="B213" t="str">
            <v>25808600120</v>
          </cell>
          <cell r="C213" t="str">
            <v>Trần Nguyễn Anh</v>
          </cell>
          <cell r="D213" t="str">
            <v>Thư</v>
          </cell>
          <cell r="E213">
            <v>8415000</v>
          </cell>
          <cell r="F213">
            <v>2103750</v>
          </cell>
          <cell r="G213" t="str">
            <v>LNH0925ND03</v>
          </cell>
          <cell r="J213">
            <v>2103750</v>
          </cell>
          <cell r="K213" t="str">
            <v>LNH1125NE02</v>
          </cell>
          <cell r="N213">
            <v>2103750</v>
          </cell>
          <cell r="O213" t="str">
            <v>LNH0326NG09</v>
          </cell>
        </row>
        <row r="214">
          <cell r="B214" t="str">
            <v>25805800009</v>
          </cell>
          <cell r="C214" t="str">
            <v>Vũ Hải</v>
          </cell>
          <cell r="D214" t="str">
            <v>Hà</v>
          </cell>
          <cell r="E214">
            <v>8415000</v>
          </cell>
          <cell r="F214">
            <v>2103750</v>
          </cell>
          <cell r="G214" t="str">
            <v>LNH0925ND04</v>
          </cell>
          <cell r="J214">
            <v>2103750</v>
          </cell>
          <cell r="K214" t="str">
            <v>LNH1125NE12</v>
          </cell>
          <cell r="N214">
            <v>2103750</v>
          </cell>
          <cell r="O214" t="str">
            <v>LNH0326NG09</v>
          </cell>
        </row>
        <row r="215">
          <cell r="B215" t="str">
            <v>25808200100</v>
          </cell>
          <cell r="C215" t="str">
            <v>Phạm Tấn</v>
          </cell>
          <cell r="D215" t="str">
            <v>Phát</v>
          </cell>
          <cell r="E215">
            <v>8415000</v>
          </cell>
          <cell r="F215">
            <v>2103750</v>
          </cell>
          <cell r="G215" t="str">
            <v>LNH0925ND04</v>
          </cell>
          <cell r="J215">
            <v>2103750</v>
          </cell>
          <cell r="K215" t="str">
            <v>LNH1125NE01</v>
          </cell>
          <cell r="N215">
            <v>2103750</v>
          </cell>
          <cell r="O215" t="str">
            <v>LNH0326NG09</v>
          </cell>
        </row>
        <row r="216">
          <cell r="B216" t="str">
            <v>25808900057</v>
          </cell>
          <cell r="C216" t="str">
            <v>Nguyễn Hoàng Anh</v>
          </cell>
          <cell r="D216" t="str">
            <v>Khoa</v>
          </cell>
          <cell r="E216">
            <v>8415000</v>
          </cell>
          <cell r="F216">
            <v>2103750</v>
          </cell>
          <cell r="G216" t="str">
            <v>LNH0925ND04</v>
          </cell>
          <cell r="J216">
            <v>2103750</v>
          </cell>
          <cell r="K216" t="str">
            <v>LNH1125NE02</v>
          </cell>
          <cell r="N216">
            <v>2103750</v>
          </cell>
          <cell r="O216" t="str">
            <v>LNH0326NG09</v>
          </cell>
        </row>
        <row r="217">
          <cell r="B217" t="str">
            <v>25801700103</v>
          </cell>
          <cell r="C217" t="str">
            <v>Phạm Trung</v>
          </cell>
          <cell r="D217" t="str">
            <v>Nghĩa</v>
          </cell>
          <cell r="E217">
            <v>9365000</v>
          </cell>
          <cell r="F217">
            <v>2232500</v>
          </cell>
          <cell r="G217" t="str">
            <v>LNH0925ND04</v>
          </cell>
          <cell r="J217">
            <v>2103750</v>
          </cell>
          <cell r="K217" t="str">
            <v>LNH1125NE01</v>
          </cell>
          <cell r="N217">
            <v>2470000</v>
          </cell>
          <cell r="O217" t="str">
            <v>LNH0326NG09</v>
          </cell>
        </row>
        <row r="218">
          <cell r="B218" t="str">
            <v>25805800027</v>
          </cell>
          <cell r="C218" t="str">
            <v>Lê Hiền Thảo</v>
          </cell>
          <cell r="D218" t="str">
            <v>Quyên</v>
          </cell>
          <cell r="E218">
            <v>8415000</v>
          </cell>
          <cell r="F218">
            <v>2103750</v>
          </cell>
          <cell r="G218" t="str">
            <v>LNH0925ND05</v>
          </cell>
          <cell r="J218">
            <v>2103750</v>
          </cell>
          <cell r="K218" t="str">
            <v>LNH1125NE12</v>
          </cell>
          <cell r="N218">
            <v>2103750</v>
          </cell>
          <cell r="O218" t="str">
            <v>LNH0326NG09</v>
          </cell>
        </row>
        <row r="219">
          <cell r="B219" t="str">
            <v>25801800089</v>
          </cell>
          <cell r="C219" t="str">
            <v>Nguyễn Ngọc Như</v>
          </cell>
          <cell r="D219" t="str">
            <v>Ý</v>
          </cell>
          <cell r="E219">
            <v>8415000</v>
          </cell>
          <cell r="F219">
            <v>2103750</v>
          </cell>
          <cell r="G219" t="str">
            <v>LNH0925ND11</v>
          </cell>
          <cell r="J219">
            <v>2103750</v>
          </cell>
          <cell r="K219" t="str">
            <v>LNH1125NE02</v>
          </cell>
          <cell r="N219">
            <v>2103750</v>
          </cell>
          <cell r="O219" t="str">
            <v>LNH0326NG09</v>
          </cell>
        </row>
        <row r="220">
          <cell r="B220" t="str">
            <v>25805900043</v>
          </cell>
          <cell r="C220" t="str">
            <v>Nguyễn Phương</v>
          </cell>
          <cell r="D220" t="str">
            <v>Thảo</v>
          </cell>
          <cell r="E220">
            <v>8415000</v>
          </cell>
          <cell r="F220">
            <v>2103750</v>
          </cell>
          <cell r="G220" t="str">
            <v>LNH0925ND11</v>
          </cell>
          <cell r="J220">
            <v>2103750</v>
          </cell>
          <cell r="K220" t="str">
            <v>LNH1125NE12</v>
          </cell>
          <cell r="N220">
            <v>2103750</v>
          </cell>
          <cell r="O220" t="str">
            <v>LNH0326NG09</v>
          </cell>
        </row>
        <row r="221">
          <cell r="B221" t="str">
            <v>25801800021</v>
          </cell>
          <cell r="C221" t="str">
            <v>Võ Thảo</v>
          </cell>
          <cell r="D221" t="str">
            <v>Huyền</v>
          </cell>
          <cell r="E221">
            <v>8415000</v>
          </cell>
          <cell r="F221">
            <v>2103750</v>
          </cell>
          <cell r="G221" t="str">
            <v>LNH0925ND13</v>
          </cell>
          <cell r="J221">
            <v>2103750</v>
          </cell>
          <cell r="K221" t="str">
            <v>LNH1125NE05</v>
          </cell>
          <cell r="N221">
            <v>2103750</v>
          </cell>
          <cell r="O221" t="str">
            <v>LNH0326NG09</v>
          </cell>
        </row>
        <row r="222">
          <cell r="B222" t="str">
            <v>25808200137</v>
          </cell>
          <cell r="C222" t="str">
            <v>Trần Minh</v>
          </cell>
          <cell r="D222" t="str">
            <v>Tú</v>
          </cell>
          <cell r="E222">
            <v>8415000</v>
          </cell>
          <cell r="F222">
            <v>2103750</v>
          </cell>
          <cell r="G222" t="str">
            <v>LNH0925ND28</v>
          </cell>
          <cell r="J222">
            <v>2103750</v>
          </cell>
          <cell r="K222" t="str">
            <v>LNH1125NE26</v>
          </cell>
          <cell r="N222">
            <v>2103750</v>
          </cell>
          <cell r="O222" t="str">
            <v>LNH0326NG09</v>
          </cell>
        </row>
        <row r="223">
          <cell r="B223" t="str">
            <v>25807800151</v>
          </cell>
          <cell r="C223" t="str">
            <v>Nguyễn Phước</v>
          </cell>
          <cell r="D223" t="str">
            <v>Trung</v>
          </cell>
          <cell r="E223">
            <v>8415000</v>
          </cell>
          <cell r="F223">
            <v>2103750</v>
          </cell>
          <cell r="G223" t="str">
            <v>LNH0925ND33</v>
          </cell>
          <cell r="J223">
            <v>2103750</v>
          </cell>
          <cell r="K223" t="str">
            <v>LNH1125NE20</v>
          </cell>
          <cell r="N223">
            <v>2103750</v>
          </cell>
          <cell r="O223" t="str">
            <v>LNH0326NG09</v>
          </cell>
        </row>
        <row r="224">
          <cell r="B224" t="str">
            <v>25806000004</v>
          </cell>
          <cell r="C224" t="str">
            <v>Huỳnh Long</v>
          </cell>
          <cell r="D224" t="str">
            <v>Chương</v>
          </cell>
          <cell r="E224">
            <v>8415000</v>
          </cell>
          <cell r="H224">
            <v>2103750</v>
          </cell>
          <cell r="I224" t="str">
            <v>LNH1025ND01</v>
          </cell>
          <cell r="J224">
            <v>2103750</v>
          </cell>
          <cell r="K224" t="str">
            <v>LNH1125NE10</v>
          </cell>
          <cell r="N224">
            <v>2103750</v>
          </cell>
          <cell r="O224" t="str">
            <v>LNH0326NG09</v>
          </cell>
        </row>
        <row r="225">
          <cell r="B225" t="str">
            <v>25802800180</v>
          </cell>
          <cell r="C225" t="str">
            <v>Thái Huỳnh</v>
          </cell>
          <cell r="D225" t="str">
            <v>Nhân</v>
          </cell>
          <cell r="E225">
            <v>8415000</v>
          </cell>
          <cell r="F225">
            <v>2103750</v>
          </cell>
          <cell r="G225" t="str">
            <v>LNH0925ND04</v>
          </cell>
          <cell r="J225">
            <v>2103750</v>
          </cell>
          <cell r="K225" t="str">
            <v>LNH1125NE12</v>
          </cell>
          <cell r="N225">
            <v>2103750</v>
          </cell>
          <cell r="O225" t="str">
            <v>LNH0326NG10</v>
          </cell>
        </row>
        <row r="226">
          <cell r="B226" t="str">
            <v>25802800155</v>
          </cell>
          <cell r="C226" t="str">
            <v>Nguyễn Huỳnh Đình</v>
          </cell>
          <cell r="D226" t="str">
            <v>Nghi</v>
          </cell>
          <cell r="E226">
            <v>8415000</v>
          </cell>
          <cell r="F226">
            <v>2103750</v>
          </cell>
          <cell r="G226" t="str">
            <v>LNH0925ND07</v>
          </cell>
          <cell r="J226">
            <v>2103750</v>
          </cell>
          <cell r="K226" t="str">
            <v>LNH1125NE11</v>
          </cell>
          <cell r="N226">
            <v>2103750</v>
          </cell>
          <cell r="O226" t="str">
            <v>LNH0326NG10</v>
          </cell>
        </row>
        <row r="227">
          <cell r="B227" t="str">
            <v>25808900122</v>
          </cell>
          <cell r="C227" t="str">
            <v>Nguyễn Ngọc</v>
          </cell>
          <cell r="D227" t="str">
            <v>Thuận</v>
          </cell>
          <cell r="E227">
            <v>8415000</v>
          </cell>
          <cell r="F227">
            <v>2103750</v>
          </cell>
          <cell r="G227" t="str">
            <v>LNH0925ND09</v>
          </cell>
          <cell r="J227">
            <v>2103750</v>
          </cell>
          <cell r="K227" t="str">
            <v>LNH1125NE12</v>
          </cell>
          <cell r="N227">
            <v>2103750</v>
          </cell>
          <cell r="O227" t="str">
            <v>LNH0326NG10</v>
          </cell>
        </row>
        <row r="228">
          <cell r="B228" t="str">
            <v>25805800025</v>
          </cell>
          <cell r="C228" t="str">
            <v>Thái Gia</v>
          </cell>
          <cell r="D228" t="str">
            <v>Phú</v>
          </cell>
          <cell r="E228">
            <v>8415000</v>
          </cell>
          <cell r="F228">
            <v>2103750</v>
          </cell>
          <cell r="G228" t="str">
            <v>LNH0925ND11</v>
          </cell>
          <cell r="K228" t="str">
            <v>Level 3,4</v>
          </cell>
          <cell r="N228">
            <v>2103750</v>
          </cell>
          <cell r="O228" t="str">
            <v>LNH0326NG10</v>
          </cell>
        </row>
        <row r="229">
          <cell r="B229" t="str">
            <v>25808500106</v>
          </cell>
          <cell r="C229" t="str">
            <v>Phạm Ngọc</v>
          </cell>
          <cell r="D229" t="str">
            <v>Hân</v>
          </cell>
          <cell r="E229">
            <v>8415000</v>
          </cell>
          <cell r="F229">
            <v>2103750</v>
          </cell>
          <cell r="G229" t="str">
            <v>LNH0925ND12</v>
          </cell>
          <cell r="J229">
            <v>2103750</v>
          </cell>
          <cell r="K229" t="str">
            <v>LNH1125NE11</v>
          </cell>
          <cell r="N229">
            <v>2103750</v>
          </cell>
          <cell r="O229" t="str">
            <v>LNH0326NG10</v>
          </cell>
        </row>
        <row r="230">
          <cell r="B230" t="str">
            <v>25801800161</v>
          </cell>
          <cell r="C230" t="str">
            <v>Nguyễn Thị Kiều</v>
          </cell>
          <cell r="D230" t="str">
            <v>Vy</v>
          </cell>
          <cell r="E230">
            <v>8415000</v>
          </cell>
          <cell r="F230">
            <v>2103750</v>
          </cell>
          <cell r="G230" t="str">
            <v>LNH0925ND12</v>
          </cell>
          <cell r="J230">
            <v>2103750</v>
          </cell>
          <cell r="K230" t="str">
            <v>LNH1125NE11</v>
          </cell>
          <cell r="N230">
            <v>2103750</v>
          </cell>
          <cell r="O230" t="str">
            <v>LNH0326NG10</v>
          </cell>
        </row>
        <row r="231">
          <cell r="B231" t="str">
            <v>25805900035</v>
          </cell>
          <cell r="C231" t="str">
            <v>Chu Lập</v>
          </cell>
          <cell r="D231" t="str">
            <v>Quốc</v>
          </cell>
          <cell r="E231">
            <v>4465000</v>
          </cell>
          <cell r="F231">
            <v>2232500</v>
          </cell>
          <cell r="G231" t="str">
            <v>LNH0925ND12</v>
          </cell>
          <cell r="K231" t="str">
            <v>Level 3</v>
          </cell>
          <cell r="N231">
            <v>2232500</v>
          </cell>
          <cell r="O231" t="str">
            <v>LNH0326NG10</v>
          </cell>
        </row>
        <row r="232">
          <cell r="B232" t="str">
            <v>25809600068</v>
          </cell>
          <cell r="C232" t="str">
            <v>Võ Việt</v>
          </cell>
          <cell r="D232" t="str">
            <v>Trí</v>
          </cell>
          <cell r="E232">
            <v>8415000</v>
          </cell>
          <cell r="F232">
            <v>2103750</v>
          </cell>
          <cell r="G232" t="str">
            <v>LNH0925ND13</v>
          </cell>
          <cell r="J232">
            <v>2103750</v>
          </cell>
          <cell r="K232" t="str">
            <v>LNH1125NE11</v>
          </cell>
          <cell r="N232">
            <v>2103750</v>
          </cell>
          <cell r="O232" t="str">
            <v>LNH0326NG10</v>
          </cell>
        </row>
        <row r="233">
          <cell r="B233" t="str">
            <v>25802800392</v>
          </cell>
          <cell r="C233" t="str">
            <v>Nguyễn Chí</v>
          </cell>
          <cell r="D233" t="str">
            <v>Thành</v>
          </cell>
          <cell r="E233">
            <v>8415000</v>
          </cell>
          <cell r="F233">
            <v>2103750</v>
          </cell>
          <cell r="G233" t="str">
            <v>LNH0925ND13</v>
          </cell>
          <cell r="J233">
            <v>2232500</v>
          </cell>
          <cell r="K233" t="str">
            <v>LNH1125NE01</v>
          </cell>
          <cell r="N233">
            <v>2103750</v>
          </cell>
          <cell r="O233" t="str">
            <v>LNH0326NG10</v>
          </cell>
        </row>
        <row r="234">
          <cell r="B234" t="str">
            <v>25808900004</v>
          </cell>
          <cell r="C234" t="str">
            <v>Đào Duy</v>
          </cell>
          <cell r="D234" t="str">
            <v>Anh</v>
          </cell>
          <cell r="E234">
            <v>8415000</v>
          </cell>
          <cell r="F234">
            <v>2103750</v>
          </cell>
          <cell r="G234" t="str">
            <v>LNH0925ND14</v>
          </cell>
          <cell r="J234">
            <v>2103750</v>
          </cell>
          <cell r="K234" t="str">
            <v>LNH1125NE11</v>
          </cell>
          <cell r="N234">
            <v>2103750</v>
          </cell>
          <cell r="O234" t="str">
            <v>LNH0326NG10</v>
          </cell>
        </row>
        <row r="235">
          <cell r="B235" t="str">
            <v>25808900229</v>
          </cell>
          <cell r="C235" t="str">
            <v>Nguyễn Thiên</v>
          </cell>
          <cell r="D235" t="str">
            <v>Ân</v>
          </cell>
          <cell r="E235">
            <v>8415000</v>
          </cell>
          <cell r="F235">
            <v>2103750</v>
          </cell>
          <cell r="G235" t="str">
            <v>LNH0925ND18</v>
          </cell>
          <cell r="J235">
            <v>2103750</v>
          </cell>
          <cell r="K235" t="str">
            <v>LNH1125NE11</v>
          </cell>
          <cell r="N235">
            <v>2103750</v>
          </cell>
          <cell r="O235" t="str">
            <v>LNH0326NG10</v>
          </cell>
        </row>
        <row r="236">
          <cell r="B236" t="str">
            <v>25808900091</v>
          </cell>
          <cell r="C236" t="str">
            <v>Dương Thị Tuyết</v>
          </cell>
          <cell r="D236" t="str">
            <v>Nhi</v>
          </cell>
          <cell r="E236">
            <v>8415000</v>
          </cell>
          <cell r="F236">
            <v>2103750</v>
          </cell>
          <cell r="G236" t="str">
            <v>LNH0925ND21</v>
          </cell>
          <cell r="J236">
            <v>2103750</v>
          </cell>
          <cell r="K236" t="str">
            <v>LNH1125NE12</v>
          </cell>
          <cell r="N236">
            <v>2103750</v>
          </cell>
          <cell r="O236" t="str">
            <v>LNH0326NG10</v>
          </cell>
        </row>
        <row r="237">
          <cell r="B237" t="str">
            <v>25808900109</v>
          </cell>
          <cell r="C237" t="str">
            <v>Lê Văn</v>
          </cell>
          <cell r="D237" t="str">
            <v>Tấn</v>
          </cell>
          <cell r="E237">
            <v>8415000</v>
          </cell>
          <cell r="F237">
            <v>2103750</v>
          </cell>
          <cell r="G237" t="str">
            <v>LNH0925ND21</v>
          </cell>
          <cell r="J237">
            <v>2103750</v>
          </cell>
          <cell r="K237" t="str">
            <v>LNH1125NE12</v>
          </cell>
          <cell r="N237">
            <v>2103750</v>
          </cell>
          <cell r="O237" t="str">
            <v>LNH0326NG10</v>
          </cell>
        </row>
        <row r="238">
          <cell r="B238" t="str">
            <v>25802400028</v>
          </cell>
          <cell r="C238" t="str">
            <v>Nguyễn Thị Xuân</v>
          </cell>
          <cell r="D238" t="str">
            <v>Thảo</v>
          </cell>
          <cell r="E238">
            <v>8415000</v>
          </cell>
          <cell r="H238">
            <v>2103750</v>
          </cell>
          <cell r="I238" t="str">
            <v>LNH1025ND01</v>
          </cell>
          <cell r="K238" t="str">
            <v>Level 3,4</v>
          </cell>
          <cell r="N238">
            <v>2103750</v>
          </cell>
          <cell r="O238" t="str">
            <v>LNH0326NG10</v>
          </cell>
        </row>
        <row r="239">
          <cell r="B239" t="str">
            <v>25820700012</v>
          </cell>
          <cell r="C239" t="str">
            <v>Ngô Mạnh Trường</v>
          </cell>
          <cell r="D239" t="str">
            <v>Huy</v>
          </cell>
          <cell r="E239">
            <v>7415000</v>
          </cell>
          <cell r="J239">
            <v>2600000</v>
          </cell>
          <cell r="K239" t="str">
            <v>LNH1125NE18</v>
          </cell>
          <cell r="N239">
            <v>2470000</v>
          </cell>
          <cell r="O239" t="str">
            <v>LNH0326NG10</v>
          </cell>
        </row>
        <row r="240">
          <cell r="B240" t="str">
            <v>25808700077</v>
          </cell>
          <cell r="C240" t="str">
            <v>Trần Thanh</v>
          </cell>
          <cell r="D240" t="str">
            <v>Phong</v>
          </cell>
          <cell r="E240">
            <v>8415000</v>
          </cell>
          <cell r="J240">
            <v>2103750</v>
          </cell>
          <cell r="K240" t="str">
            <v>LNH1125NE22</v>
          </cell>
          <cell r="N240">
            <v>2103750</v>
          </cell>
          <cell r="O240" t="str">
            <v>LNH0326NG10</v>
          </cell>
        </row>
        <row r="241">
          <cell r="B241" t="str">
            <v>25808600033</v>
          </cell>
          <cell r="C241" t="str">
            <v>Phạm Thị Ngọc</v>
          </cell>
          <cell r="D241" t="str">
            <v>Hân</v>
          </cell>
          <cell r="E241">
            <v>8415000</v>
          </cell>
          <cell r="F241">
            <v>2103750</v>
          </cell>
          <cell r="G241" t="str">
            <v>LNH0925ND01</v>
          </cell>
          <cell r="J241">
            <v>2103750</v>
          </cell>
          <cell r="K241" t="str">
            <v>LNH1125NE10</v>
          </cell>
          <cell r="N241">
            <v>2103750</v>
          </cell>
          <cell r="O241" t="str">
            <v>LNH0326NG11</v>
          </cell>
        </row>
        <row r="242">
          <cell r="B242" t="str">
            <v>25808600160</v>
          </cell>
          <cell r="C242" t="str">
            <v>Nguyễn Thị Như</v>
          </cell>
          <cell r="D242" t="str">
            <v>Ý</v>
          </cell>
          <cell r="E242">
            <v>8415000</v>
          </cell>
          <cell r="F242">
            <v>2103750</v>
          </cell>
          <cell r="G242" t="str">
            <v>LNH0925ND01</v>
          </cell>
          <cell r="J242">
            <v>2103750</v>
          </cell>
          <cell r="K242" t="str">
            <v>LNH1125NE10</v>
          </cell>
          <cell r="N242">
            <v>2103750</v>
          </cell>
          <cell r="O242" t="str">
            <v>LNH0326NG11</v>
          </cell>
        </row>
        <row r="243">
          <cell r="B243" t="str">
            <v>25808900043</v>
          </cell>
          <cell r="C243" t="str">
            <v>Huỳnh Xuân</v>
          </cell>
          <cell r="D243" t="str">
            <v>Hùng</v>
          </cell>
          <cell r="E243">
            <v>8415000</v>
          </cell>
          <cell r="F243">
            <v>2103750</v>
          </cell>
          <cell r="G243" t="str">
            <v>LNH0925ND02</v>
          </cell>
          <cell r="J243">
            <v>2103750</v>
          </cell>
          <cell r="K243" t="str">
            <v>LNH1125NE09</v>
          </cell>
          <cell r="N243">
            <v>2103750</v>
          </cell>
          <cell r="O243" t="str">
            <v>LNH0326NG11</v>
          </cell>
        </row>
        <row r="244">
          <cell r="B244" t="str">
            <v>25808900240</v>
          </cell>
          <cell r="C244" t="str">
            <v>Phạm Văn</v>
          </cell>
          <cell r="D244" t="str">
            <v>Thành</v>
          </cell>
          <cell r="E244">
            <v>8415000</v>
          </cell>
          <cell r="F244">
            <v>2103750</v>
          </cell>
          <cell r="G244" t="str">
            <v>LNH0925ND03</v>
          </cell>
          <cell r="J244">
            <v>2103750</v>
          </cell>
          <cell r="K244" t="str">
            <v>LNH1125NE09</v>
          </cell>
          <cell r="N244">
            <v>2103750</v>
          </cell>
          <cell r="O244" t="str">
            <v>LNH0326NG11</v>
          </cell>
        </row>
        <row r="245">
          <cell r="B245" t="str">
            <v>25801800014</v>
          </cell>
          <cell r="C245" t="str">
            <v>Nguyễn Thị Thu</v>
          </cell>
          <cell r="D245" t="str">
            <v>Hằng</v>
          </cell>
          <cell r="E245">
            <v>8415000</v>
          </cell>
          <cell r="F245">
            <v>2103750</v>
          </cell>
          <cell r="G245" t="str">
            <v>LNH0925ND07</v>
          </cell>
          <cell r="J245">
            <v>2103750</v>
          </cell>
          <cell r="K245" t="str">
            <v>LNH1125NE12</v>
          </cell>
          <cell r="N245">
            <v>2103750</v>
          </cell>
          <cell r="O245" t="str">
            <v>LNH0326NG11</v>
          </cell>
        </row>
        <row r="246">
          <cell r="B246" t="str">
            <v>25802800006</v>
          </cell>
          <cell r="C246" t="str">
            <v>Lê Hồng</v>
          </cell>
          <cell r="D246" t="str">
            <v>Anh</v>
          </cell>
          <cell r="E246">
            <v>8415000</v>
          </cell>
          <cell r="F246">
            <v>2103750</v>
          </cell>
          <cell r="G246" t="str">
            <v>LNH0925ND09</v>
          </cell>
          <cell r="J246">
            <v>2103750</v>
          </cell>
          <cell r="K246" t="str">
            <v>LNH1125NE02</v>
          </cell>
          <cell r="N246">
            <v>2103750</v>
          </cell>
          <cell r="O246" t="str">
            <v>LNH0326NG11</v>
          </cell>
        </row>
        <row r="247">
          <cell r="B247" t="str">
            <v>25801100089</v>
          </cell>
          <cell r="C247" t="str">
            <v>Trần Thị</v>
          </cell>
          <cell r="D247" t="str">
            <v>Hà</v>
          </cell>
          <cell r="E247">
            <v>8415000</v>
          </cell>
          <cell r="F247">
            <v>2103750</v>
          </cell>
          <cell r="G247" t="str">
            <v>LNH0925ND10</v>
          </cell>
          <cell r="J247">
            <v>2103750</v>
          </cell>
          <cell r="K247" t="str">
            <v>LNH1125NE07</v>
          </cell>
          <cell r="N247">
            <v>2103750</v>
          </cell>
          <cell r="O247" t="str">
            <v>LNH0326NG11</v>
          </cell>
        </row>
        <row r="248">
          <cell r="B248" t="str">
            <v>25808600135</v>
          </cell>
          <cell r="C248" t="str">
            <v>Trần Thị Huyền</v>
          </cell>
          <cell r="D248" t="str">
            <v>Trân</v>
          </cell>
          <cell r="E248">
            <v>8415000</v>
          </cell>
          <cell r="F248">
            <v>2103750</v>
          </cell>
          <cell r="G248" t="str">
            <v>LNH0925ND13</v>
          </cell>
          <cell r="J248">
            <v>2103750</v>
          </cell>
          <cell r="K248" t="str">
            <v>LNH1125NE14</v>
          </cell>
          <cell r="N248">
            <v>2103750</v>
          </cell>
          <cell r="O248" t="str">
            <v>LNH0326NG11</v>
          </cell>
        </row>
        <row r="249">
          <cell r="B249" t="str">
            <v>25809600017</v>
          </cell>
          <cell r="C249" t="str">
            <v>Phan Nguyễn Anh</v>
          </cell>
          <cell r="D249" t="str">
            <v>Đức</v>
          </cell>
          <cell r="E249">
            <v>8415000</v>
          </cell>
          <cell r="F249">
            <v>2103750</v>
          </cell>
          <cell r="G249" t="str">
            <v>LNH0925ND13</v>
          </cell>
          <cell r="J249">
            <v>2103750</v>
          </cell>
          <cell r="K249" t="str">
            <v>LNH1125NE20</v>
          </cell>
          <cell r="N249">
            <v>2103750</v>
          </cell>
          <cell r="O249" t="str">
            <v>LNH0326NG11</v>
          </cell>
        </row>
        <row r="250">
          <cell r="B250" t="str">
            <v>25802800399</v>
          </cell>
          <cell r="C250" t="str">
            <v>Phạm Thanh</v>
          </cell>
          <cell r="D250" t="str">
            <v>Sơn</v>
          </cell>
          <cell r="E250">
            <v>8415000</v>
          </cell>
          <cell r="F250">
            <v>2103750</v>
          </cell>
          <cell r="G250" t="str">
            <v>LNH0925ND13</v>
          </cell>
          <cell r="J250">
            <v>2103750</v>
          </cell>
          <cell r="K250" t="str">
            <v>LNH1125NE02</v>
          </cell>
          <cell r="N250">
            <v>2103750</v>
          </cell>
          <cell r="O250" t="str">
            <v>LNH0326NG11</v>
          </cell>
        </row>
        <row r="251">
          <cell r="B251" t="str">
            <v>25802800144</v>
          </cell>
          <cell r="C251" t="str">
            <v>Phạm Nguyễn Ngọc</v>
          </cell>
          <cell r="D251" t="str">
            <v>Mai</v>
          </cell>
          <cell r="E251">
            <v>8415000</v>
          </cell>
          <cell r="F251">
            <v>2103750</v>
          </cell>
          <cell r="G251" t="str">
            <v>LNH0925ND14</v>
          </cell>
          <cell r="J251">
            <v>2103750</v>
          </cell>
          <cell r="K251" t="str">
            <v>LNH1125NE02</v>
          </cell>
          <cell r="N251">
            <v>2103750</v>
          </cell>
          <cell r="O251" t="str">
            <v>LNH0326NG11</v>
          </cell>
        </row>
        <row r="252">
          <cell r="B252" t="str">
            <v>25806600350</v>
          </cell>
          <cell r="C252" t="str">
            <v>Lê Gia</v>
          </cell>
          <cell r="D252" t="str">
            <v>Minh</v>
          </cell>
          <cell r="E252">
            <v>8415000</v>
          </cell>
          <cell r="F252">
            <v>2103750</v>
          </cell>
          <cell r="G252" t="str">
            <v>LNH0925ND14</v>
          </cell>
          <cell r="J252">
            <v>2103750</v>
          </cell>
          <cell r="K252" t="str">
            <v>LNH1125NE05</v>
          </cell>
          <cell r="N252">
            <v>2103750</v>
          </cell>
          <cell r="O252" t="str">
            <v>LNH0326NG11</v>
          </cell>
        </row>
        <row r="253">
          <cell r="B253" t="str">
            <v>25808900014</v>
          </cell>
          <cell r="C253" t="str">
            <v>Trần Minh</v>
          </cell>
          <cell r="D253" t="str">
            <v>Chí</v>
          </cell>
          <cell r="E253">
            <v>8415000</v>
          </cell>
          <cell r="F253">
            <v>2103750</v>
          </cell>
          <cell r="G253" t="str">
            <v>LNH0925ND21</v>
          </cell>
          <cell r="J253">
            <v>2103750</v>
          </cell>
          <cell r="K253" t="str">
            <v>LNH1125NE12</v>
          </cell>
          <cell r="N253">
            <v>2103750</v>
          </cell>
          <cell r="O253" t="str">
            <v>LNH0326NG11</v>
          </cell>
        </row>
        <row r="254">
          <cell r="B254" t="str">
            <v>25808900146</v>
          </cell>
          <cell r="C254" t="str">
            <v>Phùng Minh</v>
          </cell>
          <cell r="D254" t="str">
            <v>Tuấn</v>
          </cell>
          <cell r="E254">
            <v>8415000</v>
          </cell>
          <cell r="F254">
            <v>2103750</v>
          </cell>
          <cell r="G254" t="str">
            <v>LNH0925ND21</v>
          </cell>
          <cell r="J254">
            <v>2103750</v>
          </cell>
          <cell r="K254" t="str">
            <v>LNH1125NE12</v>
          </cell>
          <cell r="N254">
            <v>2103750</v>
          </cell>
          <cell r="O254" t="str">
            <v>LNH0326NG11</v>
          </cell>
        </row>
        <row r="255">
          <cell r="B255" t="str">
            <v>25802800025</v>
          </cell>
          <cell r="C255" t="str">
            <v>Trần Vũ Bảo</v>
          </cell>
          <cell r="D255" t="str">
            <v>Châu</v>
          </cell>
          <cell r="E255">
            <v>9405000</v>
          </cell>
          <cell r="F255">
            <v>2232500</v>
          </cell>
          <cell r="G255" t="str">
            <v>LNH0925ND22</v>
          </cell>
          <cell r="J255">
            <v>2232500</v>
          </cell>
          <cell r="K255" t="str">
            <v>LNH1125NE11</v>
          </cell>
          <cell r="N255">
            <v>2470000</v>
          </cell>
          <cell r="O255" t="str">
            <v>LNH0326NG11</v>
          </cell>
        </row>
        <row r="256">
          <cell r="B256" t="str">
            <v>25802800199</v>
          </cell>
          <cell r="C256" t="str">
            <v>Trần Xuân</v>
          </cell>
          <cell r="D256" t="str">
            <v>Phát</v>
          </cell>
          <cell r="E256">
            <v>8415000</v>
          </cell>
          <cell r="F256">
            <v>2103750</v>
          </cell>
          <cell r="G256" t="str">
            <v>LNH0925ND23</v>
          </cell>
          <cell r="J256">
            <v>2103750</v>
          </cell>
          <cell r="K256" t="str">
            <v>LNH1125NE03</v>
          </cell>
          <cell r="N256">
            <v>2103750</v>
          </cell>
          <cell r="O256" t="str">
            <v>LNH0326NG11</v>
          </cell>
        </row>
        <row r="257">
          <cell r="B257" t="str">
            <v>25802800167</v>
          </cell>
          <cell r="C257" t="str">
            <v>Nguyễn Trần Phương</v>
          </cell>
          <cell r="D257" t="str">
            <v>Ngọc</v>
          </cell>
          <cell r="E257">
            <v>4940000</v>
          </cell>
          <cell r="K257" t="str">
            <v>Level 3,4</v>
          </cell>
          <cell r="N257">
            <v>2470000</v>
          </cell>
          <cell r="O257" t="str">
            <v>LNH0326NG11</v>
          </cell>
        </row>
        <row r="258">
          <cell r="B258" t="str">
            <v>25805900091</v>
          </cell>
          <cell r="C258" t="str">
            <v>Phạm Phương</v>
          </cell>
          <cell r="D258" t="str">
            <v>Uyên</v>
          </cell>
          <cell r="E258">
            <v>7065000</v>
          </cell>
          <cell r="H258">
            <v>2232500</v>
          </cell>
          <cell r="I258" t="str">
            <v>LNH1025ND01</v>
          </cell>
          <cell r="J258">
            <v>2232500</v>
          </cell>
          <cell r="K258" t="str">
            <v>LNH1125NE08</v>
          </cell>
          <cell r="N258">
            <v>2600000</v>
          </cell>
          <cell r="O258" t="str">
            <v>LNH0326NG12</v>
          </cell>
        </row>
        <row r="259">
          <cell r="B259" t="str">
            <v>25801200021</v>
          </cell>
          <cell r="C259" t="str">
            <v>Trần Quang</v>
          </cell>
          <cell r="D259" t="str">
            <v>Minh</v>
          </cell>
          <cell r="E259">
            <v>8415000</v>
          </cell>
          <cell r="F259">
            <v>2103750</v>
          </cell>
          <cell r="G259" t="str">
            <v>LNH0925ND02</v>
          </cell>
          <cell r="J259">
            <v>2103750</v>
          </cell>
          <cell r="K259" t="str">
            <v>LNH1125NE09</v>
          </cell>
          <cell r="N259">
            <v>2103750</v>
          </cell>
          <cell r="O259" t="str">
            <v>LNH0326NG12</v>
          </cell>
        </row>
        <row r="260">
          <cell r="B260" t="str">
            <v>25802800015</v>
          </cell>
          <cell r="C260" t="str">
            <v>Nguyễn Ngọc Bảo</v>
          </cell>
          <cell r="D260" t="str">
            <v>Ân</v>
          </cell>
          <cell r="E260">
            <v>8415000</v>
          </cell>
          <cell r="F260">
            <v>2103750</v>
          </cell>
          <cell r="G260" t="str">
            <v>LNH0925ND03</v>
          </cell>
          <cell r="J260">
            <v>2103750</v>
          </cell>
          <cell r="K260" t="str">
            <v>LNH1125NE02</v>
          </cell>
          <cell r="N260">
            <v>2103750</v>
          </cell>
          <cell r="O260" t="str">
            <v>LNH0326NG12</v>
          </cell>
        </row>
        <row r="261">
          <cell r="B261" t="str">
            <v>25808300013</v>
          </cell>
          <cell r="C261" t="str">
            <v>Vi Thị Tú</v>
          </cell>
          <cell r="D261" t="str">
            <v>Hảo</v>
          </cell>
          <cell r="E261">
            <v>8415000</v>
          </cell>
          <cell r="F261">
            <v>2103750</v>
          </cell>
          <cell r="G261" t="str">
            <v>LNH0925ND06</v>
          </cell>
          <cell r="K261" t="str">
            <v>Level 3,4</v>
          </cell>
          <cell r="N261">
            <v>2103750</v>
          </cell>
          <cell r="O261" t="str">
            <v>LNH0326NG12</v>
          </cell>
        </row>
        <row r="262">
          <cell r="B262" t="str">
            <v>25802600139</v>
          </cell>
          <cell r="C262" t="str">
            <v>Phạm Nguyễn Thảo</v>
          </cell>
          <cell r="D262" t="str">
            <v>Vy</v>
          </cell>
          <cell r="E262">
            <v>8415000</v>
          </cell>
          <cell r="F262">
            <v>2103750</v>
          </cell>
          <cell r="G262" t="str">
            <v>LNH0925ND09</v>
          </cell>
          <cell r="J262">
            <v>2103750</v>
          </cell>
          <cell r="K262" t="str">
            <v>LNH1125NE13</v>
          </cell>
          <cell r="N262">
            <v>2103750</v>
          </cell>
          <cell r="O262" t="str">
            <v>LNH0326NG12</v>
          </cell>
        </row>
        <row r="263">
          <cell r="B263" t="str">
            <v>25806000026</v>
          </cell>
          <cell r="C263" t="str">
            <v>Phạm Văn Vĩnh</v>
          </cell>
          <cell r="D263" t="str">
            <v>Phúc</v>
          </cell>
          <cell r="E263">
            <v>8415000</v>
          </cell>
          <cell r="F263">
            <v>2103750</v>
          </cell>
          <cell r="G263" t="str">
            <v>LNH0925ND09</v>
          </cell>
          <cell r="J263">
            <v>2103750</v>
          </cell>
          <cell r="K263" t="str">
            <v>LNH1125NE10</v>
          </cell>
          <cell r="N263">
            <v>2103750</v>
          </cell>
          <cell r="O263" t="str">
            <v>LNH0326NG12</v>
          </cell>
        </row>
        <row r="264">
          <cell r="B264" t="str">
            <v>25806000007</v>
          </cell>
          <cell r="C264" t="str">
            <v>Nguyễn Quốc</v>
          </cell>
          <cell r="D264" t="str">
            <v>Duy</v>
          </cell>
          <cell r="E264">
            <v>8415000</v>
          </cell>
          <cell r="F264">
            <v>2103750</v>
          </cell>
          <cell r="G264" t="str">
            <v>LNH0925ND11</v>
          </cell>
          <cell r="K264" t="str">
            <v>Level 3,4</v>
          </cell>
          <cell r="N264">
            <v>2103750</v>
          </cell>
          <cell r="O264" t="str">
            <v>LNH0326NG12</v>
          </cell>
        </row>
        <row r="265">
          <cell r="B265" t="str">
            <v>25808300103</v>
          </cell>
          <cell r="C265" t="str">
            <v>Lê Thị Thuỳ</v>
          </cell>
          <cell r="D265" t="str">
            <v>Dịu</v>
          </cell>
          <cell r="E265">
            <v>8415000</v>
          </cell>
          <cell r="F265">
            <v>2103750</v>
          </cell>
          <cell r="G265" t="str">
            <v>LNH0925ND13</v>
          </cell>
          <cell r="J265">
            <v>2103750</v>
          </cell>
          <cell r="K265" t="str">
            <v>LNH1125NE05</v>
          </cell>
          <cell r="N265">
            <v>2103750</v>
          </cell>
          <cell r="O265" t="str">
            <v>LNH0326NG12</v>
          </cell>
        </row>
        <row r="266">
          <cell r="B266" t="str">
            <v>25808700079</v>
          </cell>
          <cell r="C266" t="str">
            <v>Đặng Hiểu</v>
          </cell>
          <cell r="D266" t="str">
            <v>Phúc</v>
          </cell>
          <cell r="E266">
            <v>8415000</v>
          </cell>
          <cell r="F266">
            <v>2103750</v>
          </cell>
          <cell r="G266" t="str">
            <v>LNH0925ND14</v>
          </cell>
          <cell r="J266">
            <v>2103750</v>
          </cell>
          <cell r="K266" t="str">
            <v>LNH1125NE05</v>
          </cell>
          <cell r="N266">
            <v>2103750</v>
          </cell>
          <cell r="O266" t="str">
            <v>LNH0326NG12</v>
          </cell>
        </row>
        <row r="267">
          <cell r="B267" t="str">
            <v>25800400058</v>
          </cell>
          <cell r="C267" t="str">
            <v>Phan Ngọc Gia</v>
          </cell>
          <cell r="D267" t="str">
            <v>Huy</v>
          </cell>
          <cell r="E267">
            <v>8415000</v>
          </cell>
          <cell r="F267">
            <v>2103750</v>
          </cell>
          <cell r="G267" t="str">
            <v>LNH0925ND15</v>
          </cell>
          <cell r="J267">
            <v>2103750</v>
          </cell>
          <cell r="K267" t="str">
            <v>LNH1125NE13</v>
          </cell>
          <cell r="N267">
            <v>2103750</v>
          </cell>
          <cell r="O267" t="str">
            <v>LNH0326NG12</v>
          </cell>
        </row>
        <row r="268">
          <cell r="B268" t="str">
            <v>25802600171</v>
          </cell>
          <cell r="C268" t="str">
            <v>Bùi Ngọc Hải</v>
          </cell>
          <cell r="D268" t="str">
            <v>Linh</v>
          </cell>
          <cell r="E268">
            <v>8415000</v>
          </cell>
          <cell r="F268">
            <v>2103750</v>
          </cell>
          <cell r="G268" t="str">
            <v>LNH0925ND25</v>
          </cell>
          <cell r="J268">
            <v>2103750</v>
          </cell>
          <cell r="K268" t="str">
            <v>LNH1125NE13</v>
          </cell>
          <cell r="N268">
            <v>2103750</v>
          </cell>
          <cell r="O268" t="str">
            <v>LNH0326NG12</v>
          </cell>
        </row>
        <row r="269">
          <cell r="B269" t="str">
            <v>25808100019</v>
          </cell>
          <cell r="C269" t="str">
            <v>Trần Gia</v>
          </cell>
          <cell r="D269" t="str">
            <v>Huy</v>
          </cell>
          <cell r="E269">
            <v>8415000</v>
          </cell>
          <cell r="F269">
            <v>2103750</v>
          </cell>
          <cell r="G269" t="str">
            <v>LNH0925ND26</v>
          </cell>
          <cell r="J269">
            <v>2103750</v>
          </cell>
          <cell r="K269" t="str">
            <v>LNH1125NE22</v>
          </cell>
          <cell r="N269">
            <v>2103750</v>
          </cell>
          <cell r="O269" t="str">
            <v>LNH0326NG12</v>
          </cell>
        </row>
        <row r="270">
          <cell r="B270" t="str">
            <v>25803800058</v>
          </cell>
          <cell r="C270" t="str">
            <v>Giang Quốc</v>
          </cell>
          <cell r="D270" t="str">
            <v>Thịnh</v>
          </cell>
          <cell r="E270">
            <v>8415000</v>
          </cell>
          <cell r="F270">
            <v>2103750</v>
          </cell>
          <cell r="G270" t="str">
            <v>LNH0925ND33</v>
          </cell>
          <cell r="J270">
            <v>2103750</v>
          </cell>
          <cell r="K270" t="str">
            <v>LNH1125NE30</v>
          </cell>
          <cell r="N270">
            <v>2103750</v>
          </cell>
          <cell r="O270" t="str">
            <v>LNH0326NG12</v>
          </cell>
        </row>
        <row r="271">
          <cell r="B271" t="str">
            <v>25808100045</v>
          </cell>
          <cell r="C271" t="str">
            <v>Nguyễn Hoàng</v>
          </cell>
          <cell r="D271" t="str">
            <v>Quân</v>
          </cell>
          <cell r="E271">
            <v>8415000</v>
          </cell>
          <cell r="H271">
            <v>2103750</v>
          </cell>
          <cell r="I271" t="str">
            <v>LNH1025ND02</v>
          </cell>
          <cell r="J271">
            <v>2103750</v>
          </cell>
          <cell r="K271" t="str">
            <v>LNH1125NE27</v>
          </cell>
          <cell r="N271">
            <v>2103750</v>
          </cell>
          <cell r="O271" t="str">
            <v>LNH0326NG12</v>
          </cell>
        </row>
        <row r="272">
          <cell r="B272" t="str">
            <v>25802400010</v>
          </cell>
          <cell r="C272" t="str">
            <v>Nguyễn Thị Thảo</v>
          </cell>
          <cell r="D272" t="str">
            <v>Linh</v>
          </cell>
          <cell r="E272">
            <v>4940000</v>
          </cell>
          <cell r="K272" t="str">
            <v>Level 3,4</v>
          </cell>
          <cell r="N272">
            <v>2470000</v>
          </cell>
          <cell r="O272" t="str">
            <v>LNH0326NG12</v>
          </cell>
        </row>
        <row r="273">
          <cell r="B273" t="str">
            <v>25802700050</v>
          </cell>
          <cell r="C273" t="str">
            <v>Vũ Nguyễn Hoàng</v>
          </cell>
          <cell r="D273" t="str">
            <v>Minh</v>
          </cell>
          <cell r="E273">
            <v>4940000</v>
          </cell>
          <cell r="K273" t="str">
            <v>Level 3,4</v>
          </cell>
          <cell r="N273">
            <v>2470000</v>
          </cell>
          <cell r="O273" t="str">
            <v>LNH0326NG12</v>
          </cell>
        </row>
        <row r="274">
          <cell r="B274" t="str">
            <v>25808700034</v>
          </cell>
          <cell r="C274" t="str">
            <v xml:space="preserve">Nguyễn Gia </v>
          </cell>
          <cell r="D274" t="str">
            <v>Hưng</v>
          </cell>
          <cell r="E274">
            <v>2600000</v>
          </cell>
          <cell r="N274">
            <v>2600000</v>
          </cell>
          <cell r="O274" t="str">
            <v>LNH0326NG12</v>
          </cell>
        </row>
        <row r="275">
          <cell r="B275" t="str">
            <v>25805800048</v>
          </cell>
          <cell r="C275" t="str">
            <v>Trần Chí</v>
          </cell>
          <cell r="D275" t="str">
            <v>Huy</v>
          </cell>
          <cell r="E275">
            <v>8415000</v>
          </cell>
          <cell r="F275">
            <v>2103750</v>
          </cell>
          <cell r="G275" t="str">
            <v>LNH0925ND05</v>
          </cell>
          <cell r="J275">
            <v>2103750</v>
          </cell>
          <cell r="K275" t="str">
            <v>LNH1125NE10</v>
          </cell>
          <cell r="N275">
            <v>2103750</v>
          </cell>
          <cell r="O275" t="str">
            <v>LNH0326NG13</v>
          </cell>
        </row>
        <row r="276">
          <cell r="B276" t="str">
            <v>25806500014</v>
          </cell>
          <cell r="C276" t="str">
            <v>Nguyễn Thanh Ngọc</v>
          </cell>
          <cell r="D276" t="str">
            <v>Thảo</v>
          </cell>
          <cell r="E276">
            <v>8415000</v>
          </cell>
          <cell r="F276">
            <v>2103750</v>
          </cell>
          <cell r="G276" t="str">
            <v>LNH0925ND07</v>
          </cell>
          <cell r="J276">
            <v>2103750</v>
          </cell>
          <cell r="K276" t="str">
            <v>LNH1125NE09</v>
          </cell>
          <cell r="N276">
            <v>2103750</v>
          </cell>
          <cell r="O276" t="str">
            <v>LNH0326NG13</v>
          </cell>
        </row>
        <row r="277">
          <cell r="B277" t="str">
            <v>25802600042</v>
          </cell>
          <cell r="C277" t="str">
            <v>Châu Ngọc</v>
          </cell>
          <cell r="D277" t="str">
            <v>Hân</v>
          </cell>
          <cell r="E277">
            <v>8415000</v>
          </cell>
          <cell r="F277">
            <v>2103750</v>
          </cell>
          <cell r="G277" t="str">
            <v>LNH0925ND08</v>
          </cell>
          <cell r="J277">
            <v>2103750</v>
          </cell>
          <cell r="K277" t="str">
            <v>LNH1125NE06</v>
          </cell>
          <cell r="N277">
            <v>2103750</v>
          </cell>
          <cell r="O277" t="str">
            <v>LNH0326NG13</v>
          </cell>
        </row>
        <row r="278">
          <cell r="B278" t="str">
            <v>25806000038</v>
          </cell>
          <cell r="C278" t="str">
            <v>Nguyễn Hồ Thu</v>
          </cell>
          <cell r="D278" t="str">
            <v>Thủy</v>
          </cell>
          <cell r="E278">
            <v>8415000</v>
          </cell>
          <cell r="F278">
            <v>2103750</v>
          </cell>
          <cell r="G278" t="str">
            <v>LNH0925ND08</v>
          </cell>
          <cell r="J278">
            <v>2103750</v>
          </cell>
          <cell r="K278" t="str">
            <v>LNH1125NE08</v>
          </cell>
          <cell r="N278">
            <v>2103750</v>
          </cell>
          <cell r="O278" t="str">
            <v>LNH0326NG13</v>
          </cell>
        </row>
        <row r="279">
          <cell r="B279" t="str">
            <v>25802800201</v>
          </cell>
          <cell r="C279" t="str">
            <v>Cao Vũ Anh</v>
          </cell>
          <cell r="D279" t="str">
            <v>Phong</v>
          </cell>
          <cell r="E279">
            <v>4700000</v>
          </cell>
          <cell r="F279">
            <v>2100000</v>
          </cell>
          <cell r="G279" t="str">
            <v>LNH0925ND08</v>
          </cell>
          <cell r="N279">
            <v>2600000</v>
          </cell>
          <cell r="O279" t="str">
            <v>LNH0326NG13</v>
          </cell>
        </row>
        <row r="280">
          <cell r="B280" t="str">
            <v>25802800275</v>
          </cell>
          <cell r="C280" t="str">
            <v>Trần Ngọc Bảo</v>
          </cell>
          <cell r="D280" t="str">
            <v>Trân</v>
          </cell>
          <cell r="E280">
            <v>8415000</v>
          </cell>
          <cell r="F280">
            <v>2103750</v>
          </cell>
          <cell r="G280" t="str">
            <v>LNH0925ND10</v>
          </cell>
          <cell r="J280">
            <v>2103750</v>
          </cell>
          <cell r="K280" t="str">
            <v>LNH1125NE15</v>
          </cell>
          <cell r="N280">
            <v>2103750</v>
          </cell>
          <cell r="O280" t="str">
            <v>LNH0326NG13</v>
          </cell>
        </row>
        <row r="281">
          <cell r="B281" t="str">
            <v>25806000071</v>
          </cell>
          <cell r="C281" t="str">
            <v>Trần Gia</v>
          </cell>
          <cell r="D281" t="str">
            <v>Nghi</v>
          </cell>
          <cell r="E281">
            <v>8415000</v>
          </cell>
          <cell r="F281">
            <v>2103750</v>
          </cell>
          <cell r="G281" t="str">
            <v>LNH0925ND11</v>
          </cell>
          <cell r="J281">
            <v>2103750</v>
          </cell>
          <cell r="K281" t="str">
            <v>LNH1125NE15</v>
          </cell>
          <cell r="N281">
            <v>2103750</v>
          </cell>
          <cell r="O281" t="str">
            <v>LNH0326NG13</v>
          </cell>
        </row>
        <row r="282">
          <cell r="B282" t="str">
            <v>25802600082</v>
          </cell>
          <cell r="C282" t="str">
            <v>Dương Nguyễn Hạnh</v>
          </cell>
          <cell r="D282" t="str">
            <v>Ngân</v>
          </cell>
          <cell r="E282">
            <v>9405000</v>
          </cell>
          <cell r="F282">
            <v>2232500</v>
          </cell>
          <cell r="G282" t="str">
            <v>LNH0925ND11</v>
          </cell>
          <cell r="J282">
            <v>2232500</v>
          </cell>
          <cell r="K282" t="str">
            <v>LNH1125NE15</v>
          </cell>
          <cell r="N282">
            <v>2470000</v>
          </cell>
          <cell r="O282" t="str">
            <v>LNH0326NG13</v>
          </cell>
        </row>
        <row r="283">
          <cell r="B283" t="str">
            <v>25806000094</v>
          </cell>
          <cell r="C283" t="str">
            <v>Nguyễn Thanh</v>
          </cell>
          <cell r="D283" t="str">
            <v>Ngân</v>
          </cell>
          <cell r="E283">
            <v>8415000</v>
          </cell>
          <cell r="F283">
            <v>2103750</v>
          </cell>
          <cell r="G283" t="str">
            <v>LNH0925ND12</v>
          </cell>
          <cell r="N283">
            <v>2103750</v>
          </cell>
          <cell r="O283" t="str">
            <v>LNH0326NG13</v>
          </cell>
        </row>
        <row r="284">
          <cell r="B284" t="str">
            <v>25802600070</v>
          </cell>
          <cell r="C284" t="str">
            <v>Nguyễn Quỳnh</v>
          </cell>
          <cell r="D284" t="str">
            <v>Loan</v>
          </cell>
          <cell r="E284">
            <v>7040000</v>
          </cell>
          <cell r="F284">
            <v>2100000</v>
          </cell>
          <cell r="G284" t="str">
            <v>LNH0925ND14</v>
          </cell>
          <cell r="N284">
            <v>2470000</v>
          </cell>
          <cell r="O284" t="str">
            <v>LNH0326NG13</v>
          </cell>
        </row>
        <row r="285">
          <cell r="B285" t="str">
            <v>25802800020</v>
          </cell>
          <cell r="C285" t="str">
            <v>Trương Nguyễn Gia</v>
          </cell>
          <cell r="D285" t="str">
            <v>Bảo</v>
          </cell>
          <cell r="E285">
            <v>8415000</v>
          </cell>
          <cell r="F285">
            <v>2103750</v>
          </cell>
          <cell r="G285" t="str">
            <v>LNH0925ND16</v>
          </cell>
          <cell r="J285">
            <v>2103750</v>
          </cell>
          <cell r="K285" t="str">
            <v>LNH1125NE09</v>
          </cell>
          <cell r="N285">
            <v>2103750</v>
          </cell>
          <cell r="O285" t="str">
            <v>LNH0326NG13</v>
          </cell>
        </row>
        <row r="286">
          <cell r="B286" t="str">
            <v>25808900243</v>
          </cell>
          <cell r="C286" t="str">
            <v>Đỗ Ngọc</v>
          </cell>
          <cell r="D286" t="str">
            <v>An</v>
          </cell>
          <cell r="E286">
            <v>8415000</v>
          </cell>
          <cell r="F286">
            <v>2103750</v>
          </cell>
          <cell r="G286" t="str">
            <v>LNH0925ND16</v>
          </cell>
          <cell r="J286">
            <v>2103750</v>
          </cell>
          <cell r="K286" t="str">
            <v>LNH1125NE14</v>
          </cell>
          <cell r="N286">
            <v>2103750</v>
          </cell>
          <cell r="O286" t="str">
            <v>LNH0326NG13</v>
          </cell>
        </row>
        <row r="287">
          <cell r="B287" t="str">
            <v>25801100123</v>
          </cell>
          <cell r="C287" t="str">
            <v>Nguyễn Ngọc Anh</v>
          </cell>
          <cell r="D287" t="str">
            <v>Huy</v>
          </cell>
          <cell r="E287">
            <v>8415000</v>
          </cell>
          <cell r="F287">
            <v>2103750</v>
          </cell>
          <cell r="G287" t="str">
            <v>LNH0925ND17</v>
          </cell>
          <cell r="J287">
            <v>2103750</v>
          </cell>
          <cell r="K287" t="str">
            <v>LNH1125NE14</v>
          </cell>
          <cell r="N287">
            <v>2103750</v>
          </cell>
          <cell r="O287" t="str">
            <v>LNH0326NG13</v>
          </cell>
        </row>
        <row r="288">
          <cell r="B288" t="str">
            <v>25806000034</v>
          </cell>
          <cell r="C288" t="str">
            <v>Nguyễn Nhật Thanh</v>
          </cell>
          <cell r="D288" t="str">
            <v>Sơn</v>
          </cell>
          <cell r="E288">
            <v>8415000</v>
          </cell>
          <cell r="F288">
            <v>2103750</v>
          </cell>
          <cell r="G288" t="str">
            <v>LNH0925ND17</v>
          </cell>
          <cell r="J288">
            <v>2103750</v>
          </cell>
          <cell r="K288" t="str">
            <v>LNH1125NE31</v>
          </cell>
          <cell r="N288">
            <v>2103750</v>
          </cell>
          <cell r="O288" t="str">
            <v>LNH0326NG13</v>
          </cell>
        </row>
        <row r="289">
          <cell r="B289" t="str">
            <v>25808900053</v>
          </cell>
          <cell r="C289" t="str">
            <v>Nguyễn Tuấn</v>
          </cell>
          <cell r="D289" t="str">
            <v>Khang</v>
          </cell>
          <cell r="E289">
            <v>8415000</v>
          </cell>
          <cell r="F289">
            <v>2103750</v>
          </cell>
          <cell r="G289" t="str">
            <v>LNH0925ND23</v>
          </cell>
          <cell r="J289">
            <v>2103750</v>
          </cell>
          <cell r="K289" t="str">
            <v>LNH1125NE02</v>
          </cell>
          <cell r="N289">
            <v>2103750</v>
          </cell>
          <cell r="O289" t="str">
            <v>LNH0326NG13</v>
          </cell>
        </row>
        <row r="290">
          <cell r="B290" t="str">
            <v>25802800019</v>
          </cell>
          <cell r="C290" t="str">
            <v>Ninh Gia</v>
          </cell>
          <cell r="D290" t="str">
            <v>Bảo</v>
          </cell>
          <cell r="E290">
            <v>7540000</v>
          </cell>
          <cell r="J290">
            <v>2600000</v>
          </cell>
          <cell r="K290" t="str">
            <v>LNH1125NE08</v>
          </cell>
          <cell r="N290">
            <v>2470000</v>
          </cell>
          <cell r="O290" t="str">
            <v>LNH0326NG13</v>
          </cell>
        </row>
        <row r="291">
          <cell r="B291" t="str">
            <v>25807900080</v>
          </cell>
          <cell r="C291" t="str">
            <v>Hoàng Gia Anh</v>
          </cell>
          <cell r="D291" t="str">
            <v>Kiệt</v>
          </cell>
          <cell r="E291">
            <v>7540000</v>
          </cell>
          <cell r="J291">
            <v>2600000</v>
          </cell>
          <cell r="K291" t="str">
            <v>LNH1125NE19</v>
          </cell>
          <cell r="N291">
            <v>2470000</v>
          </cell>
          <cell r="O291" t="str">
            <v>LNH0326NG13</v>
          </cell>
        </row>
        <row r="292">
          <cell r="B292" t="str">
            <v>25808600258</v>
          </cell>
          <cell r="C292" t="str">
            <v>Nguyễn Ngọc Tú</v>
          </cell>
          <cell r="D292" t="str">
            <v>Như</v>
          </cell>
          <cell r="E292">
            <v>4940000</v>
          </cell>
          <cell r="K292" t="str">
            <v>Level 3,4</v>
          </cell>
          <cell r="N292">
            <v>2470000</v>
          </cell>
          <cell r="O292" t="str">
            <v>LNH0326NG13</v>
          </cell>
        </row>
        <row r="293">
          <cell r="B293" t="str">
            <v>25807900073</v>
          </cell>
          <cell r="C293" t="str">
            <v>Trương Tấn</v>
          </cell>
          <cell r="D293" t="str">
            <v>Long</v>
          </cell>
          <cell r="E293">
            <v>8415000</v>
          </cell>
          <cell r="F293">
            <v>2103750</v>
          </cell>
          <cell r="G293" t="str">
            <v>LNH0925ND01</v>
          </cell>
          <cell r="J293">
            <v>2103750</v>
          </cell>
          <cell r="K293" t="str">
            <v>LNH1125NE18</v>
          </cell>
          <cell r="N293">
            <v>2103750</v>
          </cell>
          <cell r="O293" t="str">
            <v>LNH0326NG14</v>
          </cell>
        </row>
        <row r="294">
          <cell r="B294" t="str">
            <v>25802800010</v>
          </cell>
          <cell r="C294" t="str">
            <v>Phạm Thị Ngọc</v>
          </cell>
          <cell r="D294" t="str">
            <v>Anh</v>
          </cell>
          <cell r="E294">
            <v>8415000</v>
          </cell>
          <cell r="F294">
            <v>2103750</v>
          </cell>
          <cell r="G294" t="str">
            <v>LNH0925ND04</v>
          </cell>
          <cell r="N294">
            <v>2103750</v>
          </cell>
          <cell r="O294" t="str">
            <v>LNH0326NG14</v>
          </cell>
        </row>
        <row r="295">
          <cell r="B295" t="str">
            <v>25807500151</v>
          </cell>
          <cell r="C295" t="str">
            <v>Nguyễn Phạm Hoàng</v>
          </cell>
          <cell r="D295" t="str">
            <v>Trung</v>
          </cell>
          <cell r="E295">
            <v>8415000</v>
          </cell>
          <cell r="F295">
            <v>2103750</v>
          </cell>
          <cell r="G295" t="str">
            <v>LNH0925ND18</v>
          </cell>
          <cell r="J295">
            <v>2103750</v>
          </cell>
          <cell r="K295" t="str">
            <v>LNH1125NE15</v>
          </cell>
          <cell r="N295">
            <v>2103750</v>
          </cell>
          <cell r="O295" t="str">
            <v>LNH0326NG14</v>
          </cell>
        </row>
        <row r="296">
          <cell r="B296" t="str">
            <v>25808200225</v>
          </cell>
          <cell r="C296" t="str">
            <v>Nguyễn Quốc</v>
          </cell>
          <cell r="D296" t="str">
            <v>Việt</v>
          </cell>
          <cell r="E296">
            <v>8415000</v>
          </cell>
          <cell r="F296">
            <v>2103750</v>
          </cell>
          <cell r="G296" t="str">
            <v>LNH0925ND18</v>
          </cell>
          <cell r="J296">
            <v>2103750</v>
          </cell>
          <cell r="K296" t="str">
            <v>LNH1125NE15</v>
          </cell>
          <cell r="N296">
            <v>2103750</v>
          </cell>
          <cell r="O296" t="str">
            <v>LNH0326NG14</v>
          </cell>
        </row>
        <row r="297">
          <cell r="B297" t="str">
            <v>25800400110</v>
          </cell>
          <cell r="C297" t="str">
            <v>Lê Trung</v>
          </cell>
          <cell r="D297" t="str">
            <v>Nguyên</v>
          </cell>
          <cell r="E297">
            <v>8415000</v>
          </cell>
          <cell r="F297">
            <v>2103750</v>
          </cell>
          <cell r="G297" t="str">
            <v>LNH0925ND20</v>
          </cell>
          <cell r="J297">
            <v>2103750</v>
          </cell>
          <cell r="K297" t="str">
            <v>LNH1125NE23</v>
          </cell>
          <cell r="N297">
            <v>2103750</v>
          </cell>
          <cell r="O297" t="str">
            <v>LNH0326NG14</v>
          </cell>
        </row>
        <row r="298">
          <cell r="B298" t="str">
            <v>25808200096</v>
          </cell>
          <cell r="C298" t="str">
            <v>Nguyễn Đức</v>
          </cell>
          <cell r="D298" t="str">
            <v>Nhật</v>
          </cell>
          <cell r="E298">
            <v>8415000</v>
          </cell>
          <cell r="F298">
            <v>2103750</v>
          </cell>
          <cell r="G298" t="str">
            <v>LNH0925ND21</v>
          </cell>
          <cell r="J298">
            <v>2103750</v>
          </cell>
          <cell r="K298" t="str">
            <v>LNH1125NE19</v>
          </cell>
          <cell r="N298">
            <v>2103750</v>
          </cell>
          <cell r="O298" t="str">
            <v>LNH0326NG14</v>
          </cell>
        </row>
        <row r="299">
          <cell r="B299" t="str">
            <v>25800400077</v>
          </cell>
          <cell r="C299" t="str">
            <v>Nguyễn Đăng</v>
          </cell>
          <cell r="D299" t="str">
            <v>Khoa</v>
          </cell>
          <cell r="E299">
            <v>8415000</v>
          </cell>
          <cell r="F299">
            <v>2103750</v>
          </cell>
          <cell r="G299" t="str">
            <v>LNH0925ND22</v>
          </cell>
          <cell r="J299">
            <v>2103750</v>
          </cell>
          <cell r="K299" t="str">
            <v>LNH1125NE23</v>
          </cell>
          <cell r="N299">
            <v>2103750</v>
          </cell>
          <cell r="O299" t="str">
            <v>LNH0326NG14</v>
          </cell>
        </row>
        <row r="300">
          <cell r="B300" t="str">
            <v>25801100062</v>
          </cell>
          <cell r="C300" t="str">
            <v>Phạm Nhật</v>
          </cell>
          <cell r="D300" t="str">
            <v>Thiên</v>
          </cell>
          <cell r="E300">
            <v>8415000</v>
          </cell>
          <cell r="F300">
            <v>2103750</v>
          </cell>
          <cell r="G300" t="str">
            <v>LNH0925ND25</v>
          </cell>
          <cell r="J300">
            <v>2103750</v>
          </cell>
          <cell r="K300" t="str">
            <v>LNH1125NE28</v>
          </cell>
          <cell r="N300">
            <v>2103750</v>
          </cell>
          <cell r="O300" t="str">
            <v>LNH0326NG14</v>
          </cell>
        </row>
        <row r="301">
          <cell r="B301" t="str">
            <v>25807500161</v>
          </cell>
          <cell r="C301" t="str">
            <v>Nguyễn Phương</v>
          </cell>
          <cell r="D301" t="str">
            <v>Uyên</v>
          </cell>
          <cell r="E301">
            <v>9405000</v>
          </cell>
          <cell r="F301">
            <v>2232500</v>
          </cell>
          <cell r="G301" t="str">
            <v>LNH0925ND25</v>
          </cell>
          <cell r="J301">
            <v>2232500</v>
          </cell>
          <cell r="K301" t="str">
            <v>LNH1125NE19</v>
          </cell>
          <cell r="N301">
            <v>2470000</v>
          </cell>
          <cell r="O301" t="str">
            <v>LNH0326NG14</v>
          </cell>
        </row>
        <row r="302">
          <cell r="B302" t="str">
            <v>25800400106</v>
          </cell>
          <cell r="C302" t="str">
            <v>Đặng Hiếu</v>
          </cell>
          <cell r="D302" t="str">
            <v>Nghĩa</v>
          </cell>
          <cell r="E302">
            <v>8415000</v>
          </cell>
          <cell r="F302">
            <v>2103750</v>
          </cell>
          <cell r="G302" t="str">
            <v>LNH0925ND27</v>
          </cell>
          <cell r="J302">
            <v>2103750</v>
          </cell>
          <cell r="K302" t="str">
            <v>LNH1125NE23</v>
          </cell>
          <cell r="N302">
            <v>2103750</v>
          </cell>
          <cell r="O302" t="str">
            <v>LNH0326NG14</v>
          </cell>
        </row>
        <row r="303">
          <cell r="B303" t="str">
            <v>25800400117</v>
          </cell>
          <cell r="C303" t="str">
            <v>Vũ Hoàng Minh</v>
          </cell>
          <cell r="D303" t="str">
            <v>Nhật</v>
          </cell>
          <cell r="E303">
            <v>8415000</v>
          </cell>
          <cell r="F303">
            <v>2103750</v>
          </cell>
          <cell r="G303" t="str">
            <v>LNH0925ND28</v>
          </cell>
          <cell r="J303">
            <v>2103750</v>
          </cell>
          <cell r="K303" t="str">
            <v>LNH1125NE23</v>
          </cell>
          <cell r="N303">
            <v>2103750</v>
          </cell>
          <cell r="O303" t="str">
            <v>LNH0326NG14</v>
          </cell>
        </row>
        <row r="304">
          <cell r="B304" t="str">
            <v>25800500288</v>
          </cell>
          <cell r="C304" t="str">
            <v>Nguyễn Trung</v>
          </cell>
          <cell r="D304" t="str">
            <v>Hiếu</v>
          </cell>
          <cell r="E304">
            <v>8415000</v>
          </cell>
          <cell r="F304">
            <v>2103750</v>
          </cell>
          <cell r="G304" t="str">
            <v>LNH0925ND29</v>
          </cell>
          <cell r="J304">
            <v>2103750</v>
          </cell>
          <cell r="K304" t="str">
            <v>LNH1125NE16</v>
          </cell>
          <cell r="N304">
            <v>2103750</v>
          </cell>
          <cell r="O304" t="str">
            <v>LNH0326NG14</v>
          </cell>
        </row>
        <row r="305">
          <cell r="B305" t="str">
            <v>25800500149</v>
          </cell>
          <cell r="C305" t="str">
            <v>Nguyễn Ngọc Đức</v>
          </cell>
          <cell r="D305" t="str">
            <v>Tài</v>
          </cell>
          <cell r="E305">
            <v>8415000</v>
          </cell>
          <cell r="F305">
            <v>2103750</v>
          </cell>
          <cell r="G305" t="str">
            <v>LNH0925ND30</v>
          </cell>
          <cell r="J305">
            <v>2103750</v>
          </cell>
          <cell r="K305" t="str">
            <v>LNH1125NE31</v>
          </cell>
          <cell r="N305">
            <v>2103750</v>
          </cell>
          <cell r="O305" t="str">
            <v>LNH0326NG14</v>
          </cell>
        </row>
        <row r="306">
          <cell r="B306" t="str">
            <v>25808200147</v>
          </cell>
          <cell r="C306" t="str">
            <v>Nguyễn Anh</v>
          </cell>
          <cell r="D306" t="str">
            <v>Vũ</v>
          </cell>
          <cell r="E306">
            <v>8415000</v>
          </cell>
          <cell r="F306">
            <v>2103750</v>
          </cell>
          <cell r="G306" t="str">
            <v>LNH0925ND30</v>
          </cell>
          <cell r="J306">
            <v>2103750</v>
          </cell>
          <cell r="K306" t="str">
            <v>LNH1125NE16</v>
          </cell>
          <cell r="N306">
            <v>2103750</v>
          </cell>
          <cell r="O306" t="str">
            <v>LNH0326NG14</v>
          </cell>
        </row>
        <row r="307">
          <cell r="B307" t="str">
            <v>25800400133</v>
          </cell>
          <cell r="C307" t="str">
            <v>Trương Tấn</v>
          </cell>
          <cell r="D307" t="str">
            <v>Sang</v>
          </cell>
          <cell r="E307">
            <v>8415000</v>
          </cell>
          <cell r="F307">
            <v>2103750</v>
          </cell>
          <cell r="G307" t="str">
            <v>LNH0925ND30</v>
          </cell>
          <cell r="J307">
            <v>2103750</v>
          </cell>
          <cell r="K307" t="str">
            <v>LNH1125NE23</v>
          </cell>
          <cell r="N307">
            <v>2103750</v>
          </cell>
          <cell r="O307" t="str">
            <v>LNH0326NG14</v>
          </cell>
        </row>
        <row r="308">
          <cell r="B308" t="str">
            <v>25800400244</v>
          </cell>
          <cell r="C308" t="str">
            <v>Nguyễn Đăng</v>
          </cell>
          <cell r="D308" t="str">
            <v>Khang</v>
          </cell>
          <cell r="E308">
            <v>8415000</v>
          </cell>
          <cell r="F308">
            <v>2103750</v>
          </cell>
          <cell r="G308" t="str">
            <v>LNH0925ND30</v>
          </cell>
          <cell r="J308">
            <v>2103750</v>
          </cell>
          <cell r="K308" t="str">
            <v>LNH1125NE23</v>
          </cell>
          <cell r="N308">
            <v>2103750</v>
          </cell>
          <cell r="O308" t="str">
            <v>LNH0326NG14</v>
          </cell>
        </row>
        <row r="309">
          <cell r="B309" t="str">
            <v>25800500248</v>
          </cell>
          <cell r="C309" t="str">
            <v>Vũ Minh</v>
          </cell>
          <cell r="D309" t="str">
            <v>Hiếu</v>
          </cell>
          <cell r="E309">
            <v>8415000</v>
          </cell>
          <cell r="F309">
            <v>2103750</v>
          </cell>
          <cell r="G309" t="str">
            <v>LNH0925ND30</v>
          </cell>
          <cell r="J309">
            <v>2103750</v>
          </cell>
          <cell r="K309" t="str">
            <v>LNH1125NE16</v>
          </cell>
          <cell r="N309">
            <v>2103750</v>
          </cell>
          <cell r="O309" t="str">
            <v>LNH0326NG14</v>
          </cell>
        </row>
        <row r="310">
          <cell r="B310" t="str">
            <v>25801900115</v>
          </cell>
          <cell r="C310" t="str">
            <v>Lê Phú</v>
          </cell>
          <cell r="D310" t="str">
            <v>Phúc</v>
          </cell>
          <cell r="E310">
            <v>8415000</v>
          </cell>
          <cell r="F310">
            <v>2103750</v>
          </cell>
          <cell r="G310" t="str">
            <v>LNH0925ND31</v>
          </cell>
          <cell r="J310">
            <v>2103750</v>
          </cell>
          <cell r="K310" t="str">
            <v>LNH1125NE16</v>
          </cell>
          <cell r="N310">
            <v>2103750</v>
          </cell>
          <cell r="O310" t="str">
            <v>LNH0326NG14</v>
          </cell>
        </row>
        <row r="311">
          <cell r="B311" t="str">
            <v>25805900117</v>
          </cell>
          <cell r="C311" t="str">
            <v>Đặng Thị Trúc</v>
          </cell>
          <cell r="D311" t="str">
            <v>Phương</v>
          </cell>
          <cell r="E311">
            <v>8415000</v>
          </cell>
          <cell r="F311">
            <v>2103750</v>
          </cell>
          <cell r="G311" t="str">
            <v>LNH0925ND31</v>
          </cell>
          <cell r="J311">
            <v>2103750</v>
          </cell>
          <cell r="K311" t="str">
            <v>LNH1125NE29</v>
          </cell>
          <cell r="N311">
            <v>2103750</v>
          </cell>
          <cell r="O311" t="str">
            <v>LNH0326NG14</v>
          </cell>
        </row>
        <row r="312">
          <cell r="B312" t="str">
            <v>25807900003</v>
          </cell>
          <cell r="C312" t="str">
            <v>Lê Gia</v>
          </cell>
          <cell r="D312" t="str">
            <v>Bảo</v>
          </cell>
          <cell r="E312">
            <v>8415000</v>
          </cell>
          <cell r="F312">
            <v>2103750</v>
          </cell>
          <cell r="G312" t="str">
            <v>LNH0925ND31</v>
          </cell>
          <cell r="J312">
            <v>2103750</v>
          </cell>
          <cell r="K312" t="str">
            <v>LNH1125NE19</v>
          </cell>
          <cell r="N312">
            <v>2103750</v>
          </cell>
          <cell r="O312" t="str">
            <v>LNH0326NG14</v>
          </cell>
        </row>
        <row r="313">
          <cell r="B313" t="str">
            <v>25807900054</v>
          </cell>
          <cell r="C313" t="str">
            <v>Mai Thanh</v>
          </cell>
          <cell r="D313" t="str">
            <v>Thơm</v>
          </cell>
          <cell r="E313">
            <v>8415000</v>
          </cell>
          <cell r="F313">
            <v>2103750</v>
          </cell>
          <cell r="G313" t="str">
            <v>LNH0925ND31</v>
          </cell>
          <cell r="J313">
            <v>2103750</v>
          </cell>
          <cell r="K313" t="str">
            <v>LNH1125NE19</v>
          </cell>
          <cell r="N313">
            <v>2103750</v>
          </cell>
          <cell r="O313" t="str">
            <v>LNH0326NG14</v>
          </cell>
        </row>
        <row r="314">
          <cell r="B314" t="str">
            <v>25807900052</v>
          </cell>
          <cell r="C314" t="str">
            <v>Trần Minh</v>
          </cell>
          <cell r="D314" t="str">
            <v>Thiện</v>
          </cell>
          <cell r="E314">
            <v>9405000</v>
          </cell>
          <cell r="F314">
            <v>2232500</v>
          </cell>
          <cell r="G314" t="str">
            <v>LNH0925ND31</v>
          </cell>
          <cell r="J314">
            <v>2232500</v>
          </cell>
          <cell r="K314" t="str">
            <v>LNH1125NE19</v>
          </cell>
          <cell r="N314">
            <v>2470000</v>
          </cell>
          <cell r="O314" t="str">
            <v>LNH0326NG14</v>
          </cell>
        </row>
        <row r="315">
          <cell r="B315" t="str">
            <v>25800500162</v>
          </cell>
          <cell r="C315" t="str">
            <v>Đinh Công</v>
          </cell>
          <cell r="D315" t="str">
            <v>Thắng</v>
          </cell>
          <cell r="E315">
            <v>8415000</v>
          </cell>
          <cell r="F315">
            <v>2103750</v>
          </cell>
          <cell r="G315" t="str">
            <v>LNH0925ND33</v>
          </cell>
          <cell r="J315">
            <v>2103750</v>
          </cell>
          <cell r="K315" t="str">
            <v>LNH1125NE29</v>
          </cell>
          <cell r="N315">
            <v>2103750</v>
          </cell>
          <cell r="O315" t="str">
            <v>LNH0326NG14</v>
          </cell>
        </row>
        <row r="316">
          <cell r="B316" t="str">
            <v>25801100118</v>
          </cell>
          <cell r="C316" t="str">
            <v>Thái Nguyễn Nam</v>
          </cell>
          <cell r="D316" t="str">
            <v>Khánh</v>
          </cell>
          <cell r="E316">
            <v>8415000</v>
          </cell>
          <cell r="F316">
            <v>2103750</v>
          </cell>
          <cell r="G316" t="str">
            <v>LNH0925ND02</v>
          </cell>
          <cell r="J316">
            <v>2103750</v>
          </cell>
          <cell r="K316" t="str">
            <v>LNH1125NE16</v>
          </cell>
          <cell r="N316">
            <v>2103750</v>
          </cell>
          <cell r="O316" t="str">
            <v>LNH0326NG15</v>
          </cell>
        </row>
        <row r="317">
          <cell r="B317" t="str">
            <v>25820300088</v>
          </cell>
          <cell r="C317" t="str">
            <v>Nông Thanh</v>
          </cell>
          <cell r="D317" t="str">
            <v>Quyền</v>
          </cell>
          <cell r="E317">
            <v>8415000</v>
          </cell>
          <cell r="F317">
            <v>2103750</v>
          </cell>
          <cell r="G317" t="str">
            <v>LNH0925ND07</v>
          </cell>
          <cell r="J317">
            <v>2103750</v>
          </cell>
          <cell r="K317" t="str">
            <v>LNH1125NE05</v>
          </cell>
          <cell r="N317">
            <v>2103750</v>
          </cell>
          <cell r="O317" t="str">
            <v>LNH0326NG15</v>
          </cell>
        </row>
        <row r="318">
          <cell r="B318" t="str">
            <v>25801100128</v>
          </cell>
          <cell r="C318" t="str">
            <v>Nguyễn Tấn</v>
          </cell>
          <cell r="D318" t="str">
            <v>Việt</v>
          </cell>
          <cell r="E318">
            <v>8415000</v>
          </cell>
          <cell r="F318">
            <v>2103750</v>
          </cell>
          <cell r="G318" t="str">
            <v>LNH0925ND19</v>
          </cell>
          <cell r="J318">
            <v>2103750</v>
          </cell>
          <cell r="K318" t="str">
            <v>LNH1125NE28</v>
          </cell>
          <cell r="N318">
            <v>2103750</v>
          </cell>
          <cell r="O318" t="str">
            <v>LNH0326NG15</v>
          </cell>
        </row>
        <row r="319">
          <cell r="B319" t="str">
            <v>25802700147</v>
          </cell>
          <cell r="C319" t="str">
            <v>Vũ Nguyễn Thu</v>
          </cell>
          <cell r="D319" t="str">
            <v>Yến</v>
          </cell>
          <cell r="E319">
            <v>8415000</v>
          </cell>
          <cell r="F319">
            <v>2103750</v>
          </cell>
          <cell r="G319" t="str">
            <v>LNH0925ND19</v>
          </cell>
          <cell r="J319">
            <v>2103750</v>
          </cell>
          <cell r="K319" t="str">
            <v>LNH1125NE20</v>
          </cell>
          <cell r="N319">
            <v>2103750</v>
          </cell>
          <cell r="O319" t="str">
            <v>LNH0326NG15</v>
          </cell>
        </row>
        <row r="320">
          <cell r="B320" t="str">
            <v>25807500001</v>
          </cell>
          <cell r="C320" t="str">
            <v>Đoàn Ngọc Hoài</v>
          </cell>
          <cell r="D320" t="str">
            <v>An</v>
          </cell>
          <cell r="E320">
            <v>8415000</v>
          </cell>
          <cell r="F320">
            <v>2103750</v>
          </cell>
          <cell r="G320" t="str">
            <v>LNH0925ND19</v>
          </cell>
          <cell r="J320">
            <v>2103750</v>
          </cell>
          <cell r="K320" t="str">
            <v>LNH1125NE16</v>
          </cell>
          <cell r="N320">
            <v>2103750</v>
          </cell>
          <cell r="O320" t="str">
            <v>LNH0326NG15</v>
          </cell>
        </row>
        <row r="321">
          <cell r="B321" t="str">
            <v>25801300028</v>
          </cell>
          <cell r="C321" t="str">
            <v>Nguyễn Thị Yến</v>
          </cell>
          <cell r="D321" t="str">
            <v>Nhi</v>
          </cell>
          <cell r="E321">
            <v>8415000</v>
          </cell>
          <cell r="F321">
            <v>2103750</v>
          </cell>
          <cell r="G321" t="str">
            <v>LNH0925ND20</v>
          </cell>
          <cell r="J321">
            <v>2103750</v>
          </cell>
          <cell r="K321" t="str">
            <v>LNH1125NE30</v>
          </cell>
          <cell r="N321">
            <v>2103750</v>
          </cell>
          <cell r="O321" t="str">
            <v>LNH0326NG15</v>
          </cell>
        </row>
        <row r="322">
          <cell r="B322" t="str">
            <v>25802700203</v>
          </cell>
          <cell r="C322" t="str">
            <v>Đỗ Nguyễn Thu</v>
          </cell>
          <cell r="D322" t="str">
            <v>Nguyệt</v>
          </cell>
          <cell r="E322">
            <v>8415000</v>
          </cell>
          <cell r="F322">
            <v>2103750</v>
          </cell>
          <cell r="G322" t="str">
            <v>LNH0925ND20</v>
          </cell>
          <cell r="J322">
            <v>2103750</v>
          </cell>
          <cell r="K322" t="str">
            <v>LNH1125NE20</v>
          </cell>
          <cell r="N322">
            <v>2103750</v>
          </cell>
          <cell r="O322" t="str">
            <v>LNH0326NG15</v>
          </cell>
        </row>
        <row r="323">
          <cell r="B323" t="str">
            <v>25807500053</v>
          </cell>
          <cell r="C323" t="str">
            <v>Trần Tuấn</v>
          </cell>
          <cell r="D323" t="str">
            <v>Kiệt</v>
          </cell>
          <cell r="E323">
            <v>8415000</v>
          </cell>
          <cell r="F323">
            <v>2103750</v>
          </cell>
          <cell r="G323" t="str">
            <v>LNH0925ND20</v>
          </cell>
          <cell r="J323">
            <v>2103750</v>
          </cell>
          <cell r="K323" t="str">
            <v>LNH1125NE20</v>
          </cell>
          <cell r="N323">
            <v>2103750</v>
          </cell>
          <cell r="O323" t="str">
            <v>LNH0326NG15</v>
          </cell>
        </row>
        <row r="324">
          <cell r="B324" t="str">
            <v>25807500132</v>
          </cell>
          <cell r="C324" t="str">
            <v>Trần Hoàng</v>
          </cell>
          <cell r="D324" t="str">
            <v>Tiến</v>
          </cell>
          <cell r="E324">
            <v>8415000</v>
          </cell>
          <cell r="F324">
            <v>2103750</v>
          </cell>
          <cell r="G324" t="str">
            <v>LNH0925ND20</v>
          </cell>
          <cell r="J324">
            <v>2103750</v>
          </cell>
          <cell r="K324" t="str">
            <v>LNH1125NE17</v>
          </cell>
          <cell r="N324">
            <v>2103750</v>
          </cell>
          <cell r="O324" t="str">
            <v>LNH0326NG15</v>
          </cell>
        </row>
        <row r="325">
          <cell r="B325" t="str">
            <v>25800600669</v>
          </cell>
          <cell r="C325" t="str">
            <v>Trần Thị Hoài</v>
          </cell>
          <cell r="D325" t="str">
            <v>Thương</v>
          </cell>
          <cell r="E325">
            <v>8415000</v>
          </cell>
          <cell r="F325">
            <v>2103750</v>
          </cell>
          <cell r="G325" t="str">
            <v>LNH0925ND22</v>
          </cell>
          <cell r="J325">
            <v>2103750</v>
          </cell>
          <cell r="K325" t="str">
            <v>LNH1125NE28</v>
          </cell>
          <cell r="N325">
            <v>2103750</v>
          </cell>
          <cell r="O325" t="str">
            <v>LNH0326NG15</v>
          </cell>
        </row>
        <row r="326">
          <cell r="B326" t="str">
            <v>25808200122</v>
          </cell>
          <cell r="C326" t="str">
            <v>Võ Nhất</v>
          </cell>
          <cell r="D326" t="str">
            <v>Thiên</v>
          </cell>
          <cell r="E326">
            <v>8415000</v>
          </cell>
          <cell r="F326">
            <v>2103750</v>
          </cell>
          <cell r="G326" t="str">
            <v>LNH0925ND23</v>
          </cell>
          <cell r="J326">
            <v>2103750</v>
          </cell>
          <cell r="K326" t="str">
            <v>LNH1125NE21</v>
          </cell>
          <cell r="N326">
            <v>2103750</v>
          </cell>
          <cell r="O326" t="str">
            <v>LNH0326NG15</v>
          </cell>
        </row>
        <row r="327">
          <cell r="B327" t="str">
            <v>25802700054</v>
          </cell>
          <cell r="C327" t="str">
            <v>Lê Thị Tuyết</v>
          </cell>
          <cell r="D327" t="str">
            <v>Ngân</v>
          </cell>
          <cell r="E327">
            <v>9405000</v>
          </cell>
          <cell r="F327">
            <v>2232500</v>
          </cell>
          <cell r="G327" t="str">
            <v>LNH0925ND23</v>
          </cell>
          <cell r="J327">
            <v>2232500</v>
          </cell>
          <cell r="K327" t="str">
            <v>LNH1125NE20</v>
          </cell>
          <cell r="N327">
            <v>2470000</v>
          </cell>
          <cell r="O327" t="str">
            <v>LNH0326NG15</v>
          </cell>
        </row>
        <row r="328">
          <cell r="B328" t="str">
            <v>25820200112</v>
          </cell>
          <cell r="C328" t="str">
            <v>Bùi Quang</v>
          </cell>
          <cell r="D328" t="str">
            <v>Minh</v>
          </cell>
          <cell r="E328">
            <v>8415000</v>
          </cell>
          <cell r="F328">
            <v>2103750</v>
          </cell>
          <cell r="G328" t="str">
            <v>LNH0925ND25</v>
          </cell>
          <cell r="J328">
            <v>2103750</v>
          </cell>
          <cell r="K328" t="str">
            <v>LNH1125NE17</v>
          </cell>
          <cell r="N328">
            <v>2103750</v>
          </cell>
          <cell r="O328" t="str">
            <v>LNH0326NG15</v>
          </cell>
        </row>
        <row r="329">
          <cell r="B329" t="str">
            <v>25808200228</v>
          </cell>
          <cell r="C329" t="str">
            <v>Trương Gia</v>
          </cell>
          <cell r="D329" t="str">
            <v>Bảo</v>
          </cell>
          <cell r="E329">
            <v>8415000</v>
          </cell>
          <cell r="F329">
            <v>2103750</v>
          </cell>
          <cell r="G329" t="str">
            <v>LNH0925ND26</v>
          </cell>
          <cell r="J329">
            <v>2103750</v>
          </cell>
          <cell r="K329" t="str">
            <v>LNH1125NE28</v>
          </cell>
          <cell r="N329">
            <v>2103750</v>
          </cell>
          <cell r="O329" t="str">
            <v>LNH0326NG15</v>
          </cell>
        </row>
        <row r="330">
          <cell r="B330" t="str">
            <v>25808200223</v>
          </cell>
          <cell r="C330" t="str">
            <v>Nguyễn Thanh</v>
          </cell>
          <cell r="D330" t="str">
            <v>Phong</v>
          </cell>
          <cell r="E330">
            <v>8415000</v>
          </cell>
          <cell r="F330">
            <v>2103750</v>
          </cell>
          <cell r="G330" t="str">
            <v>LNH0925ND33</v>
          </cell>
          <cell r="J330">
            <v>2103750</v>
          </cell>
          <cell r="K330" t="str">
            <v>LNH1125NE30</v>
          </cell>
          <cell r="N330">
            <v>2103750</v>
          </cell>
          <cell r="O330" t="str">
            <v>LNH0326NG15</v>
          </cell>
        </row>
        <row r="331">
          <cell r="B331" t="str">
            <v>25807800110</v>
          </cell>
          <cell r="C331" t="str">
            <v>Nguyễn Duyên Hoàn</v>
          </cell>
          <cell r="D331" t="str">
            <v>Phúc</v>
          </cell>
          <cell r="E331">
            <v>8415000</v>
          </cell>
          <cell r="F331">
            <v>2103750</v>
          </cell>
          <cell r="G331" t="str">
            <v>LNH0925ND34</v>
          </cell>
          <cell r="J331">
            <v>2103750</v>
          </cell>
          <cell r="K331" t="str">
            <v>LNH1125NE05</v>
          </cell>
          <cell r="N331">
            <v>2103750</v>
          </cell>
          <cell r="O331" t="str">
            <v>LNH0326NG15</v>
          </cell>
        </row>
        <row r="332">
          <cell r="B332" t="str">
            <v>25800500056</v>
          </cell>
          <cell r="C332" t="str">
            <v>Đồng Minh</v>
          </cell>
          <cell r="D332" t="str">
            <v>Hoàng</v>
          </cell>
          <cell r="E332">
            <v>4940000</v>
          </cell>
          <cell r="K332" t="str">
            <v>Level 3,4</v>
          </cell>
          <cell r="N332">
            <v>2470000</v>
          </cell>
          <cell r="O332" t="str">
            <v>LNH0326NG15</v>
          </cell>
        </row>
        <row r="333">
          <cell r="B333" t="str">
            <v>25808200258</v>
          </cell>
          <cell r="C333" t="str">
            <v>Ngô Phúc</v>
          </cell>
          <cell r="D333" t="str">
            <v>Hải</v>
          </cell>
          <cell r="E333">
            <v>8415000</v>
          </cell>
          <cell r="F333">
            <v>2103750</v>
          </cell>
          <cell r="G333" t="str">
            <v>LNH0925ND07</v>
          </cell>
          <cell r="J333">
            <v>2103750</v>
          </cell>
          <cell r="K333" t="str">
            <v>LNH1125NE05</v>
          </cell>
          <cell r="N333">
            <v>2103750</v>
          </cell>
          <cell r="O333" t="str">
            <v>LNH0326NG16</v>
          </cell>
        </row>
        <row r="334">
          <cell r="B334" t="str">
            <v>25806800022</v>
          </cell>
          <cell r="C334" t="str">
            <v>Nguyễn Thị Ngọc</v>
          </cell>
          <cell r="D334" t="str">
            <v>Hân</v>
          </cell>
          <cell r="E334">
            <v>8415000</v>
          </cell>
          <cell r="F334">
            <v>2103750</v>
          </cell>
          <cell r="G334" t="str">
            <v>LNH0925ND08</v>
          </cell>
          <cell r="J334">
            <v>2103750</v>
          </cell>
          <cell r="K334" t="str">
            <v>LNH1125NE06</v>
          </cell>
          <cell r="N334">
            <v>2103750</v>
          </cell>
          <cell r="O334" t="str">
            <v>LNH0326NG16</v>
          </cell>
        </row>
        <row r="335">
          <cell r="B335" t="str">
            <v>25800500133</v>
          </cell>
          <cell r="C335" t="str">
            <v>Nguyễn Tấn</v>
          </cell>
          <cell r="D335" t="str">
            <v>Phát</v>
          </cell>
          <cell r="E335">
            <v>8415000</v>
          </cell>
          <cell r="F335">
            <v>2103750</v>
          </cell>
          <cell r="G335" t="str">
            <v>LNH0925ND19</v>
          </cell>
          <cell r="J335">
            <v>2103750</v>
          </cell>
          <cell r="K335" t="str">
            <v>LNH1125NE17</v>
          </cell>
          <cell r="N335">
            <v>2103750</v>
          </cell>
          <cell r="O335" t="str">
            <v>LNH0326NG16</v>
          </cell>
        </row>
        <row r="336">
          <cell r="B336" t="str">
            <v>25807500227</v>
          </cell>
          <cell r="C336" t="str">
            <v>Nguyễn Ngọc Phương</v>
          </cell>
          <cell r="D336" t="str">
            <v>Trân</v>
          </cell>
          <cell r="E336">
            <v>8415000</v>
          </cell>
          <cell r="F336">
            <v>2103750</v>
          </cell>
          <cell r="G336" t="str">
            <v>LNH0925ND19</v>
          </cell>
          <cell r="J336">
            <v>2103750</v>
          </cell>
          <cell r="K336" t="str">
            <v>LNH1125NE17</v>
          </cell>
          <cell r="N336">
            <v>2103750</v>
          </cell>
          <cell r="O336" t="str">
            <v>LNH0326NG16</v>
          </cell>
        </row>
        <row r="337">
          <cell r="B337" t="str">
            <v>25807800070</v>
          </cell>
          <cell r="C337" t="str">
            <v>Lê Hữu</v>
          </cell>
          <cell r="D337" t="str">
            <v>Kiệt</v>
          </cell>
          <cell r="E337">
            <v>8415000</v>
          </cell>
          <cell r="F337">
            <v>2103750</v>
          </cell>
          <cell r="G337" t="str">
            <v>LNH0925ND19</v>
          </cell>
          <cell r="J337">
            <v>2103750</v>
          </cell>
          <cell r="K337" t="str">
            <v>LNH1125NE21</v>
          </cell>
          <cell r="N337">
            <v>2103750</v>
          </cell>
          <cell r="O337" t="str">
            <v>LNH0326NG16</v>
          </cell>
        </row>
        <row r="338">
          <cell r="B338" t="str">
            <v>25807500069</v>
          </cell>
          <cell r="C338" t="str">
            <v>Ly Hue</v>
          </cell>
          <cell r="D338" t="str">
            <v>Man</v>
          </cell>
          <cell r="E338">
            <v>8415000</v>
          </cell>
          <cell r="F338">
            <v>2103750</v>
          </cell>
          <cell r="G338" t="str">
            <v>LNH0925ND20</v>
          </cell>
          <cell r="J338">
            <v>2103750</v>
          </cell>
          <cell r="K338" t="str">
            <v>LNH1125NE17</v>
          </cell>
          <cell r="N338">
            <v>2103750</v>
          </cell>
          <cell r="O338" t="str">
            <v>LNH0326NG16</v>
          </cell>
        </row>
        <row r="339">
          <cell r="B339" t="str">
            <v>25807900120</v>
          </cell>
          <cell r="C339" t="str">
            <v>Trần Đức</v>
          </cell>
          <cell r="D339" t="str">
            <v>Phát</v>
          </cell>
          <cell r="E339">
            <v>8415000</v>
          </cell>
          <cell r="F339">
            <v>2103750</v>
          </cell>
          <cell r="G339" t="str">
            <v>LNH0925ND20</v>
          </cell>
          <cell r="J339">
            <v>2103750</v>
          </cell>
          <cell r="K339" t="str">
            <v>LNH1125NE17</v>
          </cell>
          <cell r="N339">
            <v>2103750</v>
          </cell>
          <cell r="O339" t="str">
            <v>LNH0326NG16</v>
          </cell>
        </row>
        <row r="340">
          <cell r="B340" t="str">
            <v>25800500278</v>
          </cell>
          <cell r="C340" t="str">
            <v>Phạm Thế</v>
          </cell>
          <cell r="D340" t="str">
            <v>Lân</v>
          </cell>
          <cell r="E340">
            <v>8415000</v>
          </cell>
          <cell r="F340">
            <v>2103750</v>
          </cell>
          <cell r="G340" t="str">
            <v>LNH0925ND22</v>
          </cell>
          <cell r="J340">
            <v>2103750</v>
          </cell>
          <cell r="K340" t="str">
            <v>LNH1125NE20</v>
          </cell>
          <cell r="N340">
            <v>2103750</v>
          </cell>
          <cell r="O340" t="str">
            <v>LNH0326NG16</v>
          </cell>
        </row>
        <row r="341">
          <cell r="B341" t="str">
            <v>25808200117</v>
          </cell>
          <cell r="C341" t="str">
            <v>Nguyễn Thuận</v>
          </cell>
          <cell r="D341" t="str">
            <v>Thanh</v>
          </cell>
          <cell r="E341">
            <v>8415000</v>
          </cell>
          <cell r="F341">
            <v>2103750</v>
          </cell>
          <cell r="G341" t="str">
            <v>LNH0925ND22</v>
          </cell>
          <cell r="J341">
            <v>2103750</v>
          </cell>
          <cell r="K341" t="str">
            <v>LNH1125NE21</v>
          </cell>
          <cell r="N341">
            <v>2103750</v>
          </cell>
          <cell r="O341" t="str">
            <v>LNH0326NG16</v>
          </cell>
        </row>
        <row r="342">
          <cell r="B342" t="str">
            <v>25808200125</v>
          </cell>
          <cell r="C342" t="str">
            <v>Dương Văn Minh</v>
          </cell>
          <cell r="D342" t="str">
            <v>Thông</v>
          </cell>
          <cell r="E342">
            <v>8415000</v>
          </cell>
          <cell r="F342">
            <v>2103750</v>
          </cell>
          <cell r="G342" t="str">
            <v>LNH0925ND23</v>
          </cell>
          <cell r="J342">
            <v>2103750</v>
          </cell>
          <cell r="K342" t="str">
            <v>LNH1125NE28</v>
          </cell>
          <cell r="N342">
            <v>2103750</v>
          </cell>
          <cell r="O342" t="str">
            <v>LNH0326NG16</v>
          </cell>
        </row>
        <row r="343">
          <cell r="B343" t="str">
            <v>25808200111</v>
          </cell>
          <cell r="C343" t="str">
            <v>Phạm Hoàng Tài Ch</v>
          </cell>
          <cell r="D343" t="str">
            <v>Tâm</v>
          </cell>
          <cell r="E343">
            <v>8415000</v>
          </cell>
          <cell r="F343">
            <v>2103750</v>
          </cell>
          <cell r="G343" t="str">
            <v>LNH0925ND31</v>
          </cell>
          <cell r="J343">
            <v>2103750</v>
          </cell>
          <cell r="K343" t="str">
            <v>LNH1125NE18</v>
          </cell>
          <cell r="N343">
            <v>2103750</v>
          </cell>
          <cell r="O343" t="str">
            <v>LNH0326NG16</v>
          </cell>
        </row>
        <row r="344">
          <cell r="B344" t="str">
            <v>25800600765</v>
          </cell>
          <cell r="C344" t="str">
            <v>Phan Anh</v>
          </cell>
          <cell r="D344" t="str">
            <v>Tuấn</v>
          </cell>
          <cell r="E344">
            <v>8415000</v>
          </cell>
          <cell r="F344">
            <v>2103750</v>
          </cell>
          <cell r="G344" t="str">
            <v>LNH0925ND33</v>
          </cell>
          <cell r="J344">
            <v>2103750</v>
          </cell>
          <cell r="K344" t="str">
            <v>LNH1125NE30</v>
          </cell>
          <cell r="N344">
            <v>2103750</v>
          </cell>
          <cell r="O344" t="str">
            <v>LNH0326NG16</v>
          </cell>
        </row>
        <row r="345">
          <cell r="B345" t="str">
            <v>25807800030</v>
          </cell>
          <cell r="C345" t="str">
            <v>Nguyễn Bá Công</v>
          </cell>
          <cell r="D345" t="str">
            <v>Định</v>
          </cell>
          <cell r="E345">
            <v>8415000</v>
          </cell>
          <cell r="F345">
            <v>2103750</v>
          </cell>
          <cell r="G345" t="str">
            <v>LNH0925ND33</v>
          </cell>
          <cell r="J345">
            <v>2103750</v>
          </cell>
          <cell r="K345" t="str">
            <v>LNH1125NE30</v>
          </cell>
          <cell r="N345">
            <v>2103750</v>
          </cell>
          <cell r="O345" t="str">
            <v>LNH0326NG16</v>
          </cell>
        </row>
        <row r="346">
          <cell r="B346" t="str">
            <v>25800400059</v>
          </cell>
          <cell r="C346" t="str">
            <v>Phan Quốc</v>
          </cell>
          <cell r="D346" t="str">
            <v>Huy</v>
          </cell>
          <cell r="E346">
            <v>8415000</v>
          </cell>
          <cell r="F346">
            <v>2103750</v>
          </cell>
          <cell r="G346" t="str">
            <v>LNH0925ND34</v>
          </cell>
          <cell r="J346">
            <v>2103750</v>
          </cell>
          <cell r="K346" t="str">
            <v>LNH1125NE05</v>
          </cell>
          <cell r="N346">
            <v>2103750</v>
          </cell>
          <cell r="O346" t="str">
            <v>LNH0326NG16</v>
          </cell>
        </row>
        <row r="347">
          <cell r="B347" t="str">
            <v>25806400012</v>
          </cell>
          <cell r="C347" t="str">
            <v>Nguyễn Hoàng</v>
          </cell>
          <cell r="D347" t="str">
            <v>Khôi</v>
          </cell>
          <cell r="E347">
            <v>8415000</v>
          </cell>
          <cell r="H347">
            <v>2103750</v>
          </cell>
          <cell r="I347" t="str">
            <v>LNH1025ND02</v>
          </cell>
          <cell r="J347">
            <v>2103750</v>
          </cell>
          <cell r="K347" t="str">
            <v>LNH1125NE18</v>
          </cell>
          <cell r="N347">
            <v>2103750</v>
          </cell>
          <cell r="O347" t="str">
            <v>LNH0326NG16</v>
          </cell>
        </row>
        <row r="348">
          <cell r="B348" t="str">
            <v>25807800067</v>
          </cell>
          <cell r="C348" t="str">
            <v>Lê Trà Bảo</v>
          </cell>
          <cell r="D348" t="str">
            <v>Khôi</v>
          </cell>
          <cell r="E348">
            <v>8415000</v>
          </cell>
          <cell r="H348">
            <v>2103750</v>
          </cell>
          <cell r="I348" t="str">
            <v>LNH1025ND02</v>
          </cell>
          <cell r="J348">
            <v>2103750</v>
          </cell>
          <cell r="K348" t="str">
            <v>LNH1125NE26</v>
          </cell>
          <cell r="N348">
            <v>2103750</v>
          </cell>
          <cell r="O348" t="str">
            <v>LNH0326NG16</v>
          </cell>
        </row>
        <row r="349">
          <cell r="B349" t="str">
            <v>25801100079</v>
          </cell>
          <cell r="C349" t="str">
            <v>Trần Thị Bích</v>
          </cell>
          <cell r="D349" t="str">
            <v>Tuyền</v>
          </cell>
          <cell r="E349">
            <v>8415000</v>
          </cell>
          <cell r="J349">
            <v>2103750</v>
          </cell>
          <cell r="K349" t="str">
            <v>LNH1125ND01</v>
          </cell>
          <cell r="N349">
            <v>2103750</v>
          </cell>
          <cell r="O349" t="str">
            <v>LNH0326NG16</v>
          </cell>
        </row>
        <row r="350">
          <cell r="B350" t="str">
            <v>25808700211</v>
          </cell>
          <cell r="C350" t="str">
            <v>Nguyễn Thanh</v>
          </cell>
          <cell r="D350" t="str">
            <v>Phong</v>
          </cell>
          <cell r="E350">
            <v>9405000</v>
          </cell>
          <cell r="F350">
            <v>2232500</v>
          </cell>
          <cell r="G350" t="str">
            <v>LNH0925ND18</v>
          </cell>
          <cell r="J350">
            <v>2232500</v>
          </cell>
          <cell r="K350" t="str">
            <v>LNH1125NE16</v>
          </cell>
          <cell r="L350">
            <v>2470000</v>
          </cell>
          <cell r="N350">
            <v>2470000</v>
          </cell>
          <cell r="O350" t="str">
            <v>LNH0326NG17</v>
          </cell>
        </row>
        <row r="351">
          <cell r="B351" t="str">
            <v>25801300024</v>
          </cell>
          <cell r="C351" t="str">
            <v>Lê Huỳnh Khánh</v>
          </cell>
          <cell r="D351" t="str">
            <v>Nguyên</v>
          </cell>
          <cell r="E351">
            <v>8415000</v>
          </cell>
          <cell r="F351">
            <v>2103750</v>
          </cell>
          <cell r="G351" t="str">
            <v>LNH0925ND19</v>
          </cell>
          <cell r="J351">
            <v>2103750</v>
          </cell>
          <cell r="K351" t="str">
            <v>LNH1125NE30</v>
          </cell>
          <cell r="N351">
            <v>2103750</v>
          </cell>
          <cell r="O351" t="str">
            <v>LNH0326NG17</v>
          </cell>
        </row>
        <row r="352">
          <cell r="B352" t="str">
            <v>25802700069</v>
          </cell>
          <cell r="C352" t="str">
            <v>Nguyễn Lê Trúc</v>
          </cell>
          <cell r="D352" t="str">
            <v>Quỳnh</v>
          </cell>
          <cell r="E352">
            <v>8415000</v>
          </cell>
          <cell r="F352">
            <v>2103750</v>
          </cell>
          <cell r="G352" t="str">
            <v>LNH0925ND21</v>
          </cell>
          <cell r="J352">
            <v>2103750</v>
          </cell>
          <cell r="K352" t="str">
            <v>LNH1125NE18</v>
          </cell>
          <cell r="N352">
            <v>2103750</v>
          </cell>
          <cell r="O352" t="str">
            <v>LNH0326NG17</v>
          </cell>
        </row>
        <row r="353">
          <cell r="B353" t="str">
            <v>25807700017</v>
          </cell>
          <cell r="C353" t="str">
            <v>Hà Quốc</v>
          </cell>
          <cell r="D353" t="str">
            <v>Dũng</v>
          </cell>
          <cell r="E353">
            <v>8415000</v>
          </cell>
          <cell r="F353">
            <v>2103750</v>
          </cell>
          <cell r="G353" t="str">
            <v>LNH0925ND21</v>
          </cell>
          <cell r="J353">
            <v>2103750</v>
          </cell>
          <cell r="K353" t="str">
            <v>LNH1125NE19</v>
          </cell>
          <cell r="N353">
            <v>2103750</v>
          </cell>
          <cell r="O353" t="str">
            <v>LNH0326NG17</v>
          </cell>
        </row>
        <row r="354">
          <cell r="B354" t="str">
            <v>25820700063</v>
          </cell>
          <cell r="C354" t="str">
            <v>Nguyễn Thị Xuân</v>
          </cell>
          <cell r="D354" t="str">
            <v>Hồng</v>
          </cell>
          <cell r="E354">
            <v>8415000</v>
          </cell>
          <cell r="F354">
            <v>2103750</v>
          </cell>
          <cell r="G354" t="str">
            <v>LNH0925ND21</v>
          </cell>
          <cell r="J354">
            <v>2103750</v>
          </cell>
          <cell r="K354" t="str">
            <v>LNH1125NE16</v>
          </cell>
          <cell r="N354">
            <v>2103750</v>
          </cell>
          <cell r="O354" t="str">
            <v>LNH0326NG17</v>
          </cell>
        </row>
        <row r="355">
          <cell r="B355" t="str">
            <v>25808200072</v>
          </cell>
          <cell r="C355" t="str">
            <v>Hồng Văn</v>
          </cell>
          <cell r="D355" t="str">
            <v>Kiên</v>
          </cell>
          <cell r="E355">
            <v>7065000</v>
          </cell>
          <cell r="F355">
            <v>2232500</v>
          </cell>
          <cell r="G355" t="str">
            <v>LNH0925ND21</v>
          </cell>
          <cell r="J355">
            <v>2232500</v>
          </cell>
          <cell r="K355" t="str">
            <v>LNH1125NE05</v>
          </cell>
          <cell r="N355">
            <v>2600000</v>
          </cell>
          <cell r="O355" t="str">
            <v>LNH0326NG17</v>
          </cell>
        </row>
        <row r="356">
          <cell r="B356" t="str">
            <v>25800400049</v>
          </cell>
          <cell r="C356" t="str">
            <v>Trương Vĩnh</v>
          </cell>
          <cell r="D356" t="str">
            <v>Hội</v>
          </cell>
          <cell r="E356">
            <v>8415000</v>
          </cell>
          <cell r="F356">
            <v>2103750</v>
          </cell>
          <cell r="G356" t="str">
            <v>LNH0925ND22</v>
          </cell>
          <cell r="J356">
            <v>2103750</v>
          </cell>
          <cell r="K356" t="str">
            <v>LNH1125NE23</v>
          </cell>
          <cell r="N356">
            <v>2103750</v>
          </cell>
          <cell r="O356" t="str">
            <v>LNH0326NG17</v>
          </cell>
        </row>
        <row r="357">
          <cell r="B357" t="str">
            <v>25820300093</v>
          </cell>
          <cell r="C357" t="str">
            <v>Nguyễn Thanh</v>
          </cell>
          <cell r="D357" t="str">
            <v>Phú</v>
          </cell>
          <cell r="E357">
            <v>8415000</v>
          </cell>
          <cell r="F357">
            <v>2103750</v>
          </cell>
          <cell r="G357" t="str">
            <v>LNH0925ND22</v>
          </cell>
          <cell r="J357">
            <v>2103750</v>
          </cell>
          <cell r="K357" t="str">
            <v>LNH1125NE16</v>
          </cell>
          <cell r="N357">
            <v>2103750</v>
          </cell>
          <cell r="O357" t="str">
            <v>LNH0326NG17</v>
          </cell>
        </row>
        <row r="358">
          <cell r="B358" t="str">
            <v>25801100007</v>
          </cell>
          <cell r="C358" t="str">
            <v>Phan Minh</v>
          </cell>
          <cell r="D358" t="str">
            <v>Chiến</v>
          </cell>
          <cell r="E358">
            <v>8415000</v>
          </cell>
          <cell r="F358">
            <v>2103750</v>
          </cell>
          <cell r="G358" t="str">
            <v>LNH0925ND24</v>
          </cell>
          <cell r="J358">
            <v>2103750</v>
          </cell>
          <cell r="K358" t="str">
            <v>LNH1125NE29</v>
          </cell>
          <cell r="N358">
            <v>2103750</v>
          </cell>
          <cell r="O358" t="str">
            <v>LNH0326NG17</v>
          </cell>
        </row>
        <row r="359">
          <cell r="B359" t="str">
            <v>25802700153</v>
          </cell>
          <cell r="C359" t="str">
            <v>Lê Thái</v>
          </cell>
          <cell r="D359" t="str">
            <v>Long</v>
          </cell>
          <cell r="E359">
            <v>8415000</v>
          </cell>
          <cell r="F359">
            <v>2103750</v>
          </cell>
          <cell r="G359" t="str">
            <v>LNH0925ND24</v>
          </cell>
          <cell r="J359">
            <v>2103750</v>
          </cell>
          <cell r="K359" t="str">
            <v>LNH1125NE19</v>
          </cell>
          <cell r="N359">
            <v>2103750</v>
          </cell>
          <cell r="O359" t="str">
            <v>LNH0326NG17</v>
          </cell>
        </row>
        <row r="360">
          <cell r="B360" t="str">
            <v>25801100004</v>
          </cell>
          <cell r="C360" t="str">
            <v>Dương Gia</v>
          </cell>
          <cell r="D360" t="str">
            <v>Bảo</v>
          </cell>
          <cell r="E360">
            <v>8415000</v>
          </cell>
          <cell r="F360">
            <v>2103750</v>
          </cell>
          <cell r="G360" t="str">
            <v>LNH0925ND26</v>
          </cell>
          <cell r="J360">
            <v>2103750</v>
          </cell>
          <cell r="K360" t="str">
            <v>LNH1125NE29</v>
          </cell>
          <cell r="N360">
            <v>2103750</v>
          </cell>
          <cell r="O360" t="str">
            <v>LNH0326NG17</v>
          </cell>
        </row>
        <row r="361">
          <cell r="B361" t="str">
            <v>25800500109</v>
          </cell>
          <cell r="C361" t="str">
            <v>Nguyễn Huỳnh Nhựt</v>
          </cell>
          <cell r="D361" t="str">
            <v>Minh</v>
          </cell>
          <cell r="E361">
            <v>8415000</v>
          </cell>
          <cell r="F361">
            <v>2103750</v>
          </cell>
          <cell r="G361" t="str">
            <v>LNH0925ND27</v>
          </cell>
          <cell r="J361">
            <v>2103750</v>
          </cell>
          <cell r="K361" t="str">
            <v>LNH1125NE23</v>
          </cell>
          <cell r="N361">
            <v>2103750</v>
          </cell>
          <cell r="O361" t="str">
            <v>LNH0326NG17</v>
          </cell>
        </row>
        <row r="362">
          <cell r="B362" t="str">
            <v>25800500096</v>
          </cell>
          <cell r="C362" t="str">
            <v>Đỗ Chí</v>
          </cell>
          <cell r="D362" t="str">
            <v>Kiên</v>
          </cell>
          <cell r="E362">
            <v>8415000</v>
          </cell>
          <cell r="F362">
            <v>2103750</v>
          </cell>
          <cell r="G362" t="str">
            <v>LNH0925ND32</v>
          </cell>
          <cell r="J362">
            <v>2103750</v>
          </cell>
          <cell r="K362" t="str">
            <v>LNH1125NE19</v>
          </cell>
          <cell r="N362">
            <v>2103750</v>
          </cell>
          <cell r="O362" t="str">
            <v>LNH0326NG17</v>
          </cell>
        </row>
        <row r="363">
          <cell r="B363" t="str">
            <v>25807800099</v>
          </cell>
          <cell r="C363" t="str">
            <v>Đỗ Lê Hoàng</v>
          </cell>
          <cell r="D363" t="str">
            <v>Nhân</v>
          </cell>
          <cell r="E363">
            <v>8415000</v>
          </cell>
          <cell r="F363">
            <v>2103750</v>
          </cell>
          <cell r="G363" t="str">
            <v>LNH0925ND32</v>
          </cell>
          <cell r="N363">
            <v>2103750</v>
          </cell>
          <cell r="O363" t="str">
            <v>LNH0326NG17</v>
          </cell>
        </row>
        <row r="364">
          <cell r="B364" t="str">
            <v>25800400055</v>
          </cell>
          <cell r="C364" t="str">
            <v>Ngô Lâm Bảo</v>
          </cell>
          <cell r="D364" t="str">
            <v>Huy</v>
          </cell>
          <cell r="E364">
            <v>8415000</v>
          </cell>
          <cell r="F364">
            <v>2103750</v>
          </cell>
          <cell r="G364" t="str">
            <v>LNH0925ND35</v>
          </cell>
          <cell r="J364">
            <v>2103750</v>
          </cell>
          <cell r="K364" t="str">
            <v>LNH1125NE23</v>
          </cell>
          <cell r="N364">
            <v>2103750</v>
          </cell>
          <cell r="O364" t="str">
            <v>LNH0326NG17</v>
          </cell>
        </row>
        <row r="365">
          <cell r="B365" t="str">
            <v>25808200135</v>
          </cell>
          <cell r="C365" t="str">
            <v xml:space="preserve">Nguyễn Phi </v>
          </cell>
          <cell r="D365" t="str">
            <v>Trường</v>
          </cell>
          <cell r="E365">
            <v>5200000</v>
          </cell>
          <cell r="N365">
            <v>2600000</v>
          </cell>
          <cell r="O365" t="str">
            <v>LNH0326NG17</v>
          </cell>
        </row>
        <row r="366">
          <cell r="B366" t="str">
            <v>25802600010</v>
          </cell>
          <cell r="C366" t="str">
            <v>Tăng Hồng</v>
          </cell>
          <cell r="D366" t="str">
            <v>Anh</v>
          </cell>
          <cell r="E366">
            <v>4700000</v>
          </cell>
          <cell r="F366">
            <v>2100000</v>
          </cell>
          <cell r="G366" t="str">
            <v>LNH0925ND15</v>
          </cell>
          <cell r="N366">
            <v>2600000</v>
          </cell>
          <cell r="O366" t="str">
            <v>LNH0326NG17</v>
          </cell>
        </row>
        <row r="367">
          <cell r="B367" t="str">
            <v>25808700047</v>
          </cell>
          <cell r="C367" t="str">
            <v>Nguyen Mai Nhat</v>
          </cell>
          <cell r="D367" t="str">
            <v>Linh</v>
          </cell>
          <cell r="E367">
            <v>8415000</v>
          </cell>
          <cell r="F367">
            <v>2103750</v>
          </cell>
          <cell r="G367" t="str">
            <v>LNH0925ND14</v>
          </cell>
          <cell r="J367">
            <v>2103750</v>
          </cell>
          <cell r="K367" t="str">
            <v>LNH1125NE15</v>
          </cell>
          <cell r="N367">
            <v>2103750</v>
          </cell>
          <cell r="O367" t="str">
            <v>LNH0326NG17</v>
          </cell>
        </row>
        <row r="368">
          <cell r="B368" t="str">
            <v>25802700012</v>
          </cell>
          <cell r="C368" t="str">
            <v>Nguyễn Thị Cẩm</v>
          </cell>
          <cell r="D368" t="str">
            <v>Bình</v>
          </cell>
          <cell r="E368">
            <v>8415000</v>
          </cell>
          <cell r="F368">
            <v>2103750</v>
          </cell>
          <cell r="G368" t="str">
            <v>LNH0925ND05</v>
          </cell>
          <cell r="J368">
            <v>2103750</v>
          </cell>
          <cell r="K368" t="str">
            <v>LNH1125NE16</v>
          </cell>
          <cell r="N368">
            <v>2103750</v>
          </cell>
          <cell r="O368" t="str">
            <v>LNH0326NG18</v>
          </cell>
        </row>
        <row r="369">
          <cell r="B369" t="str">
            <v>25808900008</v>
          </cell>
          <cell r="C369" t="str">
            <v>Le Do Hung</v>
          </cell>
          <cell r="D369" t="str">
            <v>Anh</v>
          </cell>
          <cell r="E369">
            <v>8415000</v>
          </cell>
          <cell r="F369">
            <v>2103750</v>
          </cell>
          <cell r="G369" t="str">
            <v>LNH0925ND10</v>
          </cell>
          <cell r="J369">
            <v>2103750</v>
          </cell>
          <cell r="K369" t="str">
            <v>LNH1125NE09</v>
          </cell>
          <cell r="N369">
            <v>2103750</v>
          </cell>
          <cell r="O369" t="str">
            <v>LNH0326NG18</v>
          </cell>
        </row>
        <row r="370">
          <cell r="B370" t="str">
            <v>25807500063</v>
          </cell>
          <cell r="C370" t="str">
            <v>Ngô Ngọc</v>
          </cell>
          <cell r="D370" t="str">
            <v>Long</v>
          </cell>
          <cell r="E370">
            <v>8415000</v>
          </cell>
          <cell r="F370">
            <v>2103750</v>
          </cell>
          <cell r="G370" t="str">
            <v>LNH0925ND12</v>
          </cell>
          <cell r="J370">
            <v>2103750</v>
          </cell>
          <cell r="K370" t="str">
            <v>LNH1125NE03</v>
          </cell>
          <cell r="N370">
            <v>2103750</v>
          </cell>
          <cell r="O370" t="str">
            <v>LNH0326NG18</v>
          </cell>
        </row>
        <row r="371">
          <cell r="B371" t="str">
            <v>25808600069</v>
          </cell>
          <cell r="C371" t="str">
            <v>Nguyễn Ngọc Thanh</v>
          </cell>
          <cell r="D371" t="str">
            <v>Ngân</v>
          </cell>
          <cell r="E371">
            <v>8415000</v>
          </cell>
          <cell r="F371">
            <v>2103750</v>
          </cell>
          <cell r="G371" t="str">
            <v>LNH0925ND13</v>
          </cell>
          <cell r="J371">
            <v>2103750</v>
          </cell>
          <cell r="K371" t="str">
            <v>LNH1125NE03</v>
          </cell>
          <cell r="N371">
            <v>2103750</v>
          </cell>
          <cell r="O371" t="str">
            <v>LNH0326NG18</v>
          </cell>
        </row>
        <row r="372">
          <cell r="B372" t="str">
            <v>25807800212</v>
          </cell>
          <cell r="C372" t="str">
            <v>Nguyễn Gia</v>
          </cell>
          <cell r="D372" t="str">
            <v>Khương</v>
          </cell>
          <cell r="E372">
            <v>8415000</v>
          </cell>
          <cell r="F372">
            <v>2103750</v>
          </cell>
          <cell r="G372" t="str">
            <v>LNH0925ND14</v>
          </cell>
          <cell r="J372">
            <v>2103750</v>
          </cell>
          <cell r="K372" t="str">
            <v>LNH1125NE29</v>
          </cell>
          <cell r="N372">
            <v>2103750</v>
          </cell>
          <cell r="O372" t="str">
            <v>LNH0326NG18</v>
          </cell>
        </row>
        <row r="373">
          <cell r="B373" t="str">
            <v>25801100044</v>
          </cell>
          <cell r="C373" t="str">
            <v>Lê Văn</v>
          </cell>
          <cell r="D373" t="str">
            <v>Nhân</v>
          </cell>
          <cell r="E373">
            <v>8415000</v>
          </cell>
          <cell r="F373">
            <v>2103750</v>
          </cell>
          <cell r="G373" t="str">
            <v>LNH0925ND20</v>
          </cell>
          <cell r="J373">
            <v>2103750</v>
          </cell>
          <cell r="K373" t="str">
            <v>LNH1125NE24</v>
          </cell>
          <cell r="N373">
            <v>2103750</v>
          </cell>
          <cell r="O373" t="str">
            <v>LNH0326NG18</v>
          </cell>
        </row>
        <row r="374">
          <cell r="B374" t="str">
            <v>25801300015</v>
          </cell>
          <cell r="C374" t="str">
            <v>Dương Thị Minh</v>
          </cell>
          <cell r="D374" t="str">
            <v>Lộc</v>
          </cell>
          <cell r="E374">
            <v>8415000</v>
          </cell>
          <cell r="F374">
            <v>2103750</v>
          </cell>
          <cell r="G374" t="str">
            <v>LNH0925ND20</v>
          </cell>
          <cell r="J374">
            <v>2103750</v>
          </cell>
          <cell r="K374" t="str">
            <v>LNH1125NE20</v>
          </cell>
          <cell r="N374">
            <v>2103750</v>
          </cell>
          <cell r="O374" t="str">
            <v>LNH0326NG18</v>
          </cell>
        </row>
        <row r="375">
          <cell r="B375" t="str">
            <v>25820200068</v>
          </cell>
          <cell r="C375" t="str">
            <v>Nguyễn Minh Như</v>
          </cell>
          <cell r="D375" t="str">
            <v>Ý</v>
          </cell>
          <cell r="E375">
            <v>8415000</v>
          </cell>
          <cell r="F375">
            <v>2103750</v>
          </cell>
          <cell r="G375" t="str">
            <v>LNH0925ND21</v>
          </cell>
          <cell r="J375">
            <v>2103750</v>
          </cell>
          <cell r="K375" t="str">
            <v>LNH1125NE30</v>
          </cell>
          <cell r="N375">
            <v>2103750</v>
          </cell>
          <cell r="O375" t="str">
            <v>LNH0326NG18</v>
          </cell>
        </row>
        <row r="376">
          <cell r="B376" t="str">
            <v>25800400151</v>
          </cell>
          <cell r="C376" t="str">
            <v>Phạm Hoàng</v>
          </cell>
          <cell r="D376" t="str">
            <v>Thông</v>
          </cell>
          <cell r="E376">
            <v>8415000</v>
          </cell>
          <cell r="F376">
            <v>2103750</v>
          </cell>
          <cell r="G376" t="str">
            <v>LNH0925ND23</v>
          </cell>
          <cell r="J376">
            <v>2103750</v>
          </cell>
          <cell r="K376" t="str">
            <v>LNH1125NE21</v>
          </cell>
          <cell r="N376">
            <v>2103750</v>
          </cell>
          <cell r="O376" t="str">
            <v>LNH0326NG18</v>
          </cell>
        </row>
        <row r="377">
          <cell r="B377" t="str">
            <v>25802700022</v>
          </cell>
          <cell r="C377" t="str">
            <v>Nguyễn Phạm Ngọc</v>
          </cell>
          <cell r="D377" t="str">
            <v>Hân</v>
          </cell>
          <cell r="E377">
            <v>8415000</v>
          </cell>
          <cell r="F377">
            <v>2103750</v>
          </cell>
          <cell r="G377" t="str">
            <v>LNH0925ND23</v>
          </cell>
          <cell r="J377">
            <v>2103750</v>
          </cell>
          <cell r="K377" t="str">
            <v>LNH1125NE17</v>
          </cell>
          <cell r="N377">
            <v>2103750</v>
          </cell>
          <cell r="O377" t="str">
            <v>LNH0326NG18</v>
          </cell>
        </row>
        <row r="378">
          <cell r="B378" t="str">
            <v>25820300027</v>
          </cell>
          <cell r="C378" t="str">
            <v>Hà Đình</v>
          </cell>
          <cell r="D378" t="str">
            <v>Kiên</v>
          </cell>
          <cell r="E378">
            <v>8415000</v>
          </cell>
          <cell r="F378">
            <v>2103750</v>
          </cell>
          <cell r="G378" t="str">
            <v>LNH0925ND24</v>
          </cell>
          <cell r="J378">
            <v>2103750</v>
          </cell>
          <cell r="K378" t="str">
            <v>LNH1125NE18</v>
          </cell>
          <cell r="N378">
            <v>2103750</v>
          </cell>
          <cell r="O378" t="str">
            <v>LNH0326NG18</v>
          </cell>
        </row>
        <row r="379">
          <cell r="B379" t="str">
            <v>25802700003</v>
          </cell>
          <cell r="C379" t="str">
            <v>Trần Đình</v>
          </cell>
          <cell r="D379" t="str">
            <v>An</v>
          </cell>
          <cell r="E379">
            <v>8415000</v>
          </cell>
          <cell r="F379">
            <v>2103750</v>
          </cell>
          <cell r="G379" t="str">
            <v>LNH0925ND24</v>
          </cell>
          <cell r="K379" t="str">
            <v>Level 3,4</v>
          </cell>
          <cell r="N379">
            <v>2103750</v>
          </cell>
          <cell r="O379" t="str">
            <v>LNH0326NG18</v>
          </cell>
        </row>
        <row r="380">
          <cell r="B380" t="str">
            <v>25802700104</v>
          </cell>
          <cell r="C380" t="str">
            <v>Lê Thị Mỹ</v>
          </cell>
          <cell r="D380" t="str">
            <v>Tuyền</v>
          </cell>
          <cell r="E380">
            <v>8415000</v>
          </cell>
          <cell r="F380">
            <v>2103750</v>
          </cell>
          <cell r="G380" t="str">
            <v>LNH0925ND25</v>
          </cell>
          <cell r="J380">
            <v>2103750</v>
          </cell>
          <cell r="K380" t="str">
            <v>LNH1125NE18</v>
          </cell>
          <cell r="N380">
            <v>2103750</v>
          </cell>
          <cell r="O380" t="str">
            <v>LNH0326NG18</v>
          </cell>
        </row>
        <row r="381">
          <cell r="B381" t="str">
            <v>25800400275</v>
          </cell>
          <cell r="C381" t="str">
            <v>Trần Lê Hữu</v>
          </cell>
          <cell r="D381" t="str">
            <v>Hậu</v>
          </cell>
          <cell r="E381">
            <v>8415000</v>
          </cell>
          <cell r="F381">
            <v>2103750</v>
          </cell>
          <cell r="G381" t="str">
            <v>LNH0925ND28</v>
          </cell>
          <cell r="J381">
            <v>2103750</v>
          </cell>
          <cell r="K381" t="str">
            <v>LNH1125NE26</v>
          </cell>
          <cell r="N381">
            <v>2103750</v>
          </cell>
          <cell r="O381" t="str">
            <v>LNH0326NG18</v>
          </cell>
        </row>
        <row r="382">
          <cell r="B382" t="str">
            <v>25807800158</v>
          </cell>
          <cell r="C382" t="str">
            <v>Đỗ Thanh</v>
          </cell>
          <cell r="D382" t="str">
            <v>Tùng</v>
          </cell>
          <cell r="E382">
            <v>8415000</v>
          </cell>
          <cell r="F382">
            <v>2103750</v>
          </cell>
          <cell r="G382" t="str">
            <v>LNH0925ND33</v>
          </cell>
          <cell r="J382">
            <v>2103750</v>
          </cell>
          <cell r="K382" t="str">
            <v>LNH1125NE19</v>
          </cell>
          <cell r="N382">
            <v>2103750</v>
          </cell>
          <cell r="O382" t="str">
            <v>LNH0326NG18</v>
          </cell>
        </row>
        <row r="383">
          <cell r="B383" t="str">
            <v>25820300063</v>
          </cell>
          <cell r="C383" t="str">
            <v>Thái Thành</v>
          </cell>
          <cell r="D383" t="str">
            <v>Trí</v>
          </cell>
          <cell r="E383">
            <v>9405000</v>
          </cell>
          <cell r="F383">
            <v>2232500</v>
          </cell>
          <cell r="G383" t="str">
            <v>LNH0925ND33</v>
          </cell>
          <cell r="J383">
            <v>2232500</v>
          </cell>
          <cell r="K383" t="str">
            <v>LNH1125NE17</v>
          </cell>
          <cell r="N383">
            <v>2470000</v>
          </cell>
          <cell r="O383" t="str">
            <v>LNH0326NG18</v>
          </cell>
        </row>
        <row r="384">
          <cell r="B384" t="str">
            <v>25820300085</v>
          </cell>
          <cell r="C384" t="str">
            <v>Nguyễn Hoàng Trọng</v>
          </cell>
          <cell r="D384" t="str">
            <v>Phú</v>
          </cell>
          <cell r="E384">
            <v>8415000</v>
          </cell>
          <cell r="F384">
            <v>2103750</v>
          </cell>
          <cell r="G384" t="str">
            <v>LNH0925ND34</v>
          </cell>
          <cell r="J384">
            <v>2103750</v>
          </cell>
          <cell r="K384" t="str">
            <v>LNH1125NE18</v>
          </cell>
          <cell r="N384">
            <v>2103750</v>
          </cell>
          <cell r="O384" t="str">
            <v>LNH0326NG18</v>
          </cell>
        </row>
        <row r="385">
          <cell r="B385" t="str">
            <v>25800400114</v>
          </cell>
          <cell r="C385" t="str">
            <v>Trần Thiện</v>
          </cell>
          <cell r="D385" t="str">
            <v>Nhân</v>
          </cell>
          <cell r="E385">
            <v>8475000</v>
          </cell>
          <cell r="F385">
            <v>2103750</v>
          </cell>
          <cell r="G385" t="str">
            <v>LNH0925ND36</v>
          </cell>
          <cell r="J385">
            <v>2103750</v>
          </cell>
          <cell r="K385" t="str">
            <v>LNH1125NE31</v>
          </cell>
          <cell r="N385">
            <v>2103750</v>
          </cell>
          <cell r="O385" t="str">
            <v>LNH0326NG18</v>
          </cell>
        </row>
        <row r="386">
          <cell r="B386" t="str">
            <v>25805800054</v>
          </cell>
          <cell r="C386" t="str">
            <v>Lê Hoàng</v>
          </cell>
          <cell r="D386" t="str">
            <v>Anh</v>
          </cell>
          <cell r="E386">
            <v>8415000</v>
          </cell>
          <cell r="F386">
            <v>2103750</v>
          </cell>
          <cell r="G386" t="str">
            <v>LNH0925ND25</v>
          </cell>
          <cell r="J386">
            <v>2103750</v>
          </cell>
          <cell r="K386" t="str">
            <v>LNH1125NE23</v>
          </cell>
          <cell r="N386">
            <v>2103750</v>
          </cell>
          <cell r="O386" t="str">
            <v>LNH0326NG19</v>
          </cell>
        </row>
        <row r="387">
          <cell r="B387" t="str">
            <v>25808200108</v>
          </cell>
          <cell r="C387" t="str">
            <v>Tô Phước</v>
          </cell>
          <cell r="D387" t="str">
            <v>Sang</v>
          </cell>
          <cell r="E387">
            <v>8415000</v>
          </cell>
          <cell r="F387">
            <v>2103750</v>
          </cell>
          <cell r="G387" t="str">
            <v>LNH0925ND28</v>
          </cell>
          <cell r="J387">
            <v>2103750</v>
          </cell>
          <cell r="K387" t="str">
            <v>LNH1125NE24</v>
          </cell>
          <cell r="N387">
            <v>2103750</v>
          </cell>
          <cell r="O387" t="str">
            <v>LNH0326NG19</v>
          </cell>
        </row>
        <row r="388">
          <cell r="B388" t="str">
            <v>25800400291</v>
          </cell>
          <cell r="C388" t="str">
            <v>Phùng Minh</v>
          </cell>
          <cell r="D388" t="str">
            <v>Trí</v>
          </cell>
          <cell r="E388">
            <v>8415000</v>
          </cell>
          <cell r="F388">
            <v>2103750</v>
          </cell>
          <cell r="G388" t="str">
            <v>LNH0925ND29</v>
          </cell>
          <cell r="J388">
            <v>2103750</v>
          </cell>
          <cell r="K388" t="str">
            <v>LNH1125NE24</v>
          </cell>
          <cell r="N388">
            <v>2103750</v>
          </cell>
          <cell r="O388" t="str">
            <v>LNH0326NG19</v>
          </cell>
        </row>
        <row r="389">
          <cell r="B389" t="str">
            <v>25800500136</v>
          </cell>
          <cell r="C389" t="str">
            <v>Nguyễn Anh</v>
          </cell>
          <cell r="D389" t="str">
            <v>Phong</v>
          </cell>
          <cell r="E389">
            <v>8415000</v>
          </cell>
          <cell r="F389">
            <v>2103750</v>
          </cell>
          <cell r="G389" t="str">
            <v>LNH0925ND29</v>
          </cell>
          <cell r="J389">
            <v>2103750</v>
          </cell>
          <cell r="K389" t="str">
            <v>LNH1125NE24</v>
          </cell>
          <cell r="N389">
            <v>2103750</v>
          </cell>
          <cell r="O389" t="str">
            <v>LNH0326NG19</v>
          </cell>
        </row>
        <row r="390">
          <cell r="B390" t="str">
            <v>25801200039</v>
          </cell>
          <cell r="C390" t="str">
            <v>Huỳnh Trần Thảo</v>
          </cell>
          <cell r="D390" t="str">
            <v>Vy</v>
          </cell>
          <cell r="E390">
            <v>8415000</v>
          </cell>
          <cell r="F390">
            <v>2103750</v>
          </cell>
          <cell r="G390" t="str">
            <v>LNH0925ND29</v>
          </cell>
          <cell r="J390">
            <v>2103750</v>
          </cell>
          <cell r="K390" t="str">
            <v>LNH1125NE24</v>
          </cell>
          <cell r="N390">
            <v>2103750</v>
          </cell>
          <cell r="O390" t="str">
            <v>LNH0326NG19</v>
          </cell>
        </row>
        <row r="391">
          <cell r="B391" t="str">
            <v>25802700134</v>
          </cell>
          <cell r="C391" t="str">
            <v>Phan Bảo</v>
          </cell>
          <cell r="D391" t="str">
            <v>Luân</v>
          </cell>
          <cell r="E391">
            <v>8415000</v>
          </cell>
          <cell r="F391">
            <v>2103750</v>
          </cell>
          <cell r="G391" t="str">
            <v>LNH0925ND29</v>
          </cell>
          <cell r="J391">
            <v>2103750</v>
          </cell>
          <cell r="K391" t="str">
            <v>LNH1125NE24</v>
          </cell>
          <cell r="N391">
            <v>2103750</v>
          </cell>
          <cell r="O391" t="str">
            <v>LNH0326NG19</v>
          </cell>
        </row>
        <row r="392">
          <cell r="B392" t="str">
            <v>25807500032</v>
          </cell>
          <cell r="C392" t="str">
            <v>Trần Ngọc</v>
          </cell>
          <cell r="D392" t="str">
            <v>Hiếu</v>
          </cell>
          <cell r="E392">
            <v>8415000</v>
          </cell>
          <cell r="F392">
            <v>2103750</v>
          </cell>
          <cell r="G392" t="str">
            <v>LNH0925ND29</v>
          </cell>
          <cell r="J392">
            <v>2103750</v>
          </cell>
          <cell r="K392" t="str">
            <v>LNH1125NE24</v>
          </cell>
          <cell r="N392">
            <v>2103750</v>
          </cell>
          <cell r="O392" t="str">
            <v>LNH0326NG19</v>
          </cell>
        </row>
        <row r="393">
          <cell r="B393" t="str">
            <v>25807500124</v>
          </cell>
          <cell r="C393" t="str">
            <v>Nguyễn Anh</v>
          </cell>
          <cell r="D393" t="str">
            <v>Thư</v>
          </cell>
          <cell r="E393">
            <v>8415000</v>
          </cell>
          <cell r="F393">
            <v>2103750</v>
          </cell>
          <cell r="G393" t="str">
            <v>LNH0925ND29</v>
          </cell>
          <cell r="J393">
            <v>2103750</v>
          </cell>
          <cell r="K393" t="str">
            <v>LNH1125NE24</v>
          </cell>
          <cell r="N393">
            <v>2103750</v>
          </cell>
          <cell r="O393" t="str">
            <v>LNH0326NG19</v>
          </cell>
        </row>
        <row r="394">
          <cell r="B394" t="str">
            <v>25807900042</v>
          </cell>
          <cell r="C394" t="str">
            <v>Trần Nhật</v>
          </cell>
          <cell r="D394" t="str">
            <v>Quang</v>
          </cell>
          <cell r="E394">
            <v>8415000</v>
          </cell>
          <cell r="F394">
            <v>2103750</v>
          </cell>
          <cell r="G394" t="str">
            <v>LNH0925ND29</v>
          </cell>
          <cell r="J394">
            <v>2103750</v>
          </cell>
          <cell r="K394" t="str">
            <v>LNH1125NE24</v>
          </cell>
          <cell r="N394">
            <v>2103750</v>
          </cell>
          <cell r="O394" t="str">
            <v>LNH0326NG19</v>
          </cell>
        </row>
        <row r="395">
          <cell r="B395" t="str">
            <v>25820100017</v>
          </cell>
          <cell r="C395" t="str">
            <v>Trần Huỳnh Quang</v>
          </cell>
          <cell r="D395" t="str">
            <v>Huy</v>
          </cell>
          <cell r="E395">
            <v>8415000</v>
          </cell>
          <cell r="F395">
            <v>2103750</v>
          </cell>
          <cell r="G395" t="str">
            <v>LNH0925ND29</v>
          </cell>
          <cell r="J395">
            <v>2103750</v>
          </cell>
          <cell r="K395" t="str">
            <v>LNH1125NE24</v>
          </cell>
          <cell r="N395">
            <v>2103750</v>
          </cell>
          <cell r="O395" t="str">
            <v>LNH0326NG19</v>
          </cell>
        </row>
        <row r="396">
          <cell r="B396" t="str">
            <v>25820100028</v>
          </cell>
          <cell r="C396" t="str">
            <v>Trần Nguyễn Hoàng</v>
          </cell>
          <cell r="D396" t="str">
            <v>Long</v>
          </cell>
          <cell r="E396">
            <v>8415000</v>
          </cell>
          <cell r="F396">
            <v>2103750</v>
          </cell>
          <cell r="G396" t="str">
            <v>LNH0925ND29</v>
          </cell>
          <cell r="J396">
            <v>2103750</v>
          </cell>
          <cell r="K396" t="str">
            <v>LNH1125NE24</v>
          </cell>
          <cell r="N396">
            <v>2103750</v>
          </cell>
          <cell r="O396" t="str">
            <v>LNH0326NG19</v>
          </cell>
        </row>
        <row r="397">
          <cell r="B397" t="str">
            <v>25808500274</v>
          </cell>
          <cell r="C397" t="str">
            <v>Nguyễn Trọng</v>
          </cell>
          <cell r="D397" t="str">
            <v>Phát</v>
          </cell>
          <cell r="E397">
            <v>4700000</v>
          </cell>
          <cell r="F397">
            <v>2100000</v>
          </cell>
          <cell r="G397" t="str">
            <v>LNH0925ND29</v>
          </cell>
          <cell r="N397">
            <v>2600000</v>
          </cell>
          <cell r="O397" t="str">
            <v>LNH0326NG19</v>
          </cell>
        </row>
        <row r="398">
          <cell r="B398" t="str">
            <v>25800400122</v>
          </cell>
          <cell r="C398" t="str">
            <v>Đặng Nguyễn Hoàng</v>
          </cell>
          <cell r="D398" t="str">
            <v>Phú</v>
          </cell>
          <cell r="E398">
            <v>8415000</v>
          </cell>
          <cell r="F398">
            <v>2103750</v>
          </cell>
          <cell r="G398" t="str">
            <v>LNH0925ND35</v>
          </cell>
          <cell r="J398">
            <v>2103750</v>
          </cell>
          <cell r="K398" t="str">
            <v>LNH1125NE31</v>
          </cell>
          <cell r="N398">
            <v>2103750</v>
          </cell>
          <cell r="O398" t="str">
            <v>LNH0326NG19</v>
          </cell>
        </row>
        <row r="399">
          <cell r="B399" t="str">
            <v>25808200139</v>
          </cell>
          <cell r="C399" t="str">
            <v>Lương Mạnh</v>
          </cell>
          <cell r="D399" t="str">
            <v>Tuấn</v>
          </cell>
          <cell r="E399">
            <v>8415000</v>
          </cell>
          <cell r="F399">
            <v>2103750</v>
          </cell>
          <cell r="G399" t="str">
            <v>LNH0925ND36</v>
          </cell>
          <cell r="J399">
            <v>2103750</v>
          </cell>
          <cell r="K399" t="str">
            <v>LNH1125NE31</v>
          </cell>
          <cell r="N399">
            <v>2103750</v>
          </cell>
          <cell r="O399" t="str">
            <v>LNH0326NG19</v>
          </cell>
        </row>
        <row r="400">
          <cell r="B400" t="str">
            <v>25800500072</v>
          </cell>
          <cell r="C400" t="str">
            <v>Nguyễn</v>
          </cell>
          <cell r="D400" t="str">
            <v>Hưng</v>
          </cell>
          <cell r="E400">
            <v>2600000</v>
          </cell>
          <cell r="N400">
            <v>2600000</v>
          </cell>
          <cell r="O400" t="str">
            <v>LNH0326NG19</v>
          </cell>
        </row>
        <row r="401">
          <cell r="B401" t="str">
            <v>25800400097</v>
          </cell>
          <cell r="C401" t="str">
            <v>Lê Đức</v>
          </cell>
          <cell r="D401" t="str">
            <v>Lượng</v>
          </cell>
          <cell r="E401">
            <v>8415000</v>
          </cell>
          <cell r="J401">
            <v>2103750</v>
          </cell>
          <cell r="K401" t="str">
            <v>LNH1125NE31</v>
          </cell>
        </row>
        <row r="402">
          <cell r="B402" t="str">
            <v>25806300022</v>
          </cell>
          <cell r="C402" t="str">
            <v>Nguyễn Tuấn</v>
          </cell>
          <cell r="D402" t="str">
            <v>Kiệt</v>
          </cell>
          <cell r="E402">
            <v>8415000</v>
          </cell>
          <cell r="N402">
            <v>2103750</v>
          </cell>
          <cell r="O402" t="str">
            <v>LNH0326NG19</v>
          </cell>
        </row>
        <row r="403">
          <cell r="B403" t="str">
            <v>25820700046</v>
          </cell>
          <cell r="C403" t="str">
            <v>Ngô Thanh</v>
          </cell>
          <cell r="D403" t="str">
            <v>Vân</v>
          </cell>
          <cell r="E403">
            <v>4940000</v>
          </cell>
          <cell r="N403">
            <v>2470000</v>
          </cell>
          <cell r="O403" t="str">
            <v>LNH0326NG19</v>
          </cell>
        </row>
        <row r="404">
          <cell r="B404" t="str">
            <v>25800400287</v>
          </cell>
          <cell r="C404" t="str">
            <v>Nguyễn Minh</v>
          </cell>
          <cell r="D404" t="str">
            <v>Hiếu</v>
          </cell>
          <cell r="E404">
            <v>8415000</v>
          </cell>
          <cell r="F404">
            <v>2103750</v>
          </cell>
          <cell r="G404" t="str">
            <v>LNH0925ND18</v>
          </cell>
          <cell r="J404">
            <v>2103750</v>
          </cell>
          <cell r="K404" t="str">
            <v>LNH1125NE28</v>
          </cell>
          <cell r="N404">
            <v>2103750</v>
          </cell>
          <cell r="O404" t="str">
            <v>LNH0326NG20</v>
          </cell>
        </row>
        <row r="405">
          <cell r="B405" t="str">
            <v>25808200123</v>
          </cell>
          <cell r="C405" t="str">
            <v>Lê Ngọc</v>
          </cell>
          <cell r="D405" t="str">
            <v>Thiện</v>
          </cell>
          <cell r="E405">
            <v>8415000</v>
          </cell>
          <cell r="F405">
            <v>2103750</v>
          </cell>
          <cell r="G405" t="str">
            <v>LNH0925ND22</v>
          </cell>
          <cell r="J405">
            <v>2103750</v>
          </cell>
          <cell r="K405" t="str">
            <v>LNH1125NE22</v>
          </cell>
          <cell r="N405">
            <v>2103750</v>
          </cell>
          <cell r="O405" t="str">
            <v>LNH0326NG20</v>
          </cell>
        </row>
        <row r="406">
          <cell r="B406" t="str">
            <v>25820700004</v>
          </cell>
          <cell r="C406" t="str">
            <v>Trần Quỳnh</v>
          </cell>
          <cell r="D406" t="str">
            <v>Anh</v>
          </cell>
          <cell r="E406">
            <v>8415000</v>
          </cell>
          <cell r="F406">
            <v>2103750</v>
          </cell>
          <cell r="G406" t="str">
            <v>LNH0925ND24</v>
          </cell>
          <cell r="J406">
            <v>2103750</v>
          </cell>
          <cell r="K406" t="str">
            <v>LNH1125NE26</v>
          </cell>
          <cell r="N406">
            <v>2103750</v>
          </cell>
          <cell r="O406" t="str">
            <v>LNH0326NG20</v>
          </cell>
        </row>
        <row r="407">
          <cell r="B407" t="str">
            <v>25820700010</v>
          </cell>
          <cell r="C407" t="str">
            <v>Nguyễn Dương Hiền</v>
          </cell>
          <cell r="D407" t="str">
            <v>Hòa</v>
          </cell>
          <cell r="E407">
            <v>8415000</v>
          </cell>
          <cell r="F407">
            <v>2103750</v>
          </cell>
          <cell r="G407" t="str">
            <v>LNH0925ND24</v>
          </cell>
          <cell r="J407">
            <v>2103750</v>
          </cell>
          <cell r="K407" t="str">
            <v>LNH1125NE26</v>
          </cell>
          <cell r="N407">
            <v>2103750</v>
          </cell>
          <cell r="O407" t="str">
            <v>LNH0326NG20</v>
          </cell>
        </row>
        <row r="408">
          <cell r="B408" t="str">
            <v>25807800112</v>
          </cell>
          <cell r="C408" t="str">
            <v>Nguyễn Hoàng Minh</v>
          </cell>
          <cell r="D408" t="str">
            <v>Quang</v>
          </cell>
          <cell r="E408">
            <v>9405000</v>
          </cell>
          <cell r="F408">
            <v>2232500</v>
          </cell>
          <cell r="G408" t="str">
            <v>LNH0925ND26</v>
          </cell>
          <cell r="J408">
            <v>2232500</v>
          </cell>
          <cell r="K408" t="str">
            <v>LNH1125NE27</v>
          </cell>
          <cell r="N408">
            <v>2470000</v>
          </cell>
          <cell r="O408" t="str">
            <v>LNH0326NG20</v>
          </cell>
        </row>
        <row r="409">
          <cell r="B409" t="str">
            <v>25802100071</v>
          </cell>
          <cell r="C409" t="str">
            <v>Nguyễn Vinh</v>
          </cell>
          <cell r="D409" t="str">
            <v>Quang</v>
          </cell>
          <cell r="E409">
            <v>8415000</v>
          </cell>
          <cell r="F409">
            <v>2103750</v>
          </cell>
          <cell r="G409" t="str">
            <v>LNH0925ND27</v>
          </cell>
          <cell r="J409">
            <v>2103750</v>
          </cell>
          <cell r="K409" t="str">
            <v>LNH1125NE26</v>
          </cell>
          <cell r="N409">
            <v>2103750</v>
          </cell>
          <cell r="O409" t="str">
            <v>LNH0326NG20</v>
          </cell>
        </row>
        <row r="410">
          <cell r="B410" t="str">
            <v>25802700081</v>
          </cell>
          <cell r="C410" t="str">
            <v>Dương Nguyễn Ngọc</v>
          </cell>
          <cell r="D410" t="str">
            <v>Thắng</v>
          </cell>
          <cell r="E410">
            <v>8415000</v>
          </cell>
          <cell r="F410">
            <v>2103750</v>
          </cell>
          <cell r="G410" t="str">
            <v>LNH0925ND27</v>
          </cell>
          <cell r="J410">
            <v>2103750</v>
          </cell>
          <cell r="K410" t="str">
            <v>LNH1125NE26</v>
          </cell>
          <cell r="N410">
            <v>2103750</v>
          </cell>
          <cell r="O410" t="str">
            <v>LNH0326NG20</v>
          </cell>
        </row>
        <row r="411">
          <cell r="B411" t="str">
            <v>25808200070</v>
          </cell>
          <cell r="C411" t="str">
            <v>Trần Minh</v>
          </cell>
          <cell r="D411" t="str">
            <v>Khoa</v>
          </cell>
          <cell r="E411">
            <v>8415000</v>
          </cell>
          <cell r="F411">
            <v>2103750</v>
          </cell>
          <cell r="G411" t="str">
            <v>LNH0925ND28</v>
          </cell>
          <cell r="J411">
            <v>2103750</v>
          </cell>
          <cell r="K411" t="str">
            <v>LNH1125NE26</v>
          </cell>
          <cell r="N411">
            <v>2103750</v>
          </cell>
          <cell r="O411" t="str">
            <v>LNH0326NG20</v>
          </cell>
        </row>
        <row r="412">
          <cell r="B412" t="str">
            <v>25820300043</v>
          </cell>
          <cell r="C412" t="str">
            <v>Trần Tấn</v>
          </cell>
          <cell r="D412" t="str">
            <v>Phát</v>
          </cell>
          <cell r="E412">
            <v>8415000</v>
          </cell>
          <cell r="F412">
            <v>2103750</v>
          </cell>
          <cell r="G412" t="str">
            <v>LNH0925ND28</v>
          </cell>
          <cell r="J412">
            <v>2103750</v>
          </cell>
          <cell r="K412" t="str">
            <v>LNH1125NE26</v>
          </cell>
          <cell r="N412">
            <v>2103750</v>
          </cell>
          <cell r="O412" t="str">
            <v>LNH0326NG20</v>
          </cell>
        </row>
        <row r="413">
          <cell r="B413" t="str">
            <v>25820300026</v>
          </cell>
          <cell r="C413" t="str">
            <v>Phạm Nguyễn Đăng</v>
          </cell>
          <cell r="D413" t="str">
            <v>Khoa</v>
          </cell>
          <cell r="E413">
            <v>8415000</v>
          </cell>
          <cell r="F413">
            <v>2103750</v>
          </cell>
          <cell r="G413" t="str">
            <v>LNH0925ND28</v>
          </cell>
          <cell r="J413">
            <v>2103750</v>
          </cell>
          <cell r="K413" t="str">
            <v>LNH1125NE26</v>
          </cell>
          <cell r="N413">
            <v>2103750</v>
          </cell>
          <cell r="O413" t="str">
            <v>LNH0326NG20</v>
          </cell>
        </row>
        <row r="414">
          <cell r="B414" t="str">
            <v>25820300009</v>
          </cell>
          <cell r="C414" t="str">
            <v>Trịnh Nhật</v>
          </cell>
          <cell r="D414" t="str">
            <v>Đông</v>
          </cell>
          <cell r="E414">
            <v>8415000</v>
          </cell>
          <cell r="F414">
            <v>2103750</v>
          </cell>
          <cell r="G414" t="str">
            <v>LNH0925ND32</v>
          </cell>
          <cell r="J414">
            <v>2103750</v>
          </cell>
          <cell r="K414" t="str">
            <v>LNH1125NE19</v>
          </cell>
          <cell r="N414">
            <v>2103750</v>
          </cell>
          <cell r="O414" t="str">
            <v>LNH0326NG20</v>
          </cell>
        </row>
        <row r="415">
          <cell r="B415" t="str">
            <v>25807800073</v>
          </cell>
          <cell r="C415" t="str">
            <v>Võ Thanh</v>
          </cell>
          <cell r="D415" t="str">
            <v>Liêm</v>
          </cell>
          <cell r="E415">
            <v>8415000</v>
          </cell>
          <cell r="F415">
            <v>2103750</v>
          </cell>
          <cell r="G415" t="str">
            <v>LNH0925ND33</v>
          </cell>
          <cell r="J415">
            <v>2103750</v>
          </cell>
          <cell r="K415" t="str">
            <v>LNH1125NE29</v>
          </cell>
          <cell r="N415">
            <v>2103750</v>
          </cell>
          <cell r="O415" t="str">
            <v>LNH0326NG20</v>
          </cell>
        </row>
        <row r="416">
          <cell r="B416" t="str">
            <v>25800400051</v>
          </cell>
          <cell r="C416" t="str">
            <v>Nguyễn Lâm</v>
          </cell>
          <cell r="D416" t="str">
            <v>Hùng</v>
          </cell>
          <cell r="E416">
            <v>8415000</v>
          </cell>
          <cell r="F416">
            <v>2103750</v>
          </cell>
          <cell r="G416" t="str">
            <v>LNH0925ND36</v>
          </cell>
          <cell r="J416">
            <v>2103750</v>
          </cell>
          <cell r="K416" t="str">
            <v>LNH1125NE31</v>
          </cell>
          <cell r="N416">
            <v>2103750</v>
          </cell>
          <cell r="O416" t="str">
            <v>LNH0326NG20</v>
          </cell>
        </row>
        <row r="417">
          <cell r="B417" t="str">
            <v>25800500311</v>
          </cell>
          <cell r="C417" t="str">
            <v>Triệu Gia</v>
          </cell>
          <cell r="D417" t="str">
            <v>Khang</v>
          </cell>
          <cell r="E417">
            <v>8415000</v>
          </cell>
          <cell r="F417">
            <v>1530000</v>
          </cell>
          <cell r="G417" t="str">
            <v>LNH0925NL01</v>
          </cell>
          <cell r="N417">
            <v>2103750</v>
          </cell>
          <cell r="O417" t="str">
            <v>LNH0326NG20</v>
          </cell>
        </row>
        <row r="418">
          <cell r="B418" t="str">
            <v>25820300049</v>
          </cell>
          <cell r="C418" t="str">
            <v>Đặng Nhân</v>
          </cell>
          <cell r="D418" t="str">
            <v>Quý</v>
          </cell>
          <cell r="E418">
            <v>8415000</v>
          </cell>
          <cell r="H418">
            <v>2103750</v>
          </cell>
          <cell r="I418" t="str">
            <v>LNH1025ND02</v>
          </cell>
          <cell r="J418">
            <v>2103750</v>
          </cell>
          <cell r="K418" t="str">
            <v>LNH1125NE27</v>
          </cell>
          <cell r="N418">
            <v>2103750</v>
          </cell>
          <cell r="O418" t="str">
            <v>LNH0326NG20</v>
          </cell>
        </row>
        <row r="419">
          <cell r="B419" t="str">
            <v>25800600077</v>
          </cell>
          <cell r="C419" t="str">
            <v>Sơn Trung</v>
          </cell>
          <cell r="D419" t="str">
            <v>Chiến</v>
          </cell>
          <cell r="E419">
            <v>8415000</v>
          </cell>
          <cell r="J419">
            <v>2103750</v>
          </cell>
          <cell r="K419" t="str">
            <v>LNH1125NE27</v>
          </cell>
          <cell r="N419">
            <v>2103750</v>
          </cell>
          <cell r="O419" t="str">
            <v>LNH0326NG20</v>
          </cell>
        </row>
        <row r="420">
          <cell r="B420" t="str">
            <v>25807900018</v>
          </cell>
          <cell r="C420" t="str">
            <v>Lê Dương Gia</v>
          </cell>
          <cell r="D420" t="str">
            <v>Huy</v>
          </cell>
          <cell r="E420">
            <v>4940000</v>
          </cell>
          <cell r="K420" t="str">
            <v>Level 3,4</v>
          </cell>
          <cell r="N420">
            <v>2470000</v>
          </cell>
          <cell r="O420" t="str">
            <v>LNH0326NG20</v>
          </cell>
        </row>
        <row r="421">
          <cell r="B421" t="str">
            <v>25820200011</v>
          </cell>
          <cell r="C421" t="str">
            <v>Phạm Hùng</v>
          </cell>
          <cell r="D421" t="str">
            <v>Duy</v>
          </cell>
          <cell r="E421">
            <v>4940000</v>
          </cell>
          <cell r="N421">
            <v>2470000</v>
          </cell>
          <cell r="O421" t="str">
            <v>LNH0326NG20</v>
          </cell>
        </row>
        <row r="422">
          <cell r="B422" t="str">
            <v>25808200053</v>
          </cell>
          <cell r="C422" t="str">
            <v>Thái Ngọc</v>
          </cell>
          <cell r="D422" t="str">
            <v>Huy</v>
          </cell>
          <cell r="E422">
            <v>7065000</v>
          </cell>
          <cell r="F422">
            <v>2232500</v>
          </cell>
          <cell r="G422" t="str">
            <v>LNH0925ND20</v>
          </cell>
          <cell r="J422">
            <v>2232500</v>
          </cell>
          <cell r="K422" t="str">
            <v>LNH1125NE23</v>
          </cell>
          <cell r="N422">
            <v>2600000</v>
          </cell>
          <cell r="O422" t="str">
            <v>LNH0326NG21</v>
          </cell>
        </row>
        <row r="423">
          <cell r="B423" t="str">
            <v>25802800185</v>
          </cell>
          <cell r="C423" t="str">
            <v>Chu Yến</v>
          </cell>
          <cell r="D423" t="str">
            <v>Nhi</v>
          </cell>
          <cell r="E423">
            <v>8415000</v>
          </cell>
          <cell r="F423">
            <v>2103750</v>
          </cell>
          <cell r="G423" t="str">
            <v>LNH0925ND21</v>
          </cell>
          <cell r="J423">
            <v>2103750</v>
          </cell>
          <cell r="K423" t="str">
            <v>LNH1125NE25</v>
          </cell>
          <cell r="N423">
            <v>2103750</v>
          </cell>
          <cell r="O423" t="str">
            <v>LNH0326NG21</v>
          </cell>
        </row>
        <row r="424">
          <cell r="B424" t="str">
            <v>25807500011</v>
          </cell>
          <cell r="C424" t="str">
            <v>Bùi Gia</v>
          </cell>
          <cell r="D424" t="str">
            <v>Bảo</v>
          </cell>
          <cell r="E424">
            <v>8415000</v>
          </cell>
          <cell r="F424">
            <v>2103750</v>
          </cell>
          <cell r="G424" t="str">
            <v>LNH0925ND24</v>
          </cell>
          <cell r="J424">
            <v>2103750</v>
          </cell>
          <cell r="K424" t="str">
            <v>LNH1125NE19</v>
          </cell>
          <cell r="N424">
            <v>2103750</v>
          </cell>
          <cell r="O424" t="str">
            <v>LNH0326NG21</v>
          </cell>
        </row>
        <row r="425">
          <cell r="B425" t="str">
            <v>25808200269</v>
          </cell>
          <cell r="C425" t="str">
            <v>Nguyễn Thành</v>
          </cell>
          <cell r="D425" t="str">
            <v>Tiến</v>
          </cell>
          <cell r="E425">
            <v>8415000</v>
          </cell>
          <cell r="F425">
            <v>2103750</v>
          </cell>
          <cell r="G425" t="str">
            <v>LNH0925ND25</v>
          </cell>
          <cell r="J425">
            <v>2103750</v>
          </cell>
          <cell r="K425" t="str">
            <v>LNH1125NE22</v>
          </cell>
          <cell r="N425">
            <v>2103750</v>
          </cell>
          <cell r="O425" t="str">
            <v>LNH0326NG21</v>
          </cell>
        </row>
        <row r="426">
          <cell r="B426" t="str">
            <v>25800600343</v>
          </cell>
          <cell r="C426" t="str">
            <v>Nguyễn Đăng</v>
          </cell>
          <cell r="D426" t="str">
            <v>Khoa</v>
          </cell>
          <cell r="E426">
            <v>8415000</v>
          </cell>
          <cell r="F426">
            <v>2103750</v>
          </cell>
          <cell r="G426" t="str">
            <v>LNH0925ND27</v>
          </cell>
          <cell r="J426">
            <v>2103750</v>
          </cell>
          <cell r="K426" t="str">
            <v>LNH1125NE23</v>
          </cell>
          <cell r="N426">
            <v>2103750</v>
          </cell>
          <cell r="O426" t="str">
            <v>LNH0326NG21</v>
          </cell>
        </row>
        <row r="427">
          <cell r="B427" t="str">
            <v>25820200133</v>
          </cell>
          <cell r="C427" t="str">
            <v>Nguyễn Quang</v>
          </cell>
          <cell r="D427" t="str">
            <v>Đại</v>
          </cell>
          <cell r="E427">
            <v>8415000</v>
          </cell>
          <cell r="F427">
            <v>2103750</v>
          </cell>
          <cell r="G427" t="str">
            <v>LNH0925ND27</v>
          </cell>
          <cell r="J427">
            <v>2103750</v>
          </cell>
          <cell r="K427" t="str">
            <v>LNH1125NE25</v>
          </cell>
          <cell r="N427">
            <v>2103750</v>
          </cell>
          <cell r="O427" t="str">
            <v>LNH0326NG21</v>
          </cell>
        </row>
        <row r="428">
          <cell r="B428" t="str">
            <v>25803800021</v>
          </cell>
          <cell r="C428" t="str">
            <v>Đỗ Quốc</v>
          </cell>
          <cell r="D428" t="str">
            <v>Khánh</v>
          </cell>
          <cell r="E428">
            <v>8415000</v>
          </cell>
          <cell r="F428">
            <v>2103750</v>
          </cell>
          <cell r="G428" t="str">
            <v>LNH0925ND28</v>
          </cell>
          <cell r="J428">
            <v>2103750</v>
          </cell>
          <cell r="K428" t="str">
            <v>LNH1125NE25</v>
          </cell>
          <cell r="N428">
            <v>2103750</v>
          </cell>
          <cell r="O428" t="str">
            <v>LNH0326NG21</v>
          </cell>
        </row>
        <row r="429">
          <cell r="B429" t="str">
            <v>25800500277</v>
          </cell>
          <cell r="C429" t="str">
            <v>Vũ Đức</v>
          </cell>
          <cell r="D429" t="str">
            <v>Hòa</v>
          </cell>
          <cell r="E429">
            <v>9405000</v>
          </cell>
          <cell r="F429">
            <v>2232500</v>
          </cell>
          <cell r="G429" t="str">
            <v>LNH0925ND28</v>
          </cell>
          <cell r="J429">
            <v>2232500</v>
          </cell>
          <cell r="K429" t="str">
            <v>LNH1125NE25</v>
          </cell>
          <cell r="N429">
            <v>2470000</v>
          </cell>
          <cell r="O429" t="str">
            <v>LNH0326NG21</v>
          </cell>
        </row>
        <row r="430">
          <cell r="B430" t="str">
            <v>25807500028</v>
          </cell>
          <cell r="C430" t="str">
            <v>Tô Gia</v>
          </cell>
          <cell r="D430" t="str">
            <v>Hân</v>
          </cell>
          <cell r="E430">
            <v>9405000</v>
          </cell>
          <cell r="F430">
            <v>2232500</v>
          </cell>
          <cell r="G430" t="str">
            <v>LNH0925ND28</v>
          </cell>
          <cell r="J430">
            <v>2232500</v>
          </cell>
          <cell r="K430" t="str">
            <v>LNH1125NE09</v>
          </cell>
          <cell r="N430">
            <v>2470000</v>
          </cell>
          <cell r="O430" t="str">
            <v>LNH0326NG21</v>
          </cell>
        </row>
        <row r="431">
          <cell r="B431" t="str">
            <v>25800400088</v>
          </cell>
          <cell r="C431" t="str">
            <v>Nguyễn Đỗ Anh</v>
          </cell>
          <cell r="D431" t="str">
            <v>Kiệt</v>
          </cell>
          <cell r="E431">
            <v>8415000</v>
          </cell>
          <cell r="F431">
            <v>2103750</v>
          </cell>
          <cell r="G431" t="str">
            <v>LNH0925ND35</v>
          </cell>
          <cell r="J431">
            <v>2103750</v>
          </cell>
          <cell r="K431" t="str">
            <v>LNH1125NE27</v>
          </cell>
          <cell r="N431">
            <v>2103750</v>
          </cell>
          <cell r="O431" t="str">
            <v>LNH0326NG21</v>
          </cell>
        </row>
        <row r="432">
          <cell r="B432" t="str">
            <v>25801100001</v>
          </cell>
          <cell r="C432" t="str">
            <v>Đinh Tuấn</v>
          </cell>
          <cell r="D432" t="str">
            <v>Anh</v>
          </cell>
          <cell r="E432">
            <v>8415000</v>
          </cell>
          <cell r="F432">
            <v>2103750</v>
          </cell>
          <cell r="G432" t="str">
            <v>LNH0925ND35</v>
          </cell>
          <cell r="J432">
            <v>2103750</v>
          </cell>
          <cell r="K432" t="str">
            <v>LNH1125NE26</v>
          </cell>
          <cell r="N432">
            <v>2103750</v>
          </cell>
          <cell r="O432" t="str">
            <v>LNH0326NG21</v>
          </cell>
        </row>
        <row r="433">
          <cell r="B433" t="str">
            <v>25806400003</v>
          </cell>
          <cell r="C433" t="str">
            <v>Đỗ</v>
          </cell>
          <cell r="D433" t="str">
            <v>Duẫn</v>
          </cell>
          <cell r="E433">
            <v>8415000</v>
          </cell>
          <cell r="F433">
            <v>2103750</v>
          </cell>
          <cell r="G433" t="str">
            <v>LNH0925ND35</v>
          </cell>
          <cell r="J433">
            <v>2103750</v>
          </cell>
          <cell r="K433" t="str">
            <v>LNH1125NE27</v>
          </cell>
          <cell r="N433">
            <v>2103750</v>
          </cell>
          <cell r="O433" t="str">
            <v>LNH0326NG21</v>
          </cell>
        </row>
        <row r="434">
          <cell r="B434" t="str">
            <v>25807500033</v>
          </cell>
          <cell r="C434" t="str">
            <v>Phạm Minh</v>
          </cell>
          <cell r="D434" t="str">
            <v>Hòa</v>
          </cell>
          <cell r="E434">
            <v>8415000</v>
          </cell>
          <cell r="F434">
            <v>2103750</v>
          </cell>
          <cell r="G434" t="str">
            <v>LNH0925ND35</v>
          </cell>
          <cell r="J434">
            <v>2103750</v>
          </cell>
          <cell r="K434" t="str">
            <v>LNH1125NE27</v>
          </cell>
          <cell r="N434">
            <v>2103750</v>
          </cell>
          <cell r="O434" t="str">
            <v>LNH0326NG21</v>
          </cell>
        </row>
        <row r="435">
          <cell r="B435" t="str">
            <v>25807800120</v>
          </cell>
          <cell r="C435" t="str">
            <v>Trần Văn</v>
          </cell>
          <cell r="D435" t="str">
            <v>Quyền</v>
          </cell>
          <cell r="E435">
            <v>8415000</v>
          </cell>
          <cell r="F435">
            <v>2103750</v>
          </cell>
          <cell r="G435" t="str">
            <v>LNH0925ND35</v>
          </cell>
          <cell r="J435">
            <v>2103750</v>
          </cell>
          <cell r="K435" t="str">
            <v>LNH1125NE27</v>
          </cell>
          <cell r="N435">
            <v>2103750</v>
          </cell>
          <cell r="O435" t="str">
            <v>LNH0326NG21</v>
          </cell>
        </row>
        <row r="436">
          <cell r="B436" t="str">
            <v>25807000012</v>
          </cell>
          <cell r="C436" t="str">
            <v>Trần Ngọc Minh</v>
          </cell>
          <cell r="D436" t="str">
            <v>Huyền</v>
          </cell>
          <cell r="E436">
            <v>9405000</v>
          </cell>
          <cell r="F436">
            <v>2232500</v>
          </cell>
          <cell r="G436" t="str">
            <v>LNH0925ND35</v>
          </cell>
          <cell r="J436">
            <v>2232500</v>
          </cell>
          <cell r="K436" t="str">
            <v>LNH1125NE27</v>
          </cell>
          <cell r="N436">
            <v>2470000</v>
          </cell>
          <cell r="O436" t="str">
            <v>LNH0326NG21</v>
          </cell>
        </row>
        <row r="437">
          <cell r="B437" t="str">
            <v>25803800037</v>
          </cell>
          <cell r="C437" t="str">
            <v>Lê Nguyễn Ngọc</v>
          </cell>
          <cell r="D437" t="str">
            <v>Ngân</v>
          </cell>
          <cell r="E437">
            <v>8415000</v>
          </cell>
          <cell r="F437">
            <v>2103750</v>
          </cell>
          <cell r="G437" t="str">
            <v>LNH0925ND36</v>
          </cell>
          <cell r="J437">
            <v>2103750</v>
          </cell>
          <cell r="K437" t="str">
            <v>LNH1125NE25</v>
          </cell>
          <cell r="N437">
            <v>2103750</v>
          </cell>
          <cell r="O437" t="str">
            <v>LNH0326NG21</v>
          </cell>
        </row>
        <row r="438">
          <cell r="B438" t="str">
            <v>25808600137</v>
          </cell>
          <cell r="C438" t="str">
            <v>Lương Thị Tuyết</v>
          </cell>
          <cell r="D438" t="str">
            <v>Trinh</v>
          </cell>
          <cell r="E438">
            <v>8415000</v>
          </cell>
          <cell r="H438">
            <v>2103750</v>
          </cell>
          <cell r="I438" t="str">
            <v>LNH1025ND01</v>
          </cell>
          <cell r="J438">
            <v>2103750</v>
          </cell>
          <cell r="K438" t="str">
            <v>LNH1125NE09</v>
          </cell>
          <cell r="N438">
            <v>2103750</v>
          </cell>
          <cell r="O438" t="str">
            <v>LNH0326NG21</v>
          </cell>
        </row>
        <row r="439">
          <cell r="B439" t="str">
            <v>25800500093</v>
          </cell>
          <cell r="C439" t="str">
            <v>Nguyễn Trần Đăng</v>
          </cell>
          <cell r="D439" t="str">
            <v>Khoa</v>
          </cell>
          <cell r="E439">
            <v>8415000</v>
          </cell>
          <cell r="H439">
            <v>2103750</v>
          </cell>
          <cell r="I439" t="str">
            <v>LNH1025ND01</v>
          </cell>
          <cell r="J439">
            <v>2103750</v>
          </cell>
          <cell r="K439" t="str">
            <v>LNH1125NE21</v>
          </cell>
          <cell r="N439">
            <v>2103750</v>
          </cell>
          <cell r="O439" t="str">
            <v>LNH0326NG21</v>
          </cell>
        </row>
        <row r="440">
          <cell r="B440" t="str">
            <v>25807900124</v>
          </cell>
          <cell r="C440" t="str">
            <v>Ngô Nhật</v>
          </cell>
          <cell r="D440" t="str">
            <v>Anh</v>
          </cell>
          <cell r="E440">
            <v>5200000</v>
          </cell>
          <cell r="N440">
            <v>2600000</v>
          </cell>
          <cell r="O440" t="str">
            <v>LNH0326NG21</v>
          </cell>
        </row>
        <row r="441">
          <cell r="B441" t="str">
            <v>25806800058</v>
          </cell>
          <cell r="C441" t="str">
            <v>Huỳnh Hoa Trinh</v>
          </cell>
          <cell r="D441" t="str">
            <v>Nữ</v>
          </cell>
          <cell r="E441">
            <v>8415000</v>
          </cell>
          <cell r="F441">
            <v>2103750</v>
          </cell>
          <cell r="G441" t="str">
            <v>LNH0925ND16</v>
          </cell>
          <cell r="J441">
            <v>2103750</v>
          </cell>
          <cell r="K441" t="str">
            <v>LNH1125NE07</v>
          </cell>
          <cell r="N441">
            <v>2103750</v>
          </cell>
          <cell r="O441" t="str">
            <v>LNH0326NG22</v>
          </cell>
        </row>
        <row r="442">
          <cell r="B442" t="str">
            <v>25808200049</v>
          </cell>
          <cell r="C442" t="str">
            <v>Nguyễn Tuấn</v>
          </cell>
          <cell r="D442" t="str">
            <v>Hùng</v>
          </cell>
          <cell r="E442">
            <v>8415000</v>
          </cell>
          <cell r="F442">
            <v>2103750</v>
          </cell>
          <cell r="G442" t="str">
            <v>LNH0925ND18</v>
          </cell>
          <cell r="J442">
            <v>2103750</v>
          </cell>
          <cell r="K442" t="str">
            <v>LNH1125NE17</v>
          </cell>
          <cell r="N442">
            <v>2103750</v>
          </cell>
          <cell r="O442" t="str">
            <v>LNH0326NG22</v>
          </cell>
        </row>
        <row r="443">
          <cell r="B443" t="str">
            <v>25808700221</v>
          </cell>
          <cell r="C443" t="str">
            <v>Huỳnh Phúc</v>
          </cell>
          <cell r="D443" t="str">
            <v>Chiến</v>
          </cell>
          <cell r="E443">
            <v>8415000</v>
          </cell>
          <cell r="F443">
            <v>2103750</v>
          </cell>
          <cell r="G443" t="str">
            <v>LNH0925ND20</v>
          </cell>
          <cell r="J443">
            <v>2103750</v>
          </cell>
          <cell r="K443" t="str">
            <v>LNH1125NE20</v>
          </cell>
          <cell r="N443">
            <v>2103750</v>
          </cell>
          <cell r="O443" t="str">
            <v>LNH0326NG22</v>
          </cell>
        </row>
        <row r="444">
          <cell r="B444" t="str">
            <v>25807900016</v>
          </cell>
          <cell r="C444" t="str">
            <v>Nguyễn Duy</v>
          </cell>
          <cell r="D444" t="str">
            <v>Hùng</v>
          </cell>
          <cell r="E444">
            <v>8415000</v>
          </cell>
          <cell r="F444">
            <v>2103750</v>
          </cell>
          <cell r="G444" t="str">
            <v>LNH0925ND21</v>
          </cell>
          <cell r="J444">
            <v>2103750</v>
          </cell>
          <cell r="K444" t="str">
            <v>LNH1125NE26</v>
          </cell>
          <cell r="N444">
            <v>2103750</v>
          </cell>
          <cell r="O444" t="str">
            <v>LNH0326NG22</v>
          </cell>
        </row>
        <row r="445">
          <cell r="B445" t="str">
            <v>25820700014</v>
          </cell>
          <cell r="C445" t="str">
            <v>Nguyễn Thị Kiều</v>
          </cell>
          <cell r="D445" t="str">
            <v>Loan</v>
          </cell>
          <cell r="E445">
            <v>8415000</v>
          </cell>
          <cell r="F445">
            <v>2103750</v>
          </cell>
          <cell r="G445" t="str">
            <v>LNH0925ND22</v>
          </cell>
          <cell r="J445">
            <v>2103750</v>
          </cell>
          <cell r="K445" t="str">
            <v>LNH1125NE30</v>
          </cell>
          <cell r="N445">
            <v>2103750</v>
          </cell>
          <cell r="O445" t="str">
            <v>LNH0326NG22</v>
          </cell>
        </row>
        <row r="446">
          <cell r="B446" t="str">
            <v>25820100030</v>
          </cell>
          <cell r="C446" t="str">
            <v>Phan Vũ Gia</v>
          </cell>
          <cell r="D446" t="str">
            <v>Minh</v>
          </cell>
          <cell r="E446">
            <v>8415000</v>
          </cell>
          <cell r="F446">
            <v>2103750</v>
          </cell>
          <cell r="G446" t="str">
            <v>LNH0925ND27</v>
          </cell>
          <cell r="J446">
            <v>2103750</v>
          </cell>
          <cell r="K446" t="str">
            <v>LNH1125NE23</v>
          </cell>
          <cell r="N446">
            <v>2103750</v>
          </cell>
          <cell r="O446" t="str">
            <v>LNH0326NG22</v>
          </cell>
        </row>
        <row r="447">
          <cell r="B447" t="str">
            <v>25820100044</v>
          </cell>
          <cell r="C447" t="str">
            <v>Chiêm Hoàng</v>
          </cell>
          <cell r="D447" t="str">
            <v>Tân</v>
          </cell>
          <cell r="E447">
            <v>8415000</v>
          </cell>
          <cell r="F447">
            <v>2103750</v>
          </cell>
          <cell r="G447" t="str">
            <v>LNH0925ND27</v>
          </cell>
          <cell r="J447">
            <v>2103750</v>
          </cell>
          <cell r="K447" t="str">
            <v>LNH1125NE23</v>
          </cell>
          <cell r="N447">
            <v>2103750</v>
          </cell>
          <cell r="O447" t="str">
            <v>LNH0326NG22</v>
          </cell>
        </row>
        <row r="448">
          <cell r="B448" t="str">
            <v>25801000013</v>
          </cell>
          <cell r="C448" t="str">
            <v>Trần Đặng Kim</v>
          </cell>
          <cell r="D448" t="str">
            <v>Ngân</v>
          </cell>
          <cell r="E448">
            <v>9405000</v>
          </cell>
          <cell r="F448">
            <v>2232500</v>
          </cell>
          <cell r="G448" t="str">
            <v>LNH0925ND28</v>
          </cell>
          <cell r="J448">
            <v>2232500</v>
          </cell>
          <cell r="K448" t="str">
            <v>LNH1125NE25</v>
          </cell>
          <cell r="N448">
            <v>2470000</v>
          </cell>
          <cell r="O448" t="str">
            <v>LNH0326NG22</v>
          </cell>
        </row>
        <row r="449">
          <cell r="B449" t="str">
            <v>25809400056</v>
          </cell>
          <cell r="C449" t="str">
            <v>Hà Thanh</v>
          </cell>
          <cell r="D449" t="str">
            <v>Duy</v>
          </cell>
          <cell r="E449">
            <v>8415000</v>
          </cell>
          <cell r="F449">
            <v>2103750</v>
          </cell>
          <cell r="G449" t="str">
            <v>LNH0925ND29</v>
          </cell>
          <cell r="J449">
            <v>2103750</v>
          </cell>
          <cell r="K449" t="str">
            <v>LNH1125NE19</v>
          </cell>
          <cell r="N449">
            <v>2103750</v>
          </cell>
          <cell r="O449" t="str">
            <v>LNH0326NG22</v>
          </cell>
        </row>
        <row r="450">
          <cell r="B450" t="str">
            <v>25800400152</v>
          </cell>
          <cell r="C450" t="str">
            <v>Đào Quốc</v>
          </cell>
          <cell r="D450" t="str">
            <v>Thuận</v>
          </cell>
          <cell r="E450">
            <v>8415000</v>
          </cell>
          <cell r="F450">
            <v>2103750</v>
          </cell>
          <cell r="G450" t="str">
            <v>LNH0925ND30</v>
          </cell>
          <cell r="J450">
            <v>2103750</v>
          </cell>
          <cell r="K450" t="str">
            <v>LNH1125NE27</v>
          </cell>
          <cell r="N450">
            <v>2103750</v>
          </cell>
          <cell r="O450" t="str">
            <v>LNH0326NG22</v>
          </cell>
        </row>
        <row r="451">
          <cell r="B451" t="str">
            <v>25806400021</v>
          </cell>
          <cell r="C451" t="str">
            <v>Lê Ngọc Quỳnh</v>
          </cell>
          <cell r="D451" t="str">
            <v>Trang</v>
          </cell>
          <cell r="E451">
            <v>8415000</v>
          </cell>
          <cell r="F451">
            <v>2103750</v>
          </cell>
          <cell r="G451" t="str">
            <v>LNH0925ND30</v>
          </cell>
          <cell r="J451">
            <v>2103750</v>
          </cell>
          <cell r="K451" t="str">
            <v>LNH1125NE26</v>
          </cell>
          <cell r="N451">
            <v>2103750</v>
          </cell>
          <cell r="O451" t="str">
            <v>LNH0326NG22</v>
          </cell>
        </row>
        <row r="452">
          <cell r="B452" t="str">
            <v>25807500054</v>
          </cell>
          <cell r="C452" t="str">
            <v>Đặng Mỹ</v>
          </cell>
          <cell r="D452" t="str">
            <v>Kiều</v>
          </cell>
          <cell r="E452">
            <v>8415000</v>
          </cell>
          <cell r="F452">
            <v>2103750</v>
          </cell>
          <cell r="G452" t="str">
            <v>LNH0925ND30</v>
          </cell>
          <cell r="J452">
            <v>2103750</v>
          </cell>
          <cell r="K452" t="str">
            <v>LNH1125NE25</v>
          </cell>
          <cell r="N452">
            <v>2103750</v>
          </cell>
          <cell r="O452" t="str">
            <v>LNH0326NG22</v>
          </cell>
        </row>
        <row r="453">
          <cell r="B453" t="str">
            <v>25820300019</v>
          </cell>
          <cell r="C453" t="str">
            <v>Trần Quốc</v>
          </cell>
          <cell r="D453" t="str">
            <v>Huy</v>
          </cell>
          <cell r="E453">
            <v>8415000</v>
          </cell>
          <cell r="F453">
            <v>2103750</v>
          </cell>
          <cell r="G453" t="str">
            <v>LNH0925ND30</v>
          </cell>
          <cell r="J453">
            <v>2103750</v>
          </cell>
          <cell r="K453" t="str">
            <v>LNH1125NE26</v>
          </cell>
          <cell r="N453">
            <v>2103750</v>
          </cell>
          <cell r="O453" t="str">
            <v>LNH0326NG22</v>
          </cell>
        </row>
        <row r="454">
          <cell r="B454" t="str">
            <v>25807800116</v>
          </cell>
          <cell r="C454" t="str">
            <v>Nguyễn Trần Minh</v>
          </cell>
          <cell r="D454" t="str">
            <v>Quân</v>
          </cell>
          <cell r="E454">
            <v>9405000</v>
          </cell>
          <cell r="F454">
            <v>2232500</v>
          </cell>
          <cell r="G454" t="str">
            <v>LNH0925ND30</v>
          </cell>
          <cell r="J454">
            <v>2232500</v>
          </cell>
          <cell r="K454" t="str">
            <v>LNH1125NE25</v>
          </cell>
          <cell r="N454">
            <v>2470000</v>
          </cell>
          <cell r="O454" t="str">
            <v>LNH0326NG22</v>
          </cell>
        </row>
        <row r="455">
          <cell r="B455" t="str">
            <v>25808200093</v>
          </cell>
          <cell r="C455" t="str">
            <v>Nguyễn Khắc</v>
          </cell>
          <cell r="D455" t="str">
            <v>Nguyên</v>
          </cell>
          <cell r="E455">
            <v>8415000</v>
          </cell>
          <cell r="F455">
            <v>2103750</v>
          </cell>
          <cell r="G455" t="str">
            <v>LNH0925ND32</v>
          </cell>
          <cell r="J455">
            <v>2103750</v>
          </cell>
          <cell r="K455" t="str">
            <v>LNH1125NE26</v>
          </cell>
          <cell r="N455">
            <v>2103750</v>
          </cell>
          <cell r="O455" t="str">
            <v>LNH0326NG22</v>
          </cell>
        </row>
        <row r="456">
          <cell r="B456" t="str">
            <v>25802800160</v>
          </cell>
          <cell r="C456" t="str">
            <v>Cao Nguyễn Yến</v>
          </cell>
          <cell r="D456" t="str">
            <v>Ngọc</v>
          </cell>
          <cell r="E456">
            <v>8415000</v>
          </cell>
          <cell r="H456">
            <v>2103750</v>
          </cell>
          <cell r="I456" t="str">
            <v>LNH1025ND02</v>
          </cell>
          <cell r="J456">
            <v>2103750</v>
          </cell>
          <cell r="K456" t="str">
            <v>LNH1125NE27</v>
          </cell>
          <cell r="N456">
            <v>2103750</v>
          </cell>
          <cell r="O456" t="str">
            <v>LNH0326NG22</v>
          </cell>
        </row>
        <row r="457">
          <cell r="B457" t="str">
            <v>25820200013</v>
          </cell>
          <cell r="C457" t="str">
            <v>Mã Lương Hải</v>
          </cell>
          <cell r="D457" t="str">
            <v>Đăng</v>
          </cell>
          <cell r="E457">
            <v>8415000</v>
          </cell>
          <cell r="H457">
            <v>2103750</v>
          </cell>
          <cell r="I457" t="str">
            <v>LNH1025ND02</v>
          </cell>
          <cell r="J457">
            <v>2103750</v>
          </cell>
          <cell r="K457" t="str">
            <v>LNH1125NE25</v>
          </cell>
          <cell r="N457">
            <v>2103750</v>
          </cell>
          <cell r="O457" t="str">
            <v>LNH0326NG22</v>
          </cell>
        </row>
        <row r="458">
          <cell r="B458" t="str">
            <v>25803800008</v>
          </cell>
          <cell r="C458" t="str">
            <v>Trần Quốc</v>
          </cell>
          <cell r="D458" t="str">
            <v>Bảo</v>
          </cell>
          <cell r="E458">
            <v>4465000</v>
          </cell>
          <cell r="J458">
            <v>2232500</v>
          </cell>
          <cell r="K458" t="str">
            <v>LNH1125ND02</v>
          </cell>
          <cell r="N458">
            <v>2232500</v>
          </cell>
          <cell r="O458" t="str">
            <v>LNH0326NG22</v>
          </cell>
        </row>
        <row r="459">
          <cell r="B459" t="str">
            <v>25820200036</v>
          </cell>
          <cell r="C459" t="str">
            <v>Võ Hoàng Anh</v>
          </cell>
          <cell r="D459" t="str">
            <v>Kiệt</v>
          </cell>
          <cell r="E459">
            <v>4700000</v>
          </cell>
          <cell r="F459">
            <v>2100000</v>
          </cell>
          <cell r="G459" t="str">
            <v>LNH0925ND19</v>
          </cell>
          <cell r="N459">
            <v>2600000</v>
          </cell>
          <cell r="O459" t="str">
            <v>LNH0326NG22</v>
          </cell>
        </row>
        <row r="460">
          <cell r="B460" t="str">
            <v>25808700203</v>
          </cell>
          <cell r="C460" t="str">
            <v>Mai Tấn</v>
          </cell>
          <cell r="D460" t="str">
            <v>Nhất</v>
          </cell>
          <cell r="E460">
            <v>8415000</v>
          </cell>
          <cell r="F460">
            <v>2103750</v>
          </cell>
          <cell r="G460" t="str">
            <v>LNH0925ND18</v>
          </cell>
          <cell r="J460">
            <v>2103750</v>
          </cell>
          <cell r="K460" t="str">
            <v>LNH1125NE18</v>
          </cell>
          <cell r="N460">
            <v>2103750</v>
          </cell>
          <cell r="O460" t="str">
            <v>LNH0326NG23</v>
          </cell>
        </row>
        <row r="461">
          <cell r="B461" t="str">
            <v>25802700192</v>
          </cell>
          <cell r="C461" t="str">
            <v>Nguyễn Tấn</v>
          </cell>
          <cell r="D461" t="str">
            <v>Phát</v>
          </cell>
          <cell r="E461">
            <v>8415000</v>
          </cell>
          <cell r="F461">
            <v>2103750</v>
          </cell>
          <cell r="G461" t="str">
            <v>LNH0925ND19</v>
          </cell>
          <cell r="J461">
            <v>2103750</v>
          </cell>
          <cell r="K461" t="str">
            <v>LNH1125NE21</v>
          </cell>
          <cell r="N461">
            <v>2103750</v>
          </cell>
          <cell r="O461" t="str">
            <v>LNH0326NG23</v>
          </cell>
        </row>
        <row r="462">
          <cell r="B462" t="str">
            <v>25803800063</v>
          </cell>
          <cell r="C462" t="str">
            <v>Nguyễn Hoàng Nhựt</v>
          </cell>
          <cell r="D462" t="str">
            <v>Trí</v>
          </cell>
          <cell r="E462">
            <v>7065000</v>
          </cell>
          <cell r="F462">
            <v>2232500</v>
          </cell>
          <cell r="G462" t="str">
            <v>LNH0925ND19</v>
          </cell>
          <cell r="J462">
            <v>2232500</v>
          </cell>
          <cell r="K462" t="str">
            <v>LNH1125NE20</v>
          </cell>
          <cell r="N462">
            <v>2600000</v>
          </cell>
          <cell r="O462" t="str">
            <v>LNH0326NG23</v>
          </cell>
        </row>
        <row r="463">
          <cell r="B463" t="str">
            <v>25820700032</v>
          </cell>
          <cell r="C463" t="str">
            <v>Nguyễn Hà Linh</v>
          </cell>
          <cell r="D463" t="str">
            <v>Phương</v>
          </cell>
          <cell r="E463">
            <v>8415000</v>
          </cell>
          <cell r="F463">
            <v>2103750</v>
          </cell>
          <cell r="G463" t="str">
            <v>LNH0925ND21</v>
          </cell>
          <cell r="J463">
            <v>2103750</v>
          </cell>
          <cell r="K463" t="str">
            <v>LNH1125NE19</v>
          </cell>
          <cell r="N463">
            <v>2103750</v>
          </cell>
          <cell r="O463" t="str">
            <v>LNH0326NG23</v>
          </cell>
        </row>
        <row r="464">
          <cell r="B464" t="str">
            <v>25803800039</v>
          </cell>
          <cell r="C464" t="str">
            <v>Lâm Đinh Bảo</v>
          </cell>
          <cell r="D464" t="str">
            <v>Nghi</v>
          </cell>
          <cell r="E464">
            <v>8415000</v>
          </cell>
          <cell r="F464">
            <v>2103750</v>
          </cell>
          <cell r="G464" t="str">
            <v>LNH0925ND22</v>
          </cell>
          <cell r="J464">
            <v>2103750</v>
          </cell>
          <cell r="K464" t="str">
            <v>LNH1125NE28</v>
          </cell>
          <cell r="N464">
            <v>2103750</v>
          </cell>
          <cell r="O464" t="str">
            <v>LNH0326NG23</v>
          </cell>
        </row>
        <row r="465">
          <cell r="B465" t="str">
            <v>25808700068</v>
          </cell>
          <cell r="C465" t="str">
            <v>Trần Thị Ngọc</v>
          </cell>
          <cell r="D465" t="str">
            <v>Nhi</v>
          </cell>
          <cell r="E465">
            <v>8415000</v>
          </cell>
          <cell r="F465">
            <v>2103750</v>
          </cell>
          <cell r="G465" t="str">
            <v>LNH0925ND22</v>
          </cell>
          <cell r="J465">
            <v>2103750</v>
          </cell>
          <cell r="K465" t="str">
            <v>LNH1125NE29</v>
          </cell>
          <cell r="N465">
            <v>2103750</v>
          </cell>
          <cell r="O465" t="str">
            <v>LNH0326NG23</v>
          </cell>
        </row>
        <row r="466">
          <cell r="B466" t="str">
            <v>25808200027</v>
          </cell>
          <cell r="C466" t="str">
            <v>Hà Hải</v>
          </cell>
          <cell r="D466" t="str">
            <v>Dương</v>
          </cell>
          <cell r="E466">
            <v>8415000</v>
          </cell>
          <cell r="F466">
            <v>2103750</v>
          </cell>
          <cell r="G466" t="str">
            <v>LNH0925ND23</v>
          </cell>
          <cell r="J466">
            <v>2103750</v>
          </cell>
          <cell r="K466" t="str">
            <v>LNH1125NE21</v>
          </cell>
          <cell r="N466">
            <v>2103750</v>
          </cell>
          <cell r="O466" t="str">
            <v>LNH0326NG23</v>
          </cell>
        </row>
        <row r="467">
          <cell r="B467" t="str">
            <v>25808700161</v>
          </cell>
          <cell r="C467" t="str">
            <v>An Trang Vàng</v>
          </cell>
          <cell r="D467" t="str">
            <v>Anh</v>
          </cell>
          <cell r="E467">
            <v>8415000</v>
          </cell>
          <cell r="F467">
            <v>2103750</v>
          </cell>
          <cell r="G467" t="str">
            <v>LNH0925ND24</v>
          </cell>
          <cell r="J467">
            <v>2103750</v>
          </cell>
          <cell r="K467" t="str">
            <v>LNH1125NE18</v>
          </cell>
          <cell r="N467">
            <v>2103750</v>
          </cell>
          <cell r="O467" t="str">
            <v>LNH0326NG23</v>
          </cell>
        </row>
        <row r="468">
          <cell r="B468" t="str">
            <v>25820300011</v>
          </cell>
          <cell r="C468" t="str">
            <v>Bùi Nguyễn Thanh</v>
          </cell>
          <cell r="D468" t="str">
            <v>Hằng</v>
          </cell>
          <cell r="E468">
            <v>8415000</v>
          </cell>
          <cell r="F468">
            <v>2103750</v>
          </cell>
          <cell r="G468" t="str">
            <v>LNH0925ND24</v>
          </cell>
          <cell r="K468" t="str">
            <v>Level 3,4</v>
          </cell>
          <cell r="N468">
            <v>2103750</v>
          </cell>
          <cell r="O468" t="str">
            <v>LNH0326NG23</v>
          </cell>
        </row>
        <row r="469">
          <cell r="B469" t="str">
            <v>25807800156</v>
          </cell>
          <cell r="C469" t="str">
            <v>Lê Trần Quốc</v>
          </cell>
          <cell r="D469" t="str">
            <v>Tuấn</v>
          </cell>
          <cell r="E469">
            <v>8415000</v>
          </cell>
          <cell r="F469">
            <v>2103750</v>
          </cell>
          <cell r="G469" t="str">
            <v>LNH0925ND24</v>
          </cell>
          <cell r="J469">
            <v>2103750</v>
          </cell>
          <cell r="K469" t="str">
            <v>LNH1125NE19</v>
          </cell>
          <cell r="N469">
            <v>2103750</v>
          </cell>
          <cell r="O469" t="str">
            <v>LNH0326NG23</v>
          </cell>
        </row>
        <row r="470">
          <cell r="B470" t="str">
            <v>25808700009</v>
          </cell>
          <cell r="C470" t="str">
            <v>Nguyễn Ngọc</v>
          </cell>
          <cell r="D470" t="str">
            <v>Diệp</v>
          </cell>
          <cell r="E470">
            <v>8415000</v>
          </cell>
          <cell r="F470">
            <v>2103750</v>
          </cell>
          <cell r="G470" t="str">
            <v>LNH0925ND24</v>
          </cell>
          <cell r="J470">
            <v>2103750</v>
          </cell>
          <cell r="K470" t="str">
            <v>LNH1125NE29</v>
          </cell>
          <cell r="N470">
            <v>2103750</v>
          </cell>
          <cell r="O470" t="str">
            <v>LNH0326NG23</v>
          </cell>
        </row>
        <row r="471">
          <cell r="B471" t="str">
            <v>25808700023</v>
          </cell>
          <cell r="C471" t="str">
            <v>Phùng Thanh</v>
          </cell>
          <cell r="D471" t="str">
            <v>Hằng</v>
          </cell>
          <cell r="E471">
            <v>8415000</v>
          </cell>
          <cell r="F471">
            <v>2103750</v>
          </cell>
          <cell r="G471" t="str">
            <v>LNH0925ND25</v>
          </cell>
          <cell r="J471">
            <v>2103750</v>
          </cell>
          <cell r="K471" t="str">
            <v>LNH1125NE22</v>
          </cell>
          <cell r="N471">
            <v>2103750</v>
          </cell>
          <cell r="O471" t="str">
            <v>LNH0326NG23</v>
          </cell>
        </row>
        <row r="472">
          <cell r="B472" t="str">
            <v>25808700099</v>
          </cell>
          <cell r="C472" t="str">
            <v>Lê Nguyễn Mỹ</v>
          </cell>
          <cell r="D472" t="str">
            <v>Thường</v>
          </cell>
          <cell r="E472">
            <v>8415000</v>
          </cell>
          <cell r="F472">
            <v>2103750</v>
          </cell>
          <cell r="G472" t="str">
            <v>LNH0925ND25</v>
          </cell>
          <cell r="J472">
            <v>2103750</v>
          </cell>
          <cell r="K472" t="str">
            <v>LNH1125NE22</v>
          </cell>
          <cell r="N472">
            <v>2103750</v>
          </cell>
          <cell r="O472" t="str">
            <v>LNH0326NG23</v>
          </cell>
        </row>
        <row r="473">
          <cell r="B473" t="str">
            <v>25808200079</v>
          </cell>
          <cell r="C473" t="str">
            <v>Đặng Thái</v>
          </cell>
          <cell r="D473" t="str">
            <v>Lộc</v>
          </cell>
          <cell r="E473">
            <v>8415000</v>
          </cell>
          <cell r="F473">
            <v>2103750</v>
          </cell>
          <cell r="G473" t="str">
            <v>LNH0925ND27</v>
          </cell>
          <cell r="J473">
            <v>2103750</v>
          </cell>
          <cell r="K473" t="str">
            <v>LNH1125NE23</v>
          </cell>
          <cell r="N473">
            <v>2103750</v>
          </cell>
          <cell r="O473" t="str">
            <v>LNH0326NG23</v>
          </cell>
        </row>
        <row r="474">
          <cell r="B474" t="str">
            <v>25808700092</v>
          </cell>
          <cell r="C474" t="str">
            <v>Nguyễn Chiến</v>
          </cell>
          <cell r="D474" t="str">
            <v>Thắng</v>
          </cell>
          <cell r="E474">
            <v>8415000</v>
          </cell>
          <cell r="F474">
            <v>2103750</v>
          </cell>
          <cell r="G474" t="str">
            <v>LNH0925ND27</v>
          </cell>
          <cell r="J474">
            <v>2103750</v>
          </cell>
          <cell r="K474" t="str">
            <v>LNH1125NE23</v>
          </cell>
          <cell r="N474">
            <v>2103750</v>
          </cell>
          <cell r="O474" t="str">
            <v>LNH0326NG23</v>
          </cell>
        </row>
        <row r="475">
          <cell r="B475" t="str">
            <v>25807900051</v>
          </cell>
          <cell r="C475" t="str">
            <v>Trần Chí</v>
          </cell>
          <cell r="D475" t="str">
            <v>Thiện</v>
          </cell>
          <cell r="E475">
            <v>4700000</v>
          </cell>
          <cell r="F475">
            <v>2100000</v>
          </cell>
          <cell r="G475" t="str">
            <v>LNH0925ND28</v>
          </cell>
          <cell r="N475">
            <v>2600000</v>
          </cell>
          <cell r="O475" t="str">
            <v>LNH0326NG23</v>
          </cell>
        </row>
        <row r="476">
          <cell r="B476" t="str">
            <v>25806000105</v>
          </cell>
          <cell r="C476" t="str">
            <v>Vũ Đỗ Như</v>
          </cell>
          <cell r="D476" t="str">
            <v>Quỳnh</v>
          </cell>
          <cell r="E476">
            <v>8415000</v>
          </cell>
          <cell r="F476">
            <v>2103750</v>
          </cell>
          <cell r="G476" t="str">
            <v>LNH0925ND31</v>
          </cell>
          <cell r="J476">
            <v>2103750</v>
          </cell>
          <cell r="K476" t="str">
            <v>LNH1125NE28</v>
          </cell>
          <cell r="N476">
            <v>2103750</v>
          </cell>
          <cell r="O476" t="str">
            <v>LNH0326NG23</v>
          </cell>
        </row>
        <row r="477">
          <cell r="B477" t="str">
            <v>25808700122</v>
          </cell>
          <cell r="C477" t="str">
            <v>Trần Như</v>
          </cell>
          <cell r="D477" t="str">
            <v>Ý</v>
          </cell>
          <cell r="E477">
            <v>8415000</v>
          </cell>
          <cell r="F477">
            <v>2103750</v>
          </cell>
          <cell r="G477" t="str">
            <v>LNH0925ND31</v>
          </cell>
          <cell r="J477">
            <v>2103750</v>
          </cell>
          <cell r="K477" t="str">
            <v>LNH1125NE16</v>
          </cell>
          <cell r="N477">
            <v>2103750</v>
          </cell>
          <cell r="O477" t="str">
            <v>LNH0326NG23</v>
          </cell>
        </row>
        <row r="478">
          <cell r="B478" t="str">
            <v>25808700176</v>
          </cell>
          <cell r="C478" t="str">
            <v>Nguyễn Bảo</v>
          </cell>
          <cell r="D478" t="str">
            <v>Uyên</v>
          </cell>
          <cell r="E478">
            <v>8415000</v>
          </cell>
          <cell r="F478">
            <v>2103750</v>
          </cell>
          <cell r="G478" t="str">
            <v>LNH0925ND31</v>
          </cell>
          <cell r="J478">
            <v>2103750</v>
          </cell>
          <cell r="K478" t="str">
            <v>LNH1125NE16</v>
          </cell>
          <cell r="N478">
            <v>2103750</v>
          </cell>
          <cell r="O478" t="str">
            <v>LNH0326NG23</v>
          </cell>
        </row>
        <row r="479">
          <cell r="B479" t="str">
            <v>25803800060</v>
          </cell>
          <cell r="C479" t="str">
            <v>Nguyễn Thùy</v>
          </cell>
          <cell r="D479" t="str">
            <v>Trang</v>
          </cell>
          <cell r="E479">
            <v>8415000</v>
          </cell>
          <cell r="F479">
            <v>2103750</v>
          </cell>
          <cell r="G479" t="str">
            <v>LNH0925ND32</v>
          </cell>
          <cell r="J479">
            <v>2103750</v>
          </cell>
          <cell r="K479" t="str">
            <v>LNH1125NE28</v>
          </cell>
          <cell r="N479">
            <v>2103750</v>
          </cell>
          <cell r="O479" t="str">
            <v>LNH0326NG23</v>
          </cell>
        </row>
        <row r="480">
          <cell r="B480" t="str">
            <v>25807700035</v>
          </cell>
          <cell r="C480" t="str">
            <v>Chung Long</v>
          </cell>
          <cell r="D480" t="str">
            <v>Khang</v>
          </cell>
          <cell r="E480">
            <v>8415000</v>
          </cell>
          <cell r="F480">
            <v>2103750</v>
          </cell>
          <cell r="G480" t="str">
            <v>LNH0925ND32</v>
          </cell>
          <cell r="J480">
            <v>2103750</v>
          </cell>
          <cell r="K480" t="str">
            <v>LNH1125NE29</v>
          </cell>
          <cell r="N480">
            <v>2103750</v>
          </cell>
          <cell r="O480" t="str">
            <v>LNH0326NG23</v>
          </cell>
        </row>
        <row r="481">
          <cell r="B481" t="str">
            <v>25808200051</v>
          </cell>
          <cell r="C481" t="str">
            <v>Lư Gia</v>
          </cell>
          <cell r="D481" t="str">
            <v>Huy</v>
          </cell>
          <cell r="E481">
            <v>8415000</v>
          </cell>
          <cell r="F481">
            <v>2103750</v>
          </cell>
          <cell r="G481" t="str">
            <v>LNH0925ND32</v>
          </cell>
          <cell r="J481">
            <v>2103750</v>
          </cell>
          <cell r="K481" t="str">
            <v>LNH1125NE29</v>
          </cell>
          <cell r="N481">
            <v>2103750</v>
          </cell>
          <cell r="O481" t="str">
            <v>LNH0326NG23</v>
          </cell>
        </row>
        <row r="482">
          <cell r="B482" t="str">
            <v>25808200280</v>
          </cell>
          <cell r="C482" t="str">
            <v>Nguyễn Văn</v>
          </cell>
          <cell r="D482" t="str">
            <v>Triều</v>
          </cell>
          <cell r="E482">
            <v>8415000</v>
          </cell>
          <cell r="F482">
            <v>2103750</v>
          </cell>
          <cell r="G482" t="str">
            <v>LNH0925ND32</v>
          </cell>
          <cell r="J482">
            <v>2103750</v>
          </cell>
          <cell r="K482" t="str">
            <v>LNH1125NE29</v>
          </cell>
          <cell r="N482">
            <v>2103750</v>
          </cell>
          <cell r="O482" t="str">
            <v>LNH0326NG23</v>
          </cell>
        </row>
        <row r="483">
          <cell r="B483" t="str">
            <v>25803800045</v>
          </cell>
          <cell r="C483" t="str">
            <v>Trần Ngọc Kiều</v>
          </cell>
          <cell r="D483" t="str">
            <v>Oanh</v>
          </cell>
          <cell r="E483">
            <v>9405000</v>
          </cell>
          <cell r="F483">
            <v>2232500</v>
          </cell>
          <cell r="G483" t="str">
            <v>LNH0925ND33</v>
          </cell>
          <cell r="J483">
            <v>2232500</v>
          </cell>
          <cell r="K483" t="str">
            <v>LNH1125NE05</v>
          </cell>
          <cell r="N483">
            <v>2470000</v>
          </cell>
          <cell r="O483" t="str">
            <v>LNH0326NG23</v>
          </cell>
        </row>
        <row r="484">
          <cell r="B484" t="str">
            <v>25808700098</v>
          </cell>
          <cell r="C484" t="str">
            <v xml:space="preserve">Lê Nguyễn Anh </v>
          </cell>
          <cell r="D484" t="str">
            <v>Thư</v>
          </cell>
          <cell r="E484">
            <v>2600000</v>
          </cell>
          <cell r="N484">
            <v>2600000</v>
          </cell>
          <cell r="O484" t="str">
            <v>LNH0326NG23</v>
          </cell>
        </row>
        <row r="485">
          <cell r="B485" t="str">
            <v>25800500007</v>
          </cell>
          <cell r="C485" t="str">
            <v>Nguyễn Huy</v>
          </cell>
          <cell r="D485" t="str">
            <v>Anh</v>
          </cell>
          <cell r="E485">
            <v>8415000</v>
          </cell>
          <cell r="F485">
            <v>2103750</v>
          </cell>
          <cell r="G485" t="str">
            <v>LNH0925ND07</v>
          </cell>
          <cell r="J485">
            <v>2103750</v>
          </cell>
          <cell r="K485" t="str">
            <v>LNH1125NE27</v>
          </cell>
          <cell r="N485">
            <v>2103750</v>
          </cell>
          <cell r="O485" t="str">
            <v>LNH0326NG24</v>
          </cell>
        </row>
        <row r="486">
          <cell r="B486" t="str">
            <v>25801200035</v>
          </cell>
          <cell r="C486" t="str">
            <v>Trần Quốc</v>
          </cell>
          <cell r="D486" t="str">
            <v>Toàn</v>
          </cell>
          <cell r="E486">
            <v>8415000</v>
          </cell>
          <cell r="F486">
            <v>2103750</v>
          </cell>
          <cell r="G486" t="str">
            <v>LNH0925ND21</v>
          </cell>
          <cell r="J486">
            <v>2103750</v>
          </cell>
          <cell r="K486" t="str">
            <v>LNH1125NE28</v>
          </cell>
          <cell r="N486">
            <v>2103750</v>
          </cell>
          <cell r="O486" t="str">
            <v>LNH0326NG24</v>
          </cell>
        </row>
        <row r="487">
          <cell r="B487" t="str">
            <v>25807500079</v>
          </cell>
          <cell r="C487" t="str">
            <v>Lê Thảo Hạnh</v>
          </cell>
          <cell r="D487" t="str">
            <v>Nguyên</v>
          </cell>
          <cell r="E487">
            <v>8415000</v>
          </cell>
          <cell r="F487">
            <v>2103750</v>
          </cell>
          <cell r="G487" t="str">
            <v>LNH0925ND21</v>
          </cell>
          <cell r="K487" t="str">
            <v>Level 3,4</v>
          </cell>
          <cell r="N487">
            <v>2103750</v>
          </cell>
          <cell r="O487" t="str">
            <v>LNH0326NG24</v>
          </cell>
        </row>
        <row r="488">
          <cell r="B488" t="str">
            <v>25800500108</v>
          </cell>
          <cell r="C488" t="str">
            <v>Tô Tấn</v>
          </cell>
          <cell r="D488" t="str">
            <v>Lộc</v>
          </cell>
          <cell r="E488">
            <v>8415000</v>
          </cell>
          <cell r="F488">
            <v>2103750</v>
          </cell>
          <cell r="G488" t="str">
            <v>LNH0925ND22</v>
          </cell>
          <cell r="J488">
            <v>2103750</v>
          </cell>
          <cell r="K488" t="str">
            <v>LNH1125NE28</v>
          </cell>
          <cell r="N488">
            <v>2103750</v>
          </cell>
          <cell r="O488" t="str">
            <v>LNH0326NG24</v>
          </cell>
        </row>
        <row r="489">
          <cell r="B489" t="str">
            <v>25803800007</v>
          </cell>
          <cell r="C489" t="str">
            <v>Nguyễn Lâm Thiên</v>
          </cell>
          <cell r="D489" t="str">
            <v>Bảo</v>
          </cell>
          <cell r="E489">
            <v>8415000</v>
          </cell>
          <cell r="F489">
            <v>2103750</v>
          </cell>
          <cell r="G489" t="str">
            <v>LNH0925ND22</v>
          </cell>
          <cell r="J489">
            <v>2103750</v>
          </cell>
          <cell r="K489" t="str">
            <v>LNH1125NE20</v>
          </cell>
          <cell r="N489">
            <v>2103750</v>
          </cell>
          <cell r="O489" t="str">
            <v>LNH0326NG24</v>
          </cell>
        </row>
        <row r="490">
          <cell r="B490" t="str">
            <v>25807700081</v>
          </cell>
          <cell r="C490" t="str">
            <v>Đặng Hoàng</v>
          </cell>
          <cell r="D490" t="str">
            <v>Vinh</v>
          </cell>
          <cell r="E490">
            <v>7065000</v>
          </cell>
          <cell r="F490">
            <v>2232500</v>
          </cell>
          <cell r="G490" t="str">
            <v>LNH0925ND22</v>
          </cell>
          <cell r="J490">
            <v>2232500</v>
          </cell>
          <cell r="K490" t="str">
            <v>LNH1125NE29</v>
          </cell>
          <cell r="N490">
            <v>2600000</v>
          </cell>
          <cell r="O490" t="str">
            <v>LNH0326NG24</v>
          </cell>
        </row>
        <row r="491">
          <cell r="B491" t="str">
            <v>25800500025</v>
          </cell>
          <cell r="C491" t="str">
            <v>Hoàng Ngọc</v>
          </cell>
          <cell r="D491" t="str">
            <v>Duy</v>
          </cell>
          <cell r="E491">
            <v>8415000</v>
          </cell>
          <cell r="F491">
            <v>2103750</v>
          </cell>
          <cell r="G491" t="str">
            <v>LNH0925ND23</v>
          </cell>
          <cell r="J491">
            <v>2103750</v>
          </cell>
          <cell r="K491" t="str">
            <v>LNH1125NE28</v>
          </cell>
          <cell r="N491">
            <v>2103750</v>
          </cell>
          <cell r="O491" t="str">
            <v>LNH0326NG24</v>
          </cell>
        </row>
        <row r="492">
          <cell r="B492" t="str">
            <v>25800500134</v>
          </cell>
          <cell r="C492" t="str">
            <v>Huỳnh Nguyễn Lâm</v>
          </cell>
          <cell r="D492" t="str">
            <v>Phong</v>
          </cell>
          <cell r="E492">
            <v>8415000</v>
          </cell>
          <cell r="F492">
            <v>2103750</v>
          </cell>
          <cell r="G492" t="str">
            <v>LNH0925ND23</v>
          </cell>
          <cell r="J492">
            <v>2103750</v>
          </cell>
          <cell r="K492" t="str">
            <v>LNH1125NE28</v>
          </cell>
          <cell r="N492">
            <v>2103750</v>
          </cell>
          <cell r="O492" t="str">
            <v>LNH0326NG24</v>
          </cell>
        </row>
        <row r="493">
          <cell r="B493" t="str">
            <v>25800500075</v>
          </cell>
          <cell r="C493" t="str">
            <v>Lê Trọng</v>
          </cell>
          <cell r="D493" t="str">
            <v>Kha</v>
          </cell>
          <cell r="E493">
            <v>8415000</v>
          </cell>
          <cell r="F493">
            <v>2103750</v>
          </cell>
          <cell r="G493" t="str">
            <v>LNH0925ND25</v>
          </cell>
          <cell r="J493">
            <v>2103750</v>
          </cell>
          <cell r="K493" t="str">
            <v>LNH1125NE28</v>
          </cell>
          <cell r="N493">
            <v>2103750</v>
          </cell>
          <cell r="O493" t="str">
            <v>LNH0326NG24</v>
          </cell>
        </row>
        <row r="494">
          <cell r="B494" t="str">
            <v>25820200060</v>
          </cell>
          <cell r="C494" t="str">
            <v>Phạm Trọng</v>
          </cell>
          <cell r="D494" t="str">
            <v>Toàn</v>
          </cell>
          <cell r="E494">
            <v>8415000</v>
          </cell>
          <cell r="F494">
            <v>2103750</v>
          </cell>
          <cell r="G494" t="str">
            <v>LNH0925ND25</v>
          </cell>
          <cell r="J494">
            <v>2103750</v>
          </cell>
          <cell r="K494" t="str">
            <v>LNH1125NE17</v>
          </cell>
          <cell r="N494">
            <v>2103750</v>
          </cell>
          <cell r="O494" t="str">
            <v>LNH0326NG24</v>
          </cell>
        </row>
        <row r="495">
          <cell r="B495" t="str">
            <v>25801200012</v>
          </cell>
          <cell r="C495" t="str">
            <v>Hứa Nguyễn Gia</v>
          </cell>
          <cell r="D495" t="str">
            <v>Hân</v>
          </cell>
          <cell r="E495">
            <v>8415000</v>
          </cell>
          <cell r="F495">
            <v>2103750</v>
          </cell>
          <cell r="G495" t="str">
            <v>LNH0925ND31</v>
          </cell>
          <cell r="J495">
            <v>2103750</v>
          </cell>
          <cell r="K495" t="str">
            <v>LNH1125NE23</v>
          </cell>
          <cell r="N495">
            <v>2103750</v>
          </cell>
          <cell r="O495" t="str">
            <v>LNH0326NG24</v>
          </cell>
        </row>
        <row r="496">
          <cell r="B496" t="str">
            <v>25807500237</v>
          </cell>
          <cell r="C496" t="str">
            <v>Nguyễn Thành</v>
          </cell>
          <cell r="D496" t="str">
            <v>Luân</v>
          </cell>
          <cell r="E496">
            <v>8415000</v>
          </cell>
          <cell r="F496">
            <v>2103750</v>
          </cell>
          <cell r="G496" t="str">
            <v>LNH0925ND31</v>
          </cell>
          <cell r="J496">
            <v>2103750</v>
          </cell>
          <cell r="K496" t="str">
            <v>LNH1125NE19</v>
          </cell>
          <cell r="N496">
            <v>2103750</v>
          </cell>
          <cell r="O496" t="str">
            <v>LNH0326NG24</v>
          </cell>
        </row>
        <row r="497">
          <cell r="B497" t="str">
            <v>25800500111</v>
          </cell>
          <cell r="C497" t="str">
            <v>Trần Nguyễn Hoàng</v>
          </cell>
          <cell r="D497" t="str">
            <v>Minh</v>
          </cell>
          <cell r="E497">
            <v>8415000</v>
          </cell>
          <cell r="F497">
            <v>2103750</v>
          </cell>
          <cell r="G497" t="str">
            <v>LNH0925ND32</v>
          </cell>
          <cell r="J497">
            <v>2103750</v>
          </cell>
          <cell r="K497" t="str">
            <v>LNH1125NE29</v>
          </cell>
          <cell r="N497">
            <v>2103750</v>
          </cell>
          <cell r="O497" t="str">
            <v>LNH0326NG24</v>
          </cell>
        </row>
        <row r="498">
          <cell r="B498" t="str">
            <v>25802100018</v>
          </cell>
          <cell r="C498" t="str">
            <v>Lê Anh</v>
          </cell>
          <cell r="D498" t="str">
            <v>Khoa</v>
          </cell>
          <cell r="E498">
            <v>8415000</v>
          </cell>
          <cell r="F498">
            <v>2103750</v>
          </cell>
          <cell r="G498" t="str">
            <v>LNH0925ND32</v>
          </cell>
          <cell r="J498">
            <v>2103750</v>
          </cell>
          <cell r="K498" t="str">
            <v>LNH1125NE29</v>
          </cell>
          <cell r="N498">
            <v>2103750</v>
          </cell>
          <cell r="O498" t="str">
            <v>LNH0326NG24</v>
          </cell>
        </row>
        <row r="499">
          <cell r="B499" t="str">
            <v>25807500007</v>
          </cell>
          <cell r="C499" t="str">
            <v>Nguyen Thi Mai</v>
          </cell>
          <cell r="D499" t="str">
            <v>Anh</v>
          </cell>
          <cell r="E499">
            <v>8415000</v>
          </cell>
          <cell r="F499">
            <v>2103750</v>
          </cell>
          <cell r="G499" t="str">
            <v>LNH0925ND32</v>
          </cell>
          <cell r="J499">
            <v>2103750</v>
          </cell>
          <cell r="K499" t="str">
            <v>LNH1125NE19</v>
          </cell>
          <cell r="N499">
            <v>2103750</v>
          </cell>
          <cell r="O499" t="str">
            <v>LNH0326NG24</v>
          </cell>
        </row>
        <row r="500">
          <cell r="B500" t="str">
            <v>25808700114</v>
          </cell>
          <cell r="C500" t="str">
            <v>Nguyễn Hữu</v>
          </cell>
          <cell r="D500" t="str">
            <v>Trường</v>
          </cell>
          <cell r="E500">
            <v>8415000</v>
          </cell>
          <cell r="F500">
            <v>2103750</v>
          </cell>
          <cell r="G500" t="str">
            <v>LNH0925ND34</v>
          </cell>
          <cell r="J500">
            <v>2103750</v>
          </cell>
          <cell r="K500" t="str">
            <v>LNH1125NE19</v>
          </cell>
          <cell r="N500">
            <v>2103750</v>
          </cell>
          <cell r="O500" t="str">
            <v>LNH0326NG24</v>
          </cell>
        </row>
        <row r="501">
          <cell r="B501" t="str">
            <v>25802700127</v>
          </cell>
          <cell r="C501" t="str">
            <v>Lê Xuân</v>
          </cell>
          <cell r="D501" t="str">
            <v>Hưng</v>
          </cell>
          <cell r="E501">
            <v>8415000</v>
          </cell>
          <cell r="F501">
            <v>2103750</v>
          </cell>
          <cell r="G501" t="str">
            <v>LNH0925ND36</v>
          </cell>
          <cell r="J501">
            <v>2103750</v>
          </cell>
          <cell r="K501" t="str">
            <v>LNH1125NE31</v>
          </cell>
          <cell r="N501">
            <v>2103750</v>
          </cell>
          <cell r="O501" t="str">
            <v>LNH0326NG24</v>
          </cell>
        </row>
        <row r="502">
          <cell r="B502" t="str">
            <v>25801200059</v>
          </cell>
          <cell r="C502" t="str">
            <v>Trần Thị Kim</v>
          </cell>
          <cell r="D502" t="str">
            <v>Nga</v>
          </cell>
          <cell r="E502">
            <v>4940000</v>
          </cell>
          <cell r="N502">
            <v>2470000</v>
          </cell>
          <cell r="O502" t="str">
            <v>LNH0326NG24</v>
          </cell>
        </row>
        <row r="503">
          <cell r="B503" t="str">
            <v>25800601138</v>
          </cell>
          <cell r="C503" t="str">
            <v>Nguyễn Văn</v>
          </cell>
          <cell r="D503" t="str">
            <v>Lợi</v>
          </cell>
          <cell r="E503">
            <v>8415000</v>
          </cell>
          <cell r="F503">
            <v>2103750</v>
          </cell>
          <cell r="G503" t="str">
            <v>LNH0925ND19</v>
          </cell>
          <cell r="J503">
            <v>2103750</v>
          </cell>
          <cell r="K503" t="str">
            <v>LNH1125NE21</v>
          </cell>
          <cell r="N503">
            <v>2103750</v>
          </cell>
          <cell r="O503" t="str">
            <v>LNH0326NG25</v>
          </cell>
        </row>
        <row r="504">
          <cell r="B504" t="str">
            <v>25800500121</v>
          </cell>
          <cell r="C504" t="str">
            <v>Nguyễn Chỉnh</v>
          </cell>
          <cell r="D504" t="str">
            <v>Nghiêm</v>
          </cell>
          <cell r="E504">
            <v>8415000</v>
          </cell>
          <cell r="F504">
            <v>2103750</v>
          </cell>
          <cell r="G504" t="str">
            <v>LNH0925ND22</v>
          </cell>
          <cell r="J504">
            <v>2103750</v>
          </cell>
          <cell r="K504" t="str">
            <v>LNH1125NE25</v>
          </cell>
          <cell r="N504">
            <v>2103750</v>
          </cell>
          <cell r="O504" t="str">
            <v>LNH0326NG25</v>
          </cell>
        </row>
        <row r="505">
          <cell r="B505" t="str">
            <v>25807700003</v>
          </cell>
          <cell r="C505" t="str">
            <v>Nguyễn Việt</v>
          </cell>
          <cell r="D505" t="str">
            <v>Anh</v>
          </cell>
          <cell r="E505">
            <v>8415000</v>
          </cell>
          <cell r="F505">
            <v>2103750</v>
          </cell>
          <cell r="G505" t="str">
            <v>LNH0925ND22</v>
          </cell>
          <cell r="J505">
            <v>2103750</v>
          </cell>
          <cell r="K505" t="str">
            <v>LNH1125NE20</v>
          </cell>
          <cell r="N505">
            <v>2103750</v>
          </cell>
          <cell r="O505" t="str">
            <v>LNH0326NG25</v>
          </cell>
        </row>
        <row r="506">
          <cell r="B506" t="str">
            <v>25808900092</v>
          </cell>
          <cell r="C506" t="str">
            <v>Trần Yến</v>
          </cell>
          <cell r="D506" t="str">
            <v>Nhi</v>
          </cell>
          <cell r="E506">
            <v>8415000</v>
          </cell>
          <cell r="F506">
            <v>2103750</v>
          </cell>
          <cell r="G506" t="str">
            <v>LNH0925ND22</v>
          </cell>
          <cell r="J506">
            <v>2103750</v>
          </cell>
          <cell r="K506" t="str">
            <v>LNH1125NE30</v>
          </cell>
          <cell r="N506">
            <v>2103750</v>
          </cell>
          <cell r="O506" t="str">
            <v>LNH0326NG25</v>
          </cell>
        </row>
        <row r="507">
          <cell r="B507" t="str">
            <v>25807700074</v>
          </cell>
          <cell r="C507" t="str">
            <v>Phạm Lương</v>
          </cell>
          <cell r="D507" t="str">
            <v>Toàn</v>
          </cell>
          <cell r="E507">
            <v>8415000</v>
          </cell>
          <cell r="F507">
            <v>2103750</v>
          </cell>
          <cell r="G507" t="str">
            <v>LNH0925ND23</v>
          </cell>
          <cell r="J507">
            <v>2103750</v>
          </cell>
          <cell r="K507" t="str">
            <v>LNH1125NE30</v>
          </cell>
          <cell r="N507">
            <v>2103750</v>
          </cell>
          <cell r="O507" t="str">
            <v>LNH0326NG25</v>
          </cell>
        </row>
        <row r="508">
          <cell r="B508" t="str">
            <v>25808700015</v>
          </cell>
          <cell r="C508" t="str">
            <v>Dương Hữu Khánh</v>
          </cell>
          <cell r="D508" t="str">
            <v>Đạt</v>
          </cell>
          <cell r="E508">
            <v>8415000</v>
          </cell>
          <cell r="F508">
            <v>2103750</v>
          </cell>
          <cell r="G508" t="str">
            <v>LNH0925ND26</v>
          </cell>
          <cell r="J508">
            <v>2103750</v>
          </cell>
          <cell r="K508" t="str">
            <v>LNH1125NE22</v>
          </cell>
          <cell r="N508">
            <v>2103750</v>
          </cell>
          <cell r="O508" t="str">
            <v>LNH0326NG25</v>
          </cell>
        </row>
        <row r="509">
          <cell r="B509" t="str">
            <v>25800400290</v>
          </cell>
          <cell r="C509" t="str">
            <v>Nguyễn Trường</v>
          </cell>
          <cell r="D509" t="str">
            <v>Tín</v>
          </cell>
          <cell r="E509">
            <v>8415000</v>
          </cell>
          <cell r="F509">
            <v>2103750</v>
          </cell>
          <cell r="G509" t="str">
            <v>LNH0925ND30</v>
          </cell>
          <cell r="J509">
            <v>2103750</v>
          </cell>
          <cell r="K509" t="str">
            <v>LNH1125NE28</v>
          </cell>
          <cell r="N509">
            <v>2103750</v>
          </cell>
          <cell r="O509" t="str">
            <v>LNH0326NG25</v>
          </cell>
        </row>
        <row r="510">
          <cell r="B510" t="str">
            <v>25800500005</v>
          </cell>
          <cell r="C510" t="str">
            <v>Lê Tuấn</v>
          </cell>
          <cell r="D510" t="str">
            <v>Anh</v>
          </cell>
          <cell r="E510">
            <v>8415000</v>
          </cell>
          <cell r="F510">
            <v>2103750</v>
          </cell>
          <cell r="G510" t="str">
            <v>LNH0925ND30</v>
          </cell>
          <cell r="J510">
            <v>2103750</v>
          </cell>
          <cell r="K510" t="str">
            <v>LNH1125NE31</v>
          </cell>
          <cell r="N510">
            <v>2103750</v>
          </cell>
          <cell r="O510" t="str">
            <v>LNH0326NG25</v>
          </cell>
        </row>
        <row r="511">
          <cell r="B511" t="str">
            <v>25800400150</v>
          </cell>
          <cell r="C511" t="str">
            <v>Lưu Nguyễn Minh</v>
          </cell>
          <cell r="D511" t="str">
            <v>Thông</v>
          </cell>
          <cell r="E511">
            <v>8415000</v>
          </cell>
          <cell r="F511">
            <v>2103750</v>
          </cell>
          <cell r="G511" t="str">
            <v>LNH0925ND32</v>
          </cell>
          <cell r="J511">
            <v>2103750</v>
          </cell>
          <cell r="K511" t="str">
            <v>LNH1125NE28</v>
          </cell>
          <cell r="N511">
            <v>2103750</v>
          </cell>
          <cell r="O511" t="str">
            <v>LNH0326NG25</v>
          </cell>
        </row>
        <row r="512">
          <cell r="B512" t="str">
            <v>25802100022</v>
          </cell>
          <cell r="C512" t="str">
            <v>Lê Nguyễn Tuấn</v>
          </cell>
          <cell r="D512" t="str">
            <v>Kiệt</v>
          </cell>
          <cell r="E512">
            <v>8415000</v>
          </cell>
          <cell r="F512">
            <v>2103750</v>
          </cell>
          <cell r="G512" t="str">
            <v>LNH0925ND33</v>
          </cell>
          <cell r="K512" t="str">
            <v>Level 3,4</v>
          </cell>
          <cell r="N512">
            <v>2103750</v>
          </cell>
          <cell r="O512" t="str">
            <v>LNH0326NG25</v>
          </cell>
        </row>
        <row r="513">
          <cell r="B513" t="str">
            <v>25800400052</v>
          </cell>
          <cell r="C513" t="str">
            <v>Châu Gia</v>
          </cell>
          <cell r="D513" t="str">
            <v>Huy</v>
          </cell>
          <cell r="E513">
            <v>8415000</v>
          </cell>
          <cell r="F513">
            <v>2103750</v>
          </cell>
          <cell r="G513" t="str">
            <v>LNH0925ND34</v>
          </cell>
          <cell r="J513">
            <v>2103750</v>
          </cell>
          <cell r="K513" t="str">
            <v>LNH1125NE21</v>
          </cell>
          <cell r="N513">
            <v>2103750</v>
          </cell>
          <cell r="O513" t="str">
            <v>LNH0326NG25</v>
          </cell>
        </row>
        <row r="514">
          <cell r="B514" t="str">
            <v>25800400245</v>
          </cell>
          <cell r="C514" t="str">
            <v>Châu Anh</v>
          </cell>
          <cell r="D514" t="str">
            <v>Kiệt</v>
          </cell>
          <cell r="E514">
            <v>8415000</v>
          </cell>
          <cell r="F514">
            <v>2103750</v>
          </cell>
          <cell r="G514" t="str">
            <v>LNH0925ND34</v>
          </cell>
          <cell r="J514">
            <v>2103750</v>
          </cell>
          <cell r="K514" t="str">
            <v>LNH1125NE21</v>
          </cell>
          <cell r="N514">
            <v>2103750</v>
          </cell>
          <cell r="O514" t="str">
            <v>LNH0326NG25</v>
          </cell>
        </row>
        <row r="515">
          <cell r="B515" t="str">
            <v>25803800098</v>
          </cell>
          <cell r="C515" t="str">
            <v>Hứa Mỹ</v>
          </cell>
          <cell r="D515" t="str">
            <v>Linh</v>
          </cell>
          <cell r="E515">
            <v>8415000</v>
          </cell>
          <cell r="F515">
            <v>2103750</v>
          </cell>
          <cell r="G515" t="str">
            <v>LNH0925ND34</v>
          </cell>
          <cell r="J515">
            <v>2103750</v>
          </cell>
          <cell r="K515" t="str">
            <v>LNH1125NE05</v>
          </cell>
          <cell r="N515">
            <v>2103750</v>
          </cell>
          <cell r="O515" t="str">
            <v>LNH0326NG25</v>
          </cell>
        </row>
        <row r="516">
          <cell r="B516" t="str">
            <v>25801200041</v>
          </cell>
          <cell r="C516" t="str">
            <v>Nguyễn Thị Tường</v>
          </cell>
          <cell r="D516" t="str">
            <v>Vy</v>
          </cell>
          <cell r="E516">
            <v>8415000</v>
          </cell>
          <cell r="F516">
            <v>2103750</v>
          </cell>
          <cell r="G516" t="str">
            <v>LNH0925ND36</v>
          </cell>
          <cell r="J516">
            <v>2103750</v>
          </cell>
          <cell r="K516" t="str">
            <v>LNH1125NE31</v>
          </cell>
          <cell r="N516">
            <v>2103750</v>
          </cell>
          <cell r="O516" t="str">
            <v>LNH0326NG25</v>
          </cell>
        </row>
        <row r="517">
          <cell r="B517" t="str">
            <v>25820200064</v>
          </cell>
          <cell r="C517" t="str">
            <v>Ngô Mạnh</v>
          </cell>
          <cell r="D517" t="str">
            <v>Tuấn</v>
          </cell>
          <cell r="E517">
            <v>8415000</v>
          </cell>
          <cell r="H517">
            <v>2103750</v>
          </cell>
          <cell r="I517" t="str">
            <v>LNH1025ND02</v>
          </cell>
          <cell r="J517">
            <v>2103750</v>
          </cell>
          <cell r="K517" t="str">
            <v>LNH1125NE31</v>
          </cell>
          <cell r="N517">
            <v>2103750</v>
          </cell>
          <cell r="O517" t="str">
            <v>LNH0326NG25</v>
          </cell>
        </row>
        <row r="518">
          <cell r="B518" t="str">
            <v>25800500112</v>
          </cell>
          <cell r="C518" t="str">
            <v>Lê Hoài</v>
          </cell>
          <cell r="D518" t="str">
            <v>Nam</v>
          </cell>
          <cell r="E518">
            <v>4940000</v>
          </cell>
          <cell r="K518" t="str">
            <v>Level 3,4</v>
          </cell>
          <cell r="N518">
            <v>2470000</v>
          </cell>
          <cell r="O518" t="str">
            <v>LNH0326NG25</v>
          </cell>
        </row>
        <row r="519">
          <cell r="B519" t="str">
            <v>25808200014</v>
          </cell>
          <cell r="C519" t="str">
            <v>Đinh Đăng</v>
          </cell>
          <cell r="D519" t="str">
            <v>Bảo</v>
          </cell>
          <cell r="E519">
            <v>4940000</v>
          </cell>
          <cell r="K519" t="str">
            <v>Level 3,4</v>
          </cell>
          <cell r="N519">
            <v>2470000</v>
          </cell>
          <cell r="O519" t="str">
            <v>LNH0326NG25</v>
          </cell>
        </row>
        <row r="520">
          <cell r="B520" t="str">
            <v>25820200051</v>
          </cell>
          <cell r="C520" t="str">
            <v>Nguyễn Trọng</v>
          </cell>
          <cell r="D520" t="str">
            <v>Phúc</v>
          </cell>
          <cell r="E520">
            <v>8415000</v>
          </cell>
          <cell r="J520">
            <v>2103750</v>
          </cell>
          <cell r="K520" t="str">
            <v>LNH1125NE22</v>
          </cell>
          <cell r="N520">
            <v>2103750</v>
          </cell>
          <cell r="O520" t="str">
            <v>LNH0326NG25</v>
          </cell>
        </row>
        <row r="521">
          <cell r="B521" t="str">
            <v>25806400010</v>
          </cell>
          <cell r="C521" t="str">
            <v>Trần Vũ Gia</v>
          </cell>
          <cell r="D521" t="str">
            <v>Huy</v>
          </cell>
          <cell r="E521">
            <v>8415000</v>
          </cell>
          <cell r="F521">
            <v>2103750</v>
          </cell>
          <cell r="G521" t="str">
            <v>LNH0925ND08</v>
          </cell>
          <cell r="J521">
            <v>2103750</v>
          </cell>
          <cell r="K521" t="str">
            <v>LNH1125NE06</v>
          </cell>
          <cell r="N521">
            <v>2103750</v>
          </cell>
          <cell r="O521" t="str">
            <v>LNH0326NG26</v>
          </cell>
        </row>
        <row r="522">
          <cell r="B522" t="str">
            <v>25806300031</v>
          </cell>
          <cell r="C522" t="str">
            <v>Nguyễn Minh</v>
          </cell>
          <cell r="D522" t="str">
            <v>Nhật</v>
          </cell>
          <cell r="E522">
            <v>8450000</v>
          </cell>
          <cell r="F522">
            <v>2103750</v>
          </cell>
          <cell r="G522" t="str">
            <v>LNH0925ND18</v>
          </cell>
          <cell r="J522">
            <v>2103750</v>
          </cell>
          <cell r="K522" t="str">
            <v>LNH1125NE15</v>
          </cell>
          <cell r="N522">
            <v>2103750</v>
          </cell>
          <cell r="O522" t="str">
            <v>LNH0326NG26</v>
          </cell>
        </row>
        <row r="523">
          <cell r="B523" t="str">
            <v>25806300028</v>
          </cell>
          <cell r="C523" t="str">
            <v>Trần Hoài</v>
          </cell>
          <cell r="D523" t="str">
            <v>Nam</v>
          </cell>
          <cell r="E523">
            <v>8415000</v>
          </cell>
          <cell r="F523">
            <v>2103750</v>
          </cell>
          <cell r="G523" t="str">
            <v>LNH0925ND18</v>
          </cell>
          <cell r="J523">
            <v>2103750</v>
          </cell>
          <cell r="K523" t="str">
            <v>LNH1125NE22</v>
          </cell>
          <cell r="N523">
            <v>2103750</v>
          </cell>
          <cell r="O523" t="str">
            <v>LNH0326NG26</v>
          </cell>
        </row>
        <row r="524">
          <cell r="B524" t="str">
            <v>25802100069</v>
          </cell>
          <cell r="C524" t="str">
            <v>Lương Bảo</v>
          </cell>
          <cell r="D524" t="str">
            <v>Huy</v>
          </cell>
          <cell r="E524">
            <v>8415000</v>
          </cell>
          <cell r="F524">
            <v>2103750</v>
          </cell>
          <cell r="G524" t="str">
            <v>LNH0925ND22</v>
          </cell>
          <cell r="J524">
            <v>2103750</v>
          </cell>
          <cell r="K524" t="str">
            <v>LNH1125NE31</v>
          </cell>
          <cell r="N524">
            <v>2103750</v>
          </cell>
          <cell r="O524" t="str">
            <v>LNH0326NG26</v>
          </cell>
        </row>
        <row r="525">
          <cell r="B525" t="str">
            <v>25820300020</v>
          </cell>
          <cell r="C525" t="str">
            <v>Nguyễn</v>
          </cell>
          <cell r="D525" t="str">
            <v>Huỳnh</v>
          </cell>
          <cell r="E525">
            <v>8415000</v>
          </cell>
          <cell r="F525">
            <v>2103750</v>
          </cell>
          <cell r="G525" t="str">
            <v>LNH0925ND31</v>
          </cell>
          <cell r="J525">
            <v>2103750</v>
          </cell>
          <cell r="K525" t="str">
            <v>LNH1125NE24</v>
          </cell>
          <cell r="N525">
            <v>2103750</v>
          </cell>
          <cell r="O525" t="str">
            <v>LNH0326NG26</v>
          </cell>
        </row>
        <row r="526">
          <cell r="B526" t="str">
            <v>25807800143</v>
          </cell>
          <cell r="C526" t="str">
            <v>Phạm Nguyễn Minh</v>
          </cell>
          <cell r="D526" t="str">
            <v>Tiến</v>
          </cell>
          <cell r="E526">
            <v>8415000</v>
          </cell>
          <cell r="F526">
            <v>2103750</v>
          </cell>
          <cell r="G526" t="str">
            <v>LNH0925ND32</v>
          </cell>
          <cell r="J526">
            <v>2103750</v>
          </cell>
          <cell r="K526" t="str">
            <v>LNH1125NE25</v>
          </cell>
          <cell r="N526">
            <v>2103750</v>
          </cell>
          <cell r="O526" t="str">
            <v>LNH0326NG26</v>
          </cell>
        </row>
        <row r="527">
          <cell r="B527" t="str">
            <v>25800400170</v>
          </cell>
          <cell r="C527" t="str">
            <v>Tô Bùi Hoàng</v>
          </cell>
          <cell r="D527" t="str">
            <v>Tuấn</v>
          </cell>
          <cell r="E527">
            <v>8415000</v>
          </cell>
          <cell r="F527">
            <v>2103750</v>
          </cell>
          <cell r="G527" t="str">
            <v>LNH0925ND33</v>
          </cell>
          <cell r="J527">
            <v>2103750</v>
          </cell>
          <cell r="K527" t="str">
            <v>LNH1125NE30</v>
          </cell>
          <cell r="N527">
            <v>2103750</v>
          </cell>
          <cell r="O527" t="str">
            <v>LNH0326NG26</v>
          </cell>
        </row>
        <row r="528">
          <cell r="B528" t="str">
            <v>25800500306</v>
          </cell>
          <cell r="C528" t="str">
            <v>Hà Minh</v>
          </cell>
          <cell r="D528" t="str">
            <v>Đức</v>
          </cell>
          <cell r="E528">
            <v>8415000</v>
          </cell>
          <cell r="F528">
            <v>2103750</v>
          </cell>
          <cell r="G528" t="str">
            <v>LNH0925ND34</v>
          </cell>
          <cell r="J528">
            <v>2103750</v>
          </cell>
          <cell r="K528" t="str">
            <v>LNH1125NE31</v>
          </cell>
          <cell r="N528">
            <v>2103750</v>
          </cell>
          <cell r="O528" t="str">
            <v>LNH0326NG26</v>
          </cell>
        </row>
        <row r="529">
          <cell r="B529" t="str">
            <v>25806400041</v>
          </cell>
          <cell r="C529" t="str">
            <v>Trần Minh</v>
          </cell>
          <cell r="D529" t="str">
            <v>Lữ</v>
          </cell>
          <cell r="E529">
            <v>8415000</v>
          </cell>
          <cell r="F529">
            <v>2103750</v>
          </cell>
          <cell r="G529" t="str">
            <v>LNH0925ND35</v>
          </cell>
          <cell r="J529">
            <v>2103750</v>
          </cell>
          <cell r="K529" t="str">
            <v>LNH1125NE31</v>
          </cell>
          <cell r="N529">
            <v>2103750</v>
          </cell>
          <cell r="O529" t="str">
            <v>LNH0326NG26</v>
          </cell>
        </row>
        <row r="530">
          <cell r="B530" t="str">
            <v>25807500017</v>
          </cell>
          <cell r="C530" t="str">
            <v>Đỗ Tiến</v>
          </cell>
          <cell r="D530" t="str">
            <v>Dương</v>
          </cell>
          <cell r="E530">
            <v>8415000</v>
          </cell>
          <cell r="F530">
            <v>2103750</v>
          </cell>
          <cell r="G530" t="str">
            <v>LNH0925ND35</v>
          </cell>
          <cell r="J530">
            <v>2103750</v>
          </cell>
          <cell r="K530" t="str">
            <v>LNH1125NE31</v>
          </cell>
          <cell r="N530">
            <v>2103750</v>
          </cell>
          <cell r="O530" t="str">
            <v>LNH0326NG26</v>
          </cell>
        </row>
        <row r="531">
          <cell r="B531" t="str">
            <v>25820300056</v>
          </cell>
          <cell r="C531" t="str">
            <v>Võ Duy</v>
          </cell>
          <cell r="D531" t="str">
            <v>Thành</v>
          </cell>
          <cell r="E531">
            <v>8415000</v>
          </cell>
          <cell r="F531">
            <v>2103750</v>
          </cell>
          <cell r="G531" t="str">
            <v>LNH0925ND35</v>
          </cell>
          <cell r="J531">
            <v>2103750</v>
          </cell>
          <cell r="K531" t="str">
            <v>LNH1125NE27</v>
          </cell>
          <cell r="N531">
            <v>2103750</v>
          </cell>
          <cell r="O531" t="str">
            <v>LNH0326NG26</v>
          </cell>
        </row>
        <row r="532">
          <cell r="B532" t="str">
            <v>25800400142</v>
          </cell>
          <cell r="C532" t="str">
            <v>Đỗ Xuân</v>
          </cell>
          <cell r="D532" t="str">
            <v>Thành</v>
          </cell>
          <cell r="E532">
            <v>8415000</v>
          </cell>
          <cell r="F532">
            <v>2103750</v>
          </cell>
          <cell r="G532" t="str">
            <v>LNH0925ND36</v>
          </cell>
          <cell r="J532">
            <v>2103750</v>
          </cell>
          <cell r="K532" t="str">
            <v>LNH1125NE27</v>
          </cell>
          <cell r="N532">
            <v>2103750</v>
          </cell>
          <cell r="O532" t="str">
            <v>LNH0326NG26</v>
          </cell>
        </row>
        <row r="533">
          <cell r="B533" t="str">
            <v>25800500049</v>
          </cell>
          <cell r="C533" t="str">
            <v>Lê Trung</v>
          </cell>
          <cell r="D533" t="str">
            <v>Hiếu</v>
          </cell>
          <cell r="E533">
            <v>8415000</v>
          </cell>
          <cell r="F533">
            <v>2103750</v>
          </cell>
          <cell r="G533" t="str">
            <v>LNH0925ND36</v>
          </cell>
          <cell r="J533">
            <v>2103750</v>
          </cell>
          <cell r="K533" t="str">
            <v>LNH1125NE31</v>
          </cell>
          <cell r="N533">
            <v>2103750</v>
          </cell>
          <cell r="O533" t="str">
            <v>LNH0326NG26</v>
          </cell>
        </row>
        <row r="534">
          <cell r="B534" t="str">
            <v>25808700006</v>
          </cell>
          <cell r="C534" t="str">
            <v>Lê Chí</v>
          </cell>
          <cell r="D534" t="str">
            <v>Bảo</v>
          </cell>
          <cell r="E534">
            <v>8415000</v>
          </cell>
          <cell r="F534">
            <v>2103750</v>
          </cell>
          <cell r="G534" t="str">
            <v>LNH0925ND36</v>
          </cell>
          <cell r="J534">
            <v>2103750</v>
          </cell>
          <cell r="K534" t="str">
            <v>LNH1125NE31</v>
          </cell>
          <cell r="N534">
            <v>2103750</v>
          </cell>
          <cell r="O534" t="str">
            <v>LNH0326NG26</v>
          </cell>
        </row>
        <row r="535">
          <cell r="B535" t="str">
            <v>25820200110</v>
          </cell>
          <cell r="C535" t="str">
            <v>Nguyễn Bá</v>
          </cell>
          <cell r="D535" t="str">
            <v>An</v>
          </cell>
          <cell r="E535">
            <v>8415000</v>
          </cell>
          <cell r="F535">
            <v>2103750</v>
          </cell>
          <cell r="G535" t="str">
            <v>LNH0925ND36</v>
          </cell>
          <cell r="J535">
            <v>2103750</v>
          </cell>
          <cell r="K535" t="str">
            <v>LNH1125NE31</v>
          </cell>
          <cell r="N535">
            <v>2103750</v>
          </cell>
          <cell r="O535" t="str">
            <v>LNH0326NG26</v>
          </cell>
        </row>
        <row r="536">
          <cell r="B536" t="str">
            <v>25800400020</v>
          </cell>
          <cell r="C536" t="str">
            <v>Lô Khánh</v>
          </cell>
          <cell r="D536" t="str">
            <v>Chương</v>
          </cell>
          <cell r="E536">
            <v>9405000</v>
          </cell>
          <cell r="F536">
            <v>2232500</v>
          </cell>
          <cell r="G536" t="str">
            <v>LNH0925ND36</v>
          </cell>
          <cell r="J536">
            <v>2232500</v>
          </cell>
          <cell r="K536" t="str">
            <v>LNH1125NE31</v>
          </cell>
          <cell r="N536">
            <v>2470000</v>
          </cell>
          <cell r="O536" t="str">
            <v>LNH0326NG26</v>
          </cell>
        </row>
        <row r="537">
          <cell r="B537" t="str">
            <v>25808200061</v>
          </cell>
          <cell r="C537" t="str">
            <v>Nguyễn Huy</v>
          </cell>
          <cell r="D537" t="str">
            <v>Kha</v>
          </cell>
          <cell r="E537">
            <v>4940000</v>
          </cell>
          <cell r="K537" t="str">
            <v>Level 3,4</v>
          </cell>
          <cell r="N537">
            <v>2470000</v>
          </cell>
          <cell r="O537" t="str">
            <v>LNH0326NG26</v>
          </cell>
        </row>
        <row r="538">
          <cell r="B538" t="str">
            <v>25802800402</v>
          </cell>
          <cell r="C538" t="str">
            <v>Nguyễn Tuấn</v>
          </cell>
          <cell r="D538" t="str">
            <v>Anh</v>
          </cell>
          <cell r="E538">
            <v>8415000</v>
          </cell>
          <cell r="H538">
            <v>2103750</v>
          </cell>
          <cell r="I538" t="str">
            <v>LNH1025ND01</v>
          </cell>
        </row>
        <row r="539">
          <cell r="B539" t="str">
            <v>25808200098</v>
          </cell>
          <cell r="C539" t="str">
            <v>Lương Trường</v>
          </cell>
          <cell r="D539" t="str">
            <v>Phát</v>
          </cell>
          <cell r="E539">
            <v>8415000</v>
          </cell>
          <cell r="J539">
            <v>2103750</v>
          </cell>
          <cell r="K539" t="str">
            <v>LNH1125ND02</v>
          </cell>
        </row>
        <row r="540">
          <cell r="B540">
            <v>25808500135</v>
          </cell>
          <cell r="C540" t="str">
            <v>Chu Quang</v>
          </cell>
          <cell r="D540" t="str">
            <v>Huy</v>
          </cell>
          <cell r="E540">
            <v>8415000</v>
          </cell>
          <cell r="J540">
            <v>2103750</v>
          </cell>
          <cell r="K540" t="str">
            <v>LNH1125ND02</v>
          </cell>
        </row>
        <row r="541">
          <cell r="B541" t="str">
            <v>25808600121</v>
          </cell>
          <cell r="C541" t="str">
            <v>Võ Anh</v>
          </cell>
          <cell r="D541" t="str">
            <v>Thư</v>
          </cell>
          <cell r="E541">
            <v>8415000</v>
          </cell>
          <cell r="J541">
            <v>2103750</v>
          </cell>
          <cell r="K541" t="str">
            <v>LNH1125ND02</v>
          </cell>
        </row>
        <row r="542">
          <cell r="B542" t="str">
            <v>25809400036</v>
          </cell>
          <cell r="C542" t="str">
            <v>Lê Thanh</v>
          </cell>
          <cell r="D542" t="str">
            <v>Bình</v>
          </cell>
          <cell r="E542">
            <v>8415000</v>
          </cell>
          <cell r="J542">
            <v>2103750</v>
          </cell>
          <cell r="K542" t="str">
            <v>LNH1125ND01</v>
          </cell>
        </row>
        <row r="543">
          <cell r="B543" t="str">
            <v>25802700006</v>
          </cell>
          <cell r="C543" t="str">
            <v>Lê Quốc</v>
          </cell>
          <cell r="D543" t="str">
            <v>Anh</v>
          </cell>
          <cell r="E543">
            <v>8415000</v>
          </cell>
          <cell r="F543">
            <v>2103750</v>
          </cell>
          <cell r="G543" t="str">
            <v>LNH0925ND02</v>
          </cell>
          <cell r="J543">
            <v>2103750</v>
          </cell>
          <cell r="K543" t="str">
            <v>LNH1125NE21</v>
          </cell>
        </row>
        <row r="544">
          <cell r="B544" t="str">
            <v>25806800034</v>
          </cell>
          <cell r="C544" t="str">
            <v>Nguyễn Huỳnh Gia</v>
          </cell>
          <cell r="D544" t="str">
            <v>Linh</v>
          </cell>
          <cell r="E544">
            <v>8415000</v>
          </cell>
          <cell r="F544">
            <v>2103750</v>
          </cell>
          <cell r="G544" t="str">
            <v>LNH0925ND02</v>
          </cell>
          <cell r="J544">
            <v>2103750</v>
          </cell>
          <cell r="K544" t="str">
            <v>LNH1125NE01</v>
          </cell>
        </row>
        <row r="545">
          <cell r="B545" t="str">
            <v>25806800053</v>
          </cell>
          <cell r="C545" t="str">
            <v>Đoàn Ngọc Yến</v>
          </cell>
          <cell r="D545" t="str">
            <v>Nhi</v>
          </cell>
          <cell r="E545">
            <v>8415000</v>
          </cell>
          <cell r="F545">
            <v>2103750</v>
          </cell>
          <cell r="G545" t="str">
            <v>LNH0925ND02</v>
          </cell>
          <cell r="J545">
            <v>2103750</v>
          </cell>
          <cell r="K545" t="str">
            <v>LNH1125NE02</v>
          </cell>
        </row>
        <row r="546">
          <cell r="B546" t="str">
            <v>25808700026</v>
          </cell>
          <cell r="C546" t="str">
            <v>Nguyễn Phạm Minh</v>
          </cell>
          <cell r="D546" t="str">
            <v>Hiếu</v>
          </cell>
          <cell r="E546">
            <v>8415000</v>
          </cell>
          <cell r="F546">
            <v>2103750</v>
          </cell>
          <cell r="G546" t="str">
            <v>LNH0925ND06</v>
          </cell>
          <cell r="J546">
            <v>2103750</v>
          </cell>
          <cell r="K546" t="str">
            <v>LNH1125NE19</v>
          </cell>
        </row>
        <row r="547">
          <cell r="B547" t="str">
            <v>25809100020</v>
          </cell>
          <cell r="C547" t="str">
            <v>Phạm Huỳnh Hai</v>
          </cell>
          <cell r="D547" t="str">
            <v>Tỷ</v>
          </cell>
          <cell r="E547">
            <v>8415000</v>
          </cell>
          <cell r="F547">
            <v>2103750</v>
          </cell>
          <cell r="G547" t="str">
            <v>LNH0925ND06</v>
          </cell>
          <cell r="J547">
            <v>2103750</v>
          </cell>
          <cell r="K547" t="str">
            <v>LNH1125NE04</v>
          </cell>
        </row>
        <row r="548">
          <cell r="B548" t="str">
            <v>25801800110</v>
          </cell>
          <cell r="C548" t="str">
            <v>Lê Thị</v>
          </cell>
          <cell r="D548" t="str">
            <v>Nguyên</v>
          </cell>
          <cell r="E548">
            <v>8415000</v>
          </cell>
          <cell r="F548">
            <v>2103750</v>
          </cell>
          <cell r="G548" t="str">
            <v>LNH0925ND07</v>
          </cell>
          <cell r="J548">
            <v>2103750</v>
          </cell>
          <cell r="K548" t="str">
            <v>LNH1125NE13</v>
          </cell>
        </row>
        <row r="549">
          <cell r="B549" t="str">
            <v>25802100009</v>
          </cell>
          <cell r="C549" t="str">
            <v>Nguyễn Văn</v>
          </cell>
          <cell r="D549" t="str">
            <v>Đông</v>
          </cell>
          <cell r="E549">
            <v>8415000</v>
          </cell>
          <cell r="F549">
            <v>2103750</v>
          </cell>
          <cell r="G549" t="str">
            <v>LNH0925ND12</v>
          </cell>
          <cell r="J549">
            <v>2103750</v>
          </cell>
          <cell r="K549" t="str">
            <v>LNH1125NE30</v>
          </cell>
        </row>
        <row r="550">
          <cell r="B550" t="str">
            <v>25808600126</v>
          </cell>
          <cell r="C550" t="str">
            <v>Hồ Nhật</v>
          </cell>
          <cell r="D550" t="str">
            <v>Tiến</v>
          </cell>
          <cell r="E550">
            <v>8415000</v>
          </cell>
          <cell r="F550">
            <v>2103750</v>
          </cell>
          <cell r="G550" t="str">
            <v>LNH0925ND13</v>
          </cell>
          <cell r="J550">
            <v>2103750</v>
          </cell>
          <cell r="K550" t="str">
            <v>LNH1125NE04</v>
          </cell>
        </row>
        <row r="551">
          <cell r="B551" t="str">
            <v>25808600105</v>
          </cell>
          <cell r="C551" t="str">
            <v>Lê Minh</v>
          </cell>
          <cell r="D551" t="str">
            <v>Tâm</v>
          </cell>
          <cell r="E551">
            <v>8415000</v>
          </cell>
          <cell r="F551">
            <v>2103750</v>
          </cell>
          <cell r="G551" t="str">
            <v>LNH0925ND13</v>
          </cell>
          <cell r="J551">
            <v>2103750</v>
          </cell>
          <cell r="K551" t="str">
            <v>LNH1125NE12</v>
          </cell>
        </row>
        <row r="552">
          <cell r="B552" t="str">
            <v>25800500131</v>
          </cell>
          <cell r="C552" t="str">
            <v>Vũ Văn</v>
          </cell>
          <cell r="D552" t="str">
            <v>Nhật</v>
          </cell>
          <cell r="E552">
            <v>8415000</v>
          </cell>
          <cell r="F552">
            <v>2103750</v>
          </cell>
          <cell r="G552" t="str">
            <v>LNH0925ND15</v>
          </cell>
          <cell r="J552">
            <v>2103750</v>
          </cell>
          <cell r="K552" t="str">
            <v>LNH1125NE15</v>
          </cell>
        </row>
        <row r="553">
          <cell r="B553" t="str">
            <v>25802800355</v>
          </cell>
          <cell r="C553" t="str">
            <v>Trần Thanh</v>
          </cell>
          <cell r="D553" t="str">
            <v>Tín</v>
          </cell>
          <cell r="E553">
            <v>8415000</v>
          </cell>
          <cell r="F553">
            <v>2103750</v>
          </cell>
          <cell r="G553" t="str">
            <v>LNH0925ND15</v>
          </cell>
          <cell r="J553">
            <v>2103750</v>
          </cell>
          <cell r="K553" t="str">
            <v>LNH1125NE04</v>
          </cell>
        </row>
        <row r="554">
          <cell r="B554" t="str">
            <v>25802600167</v>
          </cell>
          <cell r="C554" t="str">
            <v>Lê Thị Ngọc</v>
          </cell>
          <cell r="D554" t="str">
            <v>Vy</v>
          </cell>
          <cell r="E554">
            <v>8415000</v>
          </cell>
          <cell r="F554">
            <v>2103750</v>
          </cell>
          <cell r="G554" t="str">
            <v>LNH0925ND16</v>
          </cell>
          <cell r="J554">
            <v>2103750</v>
          </cell>
          <cell r="K554" t="str">
            <v>LNH1125NE13</v>
          </cell>
        </row>
        <row r="555">
          <cell r="B555" t="str">
            <v>25808600090</v>
          </cell>
          <cell r="C555" t="str">
            <v>Đỗ Thị Minh</v>
          </cell>
          <cell r="D555" t="str">
            <v>Phương</v>
          </cell>
          <cell r="E555">
            <v>8415000</v>
          </cell>
          <cell r="F555">
            <v>2103750</v>
          </cell>
          <cell r="G555" t="str">
            <v>LNH0925ND16</v>
          </cell>
          <cell r="J555">
            <v>2103750</v>
          </cell>
          <cell r="K555" t="str">
            <v>LNH1125NE09</v>
          </cell>
        </row>
        <row r="556">
          <cell r="B556" t="str">
            <v>25805900029</v>
          </cell>
          <cell r="C556" t="str">
            <v>Dương Huỳnh Thanh</v>
          </cell>
          <cell r="D556" t="str">
            <v>Như</v>
          </cell>
          <cell r="E556">
            <v>8415000</v>
          </cell>
          <cell r="F556">
            <v>2103750</v>
          </cell>
          <cell r="G556" t="str">
            <v>LNH0925ND17</v>
          </cell>
          <cell r="J556">
            <v>2103750</v>
          </cell>
          <cell r="K556" t="str">
            <v>LNH1125NE07</v>
          </cell>
        </row>
        <row r="557">
          <cell r="B557" t="str">
            <v>25808600083</v>
          </cell>
          <cell r="C557" t="str">
            <v>Nguyễn Thị Khánh</v>
          </cell>
          <cell r="D557" t="str">
            <v>Nhi</v>
          </cell>
          <cell r="E557">
            <v>8415000</v>
          </cell>
          <cell r="F557">
            <v>2103750</v>
          </cell>
          <cell r="G557" t="str">
            <v>LNH0925ND18</v>
          </cell>
          <cell r="J557">
            <v>2103750</v>
          </cell>
          <cell r="K557" t="str">
            <v>LNH1125NE20</v>
          </cell>
        </row>
        <row r="558">
          <cell r="B558" t="str">
            <v>25807500144</v>
          </cell>
          <cell r="C558" t="str">
            <v>Phạm Minh</v>
          </cell>
          <cell r="D558" t="str">
            <v>Trí</v>
          </cell>
          <cell r="E558">
            <v>8415000</v>
          </cell>
          <cell r="F558">
            <v>2103750</v>
          </cell>
          <cell r="G558" t="str">
            <v>LNH0925ND19</v>
          </cell>
          <cell r="J558">
            <v>2103750</v>
          </cell>
          <cell r="K558" t="str">
            <v>LNH1125NE17</v>
          </cell>
        </row>
        <row r="559">
          <cell r="B559" t="str">
            <v>25800600036</v>
          </cell>
          <cell r="C559" t="str">
            <v>Đỗ Gia</v>
          </cell>
          <cell r="D559" t="str">
            <v>Bảo</v>
          </cell>
          <cell r="E559">
            <v>8415000</v>
          </cell>
          <cell r="F559">
            <v>2103750</v>
          </cell>
          <cell r="G559" t="str">
            <v>LNH0925ND20</v>
          </cell>
          <cell r="J559">
            <v>2103750</v>
          </cell>
          <cell r="K559" t="str">
            <v>LNH1125NE01</v>
          </cell>
        </row>
        <row r="560">
          <cell r="B560" t="str">
            <v>25801300042</v>
          </cell>
          <cell r="C560" t="str">
            <v>Đỗ Quốc</v>
          </cell>
          <cell r="D560" t="str">
            <v>Trung</v>
          </cell>
          <cell r="E560">
            <v>8415000</v>
          </cell>
          <cell r="F560">
            <v>2103750</v>
          </cell>
          <cell r="G560" t="str">
            <v>LNH0925ND20</v>
          </cell>
          <cell r="J560">
            <v>2103750</v>
          </cell>
          <cell r="K560" t="str">
            <v>LNH1125NE17</v>
          </cell>
        </row>
        <row r="561">
          <cell r="B561" t="str">
            <v>25808200052</v>
          </cell>
          <cell r="C561" t="str">
            <v>Nguyễn Quang</v>
          </cell>
          <cell r="D561" t="str">
            <v>Huy</v>
          </cell>
          <cell r="E561">
            <v>8415000</v>
          </cell>
          <cell r="F561">
            <v>2103750</v>
          </cell>
          <cell r="G561" t="str">
            <v>LNH0925ND20</v>
          </cell>
          <cell r="J561">
            <v>2103750</v>
          </cell>
          <cell r="K561" t="str">
            <v>LNH1125NE16</v>
          </cell>
        </row>
        <row r="562">
          <cell r="B562" t="str">
            <v>25808700180</v>
          </cell>
          <cell r="C562" t="str">
            <v>Đinh Thế</v>
          </cell>
          <cell r="D562" t="str">
            <v>Hiển</v>
          </cell>
          <cell r="E562">
            <v>8415000</v>
          </cell>
          <cell r="F562">
            <v>2103750</v>
          </cell>
          <cell r="G562" t="str">
            <v>LNH0925ND20</v>
          </cell>
          <cell r="J562">
            <v>2103750</v>
          </cell>
          <cell r="K562" t="str">
            <v>LNH1125NE21</v>
          </cell>
        </row>
        <row r="563">
          <cell r="B563" t="str">
            <v>25820700005</v>
          </cell>
          <cell r="C563" t="str">
            <v>Võ Ngọc Vân</v>
          </cell>
          <cell r="D563" t="str">
            <v>Anh</v>
          </cell>
          <cell r="E563">
            <v>8415000</v>
          </cell>
          <cell r="F563">
            <v>2103750</v>
          </cell>
          <cell r="G563" t="str">
            <v>LNH0925ND21</v>
          </cell>
          <cell r="J563">
            <v>2103750</v>
          </cell>
          <cell r="K563" t="str">
            <v>LNH1125NE17</v>
          </cell>
        </row>
        <row r="564">
          <cell r="B564" t="str">
            <v>25807800075</v>
          </cell>
          <cell r="C564" t="str">
            <v>Lê Trọng</v>
          </cell>
          <cell r="D564" t="str">
            <v>Long</v>
          </cell>
          <cell r="E564">
            <v>8415000</v>
          </cell>
          <cell r="F564">
            <v>2103750</v>
          </cell>
          <cell r="G564" t="str">
            <v>LNH0925ND21</v>
          </cell>
          <cell r="J564">
            <v>2103750</v>
          </cell>
          <cell r="K564" t="str">
            <v>LNH1125NE21</v>
          </cell>
        </row>
        <row r="565">
          <cell r="B565" t="str">
            <v>25807800251</v>
          </cell>
          <cell r="C565" t="str">
            <v>Nguyễn Lê</v>
          </cell>
          <cell r="D565" t="str">
            <v>Khanh</v>
          </cell>
          <cell r="E565">
            <v>8415000</v>
          </cell>
          <cell r="F565">
            <v>2103750</v>
          </cell>
          <cell r="G565" t="str">
            <v>LNH0925ND21</v>
          </cell>
          <cell r="J565">
            <v>2103750</v>
          </cell>
          <cell r="K565" t="str">
            <v>LNH1125NE20</v>
          </cell>
        </row>
        <row r="566">
          <cell r="B566" t="str">
            <v>25808900060</v>
          </cell>
          <cell r="C566" t="str">
            <v>Vũ Minh</v>
          </cell>
          <cell r="D566" t="str">
            <v>Khôi</v>
          </cell>
          <cell r="E566">
            <v>8415000</v>
          </cell>
          <cell r="F566">
            <v>2103750</v>
          </cell>
          <cell r="G566" t="str">
            <v>LNH0925ND21</v>
          </cell>
          <cell r="J566">
            <v>2103750</v>
          </cell>
          <cell r="K566" t="str">
            <v>LNH1125NE01</v>
          </cell>
        </row>
        <row r="567">
          <cell r="B567" t="str">
            <v>25801000044</v>
          </cell>
          <cell r="C567" t="str">
            <v>Phạm Hoàng Trang</v>
          </cell>
          <cell r="D567" t="str">
            <v>Nguyên</v>
          </cell>
          <cell r="E567">
            <v>8415000</v>
          </cell>
          <cell r="F567">
            <v>2103750</v>
          </cell>
          <cell r="G567" t="str">
            <v>LNH0925ND22</v>
          </cell>
          <cell r="J567">
            <v>2103750</v>
          </cell>
          <cell r="K567" t="str">
            <v>LNH1125NE19</v>
          </cell>
        </row>
        <row r="568">
          <cell r="B568" t="str">
            <v>25807500078</v>
          </cell>
          <cell r="C568" t="str">
            <v>Nguyễn Hoài Như</v>
          </cell>
          <cell r="D568" t="str">
            <v>Ngọc</v>
          </cell>
          <cell r="E568">
            <v>8415000</v>
          </cell>
          <cell r="F568">
            <v>2103750</v>
          </cell>
          <cell r="G568" t="str">
            <v>LNH0925ND23</v>
          </cell>
          <cell r="J568">
            <v>2103750</v>
          </cell>
          <cell r="K568" t="str">
            <v>LNH1125NE21</v>
          </cell>
        </row>
        <row r="569">
          <cell r="B569" t="str">
            <v>25808200104</v>
          </cell>
          <cell r="C569" t="str">
            <v>Tôn Thất Dương</v>
          </cell>
          <cell r="D569" t="str">
            <v>Quang</v>
          </cell>
          <cell r="E569">
            <v>8415000</v>
          </cell>
          <cell r="F569">
            <v>2103750</v>
          </cell>
          <cell r="G569" t="str">
            <v>LNH0925ND24</v>
          </cell>
          <cell r="J569">
            <v>2103750</v>
          </cell>
          <cell r="K569" t="str">
            <v>LNH1125NE22</v>
          </cell>
        </row>
        <row r="570">
          <cell r="B570" t="str">
            <v>25808700110</v>
          </cell>
          <cell r="C570" t="str">
            <v>Trần Bảo</v>
          </cell>
          <cell r="D570" t="str">
            <v>Trân</v>
          </cell>
          <cell r="E570">
            <v>8415000</v>
          </cell>
          <cell r="F570">
            <v>2103750</v>
          </cell>
          <cell r="G570" t="str">
            <v>LNH0925ND25</v>
          </cell>
          <cell r="J570">
            <v>2103750</v>
          </cell>
          <cell r="K570" t="str">
            <v>LNH1125NE13</v>
          </cell>
        </row>
        <row r="571">
          <cell r="B571" t="str">
            <v>25809600059</v>
          </cell>
          <cell r="C571" t="str">
            <v>Trần Thanh</v>
          </cell>
          <cell r="D571" t="str">
            <v>Sơn</v>
          </cell>
          <cell r="E571">
            <v>8415000</v>
          </cell>
          <cell r="F571">
            <v>2103750</v>
          </cell>
          <cell r="G571" t="str">
            <v>LNH0925ND25</v>
          </cell>
          <cell r="J571">
            <v>2103750</v>
          </cell>
          <cell r="K571" t="str">
            <v>LNH1125NE22</v>
          </cell>
        </row>
        <row r="572">
          <cell r="B572" t="str">
            <v>25802700083</v>
          </cell>
          <cell r="C572" t="str">
            <v>Trần Triệu</v>
          </cell>
          <cell r="D572" t="str">
            <v>Thiện</v>
          </cell>
          <cell r="E572">
            <v>8415000</v>
          </cell>
          <cell r="F572">
            <v>2103750</v>
          </cell>
          <cell r="G572" t="str">
            <v>LNH0925ND26</v>
          </cell>
          <cell r="J572">
            <v>2103750</v>
          </cell>
          <cell r="K572" t="str">
            <v>LNH1125NE17</v>
          </cell>
        </row>
        <row r="573">
          <cell r="B573" t="str">
            <v>25807800085</v>
          </cell>
          <cell r="C573" t="str">
            <v>Tô Hoàng</v>
          </cell>
          <cell r="D573" t="str">
            <v>Minh</v>
          </cell>
          <cell r="E573">
            <v>8415000</v>
          </cell>
          <cell r="F573">
            <v>2103750</v>
          </cell>
          <cell r="G573" t="str">
            <v>LNH0925ND26</v>
          </cell>
          <cell r="J573">
            <v>2103750</v>
          </cell>
          <cell r="K573" t="str">
            <v>LNH1125NE14</v>
          </cell>
        </row>
        <row r="574">
          <cell r="B574" t="str">
            <v>25808200085</v>
          </cell>
          <cell r="C574" t="str">
            <v>Nguyen Hoang</v>
          </cell>
          <cell r="D574" t="str">
            <v>Minh</v>
          </cell>
          <cell r="E574">
            <v>8415000</v>
          </cell>
          <cell r="F574">
            <v>2103750</v>
          </cell>
          <cell r="G574" t="str">
            <v>LNH0925ND26</v>
          </cell>
          <cell r="J574">
            <v>2103750</v>
          </cell>
          <cell r="K574" t="str">
            <v>LNH1125NE25</v>
          </cell>
        </row>
        <row r="575">
          <cell r="B575" t="str">
            <v>25807500098</v>
          </cell>
          <cell r="C575" t="str">
            <v>Phan Ngọc Phú</v>
          </cell>
          <cell r="D575" t="str">
            <v>Quí</v>
          </cell>
          <cell r="E575">
            <v>8415000</v>
          </cell>
          <cell r="F575">
            <v>2103750</v>
          </cell>
          <cell r="G575" t="str">
            <v>LNH0925ND27</v>
          </cell>
          <cell r="J575">
            <v>2103750</v>
          </cell>
          <cell r="K575" t="str">
            <v>LNH1125NE23</v>
          </cell>
        </row>
        <row r="576">
          <cell r="B576" t="str">
            <v>25801200018</v>
          </cell>
          <cell r="C576" t="str">
            <v>Nguyễn Thị Hoàng</v>
          </cell>
          <cell r="D576" t="str">
            <v>Kiều</v>
          </cell>
          <cell r="E576">
            <v>8415000</v>
          </cell>
          <cell r="F576">
            <v>2103750</v>
          </cell>
          <cell r="G576" t="str">
            <v>LNH0925ND29</v>
          </cell>
          <cell r="J576">
            <v>2103750</v>
          </cell>
          <cell r="K576" t="str">
            <v>LNH1125NE24</v>
          </cell>
        </row>
        <row r="577">
          <cell r="B577" t="str">
            <v>25800500312</v>
          </cell>
          <cell r="C577" t="str">
            <v>Lưu Khải</v>
          </cell>
          <cell r="D577" t="str">
            <v>Nguyên</v>
          </cell>
          <cell r="E577">
            <v>8415000</v>
          </cell>
          <cell r="F577">
            <v>2103750</v>
          </cell>
          <cell r="G577" t="str">
            <v>LNH0925ND31</v>
          </cell>
          <cell r="J577">
            <v>2103750</v>
          </cell>
          <cell r="K577" t="str">
            <v>LNH1125NE16</v>
          </cell>
        </row>
        <row r="578">
          <cell r="B578" t="str">
            <v>25808700072</v>
          </cell>
          <cell r="C578" t="str">
            <v>Nguyễn Hoàng</v>
          </cell>
          <cell r="D578" t="str">
            <v>Nhựt</v>
          </cell>
          <cell r="E578">
            <v>8415000</v>
          </cell>
          <cell r="F578">
            <v>2103750</v>
          </cell>
          <cell r="G578" t="str">
            <v>LNH0925ND33</v>
          </cell>
          <cell r="J578">
            <v>2103750</v>
          </cell>
          <cell r="K578" t="str">
            <v>LNH1125NE30</v>
          </cell>
        </row>
        <row r="579">
          <cell r="B579" t="str">
            <v>25806300025</v>
          </cell>
          <cell r="C579" t="str">
            <v>Hoàng Đức</v>
          </cell>
          <cell r="D579" t="str">
            <v>Mạnh</v>
          </cell>
          <cell r="E579">
            <v>8415000</v>
          </cell>
          <cell r="F579">
            <v>2103750</v>
          </cell>
          <cell r="G579" t="str">
            <v>LNH0925ND34</v>
          </cell>
          <cell r="J579">
            <v>2103750</v>
          </cell>
          <cell r="K579" t="str">
            <v>LNH1125NE18</v>
          </cell>
        </row>
        <row r="580">
          <cell r="B580" t="str">
            <v>25807500037</v>
          </cell>
          <cell r="C580" t="str">
            <v>Phạm Minh</v>
          </cell>
          <cell r="D580" t="str">
            <v>Hoàng</v>
          </cell>
          <cell r="E580">
            <v>8415000</v>
          </cell>
          <cell r="F580">
            <v>2103750</v>
          </cell>
          <cell r="G580" t="str">
            <v>LNH0925ND35</v>
          </cell>
          <cell r="J580">
            <v>2103750</v>
          </cell>
          <cell r="K580" t="str">
            <v>LNH1125NE27</v>
          </cell>
        </row>
        <row r="581">
          <cell r="B581" t="str">
            <v>25802600095</v>
          </cell>
          <cell r="C581" t="str">
            <v>Đinh Thị Linh</v>
          </cell>
          <cell r="D581" t="str">
            <v>Nhi</v>
          </cell>
          <cell r="E581">
            <v>8415000</v>
          </cell>
          <cell r="F581">
            <v>2103750</v>
          </cell>
          <cell r="G581" t="str">
            <v>LNH0925ND36</v>
          </cell>
          <cell r="J581">
            <v>2103750</v>
          </cell>
          <cell r="K581" t="str">
            <v>LNH1125NE31</v>
          </cell>
        </row>
        <row r="582">
          <cell r="B582" t="str">
            <v>25802800047</v>
          </cell>
          <cell r="C582" t="str">
            <v>Nguyễn Hải</v>
          </cell>
          <cell r="D582" t="str">
            <v>Đăng</v>
          </cell>
          <cell r="E582">
            <v>9415000</v>
          </cell>
          <cell r="H582">
            <v>2103750</v>
          </cell>
          <cell r="I582" t="str">
            <v>LNH1025ND01</v>
          </cell>
          <cell r="J582">
            <v>2103750</v>
          </cell>
          <cell r="K582" t="str">
            <v>LNH1125NE09</v>
          </cell>
        </row>
        <row r="583">
          <cell r="B583" t="str">
            <v>25808700155</v>
          </cell>
          <cell r="C583" t="str">
            <v>Phạm Minh</v>
          </cell>
          <cell r="D583" t="str">
            <v>Quang</v>
          </cell>
          <cell r="E583">
            <v>8415000</v>
          </cell>
          <cell r="H583">
            <v>2103750</v>
          </cell>
          <cell r="I583" t="str">
            <v>LNH1025ND02</v>
          </cell>
          <cell r="J583">
            <v>2103750</v>
          </cell>
          <cell r="K583" t="str">
            <v>LNH1125NE22</v>
          </cell>
        </row>
        <row r="584">
          <cell r="B584" t="str">
            <v>25802800018</v>
          </cell>
          <cell r="C584" t="str">
            <v>Nguyễn Duy</v>
          </cell>
          <cell r="D584" t="str">
            <v>Bảo</v>
          </cell>
          <cell r="E584">
            <v>7540000</v>
          </cell>
        </row>
        <row r="585">
          <cell r="B585" t="str">
            <v>25806400024</v>
          </cell>
          <cell r="C585" t="str">
            <v>Trần Dương Kim</v>
          </cell>
          <cell r="D585" t="str">
            <v>Tuyến</v>
          </cell>
          <cell r="E585">
            <v>4940000</v>
          </cell>
          <cell r="K585" t="str">
            <v>Level 3,4</v>
          </cell>
        </row>
        <row r="586">
          <cell r="B586" t="str">
            <v>25801600005</v>
          </cell>
          <cell r="C586" t="str">
            <v>Ngô Khắc Vân</v>
          </cell>
          <cell r="D586" t="str">
            <v>Anh</v>
          </cell>
          <cell r="E586">
            <v>4465000</v>
          </cell>
          <cell r="F586">
            <v>2232500</v>
          </cell>
          <cell r="G586" t="str">
            <v>LNH0925ND01</v>
          </cell>
          <cell r="J586">
            <v>2232500</v>
          </cell>
          <cell r="K586" t="str">
            <v>LNH1125NE01</v>
          </cell>
        </row>
        <row r="587">
          <cell r="B587" t="str">
            <v>25802600109</v>
          </cell>
          <cell r="C587" t="str">
            <v>Ngô Tâm</v>
          </cell>
          <cell r="D587" t="str">
            <v>Thanh</v>
          </cell>
          <cell r="E587">
            <v>4465000</v>
          </cell>
          <cell r="F587">
            <v>2232500</v>
          </cell>
          <cell r="G587" t="str">
            <v>LNH0925ND01</v>
          </cell>
          <cell r="J587">
            <v>2232500</v>
          </cell>
          <cell r="K587" t="str">
            <v>LNH1125NE13</v>
          </cell>
        </row>
        <row r="588">
          <cell r="B588" t="str">
            <v>25820500007</v>
          </cell>
          <cell r="C588" t="str">
            <v>Trần Vũ Anh</v>
          </cell>
          <cell r="D588" t="str">
            <v>Kiệt</v>
          </cell>
          <cell r="E588">
            <v>4465000</v>
          </cell>
          <cell r="F588">
            <v>2232500</v>
          </cell>
          <cell r="G588" t="str">
            <v>LNH0925ND01</v>
          </cell>
          <cell r="J588">
            <v>2232500</v>
          </cell>
          <cell r="K588" t="str">
            <v>LNH1125NE03</v>
          </cell>
        </row>
        <row r="589">
          <cell r="B589" t="str">
            <v>25801700016</v>
          </cell>
          <cell r="C589" t="str">
            <v>Lê Nguyễn Thu</v>
          </cell>
          <cell r="D589" t="str">
            <v>Hà</v>
          </cell>
          <cell r="E589">
            <v>2100000</v>
          </cell>
          <cell r="F589">
            <v>2100000</v>
          </cell>
          <cell r="G589" t="str">
            <v>LNH0925ND01</v>
          </cell>
        </row>
        <row r="590">
          <cell r="B590" t="str">
            <v>25801700013</v>
          </cell>
          <cell r="C590" t="str">
            <v>Trần Văn Anh</v>
          </cell>
          <cell r="D590" t="str">
            <v>Đức</v>
          </cell>
          <cell r="E590">
            <v>8415000</v>
          </cell>
          <cell r="F590">
            <v>2103750</v>
          </cell>
          <cell r="G590" t="str">
            <v>LNH0925ND02</v>
          </cell>
        </row>
        <row r="591">
          <cell r="B591" t="str">
            <v>25803000304</v>
          </cell>
          <cell r="C591" t="str">
            <v>Nguyễn Thị Thùy</v>
          </cell>
          <cell r="D591" t="str">
            <v>Linh</v>
          </cell>
          <cell r="E591">
            <v>8415000</v>
          </cell>
          <cell r="F591">
            <v>2103750</v>
          </cell>
          <cell r="G591" t="str">
            <v>LNH0925ND02</v>
          </cell>
          <cell r="J591">
            <v>2103750</v>
          </cell>
          <cell r="K591" t="str">
            <v>LNH1125NE10</v>
          </cell>
        </row>
        <row r="592">
          <cell r="B592" t="str">
            <v>25806800057</v>
          </cell>
          <cell r="C592" t="str">
            <v>Lê Tâm</v>
          </cell>
          <cell r="D592" t="str">
            <v>Như</v>
          </cell>
          <cell r="E592">
            <v>4465000</v>
          </cell>
          <cell r="F592">
            <v>2232500</v>
          </cell>
          <cell r="G592" t="str">
            <v>LNH0925ND02</v>
          </cell>
          <cell r="J592">
            <v>2232500</v>
          </cell>
          <cell r="K592" t="str">
            <v>LNH1125NE07</v>
          </cell>
        </row>
        <row r="593">
          <cell r="B593" t="str">
            <v>25808600139</v>
          </cell>
          <cell r="C593" t="str">
            <v>Nguyễn Thanh</v>
          </cell>
          <cell r="D593" t="str">
            <v>Trúc</v>
          </cell>
          <cell r="E593">
            <v>4465000</v>
          </cell>
          <cell r="F593">
            <v>2232500</v>
          </cell>
          <cell r="G593" t="str">
            <v>LNH0925ND03</v>
          </cell>
          <cell r="J593">
            <v>2232500</v>
          </cell>
          <cell r="K593" t="str">
            <v>LNH1125NE08</v>
          </cell>
        </row>
        <row r="594">
          <cell r="B594">
            <v>25808600109</v>
          </cell>
          <cell r="C594" t="str">
            <v>Văn Công</v>
          </cell>
          <cell r="D594" t="str">
            <v>Thành</v>
          </cell>
          <cell r="E594">
            <v>8415000</v>
          </cell>
          <cell r="F594">
            <v>2103750</v>
          </cell>
          <cell r="G594" t="str">
            <v>LNH0925ND04</v>
          </cell>
        </row>
        <row r="595">
          <cell r="B595" t="str">
            <v>25808900099</v>
          </cell>
          <cell r="C595" t="str">
            <v>Trần Văn</v>
          </cell>
          <cell r="D595" t="str">
            <v>Phúc</v>
          </cell>
          <cell r="E595">
            <v>4465000</v>
          </cell>
          <cell r="F595">
            <v>2232500</v>
          </cell>
          <cell r="G595" t="str">
            <v>LNH0925ND04</v>
          </cell>
          <cell r="J595">
            <v>2232500</v>
          </cell>
          <cell r="K595" t="str">
            <v>LNH1125NE15</v>
          </cell>
        </row>
        <row r="596">
          <cell r="B596" t="str">
            <v>25802800122</v>
          </cell>
          <cell r="C596" t="str">
            <v>Nguyễn Tuấn</v>
          </cell>
          <cell r="D596" t="str">
            <v>Kiệt</v>
          </cell>
          <cell r="E596">
            <v>2100000</v>
          </cell>
          <cell r="F596">
            <v>2100000</v>
          </cell>
          <cell r="G596" t="str">
            <v>LNH0925ND04</v>
          </cell>
        </row>
        <row r="597">
          <cell r="B597" t="str">
            <v>25809600077</v>
          </cell>
          <cell r="C597" t="str">
            <v>Lê Thành</v>
          </cell>
          <cell r="D597" t="str">
            <v>Việt</v>
          </cell>
          <cell r="E597">
            <v>5000000</v>
          </cell>
          <cell r="F597">
            <v>2232500</v>
          </cell>
          <cell r="G597" t="str">
            <v>LNH0925ND05</v>
          </cell>
          <cell r="J597">
            <v>2232500</v>
          </cell>
          <cell r="K597" t="str">
            <v>LNH1125NE04</v>
          </cell>
        </row>
        <row r="598">
          <cell r="B598" t="str">
            <v>25802800021</v>
          </cell>
          <cell r="C598" t="str">
            <v>Trần Ngọc</v>
          </cell>
          <cell r="D598" t="str">
            <v>Bích</v>
          </cell>
          <cell r="E598">
            <v>5000000</v>
          </cell>
          <cell r="F598">
            <v>2232500</v>
          </cell>
          <cell r="G598" t="str">
            <v>LNH0925ND05</v>
          </cell>
          <cell r="J598">
            <v>2232500</v>
          </cell>
          <cell r="K598" t="str">
            <v>LNH1125NE04</v>
          </cell>
        </row>
        <row r="599">
          <cell r="B599" t="str">
            <v>25801800015</v>
          </cell>
          <cell r="C599" t="str">
            <v>Đặng Nguyễn Gia</v>
          </cell>
          <cell r="D599" t="str">
            <v>Hân</v>
          </cell>
          <cell r="E599">
            <v>4465000</v>
          </cell>
          <cell r="F599">
            <v>2232500</v>
          </cell>
          <cell r="G599" t="str">
            <v>LNH0925ND05</v>
          </cell>
          <cell r="J599">
            <v>2232500</v>
          </cell>
          <cell r="K599" t="str">
            <v>LNH1125NE09</v>
          </cell>
        </row>
        <row r="600">
          <cell r="B600" t="str">
            <v>25802600209</v>
          </cell>
          <cell r="C600" t="str">
            <v>Bạch Đoan</v>
          </cell>
          <cell r="D600" t="str">
            <v>Linh</v>
          </cell>
          <cell r="E600">
            <v>4465000</v>
          </cell>
          <cell r="F600">
            <v>2232500</v>
          </cell>
          <cell r="G600" t="str">
            <v>LNH0925ND05</v>
          </cell>
          <cell r="J600">
            <v>2232500</v>
          </cell>
          <cell r="K600" t="str">
            <v>LNH1125NE12</v>
          </cell>
        </row>
        <row r="601">
          <cell r="B601" t="str">
            <v>25805800030</v>
          </cell>
          <cell r="C601" t="str">
            <v>Ngô Ngọc Minh</v>
          </cell>
          <cell r="D601" t="str">
            <v>Thư</v>
          </cell>
          <cell r="E601">
            <v>4465000</v>
          </cell>
          <cell r="F601">
            <v>2232500</v>
          </cell>
          <cell r="G601" t="str">
            <v>LNH0925ND05</v>
          </cell>
          <cell r="J601">
            <v>2232500</v>
          </cell>
          <cell r="K601" t="str">
            <v>LNH1125NE12</v>
          </cell>
        </row>
        <row r="602">
          <cell r="B602" t="str">
            <v>25802600208</v>
          </cell>
          <cell r="C602" t="str">
            <v>Phan Anh</v>
          </cell>
          <cell r="D602" t="str">
            <v>Thư</v>
          </cell>
          <cell r="E602">
            <v>8415000</v>
          </cell>
          <cell r="F602">
            <v>2103750</v>
          </cell>
          <cell r="G602" t="str">
            <v>LNH0925ND06</v>
          </cell>
          <cell r="J602">
            <v>2103750</v>
          </cell>
          <cell r="K602" t="str">
            <v>LNH1125NE11</v>
          </cell>
        </row>
        <row r="603">
          <cell r="B603" t="str">
            <v>25802800250</v>
          </cell>
          <cell r="C603" t="str">
            <v>Mai Thanh</v>
          </cell>
          <cell r="D603" t="str">
            <v>Thúy</v>
          </cell>
          <cell r="E603">
            <v>9405000</v>
          </cell>
          <cell r="F603">
            <v>2232500</v>
          </cell>
          <cell r="G603" t="str">
            <v>LNH0925ND06</v>
          </cell>
          <cell r="J603">
            <v>2232500</v>
          </cell>
          <cell r="K603" t="str">
            <v>LNH1125NE05</v>
          </cell>
        </row>
        <row r="604">
          <cell r="B604" t="str">
            <v>25802800151</v>
          </cell>
          <cell r="C604" t="str">
            <v>Rơ Châm</v>
          </cell>
          <cell r="D604" t="str">
            <v>Ngaoh</v>
          </cell>
          <cell r="E604">
            <v>4465000</v>
          </cell>
          <cell r="F604">
            <v>2232500</v>
          </cell>
          <cell r="G604" t="str">
            <v>LNH0925ND06</v>
          </cell>
          <cell r="J604">
            <v>2232500</v>
          </cell>
          <cell r="K604" t="str">
            <v>LNH1125NE10</v>
          </cell>
        </row>
        <row r="605">
          <cell r="B605" t="str">
            <v>25802600074</v>
          </cell>
          <cell r="C605" t="str">
            <v>Huỳnh Thanh</v>
          </cell>
          <cell r="D605" t="str">
            <v>Luân</v>
          </cell>
          <cell r="E605">
            <v>4465000</v>
          </cell>
          <cell r="F605">
            <v>2232500</v>
          </cell>
          <cell r="G605" t="str">
            <v>LNH0925ND06</v>
          </cell>
          <cell r="J605">
            <v>2232500</v>
          </cell>
          <cell r="K605" t="str">
            <v>LNH1125NE05</v>
          </cell>
        </row>
        <row r="606">
          <cell r="B606" t="str">
            <v>25802300057</v>
          </cell>
          <cell r="C606" t="str">
            <v>Nguyễn Văn</v>
          </cell>
          <cell r="D606" t="str">
            <v>Định</v>
          </cell>
          <cell r="E606">
            <v>2100000</v>
          </cell>
          <cell r="F606">
            <v>2100000</v>
          </cell>
          <cell r="G606" t="str">
            <v>LNH0925ND06</v>
          </cell>
        </row>
        <row r="607">
          <cell r="B607" t="str">
            <v>25807500072</v>
          </cell>
          <cell r="C607" t="str">
            <v>Phan Thị</v>
          </cell>
          <cell r="D607" t="str">
            <v>Mừng</v>
          </cell>
          <cell r="E607">
            <v>8415000</v>
          </cell>
          <cell r="F607">
            <v>2103750</v>
          </cell>
          <cell r="G607" t="str">
            <v>LNH0925ND07</v>
          </cell>
          <cell r="J607">
            <v>2103750</v>
          </cell>
          <cell r="K607" t="str">
            <v>LNH1125NE03</v>
          </cell>
        </row>
        <row r="608">
          <cell r="B608" t="str">
            <v>25802800113</v>
          </cell>
          <cell r="C608" t="str">
            <v>Huỳnh Phạm Đăng</v>
          </cell>
          <cell r="D608" t="str">
            <v>Khoa</v>
          </cell>
          <cell r="E608">
            <v>5000000</v>
          </cell>
          <cell r="F608">
            <v>2232500</v>
          </cell>
          <cell r="G608" t="str">
            <v>LNH0925ND07</v>
          </cell>
          <cell r="J608">
            <v>2232500</v>
          </cell>
          <cell r="K608" t="str">
            <v>LNH1125NE09</v>
          </cell>
        </row>
        <row r="609">
          <cell r="B609" t="str">
            <v>25808900011</v>
          </cell>
          <cell r="C609" t="str">
            <v>Dương Hoàng</v>
          </cell>
          <cell r="D609" t="str">
            <v>Ân</v>
          </cell>
          <cell r="E609">
            <v>4465000</v>
          </cell>
          <cell r="F609">
            <v>2232500</v>
          </cell>
          <cell r="G609" t="str">
            <v>LNH0925ND07</v>
          </cell>
          <cell r="J609">
            <v>2232500</v>
          </cell>
          <cell r="K609" t="str">
            <v>LNH1125NE21</v>
          </cell>
        </row>
        <row r="610">
          <cell r="B610" t="str">
            <v>25808900138</v>
          </cell>
          <cell r="C610" t="str">
            <v>Vũ Minh</v>
          </cell>
          <cell r="D610" t="str">
            <v>Triết</v>
          </cell>
          <cell r="E610">
            <v>4465000</v>
          </cell>
          <cell r="F610">
            <v>2232500</v>
          </cell>
          <cell r="G610" t="str">
            <v>LNH0925ND07</v>
          </cell>
          <cell r="J610">
            <v>2232500</v>
          </cell>
          <cell r="K610" t="str">
            <v>LNH1125NE11</v>
          </cell>
        </row>
        <row r="611">
          <cell r="B611" t="str">
            <v>25801800063</v>
          </cell>
          <cell r="C611" t="str">
            <v>Nguyễn Thanh</v>
          </cell>
          <cell r="D611" t="str">
            <v>Thảo</v>
          </cell>
          <cell r="E611">
            <v>4465000</v>
          </cell>
          <cell r="F611">
            <v>2232500</v>
          </cell>
          <cell r="G611" t="str">
            <v>LNH0925ND07</v>
          </cell>
          <cell r="J611">
            <v>2232500</v>
          </cell>
          <cell r="K611" t="str">
            <v>LNH1125NE13</v>
          </cell>
        </row>
        <row r="612">
          <cell r="B612" t="str">
            <v>25809600006</v>
          </cell>
          <cell r="C612" t="str">
            <v>Vũ Quốc</v>
          </cell>
          <cell r="D612" t="str">
            <v>Bảo</v>
          </cell>
          <cell r="E612">
            <v>4465000</v>
          </cell>
          <cell r="F612">
            <v>2232500</v>
          </cell>
          <cell r="G612" t="str">
            <v>LNH0925ND07</v>
          </cell>
          <cell r="J612">
            <v>2232500</v>
          </cell>
          <cell r="K612" t="str">
            <v>LNH1125NE10</v>
          </cell>
        </row>
        <row r="613">
          <cell r="B613" t="str">
            <v>25807400009</v>
          </cell>
          <cell r="C613" t="str">
            <v>Trần Thanh</v>
          </cell>
          <cell r="D613" t="str">
            <v>Nhàn</v>
          </cell>
          <cell r="E613">
            <v>2100000</v>
          </cell>
          <cell r="F613">
            <v>2100000</v>
          </cell>
          <cell r="G613" t="str">
            <v>LNH0925ND08</v>
          </cell>
        </row>
        <row r="614">
          <cell r="B614" t="str">
            <v>25802300142</v>
          </cell>
          <cell r="C614" t="str">
            <v>Đặng Thị Khánh</v>
          </cell>
          <cell r="D614" t="str">
            <v>Ly</v>
          </cell>
          <cell r="E614">
            <v>4465000</v>
          </cell>
          <cell r="F614">
            <v>2232500</v>
          </cell>
          <cell r="G614" t="str">
            <v>LNH0925ND09</v>
          </cell>
          <cell r="J614">
            <v>2232500</v>
          </cell>
          <cell r="K614" t="str">
            <v>LNH1125NE06</v>
          </cell>
        </row>
        <row r="615">
          <cell r="B615" t="str">
            <v>25808300046</v>
          </cell>
          <cell r="C615" t="str">
            <v>Lâm Thanh</v>
          </cell>
          <cell r="D615" t="str">
            <v>Thúy</v>
          </cell>
          <cell r="E615">
            <v>2100000</v>
          </cell>
          <cell r="F615">
            <v>2100000</v>
          </cell>
          <cell r="G615" t="str">
            <v>LNH0925ND09</v>
          </cell>
        </row>
        <row r="616">
          <cell r="B616" t="str">
            <v>25802800152</v>
          </cell>
          <cell r="C616" t="str">
            <v>Đỗ Thị Thanh</v>
          </cell>
          <cell r="D616" t="str">
            <v>Ngân</v>
          </cell>
          <cell r="E616">
            <v>8415000</v>
          </cell>
          <cell r="F616">
            <v>2103750</v>
          </cell>
          <cell r="G616" t="str">
            <v>LNH0925ND10</v>
          </cell>
          <cell r="J616">
            <v>2103750</v>
          </cell>
          <cell r="K616" t="str">
            <v>LNH1125NE07</v>
          </cell>
        </row>
        <row r="617">
          <cell r="B617" t="str">
            <v>25807000055</v>
          </cell>
          <cell r="C617" t="str">
            <v>Trần Minh</v>
          </cell>
          <cell r="D617" t="str">
            <v>Mẫn</v>
          </cell>
          <cell r="E617">
            <v>4465000</v>
          </cell>
          <cell r="F617">
            <v>2232500</v>
          </cell>
          <cell r="G617" t="str">
            <v>LNH0925ND10</v>
          </cell>
          <cell r="J617">
            <v>2232500</v>
          </cell>
          <cell r="K617" t="str">
            <v>LNH1125NE12</v>
          </cell>
        </row>
        <row r="618">
          <cell r="B618" t="str">
            <v>25809100019</v>
          </cell>
          <cell r="C618" t="str">
            <v>Lê Trần Anh</v>
          </cell>
          <cell r="D618" t="str">
            <v>Tuấn</v>
          </cell>
          <cell r="E618">
            <v>4465000</v>
          </cell>
          <cell r="F618">
            <v>2232500</v>
          </cell>
          <cell r="G618" t="str">
            <v>LNH0925ND10</v>
          </cell>
          <cell r="J618">
            <v>2232500</v>
          </cell>
          <cell r="K618" t="str">
            <v>LNH1125NE13</v>
          </cell>
        </row>
        <row r="619">
          <cell r="B619" t="str">
            <v>25809600043</v>
          </cell>
          <cell r="C619" t="str">
            <v>Nguyễn Trọng</v>
          </cell>
          <cell r="D619" t="str">
            <v>Nhân</v>
          </cell>
          <cell r="E619">
            <v>4465000</v>
          </cell>
          <cell r="F619">
            <v>2232500</v>
          </cell>
          <cell r="G619" t="str">
            <v>LNH0925ND10</v>
          </cell>
          <cell r="J619">
            <v>2232500</v>
          </cell>
          <cell r="K619" t="str">
            <v>LNH1125NE04</v>
          </cell>
        </row>
        <row r="620">
          <cell r="B620" t="str">
            <v>25808600190</v>
          </cell>
          <cell r="C620" t="str">
            <v>Đinh Viết</v>
          </cell>
          <cell r="D620" t="str">
            <v>Nguyên</v>
          </cell>
          <cell r="E620">
            <v>4465000</v>
          </cell>
          <cell r="F620">
            <v>2232500</v>
          </cell>
          <cell r="G620" t="str">
            <v>LNH0925ND10</v>
          </cell>
          <cell r="J620">
            <v>2232500</v>
          </cell>
          <cell r="K620" t="str">
            <v>LNH1125NE14</v>
          </cell>
        </row>
        <row r="621">
          <cell r="B621" t="str">
            <v>25808600200</v>
          </cell>
          <cell r="C621" t="str">
            <v>Trần Phương</v>
          </cell>
          <cell r="D621" t="str">
            <v>Quỳnh</v>
          </cell>
          <cell r="E621">
            <v>8415000</v>
          </cell>
          <cell r="F621">
            <v>2103750</v>
          </cell>
          <cell r="G621" t="str">
            <v>LNH0925ND11</v>
          </cell>
        </row>
        <row r="622">
          <cell r="B622" t="str">
            <v>25802100043</v>
          </cell>
          <cell r="C622" t="str">
            <v>Nguyễn Trung</v>
          </cell>
          <cell r="D622" t="str">
            <v>Văn</v>
          </cell>
          <cell r="E622">
            <v>8415000</v>
          </cell>
          <cell r="F622">
            <v>2103750</v>
          </cell>
          <cell r="G622" t="str">
            <v>LNH0925ND11</v>
          </cell>
        </row>
        <row r="623">
          <cell r="B623" t="str">
            <v>25808500024</v>
          </cell>
          <cell r="C623" t="str">
            <v>Đinh Nguyễn Gia</v>
          </cell>
          <cell r="D623" t="str">
            <v>Bảo</v>
          </cell>
          <cell r="E623">
            <v>8415000</v>
          </cell>
          <cell r="F623">
            <v>2103750</v>
          </cell>
          <cell r="G623" t="str">
            <v>LNH0925ND12</v>
          </cell>
        </row>
        <row r="624">
          <cell r="B624" t="str">
            <v>25802800240</v>
          </cell>
          <cell r="C624" t="str">
            <v>Nguyễn Thị Hồng</v>
          </cell>
          <cell r="D624" t="str">
            <v>Thảo</v>
          </cell>
          <cell r="E624">
            <v>4465000</v>
          </cell>
          <cell r="F624">
            <v>2232500</v>
          </cell>
          <cell r="G624" t="str">
            <v>LNH0925ND12</v>
          </cell>
          <cell r="J624">
            <v>2232500</v>
          </cell>
          <cell r="K624" t="str">
            <v>LNH1125NE01</v>
          </cell>
        </row>
        <row r="625">
          <cell r="B625" t="str">
            <v>25802800255</v>
          </cell>
          <cell r="C625" t="str">
            <v>Phạm Nguyễn Anh</v>
          </cell>
          <cell r="D625" t="str">
            <v>Thư</v>
          </cell>
          <cell r="E625">
            <v>4465000</v>
          </cell>
          <cell r="F625">
            <v>2232500</v>
          </cell>
          <cell r="G625" t="str">
            <v>LNH0925ND12</v>
          </cell>
          <cell r="J625">
            <v>2232500</v>
          </cell>
          <cell r="K625" t="str">
            <v>LNH1125NE03</v>
          </cell>
        </row>
        <row r="626">
          <cell r="B626" t="str">
            <v>25803000403</v>
          </cell>
          <cell r="C626" t="str">
            <v>Nguyễn Ngọc Mẩn</v>
          </cell>
          <cell r="D626" t="str">
            <v>Nghi</v>
          </cell>
          <cell r="E626">
            <v>4465000</v>
          </cell>
          <cell r="F626">
            <v>2232500</v>
          </cell>
          <cell r="G626" t="str">
            <v>LNH0925ND12</v>
          </cell>
          <cell r="J626">
            <v>2232500</v>
          </cell>
          <cell r="K626" t="str">
            <v>LNH1125NE14</v>
          </cell>
        </row>
        <row r="627">
          <cell r="B627" t="str">
            <v>25806800024</v>
          </cell>
          <cell r="C627" t="str">
            <v>Phan Thị Kim</v>
          </cell>
          <cell r="D627" t="str">
            <v>Hiền</v>
          </cell>
          <cell r="E627">
            <v>2100000</v>
          </cell>
          <cell r="F627">
            <v>2100000</v>
          </cell>
          <cell r="G627" t="str">
            <v>LNH0925ND12</v>
          </cell>
        </row>
        <row r="628">
          <cell r="B628" t="str">
            <v>25802600022</v>
          </cell>
          <cell r="C628" t="str">
            <v>Huỳnh Quang</v>
          </cell>
          <cell r="D628" t="str">
            <v>Duy</v>
          </cell>
          <cell r="E628">
            <v>4465000</v>
          </cell>
          <cell r="F628">
            <v>2232500</v>
          </cell>
          <cell r="G628" t="str">
            <v>LNH0925ND13</v>
          </cell>
          <cell r="J628">
            <v>2232500</v>
          </cell>
          <cell r="K628" t="str">
            <v>LNH1125NE13</v>
          </cell>
        </row>
        <row r="629">
          <cell r="B629" t="str">
            <v>25808300060</v>
          </cell>
          <cell r="C629" t="str">
            <v>Đặng Ngọc Tú</v>
          </cell>
          <cell r="D629" t="str">
            <v>Uyên</v>
          </cell>
          <cell r="E629">
            <v>2100000</v>
          </cell>
          <cell r="F629">
            <v>2100000</v>
          </cell>
          <cell r="G629" t="str">
            <v>LNH0925ND13</v>
          </cell>
        </row>
        <row r="630">
          <cell r="B630" t="str">
            <v>25809600002</v>
          </cell>
          <cell r="C630" t="str">
            <v>Nguyễn Trần Tuấn</v>
          </cell>
          <cell r="D630" t="str">
            <v>Anh</v>
          </cell>
          <cell r="E630">
            <v>2100000</v>
          </cell>
          <cell r="F630">
            <v>2100000</v>
          </cell>
          <cell r="G630" t="str">
            <v>LNH0925ND13</v>
          </cell>
        </row>
        <row r="631">
          <cell r="B631" t="str">
            <v>25802800082</v>
          </cell>
          <cell r="C631" t="str">
            <v>Nguyễn Quốc</v>
          </cell>
          <cell r="D631" t="str">
            <v>Hùng</v>
          </cell>
          <cell r="E631">
            <v>8415000</v>
          </cell>
          <cell r="F631">
            <v>2103750</v>
          </cell>
          <cell r="G631" t="str">
            <v>LNH0925ND14</v>
          </cell>
        </row>
        <row r="632">
          <cell r="B632" t="str">
            <v>25805900005</v>
          </cell>
          <cell r="C632" t="str">
            <v>Nguyễn Chí</v>
          </cell>
          <cell r="D632" t="str">
            <v>Bền</v>
          </cell>
          <cell r="E632">
            <v>8415000</v>
          </cell>
          <cell r="F632">
            <v>2103750</v>
          </cell>
          <cell r="G632" t="str">
            <v>LNH0925ND14</v>
          </cell>
        </row>
        <row r="633">
          <cell r="B633" t="str">
            <v>25807700087</v>
          </cell>
          <cell r="C633" t="str">
            <v>Lê Thành</v>
          </cell>
          <cell r="D633" t="str">
            <v>Đạt</v>
          </cell>
          <cell r="E633">
            <v>8415000</v>
          </cell>
          <cell r="F633">
            <v>2103750</v>
          </cell>
          <cell r="G633" t="str">
            <v>LNH0925ND14</v>
          </cell>
        </row>
        <row r="634">
          <cell r="B634" t="str">
            <v>25802800014</v>
          </cell>
          <cell r="C634" t="str">
            <v>Bùi Võ Thiên</v>
          </cell>
          <cell r="D634" t="str">
            <v>Ân</v>
          </cell>
          <cell r="E634">
            <v>4465000</v>
          </cell>
          <cell r="F634">
            <v>2232500</v>
          </cell>
          <cell r="G634" t="str">
            <v>LNH0925ND14</v>
          </cell>
          <cell r="J634">
            <v>2232500</v>
          </cell>
          <cell r="K634" t="str">
            <v>LNH1125NE15</v>
          </cell>
        </row>
        <row r="635">
          <cell r="B635" t="str">
            <v>25807700083</v>
          </cell>
          <cell r="C635" t="str">
            <v>Bùi Xuân</v>
          </cell>
          <cell r="D635" t="str">
            <v>Vĩnh</v>
          </cell>
          <cell r="E635">
            <v>4465000</v>
          </cell>
          <cell r="F635">
            <v>2232500</v>
          </cell>
          <cell r="G635" t="str">
            <v>LNH0925ND14</v>
          </cell>
          <cell r="J635">
            <v>2232500</v>
          </cell>
          <cell r="K635" t="str">
            <v>LNH1125NE11</v>
          </cell>
        </row>
        <row r="636">
          <cell r="B636" t="str">
            <v>25808600127</v>
          </cell>
          <cell r="C636" t="str">
            <v>Nguyễn Trung</v>
          </cell>
          <cell r="D636" t="str">
            <v>Tín</v>
          </cell>
          <cell r="E636">
            <v>5000000</v>
          </cell>
          <cell r="F636">
            <v>2232500</v>
          </cell>
          <cell r="G636" t="str">
            <v>LNH0925ND15</v>
          </cell>
          <cell r="J636">
            <v>2232500</v>
          </cell>
          <cell r="K636" t="str">
            <v>LNH1125NE11</v>
          </cell>
        </row>
        <row r="637">
          <cell r="B637" t="str">
            <v>25802700181</v>
          </cell>
          <cell r="C637" t="str">
            <v>Nguyễn Khắc</v>
          </cell>
          <cell r="D637" t="str">
            <v>Úc</v>
          </cell>
          <cell r="E637">
            <v>4465000</v>
          </cell>
          <cell r="F637">
            <v>2232500</v>
          </cell>
          <cell r="G637" t="str">
            <v>LNH0925ND15</v>
          </cell>
          <cell r="J637">
            <v>2232500</v>
          </cell>
          <cell r="K637" t="str">
            <v>LNH1125NE19</v>
          </cell>
        </row>
        <row r="638">
          <cell r="B638" t="str">
            <v>25800400012</v>
          </cell>
          <cell r="C638" t="str">
            <v>Nguyễn Gia</v>
          </cell>
          <cell r="D638" t="str">
            <v>Bảo</v>
          </cell>
          <cell r="E638">
            <v>4465000</v>
          </cell>
          <cell r="F638">
            <v>2232500</v>
          </cell>
          <cell r="G638" t="str">
            <v>LNH0925ND15</v>
          </cell>
          <cell r="J638">
            <v>2232500</v>
          </cell>
          <cell r="K638" t="str">
            <v>LNH1125NE13</v>
          </cell>
        </row>
        <row r="639">
          <cell r="B639" t="str">
            <v>25805900032</v>
          </cell>
          <cell r="C639" t="str">
            <v>Nguyễn Lê</v>
          </cell>
          <cell r="D639" t="str">
            <v>Phát</v>
          </cell>
          <cell r="E639">
            <v>4465000</v>
          </cell>
          <cell r="F639">
            <v>2232500</v>
          </cell>
          <cell r="G639" t="str">
            <v>LNH0925ND15</v>
          </cell>
          <cell r="J639">
            <v>2232500</v>
          </cell>
          <cell r="K639" t="str">
            <v>LNH1125NE16</v>
          </cell>
        </row>
        <row r="640">
          <cell r="B640" t="str">
            <v>25807000019</v>
          </cell>
          <cell r="C640" t="str">
            <v>Văn Thành</v>
          </cell>
          <cell r="D640" t="str">
            <v>Nhựt</v>
          </cell>
          <cell r="E640">
            <v>2100000</v>
          </cell>
          <cell r="F640">
            <v>2100000</v>
          </cell>
          <cell r="G640" t="str">
            <v>LNH0925ND15</v>
          </cell>
        </row>
        <row r="641">
          <cell r="B641" t="str">
            <v>25808900246</v>
          </cell>
          <cell r="C641" t="str">
            <v>Trần Thanh</v>
          </cell>
          <cell r="D641" t="str">
            <v>An</v>
          </cell>
          <cell r="E641">
            <v>2100000</v>
          </cell>
          <cell r="F641">
            <v>2100000</v>
          </cell>
          <cell r="G641" t="str">
            <v>LNH0925ND15</v>
          </cell>
        </row>
        <row r="642">
          <cell r="B642" t="str">
            <v>25805900021</v>
          </cell>
          <cell r="C642" t="str">
            <v>Nguyễn Thị Xuân</v>
          </cell>
          <cell r="D642" t="str">
            <v>Mai</v>
          </cell>
          <cell r="E642">
            <v>8415000</v>
          </cell>
          <cell r="F642">
            <v>2103750</v>
          </cell>
          <cell r="G642" t="str">
            <v>LNH0925ND16</v>
          </cell>
        </row>
        <row r="643">
          <cell r="B643" t="str">
            <v>25808600269</v>
          </cell>
          <cell r="C643" t="str">
            <v>Trần Nguyễn Thái</v>
          </cell>
          <cell r="D643" t="str">
            <v>Linh</v>
          </cell>
          <cell r="E643">
            <v>8415000</v>
          </cell>
          <cell r="F643">
            <v>2103750</v>
          </cell>
          <cell r="G643" t="str">
            <v>LNH0925ND16</v>
          </cell>
        </row>
        <row r="644">
          <cell r="B644" t="str">
            <v>25801400076</v>
          </cell>
          <cell r="C644" t="str">
            <v>Lâm Kiến</v>
          </cell>
          <cell r="D644" t="str">
            <v>Hào</v>
          </cell>
          <cell r="E644">
            <v>4465000</v>
          </cell>
          <cell r="F644">
            <v>2232500</v>
          </cell>
          <cell r="G644" t="str">
            <v>LNH0925ND16</v>
          </cell>
          <cell r="J644">
            <v>2232500</v>
          </cell>
          <cell r="K644" t="str">
            <v>LNH1125NE09</v>
          </cell>
        </row>
        <row r="645">
          <cell r="B645" t="str">
            <v>25808600067</v>
          </cell>
          <cell r="C645" t="str">
            <v>Võ Lê Thảo</v>
          </cell>
          <cell r="D645" t="str">
            <v>My</v>
          </cell>
          <cell r="E645">
            <v>4465000</v>
          </cell>
          <cell r="F645">
            <v>2232500</v>
          </cell>
          <cell r="G645" t="str">
            <v>LNH0925ND16</v>
          </cell>
          <cell r="J645">
            <v>2232500</v>
          </cell>
          <cell r="K645" t="str">
            <v>LNH1125NE10</v>
          </cell>
        </row>
        <row r="646">
          <cell r="B646" t="str">
            <v>25807700079</v>
          </cell>
          <cell r="C646" t="str">
            <v>Lê Thanh</v>
          </cell>
          <cell r="D646" t="str">
            <v>Tường</v>
          </cell>
          <cell r="E646">
            <v>2100000</v>
          </cell>
          <cell r="F646">
            <v>2100000</v>
          </cell>
          <cell r="G646" t="str">
            <v>LNH0925ND16</v>
          </cell>
        </row>
        <row r="647">
          <cell r="B647" t="str">
            <v>25807800024</v>
          </cell>
          <cell r="C647" t="str">
            <v>Hồ Minh</v>
          </cell>
          <cell r="D647" t="str">
            <v>Duy</v>
          </cell>
          <cell r="E647">
            <v>2100000</v>
          </cell>
          <cell r="F647">
            <v>2100000</v>
          </cell>
          <cell r="G647" t="str">
            <v>LNH0925ND16</v>
          </cell>
        </row>
        <row r="648">
          <cell r="B648" t="str">
            <v>25801600178</v>
          </cell>
          <cell r="C648" t="str">
            <v>Lê Ngọc Thảo</v>
          </cell>
          <cell r="D648" t="str">
            <v>Vy</v>
          </cell>
          <cell r="E648">
            <v>4700000</v>
          </cell>
          <cell r="F648">
            <v>2100000</v>
          </cell>
          <cell r="G648" t="str">
            <v>LNH0925ND16</v>
          </cell>
        </row>
        <row r="649">
          <cell r="B649" t="str">
            <v>25801300045</v>
          </cell>
          <cell r="C649" t="str">
            <v>Võ Quốc</v>
          </cell>
          <cell r="D649" t="str">
            <v>Vinh</v>
          </cell>
          <cell r="E649">
            <v>8415000</v>
          </cell>
          <cell r="F649">
            <v>2103750</v>
          </cell>
          <cell r="G649" t="str">
            <v>LNH0925ND17</v>
          </cell>
          <cell r="J649">
            <v>2103750</v>
          </cell>
          <cell r="K649" t="str">
            <v>LNH1125NE29</v>
          </cell>
        </row>
        <row r="650">
          <cell r="B650" t="str">
            <v>25802600218</v>
          </cell>
          <cell r="C650" t="str">
            <v>Nguyễn Thị Vân</v>
          </cell>
          <cell r="D650" t="str">
            <v>Anh</v>
          </cell>
          <cell r="E650">
            <v>4465000</v>
          </cell>
          <cell r="F650">
            <v>2232500</v>
          </cell>
          <cell r="G650" t="str">
            <v>LNH0925ND17</v>
          </cell>
          <cell r="J650">
            <v>2232500</v>
          </cell>
          <cell r="K650" t="str">
            <v>LNH1125NE10</v>
          </cell>
        </row>
        <row r="651">
          <cell r="B651" t="str">
            <v>25805900060</v>
          </cell>
          <cell r="C651" t="str">
            <v>Nguyễn Cửu Minh</v>
          </cell>
          <cell r="D651" t="str">
            <v>Trí</v>
          </cell>
          <cell r="E651">
            <v>4465000</v>
          </cell>
          <cell r="F651">
            <v>2232500</v>
          </cell>
          <cell r="G651" t="str">
            <v>LNH0925ND17</v>
          </cell>
          <cell r="J651">
            <v>2232500</v>
          </cell>
          <cell r="K651" t="str">
            <v>LNH1125NE15</v>
          </cell>
        </row>
        <row r="652">
          <cell r="B652" t="str">
            <v>25806000044</v>
          </cell>
          <cell r="C652" t="str">
            <v>Mai Lan</v>
          </cell>
          <cell r="D652" t="str">
            <v>Vy</v>
          </cell>
          <cell r="E652">
            <v>4465000</v>
          </cell>
          <cell r="F652">
            <v>2232500</v>
          </cell>
          <cell r="G652" t="str">
            <v>LNH0925ND17</v>
          </cell>
          <cell r="J652">
            <v>2232500</v>
          </cell>
          <cell r="K652" t="str">
            <v>LNH1125NE14</v>
          </cell>
        </row>
        <row r="653">
          <cell r="B653" t="str">
            <v>25806000115</v>
          </cell>
          <cell r="C653" t="str">
            <v>Phạm Quang</v>
          </cell>
          <cell r="D653" t="str">
            <v>Huy</v>
          </cell>
          <cell r="E653">
            <v>4465000</v>
          </cell>
          <cell r="F653">
            <v>2232500</v>
          </cell>
          <cell r="G653" t="str">
            <v>LNH0925ND17</v>
          </cell>
          <cell r="J653">
            <v>2232500</v>
          </cell>
          <cell r="K653" t="str">
            <v>LNH1125NE05</v>
          </cell>
        </row>
        <row r="654">
          <cell r="B654" t="str">
            <v>25806100240</v>
          </cell>
          <cell r="C654" t="str">
            <v>Bùi Thị Nguyệt</v>
          </cell>
          <cell r="D654" t="str">
            <v>Hằng</v>
          </cell>
          <cell r="E654">
            <v>4465000</v>
          </cell>
          <cell r="F654">
            <v>2232500</v>
          </cell>
          <cell r="G654" t="str">
            <v>LNH0925ND17</v>
          </cell>
          <cell r="J654">
            <v>2232500</v>
          </cell>
          <cell r="K654" t="str">
            <v>LNH1125NE06</v>
          </cell>
        </row>
        <row r="655">
          <cell r="B655" t="str">
            <v>25808600240</v>
          </cell>
          <cell r="C655" t="str">
            <v>Nguyễn Hàn Mỹ</v>
          </cell>
          <cell r="D655" t="str">
            <v>Dung</v>
          </cell>
          <cell r="E655">
            <v>4465000</v>
          </cell>
          <cell r="F655">
            <v>2232500</v>
          </cell>
          <cell r="G655" t="str">
            <v>LNH0925ND17</v>
          </cell>
          <cell r="J655">
            <v>2232500</v>
          </cell>
          <cell r="K655" t="str">
            <v>LNH1125NE14</v>
          </cell>
        </row>
        <row r="656">
          <cell r="B656" t="str">
            <v>25806800097</v>
          </cell>
          <cell r="C656" t="str">
            <v>Hồ Nguyễn Hải</v>
          </cell>
          <cell r="D656" t="str">
            <v>Anh</v>
          </cell>
          <cell r="E656">
            <v>2100000</v>
          </cell>
          <cell r="F656">
            <v>2100000</v>
          </cell>
          <cell r="G656" t="str">
            <v>LNH0925ND17</v>
          </cell>
        </row>
        <row r="657">
          <cell r="B657" t="str">
            <v>25820100031</v>
          </cell>
          <cell r="C657" t="str">
            <v>Đặng Trần Hải</v>
          </cell>
          <cell r="D657" t="str">
            <v>Nam</v>
          </cell>
          <cell r="E657">
            <v>8415000</v>
          </cell>
          <cell r="F657">
            <v>2103750</v>
          </cell>
          <cell r="G657" t="str">
            <v>LNH0925ND18</v>
          </cell>
        </row>
        <row r="658">
          <cell r="B658" t="str">
            <v>25820200041</v>
          </cell>
          <cell r="C658" t="str">
            <v>Tsìn Huỳnh Phúc</v>
          </cell>
          <cell r="D658" t="str">
            <v>Nguyên</v>
          </cell>
          <cell r="E658">
            <v>8415000</v>
          </cell>
          <cell r="F658">
            <v>2103750</v>
          </cell>
          <cell r="G658" t="str">
            <v>LNH0925ND18</v>
          </cell>
        </row>
        <row r="659">
          <cell r="B659" t="str">
            <v>25820200119</v>
          </cell>
          <cell r="C659" t="str">
            <v>Nguyễn Minh</v>
          </cell>
          <cell r="D659" t="str">
            <v>Hiếu</v>
          </cell>
          <cell r="E659">
            <v>5000000</v>
          </cell>
          <cell r="F659">
            <v>2232500</v>
          </cell>
          <cell r="G659" t="str">
            <v>LNH0925ND18</v>
          </cell>
          <cell r="J659">
            <v>2232500</v>
          </cell>
          <cell r="K659" t="str">
            <v>LNH1125NE16</v>
          </cell>
        </row>
        <row r="660">
          <cell r="B660" t="str">
            <v>25807500126</v>
          </cell>
          <cell r="C660" t="str">
            <v>Phan Ngọc Anh</v>
          </cell>
          <cell r="D660" t="str">
            <v>Thư</v>
          </cell>
          <cell r="E660">
            <v>4465000</v>
          </cell>
          <cell r="F660">
            <v>2232500</v>
          </cell>
          <cell r="G660" t="str">
            <v>LNH0925ND18</v>
          </cell>
          <cell r="J660">
            <v>2232500</v>
          </cell>
          <cell r="K660" t="str">
            <v>LNH1125NE18</v>
          </cell>
        </row>
        <row r="661">
          <cell r="B661" t="str">
            <v>25800400256</v>
          </cell>
          <cell r="C661" t="str">
            <v>Trương Hồng</v>
          </cell>
          <cell r="D661" t="str">
            <v>Khãi</v>
          </cell>
          <cell r="E661">
            <v>2100000</v>
          </cell>
          <cell r="F661">
            <v>2100000</v>
          </cell>
          <cell r="G661" t="str">
            <v>LNH0925ND18</v>
          </cell>
        </row>
        <row r="662">
          <cell r="B662" t="str">
            <v>25807500073</v>
          </cell>
          <cell r="C662" t="str">
            <v>Bùi Nguyễn Triệu</v>
          </cell>
          <cell r="D662" t="str">
            <v>Nam</v>
          </cell>
          <cell r="E662">
            <v>8415000</v>
          </cell>
          <cell r="F662">
            <v>2103750</v>
          </cell>
          <cell r="G662" t="str">
            <v>LNH0925ND19</v>
          </cell>
          <cell r="K662" t="str">
            <v>LNH1125NE17</v>
          </cell>
        </row>
        <row r="663">
          <cell r="B663" t="str">
            <v>25806300003</v>
          </cell>
          <cell r="C663" t="str">
            <v>Mai Khánh</v>
          </cell>
          <cell r="D663" t="str">
            <v>Duy</v>
          </cell>
          <cell r="E663">
            <v>5000000</v>
          </cell>
          <cell r="F663">
            <v>2232500</v>
          </cell>
          <cell r="G663" t="str">
            <v>LNH0925ND19</v>
          </cell>
          <cell r="J663">
            <v>2232500</v>
          </cell>
          <cell r="K663" t="str">
            <v>LNH1125NE17</v>
          </cell>
        </row>
        <row r="664">
          <cell r="B664" t="str">
            <v>25800500253</v>
          </cell>
          <cell r="C664" t="str">
            <v>Hà Hữu</v>
          </cell>
          <cell r="D664" t="str">
            <v>Minh</v>
          </cell>
          <cell r="E664">
            <v>4465000</v>
          </cell>
          <cell r="F664">
            <v>2232500</v>
          </cell>
          <cell r="G664" t="str">
            <v>LNH0925ND19</v>
          </cell>
          <cell r="J664">
            <v>2232500</v>
          </cell>
          <cell r="K664" t="str">
            <v>LNH1125NE31</v>
          </cell>
        </row>
        <row r="665">
          <cell r="B665" t="str">
            <v>25801100105</v>
          </cell>
          <cell r="C665" t="str">
            <v>Võ Anh</v>
          </cell>
          <cell r="D665" t="str">
            <v>Tuấn</v>
          </cell>
          <cell r="E665">
            <v>4465000</v>
          </cell>
          <cell r="F665">
            <v>2232500</v>
          </cell>
          <cell r="G665" t="str">
            <v>LNH0925ND19</v>
          </cell>
          <cell r="J665">
            <v>2232500</v>
          </cell>
          <cell r="K665" t="str">
            <v>LNH1125NE18</v>
          </cell>
        </row>
        <row r="666">
          <cell r="B666" t="str">
            <v>25800600007</v>
          </cell>
          <cell r="C666" t="str">
            <v>Phạm Thái</v>
          </cell>
          <cell r="D666" t="str">
            <v>An</v>
          </cell>
          <cell r="E666">
            <v>2600000</v>
          </cell>
          <cell r="N666">
            <v>2600000</v>
          </cell>
          <cell r="O666" t="str">
            <v>LNH0326NG26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TOEIC 01.26"/>
    </sheetNames>
    <sheetDataSet>
      <sheetData sheetId="0">
        <row r="3">
          <cell r="A3" t="str">
            <v>25807800108</v>
          </cell>
          <cell r="B3" t="str">
            <v>Huỳnh Hữu</v>
          </cell>
          <cell r="C3" t="str">
            <v>Phúc</v>
          </cell>
          <cell r="D3">
            <v>1530000</v>
          </cell>
          <cell r="E3" t="str">
            <v>LNH0126NP01</v>
          </cell>
        </row>
        <row r="4">
          <cell r="A4" t="str">
            <v>25808900231</v>
          </cell>
          <cell r="B4" t="str">
            <v>Vũ Trung</v>
          </cell>
          <cell r="C4" t="str">
            <v>Nguyên</v>
          </cell>
          <cell r="D4">
            <v>1530000</v>
          </cell>
          <cell r="E4" t="str">
            <v>LNH0126NP01</v>
          </cell>
        </row>
        <row r="5">
          <cell r="A5" t="str">
            <v>25802600143</v>
          </cell>
          <cell r="B5" t="str">
            <v>Phạm Thị Hải</v>
          </cell>
          <cell r="C5" t="str">
            <v>Yến</v>
          </cell>
          <cell r="D5">
            <v>1530000</v>
          </cell>
          <cell r="E5" t="str">
            <v>LNH0126NP01</v>
          </cell>
        </row>
        <row r="6">
          <cell r="A6" t="str">
            <v>25802800108</v>
          </cell>
          <cell r="B6" t="str">
            <v>Võ Trần Bảo</v>
          </cell>
          <cell r="C6" t="str">
            <v>Khang</v>
          </cell>
          <cell r="D6">
            <v>1530000</v>
          </cell>
          <cell r="E6" t="str">
            <v>LNH0126NP01</v>
          </cell>
        </row>
        <row r="7">
          <cell r="A7" t="str">
            <v>25807600154</v>
          </cell>
          <cell r="B7" t="str">
            <v>Thạch Thị Huỳnh</v>
          </cell>
          <cell r="C7" t="str">
            <v>Như</v>
          </cell>
          <cell r="D7">
            <v>1530000</v>
          </cell>
          <cell r="E7" t="str">
            <v>LNH0126NP01</v>
          </cell>
        </row>
        <row r="8">
          <cell r="A8" t="str">
            <v>25801700104</v>
          </cell>
          <cell r="B8" t="str">
            <v>Nguyễn Thanh</v>
          </cell>
          <cell r="C8" t="str">
            <v>Duy</v>
          </cell>
          <cell r="D8">
            <v>1530000</v>
          </cell>
          <cell r="E8" t="str">
            <v>LNH0126NP01</v>
          </cell>
        </row>
        <row r="9">
          <cell r="A9" t="str">
            <v>25820600001</v>
          </cell>
          <cell r="B9" t="str">
            <v>Lưu Hồng</v>
          </cell>
          <cell r="C9" t="str">
            <v>Anh</v>
          </cell>
          <cell r="D9">
            <v>1530000</v>
          </cell>
          <cell r="E9" t="str">
            <v>LNH0126NP01</v>
          </cell>
        </row>
        <row r="10">
          <cell r="A10" t="str">
            <v>25808700134</v>
          </cell>
          <cell r="B10" t="str">
            <v>Đỗ Gia</v>
          </cell>
          <cell r="C10" t="str">
            <v>Huy</v>
          </cell>
          <cell r="D10">
            <v>1530000</v>
          </cell>
          <cell r="E10" t="str">
            <v>LNH0126NP01</v>
          </cell>
        </row>
        <row r="11">
          <cell r="A11" t="str">
            <v>25807800065</v>
          </cell>
          <cell r="B11" t="str">
            <v>Trần Võ Minh</v>
          </cell>
          <cell r="C11" t="str">
            <v>Khoa</v>
          </cell>
          <cell r="D11">
            <v>1530000</v>
          </cell>
          <cell r="E11" t="str">
            <v>LNH0126NP01</v>
          </cell>
        </row>
        <row r="12">
          <cell r="A12" t="str">
            <v>25800400268</v>
          </cell>
          <cell r="B12" t="str">
            <v>Nguyễn Hoàng Đăng</v>
          </cell>
          <cell r="C12" t="str">
            <v>Khoa</v>
          </cell>
          <cell r="D12">
            <v>1530000</v>
          </cell>
          <cell r="E12" t="str">
            <v>LNH0126NP01</v>
          </cell>
        </row>
        <row r="13">
          <cell r="A13" t="str">
            <v>25805900027</v>
          </cell>
          <cell r="B13" t="str">
            <v>Trần Thị Ngọc</v>
          </cell>
          <cell r="C13" t="str">
            <v>Nhi</v>
          </cell>
          <cell r="D13">
            <v>1530000</v>
          </cell>
          <cell r="E13" t="str">
            <v>LNH0126NP01</v>
          </cell>
        </row>
        <row r="14">
          <cell r="A14" t="str">
            <v>25802800098</v>
          </cell>
          <cell r="B14" t="str">
            <v>Nguyễn Lệ</v>
          </cell>
          <cell r="C14" t="str">
            <v>Hương</v>
          </cell>
          <cell r="D14">
            <v>1530000</v>
          </cell>
          <cell r="E14" t="str">
            <v>LNH0126NP01</v>
          </cell>
        </row>
        <row r="15">
          <cell r="A15" t="str">
            <v>25807800048</v>
          </cell>
          <cell r="B15" t="str">
            <v>Lê Hải Huy</v>
          </cell>
          <cell r="C15" t="str">
            <v>Hoàng</v>
          </cell>
          <cell r="D15">
            <v>1530000</v>
          </cell>
          <cell r="E15" t="str">
            <v>LNH0126NP01</v>
          </cell>
        </row>
        <row r="16">
          <cell r="A16" t="str">
            <v>25802100002</v>
          </cell>
          <cell r="B16" t="str">
            <v>Nguyễn Hoàng</v>
          </cell>
          <cell r="C16" t="str">
            <v>Anh</v>
          </cell>
          <cell r="D16">
            <v>1530000</v>
          </cell>
          <cell r="E16" t="str">
            <v>LNH0126NP01</v>
          </cell>
        </row>
        <row r="17">
          <cell r="A17" t="str">
            <v>25803800012</v>
          </cell>
          <cell r="B17" t="str">
            <v>Lê Thanh</v>
          </cell>
          <cell r="C17" t="str">
            <v>Đạt</v>
          </cell>
          <cell r="D17">
            <v>1900000</v>
          </cell>
          <cell r="E17" t="str">
            <v>LNH0126NP01</v>
          </cell>
        </row>
        <row r="18">
          <cell r="A18" t="str">
            <v>25800400009</v>
          </cell>
          <cell r="B18" t="str">
            <v>Lê Khắc</v>
          </cell>
          <cell r="C18" t="str">
            <v>Bảo</v>
          </cell>
          <cell r="D18">
            <v>1530000</v>
          </cell>
          <cell r="E18" t="str">
            <v>LNH0126NP02</v>
          </cell>
        </row>
        <row r="19">
          <cell r="A19" t="str">
            <v>25806600141</v>
          </cell>
          <cell r="B19" t="str">
            <v>Trần Thị Mẫn</v>
          </cell>
          <cell r="C19" t="str">
            <v>Nghi</v>
          </cell>
          <cell r="D19">
            <v>1530000</v>
          </cell>
          <cell r="E19" t="str">
            <v>LNH0126NP02</v>
          </cell>
        </row>
        <row r="20">
          <cell r="A20" t="str">
            <v>25802600075</v>
          </cell>
          <cell r="B20" t="str">
            <v>Huỳnh Thanh Mai</v>
          </cell>
          <cell r="C20" t="str">
            <v>Ly</v>
          </cell>
          <cell r="D20">
            <v>1530000</v>
          </cell>
          <cell r="E20" t="str">
            <v>LNH0126NP02</v>
          </cell>
        </row>
        <row r="21">
          <cell r="A21" t="str">
            <v>25803000213</v>
          </cell>
          <cell r="B21" t="str">
            <v>Vương Quốc</v>
          </cell>
          <cell r="C21" t="str">
            <v>Huy</v>
          </cell>
          <cell r="D21">
            <v>1530000</v>
          </cell>
          <cell r="E21" t="str">
            <v>LNH0126NP02</v>
          </cell>
        </row>
        <row r="22">
          <cell r="A22" t="str">
            <v>25808100040</v>
          </cell>
          <cell r="B22" t="str">
            <v>Nguyễn Hoàng Trí</v>
          </cell>
          <cell r="C22" t="str">
            <v>Nhân</v>
          </cell>
          <cell r="D22">
            <v>1530000</v>
          </cell>
          <cell r="E22" t="str">
            <v>LNH0126NP02</v>
          </cell>
        </row>
        <row r="23">
          <cell r="A23" t="str">
            <v>25808800045</v>
          </cell>
          <cell r="B23" t="str">
            <v>Phạm Thị Mỹ</v>
          </cell>
          <cell r="C23" t="str">
            <v>Lệ</v>
          </cell>
          <cell r="D23">
            <v>1530000</v>
          </cell>
          <cell r="E23" t="str">
            <v>LNH0126NP02</v>
          </cell>
        </row>
        <row r="24">
          <cell r="A24" t="str">
            <v>25800400173</v>
          </cell>
          <cell r="B24" t="str">
            <v>Nguyễn Hoàng</v>
          </cell>
          <cell r="C24" t="str">
            <v>Vĩ</v>
          </cell>
          <cell r="D24">
            <v>1530000</v>
          </cell>
          <cell r="E24" t="str">
            <v>LNH0126NP02</v>
          </cell>
        </row>
        <row r="25">
          <cell r="A25" t="str">
            <v>25808700184</v>
          </cell>
          <cell r="B25" t="str">
            <v>Nguyễn Ngọc Thảo</v>
          </cell>
          <cell r="C25" t="str">
            <v>Ngân</v>
          </cell>
          <cell r="D25">
            <v>1530000</v>
          </cell>
          <cell r="E25" t="str">
            <v>LNH0126NP02</v>
          </cell>
        </row>
        <row r="26">
          <cell r="A26" t="str">
            <v>25820200047</v>
          </cell>
          <cell r="B26" t="str">
            <v>Nguyễn Đại</v>
          </cell>
          <cell r="C26" t="str">
            <v>Phú</v>
          </cell>
          <cell r="D26">
            <v>1530000</v>
          </cell>
          <cell r="E26" t="str">
            <v>LNH0126NP02</v>
          </cell>
        </row>
        <row r="27">
          <cell r="A27" t="str">
            <v>25800500276</v>
          </cell>
          <cell r="B27" t="str">
            <v>Nguyễn Trọng</v>
          </cell>
          <cell r="C27" t="str">
            <v>Hảo</v>
          </cell>
          <cell r="D27">
            <v>1530000</v>
          </cell>
          <cell r="E27" t="str">
            <v>LNH0126NP02</v>
          </cell>
        </row>
        <row r="28">
          <cell r="A28" t="str">
            <v>25808600073</v>
          </cell>
          <cell r="B28" t="str">
            <v>Huỳnh Thị Hồng</v>
          </cell>
          <cell r="C28" t="str">
            <v>Ngọc</v>
          </cell>
          <cell r="D28">
            <v>1530000</v>
          </cell>
          <cell r="E28" t="str">
            <v>LNH0126NP02</v>
          </cell>
        </row>
        <row r="29">
          <cell r="A29" t="str">
            <v>25800500124</v>
          </cell>
          <cell r="B29" t="str">
            <v>Trần Công Vĩnh</v>
          </cell>
          <cell r="C29" t="str">
            <v>Nguyên</v>
          </cell>
          <cell r="D29">
            <v>1530000</v>
          </cell>
          <cell r="E29" t="str">
            <v>LNH0126NP02</v>
          </cell>
        </row>
        <row r="30">
          <cell r="A30" t="str">
            <v>25807800066</v>
          </cell>
          <cell r="B30" t="str">
            <v>Đinh Duy Anh</v>
          </cell>
          <cell r="C30" t="str">
            <v>Khôi</v>
          </cell>
          <cell r="D30">
            <v>1530000</v>
          </cell>
          <cell r="E30" t="str">
            <v>LNH0126NP02</v>
          </cell>
        </row>
        <row r="31">
          <cell r="A31" t="str">
            <v>25808200042</v>
          </cell>
          <cell r="B31" t="str">
            <v>Nguyễn Phi</v>
          </cell>
          <cell r="C31" t="str">
            <v>Hiệp</v>
          </cell>
          <cell r="D31">
            <v>1530000</v>
          </cell>
          <cell r="E31" t="str">
            <v>LNH0126NP02</v>
          </cell>
        </row>
        <row r="32">
          <cell r="A32" t="str">
            <v>25820200020</v>
          </cell>
          <cell r="B32" t="str">
            <v>Nguyễn Nhật</v>
          </cell>
          <cell r="C32" t="str">
            <v>Hào</v>
          </cell>
          <cell r="D32">
            <v>1530000</v>
          </cell>
          <cell r="E32" t="str">
            <v>LNH0126NP02</v>
          </cell>
        </row>
        <row r="33">
          <cell r="A33" t="str">
            <v>2280600597</v>
          </cell>
          <cell r="B33" t="str">
            <v xml:space="preserve">Ngô Nguyễn Tiến </v>
          </cell>
          <cell r="C33" t="str">
            <v>Đạt</v>
          </cell>
          <cell r="D33">
            <v>2000000</v>
          </cell>
          <cell r="E33" t="str">
            <v>LNH0126NP02</v>
          </cell>
        </row>
      </sheetData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sheetDataSet>
      <sheetData sheetId="0">
        <row r="3">
          <cell r="A3" t="str">
            <v>25802800047</v>
          </cell>
          <cell r="B3" t="str">
            <v>Nguyễn Hải</v>
          </cell>
          <cell r="C3" t="str">
            <v>Đăng</v>
          </cell>
          <cell r="D3">
            <v>2103750</v>
          </cell>
          <cell r="E3" t="str">
            <v>LNH1025ND01</v>
          </cell>
        </row>
        <row r="4">
          <cell r="A4" t="str">
            <v>25801700057</v>
          </cell>
          <cell r="B4" t="str">
            <v>Nguyễn Thị Thủy</v>
          </cell>
          <cell r="C4" t="str">
            <v>Tiên</v>
          </cell>
          <cell r="D4">
            <v>2103750</v>
          </cell>
          <cell r="E4" t="str">
            <v>LNH1025ND01</v>
          </cell>
        </row>
        <row r="5">
          <cell r="A5" t="str">
            <v>25801800005</v>
          </cell>
          <cell r="B5" t="str">
            <v>Phạm Mỹ Lan</v>
          </cell>
          <cell r="C5" t="str">
            <v>Anh</v>
          </cell>
          <cell r="D5">
            <v>2103750</v>
          </cell>
          <cell r="E5" t="str">
            <v>LNH1025ND01</v>
          </cell>
        </row>
        <row r="6">
          <cell r="A6" t="str">
            <v>25802400028</v>
          </cell>
          <cell r="B6" t="str">
            <v>Nguyễn Thị Xuân</v>
          </cell>
          <cell r="C6" t="str">
            <v>Thảo</v>
          </cell>
          <cell r="D6">
            <v>2103750</v>
          </cell>
          <cell r="E6" t="str">
            <v>LNH1025ND01</v>
          </cell>
        </row>
        <row r="7">
          <cell r="A7" t="str">
            <v>25802800205</v>
          </cell>
          <cell r="B7" t="str">
            <v>Phùng Thế</v>
          </cell>
          <cell r="C7" t="str">
            <v>Phong</v>
          </cell>
          <cell r="D7">
            <v>2103750</v>
          </cell>
          <cell r="E7" t="str">
            <v>LNH1025ND01</v>
          </cell>
        </row>
        <row r="8">
          <cell r="A8" t="str">
            <v>25802800402</v>
          </cell>
          <cell r="B8" t="str">
            <v>Nguyễn Tuấn</v>
          </cell>
          <cell r="C8" t="str">
            <v>Anh</v>
          </cell>
          <cell r="D8">
            <v>2103750</v>
          </cell>
          <cell r="E8" t="str">
            <v>LNH1025ND01</v>
          </cell>
        </row>
        <row r="9">
          <cell r="A9" t="str">
            <v>25805900008</v>
          </cell>
          <cell r="B9" t="str">
            <v>Huỳnh Tấn</v>
          </cell>
          <cell r="C9" t="str">
            <v>Dũng</v>
          </cell>
          <cell r="D9">
            <v>2103750</v>
          </cell>
          <cell r="E9" t="str">
            <v>LNH1025ND01</v>
          </cell>
        </row>
        <row r="10">
          <cell r="A10" t="str">
            <v>25806000004</v>
          </cell>
          <cell r="B10" t="str">
            <v>Huỳnh Long</v>
          </cell>
          <cell r="C10" t="str">
            <v>Chương</v>
          </cell>
          <cell r="D10">
            <v>2103750</v>
          </cell>
          <cell r="E10" t="str">
            <v>LNH1025ND01</v>
          </cell>
        </row>
        <row r="11">
          <cell r="A11" t="str">
            <v>25808600137</v>
          </cell>
          <cell r="B11" t="str">
            <v>Lương Thị Tuyết</v>
          </cell>
          <cell r="C11" t="str">
            <v>Trinh</v>
          </cell>
          <cell r="D11">
            <v>2103750</v>
          </cell>
          <cell r="E11" t="str">
            <v>LNH1025ND01</v>
          </cell>
        </row>
        <row r="12">
          <cell r="A12" t="str">
            <v>25800500093</v>
          </cell>
          <cell r="B12" t="str">
            <v>Nguyễn Trần Đăng</v>
          </cell>
          <cell r="C12" t="str">
            <v>Khoa</v>
          </cell>
          <cell r="D12">
            <v>2103750</v>
          </cell>
          <cell r="E12" t="str">
            <v>LNH1025ND01</v>
          </cell>
        </row>
        <row r="13">
          <cell r="A13" t="str">
            <v>25806000099</v>
          </cell>
          <cell r="B13" t="str">
            <v>Huỳnh Thị Nhã</v>
          </cell>
          <cell r="C13" t="str">
            <v>Phương</v>
          </cell>
          <cell r="D13">
            <v>2103750</v>
          </cell>
          <cell r="E13" t="str">
            <v>LNH1025ND01</v>
          </cell>
        </row>
        <row r="14">
          <cell r="A14" t="str">
            <v>25805900091</v>
          </cell>
          <cell r="B14" t="str">
            <v>Phạm Phương</v>
          </cell>
          <cell r="C14" t="str">
            <v>Uyên</v>
          </cell>
          <cell r="D14">
            <v>2232500</v>
          </cell>
          <cell r="E14" t="str">
            <v>LNH1025ND01</v>
          </cell>
        </row>
        <row r="15">
          <cell r="A15" t="str">
            <v>25809600056</v>
          </cell>
          <cell r="B15" t="str">
            <v>Nguyễn Minh</v>
          </cell>
          <cell r="C15" t="str">
            <v>Quân</v>
          </cell>
          <cell r="D15">
            <v>2232500</v>
          </cell>
          <cell r="E15" t="str">
            <v>LNH1025ND01</v>
          </cell>
        </row>
        <row r="16">
          <cell r="A16" t="str">
            <v>25801700022</v>
          </cell>
          <cell r="B16" t="str">
            <v>Phạm Hoàng</v>
          </cell>
          <cell r="C16" t="str">
            <v>Khang</v>
          </cell>
          <cell r="D16">
            <v>2100000</v>
          </cell>
          <cell r="E16" t="str">
            <v>LNH1025ND01</v>
          </cell>
        </row>
        <row r="17">
          <cell r="A17" t="str">
            <v>25806600042</v>
          </cell>
          <cell r="B17" t="str">
            <v>Nguyễn Hữu Hoàng</v>
          </cell>
          <cell r="C17" t="str">
            <v>Đạt</v>
          </cell>
          <cell r="D17">
            <v>2100000</v>
          </cell>
          <cell r="E17" t="str">
            <v>LNH1025ND01</v>
          </cell>
        </row>
        <row r="18">
          <cell r="A18" t="str">
            <v>25802800160</v>
          </cell>
          <cell r="B18" t="str">
            <v>Cao Nguyễn Yến</v>
          </cell>
          <cell r="C18" t="str">
            <v>Ngọc</v>
          </cell>
          <cell r="D18">
            <v>2103750</v>
          </cell>
          <cell r="E18" t="str">
            <v>LNH1025ND02</v>
          </cell>
        </row>
        <row r="19">
          <cell r="A19" t="str">
            <v>25806400012</v>
          </cell>
          <cell r="B19" t="str">
            <v>Nguyễn Hoàng</v>
          </cell>
          <cell r="C19" t="str">
            <v>Khôi</v>
          </cell>
          <cell r="D19">
            <v>2103750</v>
          </cell>
          <cell r="E19" t="str">
            <v>LNH1025ND02</v>
          </cell>
        </row>
        <row r="20">
          <cell r="A20" t="str">
            <v>25807800067</v>
          </cell>
          <cell r="B20" t="str">
            <v>Lê Trà Bảo</v>
          </cell>
          <cell r="C20" t="str">
            <v>Khôi</v>
          </cell>
          <cell r="D20">
            <v>2103750</v>
          </cell>
          <cell r="E20" t="str">
            <v>LNH1025ND02</v>
          </cell>
        </row>
        <row r="21">
          <cell r="A21" t="str">
            <v>25808100045</v>
          </cell>
          <cell r="B21" t="str">
            <v>Nguyễn Hoàng</v>
          </cell>
          <cell r="C21" t="str">
            <v>Quân</v>
          </cell>
          <cell r="D21">
            <v>2103750</v>
          </cell>
          <cell r="E21" t="str">
            <v>LNH1025ND02</v>
          </cell>
        </row>
        <row r="22">
          <cell r="A22" t="str">
            <v>25808700155</v>
          </cell>
          <cell r="B22" t="str">
            <v>Phạm Minh</v>
          </cell>
          <cell r="C22" t="str">
            <v>Quang</v>
          </cell>
          <cell r="D22">
            <v>2103750</v>
          </cell>
          <cell r="E22" t="str">
            <v>LNH1025ND02</v>
          </cell>
        </row>
        <row r="23">
          <cell r="A23" t="str">
            <v>25820200013</v>
          </cell>
          <cell r="B23" t="str">
            <v>Mã Lương Hải</v>
          </cell>
          <cell r="C23" t="str">
            <v>Đăng</v>
          </cell>
          <cell r="D23">
            <v>2103750</v>
          </cell>
          <cell r="E23" t="str">
            <v>LNH1025ND02</v>
          </cell>
        </row>
        <row r="24">
          <cell r="A24" t="str">
            <v>25820200064</v>
          </cell>
          <cell r="B24" t="str">
            <v>Ngô Mạnh</v>
          </cell>
          <cell r="C24" t="str">
            <v>Tuấn</v>
          </cell>
          <cell r="D24">
            <v>2103750</v>
          </cell>
          <cell r="E24" t="str">
            <v>LNH1025ND02</v>
          </cell>
        </row>
        <row r="25">
          <cell r="A25" t="str">
            <v>25820300049</v>
          </cell>
          <cell r="B25" t="str">
            <v>Đặng Nhân</v>
          </cell>
          <cell r="C25" t="str">
            <v>Quý</v>
          </cell>
          <cell r="D25">
            <v>2103750</v>
          </cell>
          <cell r="E25" t="str">
            <v>LNH1025ND02</v>
          </cell>
        </row>
        <row r="26">
          <cell r="A26" t="str">
            <v>25806300027</v>
          </cell>
          <cell r="B26" t="str">
            <v>Phạm Ngọc Phương</v>
          </cell>
          <cell r="C26" t="str">
            <v>Nam</v>
          </cell>
          <cell r="D26">
            <v>2103750</v>
          </cell>
          <cell r="E26" t="str">
            <v>LNH1025ND02</v>
          </cell>
        </row>
        <row r="27">
          <cell r="A27" t="str">
            <v>25801100080</v>
          </cell>
          <cell r="B27" t="str">
            <v>Trương Quang</v>
          </cell>
          <cell r="C27" t="str">
            <v>Vinh</v>
          </cell>
          <cell r="D27">
            <v>2232500</v>
          </cell>
          <cell r="E27" t="str">
            <v>LNH1025ND02</v>
          </cell>
        </row>
        <row r="28">
          <cell r="A28" t="str">
            <v>25807100002</v>
          </cell>
          <cell r="B28" t="str">
            <v>Lưu Nguyễn Hoàng</v>
          </cell>
          <cell r="C28" t="str">
            <v>Hà</v>
          </cell>
          <cell r="D28">
            <v>2232500</v>
          </cell>
          <cell r="E28" t="str">
            <v>LNH1025ND02</v>
          </cell>
        </row>
        <row r="29">
          <cell r="A29" t="str">
            <v>25807500153</v>
          </cell>
          <cell r="B29" t="str">
            <v>Bùi Anh</v>
          </cell>
          <cell r="C29" t="str">
            <v>Tú</v>
          </cell>
          <cell r="D29">
            <v>2232500</v>
          </cell>
          <cell r="E29" t="str">
            <v>LNH1025ND02</v>
          </cell>
        </row>
        <row r="30">
          <cell r="A30" t="str">
            <v>25806600120</v>
          </cell>
          <cell r="B30" t="str">
            <v>Nguyễn Hải</v>
          </cell>
          <cell r="C30" t="str">
            <v>Mạnh</v>
          </cell>
          <cell r="D30">
            <v>2100000</v>
          </cell>
          <cell r="E30" t="str">
            <v>LNH1025ND02</v>
          </cell>
        </row>
        <row r="31">
          <cell r="A31" t="str">
            <v>25808500496</v>
          </cell>
          <cell r="B31" t="str">
            <v>Nguyễn Minh</v>
          </cell>
          <cell r="C31" t="str">
            <v>Như</v>
          </cell>
          <cell r="D31">
            <v>2100000</v>
          </cell>
          <cell r="E31" t="str">
            <v>LNH1025ND02</v>
          </cell>
        </row>
        <row r="32">
          <cell r="A32" t="str">
            <v>25808900070</v>
          </cell>
          <cell r="B32" t="str">
            <v>Trần Khánh</v>
          </cell>
          <cell r="C32" t="str">
            <v>Linh</v>
          </cell>
          <cell r="D32">
            <v>2100000</v>
          </cell>
          <cell r="E32" t="str">
            <v>LNH1025ND02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17"/>
  <sheetViews>
    <sheetView tabSelected="1" topLeftCell="I1" zoomScale="170" workbookViewId="0">
      <selection activeCell="Q10" sqref="Q10"/>
    </sheetView>
  </sheetViews>
  <sheetFormatPr baseColWidth="8" defaultColWidth="8.85546875" defaultRowHeight="12.75"/>
  <cols>
    <col width="7.42578125" customWidth="1" style="65" min="1" max="1"/>
    <col width="13.28515625" customWidth="1" style="65" min="2" max="2"/>
    <col width="21.28515625" customWidth="1" style="65" min="3" max="3"/>
    <col width="10.42578125" customWidth="1" style="65" min="4" max="4"/>
    <col width="12.140625" customWidth="1" style="65" min="5" max="5"/>
    <col width="15.85546875" customWidth="1" style="65" min="6" max="6"/>
    <col width="15.85546875" customWidth="1" style="90" min="7" max="7"/>
    <col width="13.85546875" customWidth="1" style="65" min="8" max="8"/>
    <col width="8.85546875" customWidth="1" style="65" min="9" max="9"/>
    <col width="13.28515625" customWidth="1" style="65" min="10" max="10"/>
    <col width="11.7109375" customWidth="1" style="65" min="11" max="11"/>
    <col width="13" customWidth="1" style="65" min="12" max="12"/>
    <col width="11.7109375" customWidth="1" style="65" min="13" max="13"/>
    <col width="13.42578125" customWidth="1" style="65" min="14" max="14"/>
    <col width="11.7109375" customWidth="1" style="65" min="15" max="15"/>
    <col width="14.140625" customWidth="1" style="65" min="16" max="16"/>
    <col width="11.7109375" customWidth="1" style="65" min="17" max="18"/>
    <col width="12.28515625" customWidth="1" style="65" min="19" max="19"/>
    <col width="22.42578125" bestFit="1" customWidth="1" style="65" min="20" max="20"/>
    <col width="12.28515625" customWidth="1" style="65" min="21" max="21"/>
    <col width="12.28515625" customWidth="1" style="69" min="22" max="22"/>
    <col width="22.42578125" customWidth="1" style="65" min="23" max="23"/>
    <col width="14.42578125" customWidth="1" style="65" min="24" max="24"/>
    <col width="12.85546875" customWidth="1" style="65" min="25" max="25"/>
    <col width="11.85546875" bestFit="1" customWidth="1" style="65" min="26" max="26"/>
    <col width="8.85546875" customWidth="1" style="65" min="27" max="27"/>
    <col width="12" bestFit="1" customWidth="1" style="65" min="28" max="28"/>
    <col width="8.85546875" customWidth="1" style="65" min="29" max="16384"/>
  </cols>
  <sheetData>
    <row r="1">
      <c r="A1" s="45" t="inlineStr">
        <is>
          <t>LV1</t>
        </is>
      </c>
      <c r="B1" s="45" t="n">
        <v>2100000</v>
      </c>
      <c r="C1" s="45" t="n"/>
      <c r="D1" s="45" t="inlineStr">
        <is>
          <t>2 Khóa (1+2)</t>
        </is>
      </c>
      <c r="E1" s="91">
        <f>(B1+B2)*95%</f>
        <v/>
      </c>
      <c r="F1" s="92">
        <f>E1/2</f>
        <v/>
      </c>
      <c r="G1" s="92" t="inlineStr">
        <is>
          <t>GT1+TOEIC2+3+4</t>
        </is>
      </c>
      <c r="H1" s="65">
        <f>B1+B4+2*B5</f>
        <v/>
      </c>
      <c r="J1" s="65">
        <f>B4*2*95%+B5</f>
        <v/>
      </c>
      <c r="K1" s="65">
        <f>J1+B1</f>
        <v/>
      </c>
      <c r="L1" s="65">
        <f>K1-I1</f>
        <v/>
      </c>
      <c r="X1" s="90" t="n"/>
      <c r="Y1" s="90" t="n"/>
    </row>
    <row r="2">
      <c r="A2" s="45" t="inlineStr">
        <is>
          <t>LV2-3-4</t>
        </is>
      </c>
      <c r="B2" s="45" t="n">
        <v>2600000</v>
      </c>
      <c r="C2" s="45" t="n"/>
      <c r="D2" s="45" t="inlineStr">
        <is>
          <t>2 Khóa (3+4)</t>
        </is>
      </c>
      <c r="E2" s="91">
        <f>B2*2*95%</f>
        <v/>
      </c>
      <c r="F2" s="92">
        <f>E2/2</f>
        <v/>
      </c>
      <c r="G2" s="65" t="n"/>
      <c r="X2" s="90" t="n"/>
      <c r="Y2" s="90" t="n"/>
    </row>
    <row r="3">
      <c r="A3" s="50" t="inlineStr">
        <is>
          <t>AVGT</t>
        </is>
      </c>
      <c r="B3" s="45" t="n"/>
      <c r="C3" s="45" t="n"/>
      <c r="D3" s="45" t="inlineStr">
        <is>
          <t>4 Khóa</t>
        </is>
      </c>
      <c r="E3" s="91">
        <f>(B1+3*B2)*85%</f>
        <v/>
      </c>
      <c r="F3" s="92">
        <f>E3/4</f>
        <v/>
      </c>
      <c r="G3" s="65" t="n"/>
      <c r="X3" s="90" t="n"/>
      <c r="Y3" s="90" t="n"/>
      <c r="Z3" s="92" t="n"/>
    </row>
    <row r="4">
      <c r="A4" s="64" t="inlineStr">
        <is>
          <t>LV1-2</t>
        </is>
      </c>
      <c r="B4" s="64" t="n">
        <v>1600000</v>
      </c>
      <c r="C4" s="64" t="n">
        <v>3000000</v>
      </c>
      <c r="D4" s="64" t="inlineStr">
        <is>
          <t>2LV1-2</t>
        </is>
      </c>
      <c r="E4" s="93">
        <f>B4*2*95%</f>
        <v/>
      </c>
      <c r="F4" s="93">
        <f>C4*2*95%</f>
        <v/>
      </c>
      <c r="G4" s="65" t="n"/>
      <c r="X4" s="90" t="n"/>
      <c r="Y4" s="90" t="n"/>
      <c r="Z4" s="92" t="n"/>
    </row>
    <row r="5">
      <c r="A5" s="64" t="inlineStr">
        <is>
          <t>LV3-4</t>
        </is>
      </c>
      <c r="B5" s="64" t="n">
        <v>2000000</v>
      </c>
      <c r="C5" s="64" t="n">
        <v>3500000</v>
      </c>
      <c r="D5" s="64" t="inlineStr">
        <is>
          <t>2LV3-4</t>
        </is>
      </c>
      <c r="E5" s="93">
        <f>B5*2*95%</f>
        <v/>
      </c>
      <c r="F5" s="93">
        <f>C5*2*95%</f>
        <v/>
      </c>
      <c r="G5" s="65" t="n"/>
      <c r="X5" s="90" t="n"/>
      <c r="Y5" s="90" t="n"/>
      <c r="Z5" s="92" t="n"/>
    </row>
    <row r="6">
      <c r="A6" s="53" t="inlineStr">
        <is>
          <t>TOEIC</t>
        </is>
      </c>
      <c r="B6" s="64" t="inlineStr">
        <is>
          <t>45 Tiết</t>
        </is>
      </c>
      <c r="C6" s="64" t="inlineStr">
        <is>
          <t>54 Tiết</t>
        </is>
      </c>
      <c r="D6" s="64" t="inlineStr">
        <is>
          <t>4LV</t>
        </is>
      </c>
      <c r="E6" s="93">
        <f>(B4*2+B5*2)*85%</f>
        <v/>
      </c>
      <c r="F6" s="93">
        <f>(C4*2+C5*2)*85%</f>
        <v/>
      </c>
      <c r="G6" s="92">
        <f>F6-E6</f>
        <v/>
      </c>
      <c r="X6" s="90" t="n"/>
      <c r="Y6" s="90" t="n"/>
      <c r="Z6" s="92" t="n"/>
    </row>
    <row r="7">
      <c r="E7" s="92">
        <f>E6/4</f>
        <v/>
      </c>
      <c r="F7" s="92" t="n"/>
      <c r="G7" s="65" t="n"/>
      <c r="X7" s="92" t="n"/>
      <c r="Z7" s="92" t="n"/>
    </row>
    <row r="8">
      <c r="F8" s="54" t="inlineStr">
        <is>
          <t>Tổng cộng</t>
        </is>
      </c>
      <c r="G8" s="94">
        <f>SUBTOTAL(9,G10:G985)</f>
        <v/>
      </c>
      <c r="Y8" s="92" t="n"/>
    </row>
    <row r="9">
      <c r="A9" s="60" t="inlineStr">
        <is>
          <t>STT</t>
        </is>
      </c>
      <c r="B9" s="60" t="inlineStr">
        <is>
          <t>MSV</t>
        </is>
      </c>
      <c r="C9" s="60" t="inlineStr">
        <is>
          <t>Họ</t>
        </is>
      </c>
      <c r="D9" s="60" t="inlineStr">
        <is>
          <t>Tên</t>
        </is>
      </c>
      <c r="E9" s="60" t="inlineStr">
        <is>
          <t>Ngày sinh</t>
        </is>
      </c>
      <c r="F9" s="61" t="inlineStr">
        <is>
          <t>Mã lớp đăng ký</t>
        </is>
      </c>
      <c r="G9" s="95" t="inlineStr">
        <is>
          <t>Số tiền</t>
        </is>
      </c>
      <c r="H9" s="60" t="inlineStr">
        <is>
          <t>Mã lớp 1</t>
        </is>
      </c>
      <c r="I9" s="60" t="inlineStr">
        <is>
          <t>HP lớp 1</t>
        </is>
      </c>
      <c r="J9" s="60" t="inlineStr">
        <is>
          <t>Mã lớp 2</t>
        </is>
      </c>
      <c r="K9" s="60" t="inlineStr">
        <is>
          <t>HP lớp 2</t>
        </is>
      </c>
      <c r="L9" s="60" t="inlineStr">
        <is>
          <t>Mã lớp 3</t>
        </is>
      </c>
      <c r="M9" s="60" t="inlineStr">
        <is>
          <t>HP lớp 3</t>
        </is>
      </c>
      <c r="N9" s="60" t="inlineStr">
        <is>
          <t>Mã lớp 4</t>
        </is>
      </c>
      <c r="O9" s="60" t="inlineStr">
        <is>
          <t>HP lớp 4</t>
        </is>
      </c>
      <c r="P9" s="60" t="inlineStr">
        <is>
          <t>Mã lớp 5</t>
        </is>
      </c>
      <c r="Q9" s="60" t="inlineStr">
        <is>
          <t>HP lớp 5</t>
        </is>
      </c>
      <c r="R9" s="60" t="inlineStr">
        <is>
          <t>Chuyển EDU</t>
        </is>
      </c>
      <c r="S9" s="60" t="inlineStr">
        <is>
          <t>HP còn lại</t>
        </is>
      </c>
      <c r="T9" s="60" t="inlineStr">
        <is>
          <t>Mã lớp 6 (KG 11/05/26)</t>
        </is>
      </c>
      <c r="U9" s="60" t="inlineStr">
        <is>
          <t>HP lớp 6</t>
        </is>
      </c>
      <c r="V9" s="63" t="inlineStr">
        <is>
          <t>HP còn lại</t>
        </is>
      </c>
      <c r="W9" s="63" t="inlineStr">
        <is>
          <t>Ghi Chú</t>
        </is>
      </c>
      <c r="X9" s="63" t="inlineStr">
        <is>
          <t>Tình Trạng</t>
        </is>
      </c>
    </row>
    <row r="10">
      <c r="A10" s="65" t="n">
        <v>1</v>
      </c>
      <c r="B10" s="65" t="inlineStr">
        <is>
          <t>25802300384</t>
        </is>
      </c>
      <c r="C10" s="65" t="inlineStr">
        <is>
          <t>Mai Thien</t>
        </is>
      </c>
      <c r="D10" s="65" t="inlineStr">
        <is>
          <t>Tan</t>
        </is>
      </c>
      <c r="E10" s="65" t="inlineStr">
        <is>
          <t xml:space="preserve">  -   -</t>
        </is>
      </c>
      <c r="F10" s="66" t="inlineStr">
        <is>
          <t>LNH0925ND01</t>
        </is>
      </c>
      <c r="G10" s="90" t="n">
        <v>8415000</v>
      </c>
      <c r="H10" s="65">
        <f>VLOOKUP(B10,'[1]TONG HOP'!B$5:G$624,6,0)</f>
        <v/>
      </c>
      <c r="I10" s="65" t="n">
        <v>2103750</v>
      </c>
      <c r="J10" s="65" t="n"/>
      <c r="K10" s="65" t="n"/>
      <c r="L10" s="65">
        <f>VLOOKUP(B10,'[2]DS THANG 11'!A$3:E$616,5,0)</f>
        <v/>
      </c>
      <c r="M10" s="65" t="n">
        <v>2103750</v>
      </c>
      <c r="N10" s="65" t="n"/>
      <c r="O10" s="65" t="n"/>
      <c r="P10" s="65">
        <f>VLOOKUP(B10,'[3]TONG HOP '!B$5:O$666,14,0)</f>
        <v/>
      </c>
      <c r="Q10" s="65" t="n">
        <v>2103750</v>
      </c>
      <c r="R10" s="65" t="n"/>
      <c r="S10" s="92">
        <f>G10-I10-R10-K10-M10-O10-Q10</f>
        <v/>
      </c>
      <c r="T10" s="92" t="inlineStr">
        <is>
          <t>LNH0526NQ03</t>
        </is>
      </c>
      <c r="U10" s="92" t="n">
        <v>2103750</v>
      </c>
      <c r="V10" s="69">
        <f>G10-SUM(I10,K10,M10,O10,Q10,U10)</f>
        <v/>
      </c>
      <c r="W10" s="65" t="n"/>
      <c r="X10" t="inlineStr">
        <is>
          <t>Khớp</t>
        </is>
      </c>
    </row>
    <row r="11">
      <c r="A11" s="65" t="n">
        <v>2</v>
      </c>
      <c r="B11" s="65" t="inlineStr">
        <is>
          <t>25800500246</t>
        </is>
      </c>
      <c r="C11" s="65" t="inlineStr">
        <is>
          <t>Phan Le Duy</t>
        </is>
      </c>
      <c r="D11" s="65" t="inlineStr">
        <is>
          <t>Minh</t>
        </is>
      </c>
      <c r="E11" s="65" t="inlineStr">
        <is>
          <t xml:space="preserve">  -   -</t>
        </is>
      </c>
      <c r="F11" s="66" t="inlineStr">
        <is>
          <t>LNH0925ND01</t>
        </is>
      </c>
      <c r="G11" s="90" t="n">
        <v>1000000</v>
      </c>
      <c r="H11" s="65" t="n"/>
      <c r="I11" s="65" t="n"/>
      <c r="J11" s="65" t="n"/>
      <c r="K11" s="65" t="n"/>
      <c r="L11" s="65" t="n"/>
      <c r="M11" s="65" t="n"/>
      <c r="N11" s="65" t="n"/>
      <c r="O11" s="65" t="n"/>
      <c r="P11" s="65" t="n"/>
      <c r="Q11" s="65" t="n"/>
      <c r="R11" s="65" t="n"/>
      <c r="S11" s="92">
        <f>G11-I11-R11-K11-M11-O11-Q11</f>
        <v/>
      </c>
      <c r="T11" s="92" t="inlineStr"/>
      <c r="U11" s="92" t="inlineStr"/>
      <c r="V11" s="69">
        <f>G11-SUM(I11,K11,M11,O11,Q11,U11)</f>
        <v/>
      </c>
      <c r="W11" s="65" t="n"/>
      <c r="X11" t="inlineStr">
        <is>
          <t>Khớp</t>
        </is>
      </c>
    </row>
    <row r="12">
      <c r="A12" s="65" t="n">
        <v>3</v>
      </c>
      <c r="B12" s="65" t="inlineStr">
        <is>
          <t>25807500216</t>
        </is>
      </c>
      <c r="C12" s="65" t="inlineStr">
        <is>
          <t>Dang Dinh</t>
        </is>
      </c>
      <c r="D12" s="65" t="inlineStr">
        <is>
          <t>Hieu</t>
        </is>
      </c>
      <c r="E12" s="65" t="inlineStr">
        <is>
          <t xml:space="preserve">  -   -</t>
        </is>
      </c>
      <c r="F12" s="66" t="inlineStr">
        <is>
          <t>LNH0925ND01</t>
        </is>
      </c>
      <c r="G12" s="90" t="n">
        <v>1000000</v>
      </c>
      <c r="H12" s="65" t="n"/>
      <c r="I12" s="65" t="n"/>
      <c r="J12" s="65" t="n"/>
      <c r="K12" s="65" t="n"/>
      <c r="L12" s="65" t="n"/>
      <c r="M12" s="65" t="n"/>
      <c r="N12" s="65" t="n"/>
      <c r="O12" s="65" t="n"/>
      <c r="P12" s="65" t="n"/>
      <c r="Q12" s="65" t="n"/>
      <c r="R12" s="65" t="n"/>
      <c r="S12" s="92">
        <f>G12-I12-R12-K12-M12-O12-Q12</f>
        <v/>
      </c>
      <c r="T12" s="92" t="inlineStr"/>
      <c r="U12" s="92" t="inlineStr"/>
      <c r="V12" s="69">
        <f>G12-SUM(I12,K12,M12,O12,Q12,U12)</f>
        <v/>
      </c>
      <c r="W12" s="65" t="n"/>
      <c r="X12" t="inlineStr">
        <is>
          <t>Khớp</t>
        </is>
      </c>
    </row>
    <row r="13">
      <c r="A13" s="65" t="n">
        <v>4</v>
      </c>
      <c r="B13" s="65" t="inlineStr">
        <is>
          <t>25801700020</t>
        </is>
      </c>
      <c r="C13" s="65" t="inlineStr">
        <is>
          <t>Bui Quang</t>
        </is>
      </c>
      <c r="D13" s="65" t="inlineStr">
        <is>
          <t>Huy</t>
        </is>
      </c>
      <c r="E13" s="65" t="inlineStr">
        <is>
          <t xml:space="preserve">  -   -</t>
        </is>
      </c>
      <c r="F13" s="66" t="inlineStr">
        <is>
          <t>LNH0925ND01</t>
        </is>
      </c>
      <c r="G13" s="90" t="n">
        <v>8415000</v>
      </c>
      <c r="H13" s="65">
        <f>VLOOKUP(B13,'[1]TONG HOP'!B$5:G$624,6,0)</f>
        <v/>
      </c>
      <c r="I13" s="65" t="n">
        <v>2103750</v>
      </c>
      <c r="J13" s="65" t="n"/>
      <c r="K13" s="65" t="n"/>
      <c r="L13" s="65">
        <f>VLOOKUP(B13,'[2]DS THANG 11'!A$3:E$616,5,0)</f>
        <v/>
      </c>
      <c r="M13" s="65" t="n">
        <v>2103750</v>
      </c>
      <c r="N13" s="65" t="n"/>
      <c r="O13" s="65" t="n"/>
      <c r="P13" s="65">
        <f>VLOOKUP(B13,'[3]TONG HOP '!B$5:O$666,14,0)</f>
        <v/>
      </c>
      <c r="Q13" s="65" t="n">
        <v>2103750</v>
      </c>
      <c r="R13" s="65" t="n"/>
      <c r="S13" s="92">
        <f>G13-I13-R13-K13-M13-O13-Q13</f>
        <v/>
      </c>
      <c r="T13" s="92" t="inlineStr">
        <is>
          <t>LNH0526NQ03</t>
        </is>
      </c>
      <c r="U13" s="92" t="n">
        <v>2103750</v>
      </c>
      <c r="V13" s="69">
        <f>G13-SUM(I13,K13,M13,O13,Q13,U13)</f>
        <v/>
      </c>
      <c r="W13" s="65" t="n"/>
      <c r="X13" t="inlineStr">
        <is>
          <t>Khớp</t>
        </is>
      </c>
    </row>
    <row r="14">
      <c r="A14" s="65" t="n">
        <v>5</v>
      </c>
      <c r="B14" s="65" t="inlineStr">
        <is>
          <t>25808900008</t>
        </is>
      </c>
      <c r="C14" s="65" t="inlineStr">
        <is>
          <t>Le Do Hung</t>
        </is>
      </c>
      <c r="D14" s="65" t="inlineStr">
        <is>
          <t>Anh</t>
        </is>
      </c>
      <c r="E14" s="65" t="inlineStr">
        <is>
          <t xml:space="preserve">  -   -</t>
        </is>
      </c>
      <c r="F14" s="66" t="inlineStr">
        <is>
          <t>LNH0925ND01</t>
        </is>
      </c>
      <c r="G14" s="90" t="n">
        <v>8415000</v>
      </c>
      <c r="H14" s="65">
        <f>VLOOKUP(B14,'[1]TONG HOP'!B$5:G$624,6,0)</f>
        <v/>
      </c>
      <c r="I14" s="65" t="n">
        <v>2103750</v>
      </c>
      <c r="J14" s="65" t="n"/>
      <c r="K14" s="65" t="n"/>
      <c r="L14" s="65">
        <f>VLOOKUP(B14,'[2]DS THANG 11'!A$3:E$616,5,0)</f>
        <v/>
      </c>
      <c r="M14" s="65" t="n">
        <v>2103750</v>
      </c>
      <c r="N14" s="65" t="n"/>
      <c r="O14" s="65" t="n"/>
      <c r="P14" s="65">
        <f>VLOOKUP(B14,'[3]TONG HOP '!B$5:O$666,14,0)</f>
        <v/>
      </c>
      <c r="Q14" s="65" t="n">
        <v>2103750</v>
      </c>
      <c r="R14" s="65" t="n"/>
      <c r="S14" s="92">
        <f>G14-I14-R14-K14-M14-O14-Q14</f>
        <v/>
      </c>
      <c r="T14" s="92" t="inlineStr"/>
      <c r="U14" s="92" t="inlineStr"/>
      <c r="V14" s="69">
        <f>G14-SUM(I14,K14,M14,O14,Q14,U14)</f>
        <v/>
      </c>
      <c r="W14" s="65" t="n"/>
      <c r="X14" t="inlineStr">
        <is>
          <t>Khớp</t>
        </is>
      </c>
    </row>
    <row r="15">
      <c r="A15" s="65" t="n">
        <v>6</v>
      </c>
      <c r="B15" s="65" t="inlineStr">
        <is>
          <t>25800400162</t>
        </is>
      </c>
      <c r="C15" s="65" t="inlineStr">
        <is>
          <t>Nguyen Van</t>
        </is>
      </c>
      <c r="D15" s="65" t="inlineStr">
        <is>
          <t>Truyen</t>
        </is>
      </c>
      <c r="E15" s="65" t="inlineStr">
        <is>
          <t xml:space="preserve">  -   -</t>
        </is>
      </c>
      <c r="F15" s="66" t="inlineStr">
        <is>
          <t>LNH0925ND01</t>
        </is>
      </c>
      <c r="G15" s="90" t="n">
        <v>8415000</v>
      </c>
      <c r="H15" s="65">
        <f>VLOOKUP(B15,'[1]TONG HOP'!B$5:G$624,6,0)</f>
        <v/>
      </c>
      <c r="I15" s="65" t="n">
        <v>2103750</v>
      </c>
      <c r="J15" s="65" t="n"/>
      <c r="K15" s="65" t="n"/>
      <c r="L15" s="65" t="n"/>
      <c r="M15" s="65" t="n"/>
      <c r="N15" s="65" t="n"/>
      <c r="O15" s="65" t="n"/>
      <c r="P15" s="65" t="n"/>
      <c r="Q15" s="65" t="n"/>
      <c r="R15" s="65" t="n"/>
      <c r="S15" s="92">
        <f>G15-I15-R15-K15-M15-O15-Q15</f>
        <v/>
      </c>
      <c r="T15" s="92" t="inlineStr"/>
      <c r="U15" s="92" t="inlineStr"/>
      <c r="V15" s="69">
        <f>G15-SUM(I15,K15,M15,O15,Q15,U15)</f>
        <v/>
      </c>
      <c r="W15" s="65" t="n"/>
      <c r="X15" t="inlineStr">
        <is>
          <t>Khớp</t>
        </is>
      </c>
    </row>
    <row r="16">
      <c r="A16" s="65" t="n">
        <v>7</v>
      </c>
      <c r="B16" s="65" t="inlineStr">
        <is>
          <t>25808300049</t>
        </is>
      </c>
      <c r="C16" s="65" t="inlineStr">
        <is>
          <t>Nguyen Thi Anh</t>
        </is>
      </c>
      <c r="D16" s="65" t="inlineStr">
        <is>
          <t>Thu</t>
        </is>
      </c>
      <c r="E16" s="65" t="inlineStr">
        <is>
          <t xml:space="preserve">  -   -</t>
        </is>
      </c>
      <c r="F16" s="66" t="inlineStr">
        <is>
          <t>LNH0925ND01</t>
        </is>
      </c>
      <c r="G16" s="90" t="n">
        <v>8415000</v>
      </c>
      <c r="H16" s="65">
        <f>VLOOKUP(B16,'[1]TONG HOP'!B$5:G$624,6,0)</f>
        <v/>
      </c>
      <c r="I16" s="65" t="n">
        <v>2103750</v>
      </c>
      <c r="J16" s="65" t="n"/>
      <c r="K16" s="65" t="n"/>
      <c r="L16" s="65">
        <f>VLOOKUP(B16,'[2]DS THANG 11'!A$3:E$616,5,0)</f>
        <v/>
      </c>
      <c r="M16" s="65" t="n">
        <v>2103750</v>
      </c>
      <c r="N16" s="65" t="n"/>
      <c r="O16" s="65" t="n"/>
      <c r="P16" s="65">
        <f>VLOOKUP(B16,'[3]TONG HOP '!B$5:O$666,14,0)</f>
        <v/>
      </c>
      <c r="Q16" s="65" t="n">
        <v>2103750</v>
      </c>
      <c r="R16" s="65" t="n"/>
      <c r="S16" s="92">
        <f>G16-I16-R16-K16-M16-O16-Q16</f>
        <v/>
      </c>
      <c r="T16" s="92" t="inlineStr">
        <is>
          <t>LNH0526NQ07</t>
        </is>
      </c>
      <c r="U16" s="92" t="n">
        <v>2103750</v>
      </c>
      <c r="V16" s="69">
        <f>G16-SUM(I16,K16,M16,O16,Q16,U16)</f>
        <v/>
      </c>
      <c r="W16" s="65" t="n"/>
      <c r="X16" t="inlineStr">
        <is>
          <t>Khớp</t>
        </is>
      </c>
    </row>
    <row r="17">
      <c r="A17" s="65" t="n">
        <v>8</v>
      </c>
      <c r="B17" s="65" t="inlineStr">
        <is>
          <t>25808200085</t>
        </is>
      </c>
      <c r="C17" s="65" t="inlineStr">
        <is>
          <t>Nguyen Hoang</t>
        </is>
      </c>
      <c r="D17" s="65" t="inlineStr">
        <is>
          <t>Minh</t>
        </is>
      </c>
      <c r="E17" s="65" t="inlineStr">
        <is>
          <t xml:space="preserve">  -   -</t>
        </is>
      </c>
      <c r="F17" s="66" t="inlineStr">
        <is>
          <t>LNH0925ND01</t>
        </is>
      </c>
      <c r="G17" s="90" t="n">
        <v>8415000</v>
      </c>
      <c r="H17" s="65">
        <f>VLOOKUP(B17,'[1]TONG HOP'!B$5:G$624,6,0)</f>
        <v/>
      </c>
      <c r="I17" s="65" t="n">
        <v>2103750</v>
      </c>
      <c r="J17" s="65" t="n"/>
      <c r="K17" s="65" t="n"/>
      <c r="L17" s="65">
        <f>VLOOKUP(B17,'[2]DS THANG 11'!A$3:E$616,5,0)</f>
        <v/>
      </c>
      <c r="M17" s="65" t="n">
        <v>2103750</v>
      </c>
      <c r="N17" s="65" t="n"/>
      <c r="O17" s="65" t="n"/>
      <c r="P17" s="65" t="n"/>
      <c r="Q17" s="65" t="n"/>
      <c r="R17" s="65" t="n"/>
      <c r="S17" s="92">
        <f>G17-I17-R17-K17-M17-O17-Q17</f>
        <v/>
      </c>
      <c r="T17" s="92" t="inlineStr"/>
      <c r="U17" s="92" t="inlineStr"/>
      <c r="V17" s="69">
        <f>G17-SUM(I17,K17,M17,O17,Q17,U17)</f>
        <v/>
      </c>
      <c r="W17" s="65" t="n"/>
      <c r="X17" t="inlineStr">
        <is>
          <t>Khớp</t>
        </is>
      </c>
    </row>
    <row r="18">
      <c r="A18" s="65" t="n">
        <v>9</v>
      </c>
      <c r="B18" s="65" t="inlineStr">
        <is>
          <t>25820300015</t>
        </is>
      </c>
      <c r="C18" s="65" t="inlineStr">
        <is>
          <t>Cao Quang</t>
        </is>
      </c>
      <c r="D18" s="65" t="inlineStr">
        <is>
          <t>Huy</t>
        </is>
      </c>
      <c r="E18" s="65" t="inlineStr">
        <is>
          <t xml:space="preserve">  -   -</t>
        </is>
      </c>
      <c r="F18" s="66" t="inlineStr">
        <is>
          <t>LNH0925ND01</t>
        </is>
      </c>
      <c r="G18" s="90" t="n">
        <v>1000000</v>
      </c>
      <c r="H18" s="65" t="n"/>
      <c r="I18" s="65" t="n"/>
      <c r="J18" s="65" t="n"/>
      <c r="K18" s="65" t="n"/>
      <c r="L18" s="65" t="n"/>
      <c r="M18" s="65" t="n"/>
      <c r="N18" s="65" t="n"/>
      <c r="O18" s="65" t="n"/>
      <c r="P18" s="65" t="n"/>
      <c r="Q18" s="65" t="n"/>
      <c r="R18" s="65" t="n"/>
      <c r="S18" s="92">
        <f>G18-I18-R18-K18-M18-O18-Q18</f>
        <v/>
      </c>
      <c r="T18" s="92" t="inlineStr"/>
      <c r="U18" s="92" t="inlineStr"/>
      <c r="V18" s="69">
        <f>G18-SUM(I18,K18,M18,O18,Q18,U18)</f>
        <v/>
      </c>
      <c r="W18" s="65" t="n"/>
      <c r="X18" t="inlineStr">
        <is>
          <t>Khớp</t>
        </is>
      </c>
    </row>
    <row r="19">
      <c r="A19" s="65" t="n">
        <v>10</v>
      </c>
      <c r="B19" s="65" t="inlineStr">
        <is>
          <t>25802600004</t>
        </is>
      </c>
      <c r="C19" s="65" t="inlineStr">
        <is>
          <t>Nguyen Chau</t>
        </is>
      </c>
      <c r="D19" s="65" t="inlineStr">
        <is>
          <t>Anh</t>
        </is>
      </c>
      <c r="E19" s="65" t="inlineStr">
        <is>
          <t xml:space="preserve">  -   -</t>
        </is>
      </c>
      <c r="F19" s="66" t="inlineStr">
        <is>
          <t>LNH0925ND01</t>
        </is>
      </c>
      <c r="G19" s="90" t="n">
        <v>8415000</v>
      </c>
      <c r="H19" s="65">
        <f>VLOOKUP(B19,'[1]TONG HOP'!B$5:G$624,6,0)</f>
        <v/>
      </c>
      <c r="I19" s="65" t="n">
        <v>2103750</v>
      </c>
      <c r="J19" s="65" t="n"/>
      <c r="K19" s="65" t="n"/>
      <c r="L19" s="65">
        <f>VLOOKUP(B19,'[2]DS THANG 11'!A$3:E$616,5,0)</f>
        <v/>
      </c>
      <c r="M19" s="65" t="n">
        <v>2103750</v>
      </c>
      <c r="N19" s="65" t="n"/>
      <c r="O19" s="65" t="n"/>
      <c r="P19" s="65">
        <f>VLOOKUP(B19,'[3]TONG HOP '!B$5:O$666,14,0)</f>
        <v/>
      </c>
      <c r="Q19" s="65" t="n">
        <v>2103750</v>
      </c>
      <c r="R19" s="65" t="n"/>
      <c r="S19" s="92">
        <f>G19-I19-R19-K19-M19-O19-Q19</f>
        <v/>
      </c>
      <c r="T19" s="92" t="inlineStr"/>
      <c r="U19" s="92" t="inlineStr"/>
      <c r="V19" s="69">
        <f>G19-SUM(I19,K19,M19,O19,Q19,U19)</f>
        <v/>
      </c>
      <c r="W19" s="65" t="n"/>
      <c r="X19" t="inlineStr">
        <is>
          <t>Khớp</t>
        </is>
      </c>
    </row>
    <row r="20">
      <c r="A20" s="65" t="n">
        <v>11</v>
      </c>
      <c r="B20" s="65" t="inlineStr">
        <is>
          <t>25808900260</t>
        </is>
      </c>
      <c r="C20" s="65" t="inlineStr">
        <is>
          <t>Dinh Gia</t>
        </is>
      </c>
      <c r="D20" s="65" t="inlineStr">
        <is>
          <t>Bao</t>
        </is>
      </c>
      <c r="E20" s="65" t="inlineStr">
        <is>
          <t xml:space="preserve">  -   -</t>
        </is>
      </c>
      <c r="F20" s="66" t="inlineStr">
        <is>
          <t>LNH0925ND01</t>
        </is>
      </c>
      <c r="G20" s="90" t="n">
        <v>8415000</v>
      </c>
      <c r="H20" s="65">
        <f>VLOOKUP(B20,'[1]TONG HOP'!B$5:G$624,6,0)</f>
        <v/>
      </c>
      <c r="I20" s="65" t="n">
        <v>2103750</v>
      </c>
      <c r="J20" s="65" t="n"/>
      <c r="K20" s="65" t="n"/>
      <c r="L20" s="65" t="n"/>
      <c r="M20" s="65" t="n"/>
      <c r="N20" s="65" t="n"/>
      <c r="O20" s="65" t="n"/>
      <c r="P20" s="65">
        <f>VLOOKUP(B20,'[3]TONG HOP '!B$5:O$666,14,0)</f>
        <v/>
      </c>
      <c r="Q20" s="65" t="n">
        <v>2103750</v>
      </c>
      <c r="R20" s="65" t="n"/>
      <c r="S20" s="92">
        <f>G20-I20-R20-K20-M20-O20-Q20</f>
        <v/>
      </c>
      <c r="T20" s="92" t="inlineStr"/>
      <c r="U20" s="92" t="inlineStr"/>
      <c r="V20" s="69">
        <f>G20-SUM(I20,K20,M20,O20,Q20,U20)</f>
        <v/>
      </c>
      <c r="W20" s="65" t="n"/>
      <c r="X20" t="inlineStr">
        <is>
          <t>Khớp</t>
        </is>
      </c>
    </row>
    <row r="21">
      <c r="A21" s="65" t="n">
        <v>12</v>
      </c>
      <c r="B21" s="65" t="inlineStr">
        <is>
          <t>25801100045</t>
        </is>
      </c>
      <c r="C21" s="65" t="inlineStr">
        <is>
          <t>Pham Minh</t>
        </is>
      </c>
      <c r="D21" s="65" t="inlineStr">
        <is>
          <t>Nhat</t>
        </is>
      </c>
      <c r="E21" s="65" t="inlineStr">
        <is>
          <t xml:space="preserve">  -   -</t>
        </is>
      </c>
      <c r="F21" s="66" t="inlineStr">
        <is>
          <t>LNH0925ND01</t>
        </is>
      </c>
      <c r="G21" s="90" t="n">
        <v>4465000</v>
      </c>
      <c r="H21" s="65" t="n"/>
      <c r="I21" s="65" t="n"/>
      <c r="J21" s="65" t="n"/>
      <c r="K21" s="65" t="n"/>
      <c r="L21" s="65">
        <f>VLOOKUP(B21,'[2]DS THANG 11'!A$3:E$616,5,0)</f>
        <v/>
      </c>
      <c r="M21" s="65" t="n">
        <v>2232500</v>
      </c>
      <c r="N21" s="65" t="n"/>
      <c r="O21" s="65" t="n"/>
      <c r="P21" s="65">
        <f>VLOOKUP(B21,'[3]TONG HOP '!B$5:O$666,14,0)</f>
        <v/>
      </c>
      <c r="Q21" s="65" t="n">
        <v>2232500</v>
      </c>
      <c r="R21" s="65" t="n"/>
      <c r="S21" s="92">
        <f>G21-I21-R21-K21-M21-O21-Q21</f>
        <v/>
      </c>
      <c r="T21" s="92" t="inlineStr"/>
      <c r="U21" s="92" t="inlineStr"/>
      <c r="V21" s="69">
        <f>G21-SUM(I21,K21,M21,O21,Q21,U21)</f>
        <v/>
      </c>
      <c r="W21" s="65" t="n"/>
      <c r="X21" t="inlineStr">
        <is>
          <t>Khớp</t>
        </is>
      </c>
    </row>
    <row r="22">
      <c r="A22" s="65" t="n">
        <v>13</v>
      </c>
      <c r="B22" s="65" t="inlineStr">
        <is>
          <t>25800400195</t>
        </is>
      </c>
      <c r="C22" s="65" t="inlineStr">
        <is>
          <t>Trương Gia</t>
        </is>
      </c>
      <c r="D22" s="65" t="inlineStr">
        <is>
          <t>Khánh</t>
        </is>
      </c>
      <c r="E22" s="65" t="inlineStr">
        <is>
          <t>01/03/2006</t>
        </is>
      </c>
      <c r="F22" s="66" t="inlineStr">
        <is>
          <t>LNH0925ND01</t>
        </is>
      </c>
      <c r="G22" s="90" t="n">
        <v>500000</v>
      </c>
      <c r="H22" s="65" t="n"/>
      <c r="I22" s="65" t="n"/>
      <c r="J22" s="65" t="n"/>
      <c r="K22" s="65" t="n"/>
      <c r="L22" s="65" t="n"/>
      <c r="M22" s="65" t="n"/>
      <c r="N22" s="65" t="n"/>
      <c r="O22" s="65" t="n"/>
      <c r="P22" s="65" t="n"/>
      <c r="Q22" s="65" t="n"/>
      <c r="R22" s="65" t="n"/>
      <c r="S22" s="92">
        <f>G22-I22-R22-K22-M22-O22-Q22</f>
        <v/>
      </c>
      <c r="T22" s="92" t="inlineStr"/>
      <c r="U22" s="92" t="inlineStr"/>
      <c r="V22" s="69">
        <f>G22-SUM(I22,K22,M22,O22,Q22,U22)</f>
        <v/>
      </c>
      <c r="W22" s="65" t="n"/>
      <c r="X22" t="inlineStr">
        <is>
          <t>Khớp</t>
        </is>
      </c>
    </row>
    <row r="23">
      <c r="A23" s="65" t="n">
        <v>14</v>
      </c>
      <c r="B23" s="65" t="inlineStr">
        <is>
          <t>25809600060</t>
        </is>
      </c>
      <c r="C23" s="65" t="inlineStr">
        <is>
          <t>Đỗ Đức</t>
        </is>
      </c>
      <c r="D23" s="65" t="inlineStr">
        <is>
          <t>Tài</t>
        </is>
      </c>
      <c r="E23" s="65" t="inlineStr">
        <is>
          <t>10/05/2007</t>
        </is>
      </c>
      <c r="F23" s="66" t="inlineStr">
        <is>
          <t>LNH0925ND01</t>
        </is>
      </c>
      <c r="G23" s="90">
        <f>900000+7515000</f>
        <v/>
      </c>
      <c r="H23" s="65" t="n"/>
      <c r="I23" s="65" t="n"/>
      <c r="J23" s="65" t="n"/>
      <c r="K23" s="65" t="n"/>
      <c r="L23" s="65">
        <f>VLOOKUP(B23,'[2]DS THANG 11'!A$3:E$616,5,0)</f>
        <v/>
      </c>
      <c r="M23" s="65" t="n">
        <v>2103750</v>
      </c>
      <c r="N23" s="65" t="n"/>
      <c r="O23" s="65" t="n"/>
      <c r="P23" s="65">
        <f>VLOOKUP(B23,'[3]TONG HOP '!B$5:O$666,14,0)</f>
        <v/>
      </c>
      <c r="Q23" s="65" t="n">
        <v>2103750</v>
      </c>
      <c r="R23" s="65" t="n"/>
      <c r="S23" s="92">
        <f>G23-I23-R23-K23-M23-O23-Q23</f>
        <v/>
      </c>
      <c r="T23" s="92" t="inlineStr"/>
      <c r="U23" s="92" t="inlineStr"/>
      <c r="V23" s="69">
        <f>G23-SUM(I23,K23,M23,O23,Q23,U23)</f>
        <v/>
      </c>
      <c r="W23" s="65" t="n"/>
      <c r="X23" t="inlineStr">
        <is>
          <t>Khớp</t>
        </is>
      </c>
    </row>
    <row r="24">
      <c r="A24" s="65" t="n">
        <v>15</v>
      </c>
      <c r="B24" s="65" t="inlineStr">
        <is>
          <t>25801800110</t>
        </is>
      </c>
      <c r="C24" s="65" t="inlineStr">
        <is>
          <t>Lê Thị</t>
        </is>
      </c>
      <c r="D24" s="65" t="inlineStr">
        <is>
          <t>Nguyên</t>
        </is>
      </c>
      <c r="E24" s="65" t="inlineStr">
        <is>
          <t>14/12/2007</t>
        </is>
      </c>
      <c r="F24" s="66" t="inlineStr">
        <is>
          <t>LNH0925ND01</t>
        </is>
      </c>
      <c r="G24" s="90" t="n">
        <v>8415000</v>
      </c>
      <c r="H24" s="65">
        <f>VLOOKUP(B24,'[1]TONG HOP'!B$5:G$624,6,0)</f>
        <v/>
      </c>
      <c r="I24" s="65" t="n">
        <v>2103750</v>
      </c>
      <c r="J24" s="65" t="n"/>
      <c r="K24" s="65" t="n"/>
      <c r="L24" s="65">
        <f>VLOOKUP(B24,'[2]DS THANG 11'!A$3:E$616,5,0)</f>
        <v/>
      </c>
      <c r="M24" s="65" t="n">
        <v>2103750</v>
      </c>
      <c r="N24" s="65" t="n"/>
      <c r="O24" s="65" t="n"/>
      <c r="P24" s="65" t="n"/>
      <c r="Q24" s="65" t="n"/>
      <c r="R24" s="65" t="n"/>
      <c r="S24" s="92">
        <f>G24-I24-R24-K24-M24-O24-Q24</f>
        <v/>
      </c>
      <c r="T24" s="92" t="inlineStr"/>
      <c r="U24" s="92" t="inlineStr"/>
      <c r="V24" s="69">
        <f>G24-SUM(I24,K24,M24,O24,Q24,U24)</f>
        <v/>
      </c>
      <c r="W24" s="65" t="n"/>
      <c r="X24" t="inlineStr">
        <is>
          <t>Khớp</t>
        </is>
      </c>
    </row>
    <row r="25">
      <c r="A25" s="65" t="n">
        <v>16</v>
      </c>
      <c r="B25" s="65" t="inlineStr">
        <is>
          <t>25807500016</t>
        </is>
      </c>
      <c r="C25" s="65" t="inlineStr">
        <is>
          <t>Nguyễn Cao Thái</t>
        </is>
      </c>
      <c r="D25" s="65" t="inlineStr">
        <is>
          <t>Duy</t>
        </is>
      </c>
      <c r="E25" s="65" t="inlineStr">
        <is>
          <t>18/01/2007</t>
        </is>
      </c>
      <c r="F25" s="66" t="inlineStr">
        <is>
          <t>LNH0925ND01</t>
        </is>
      </c>
      <c r="G25" s="90">
        <f>1000000+7450000</f>
        <v/>
      </c>
      <c r="H25" s="65" t="n"/>
      <c r="I25" s="65" t="n"/>
      <c r="J25" s="65" t="n"/>
      <c r="K25" s="65" t="n"/>
      <c r="L25" s="65">
        <f>VLOOKUP(B25,'[2]DS THANG 11'!A$3:E$616,5,0)</f>
        <v/>
      </c>
      <c r="M25" s="65" t="n">
        <v>2103750</v>
      </c>
      <c r="N25" s="65" t="n"/>
      <c r="O25" s="65" t="n"/>
      <c r="P25" s="65">
        <f>VLOOKUP(B25,'[3]TONG HOP '!B$5:O$666,14,0)</f>
        <v/>
      </c>
      <c r="Q25" s="65" t="n">
        <v>2103750</v>
      </c>
      <c r="R25" s="65" t="n"/>
      <c r="S25" s="92">
        <f>G25-I25-R25-K25-M25-O25-Q25</f>
        <v/>
      </c>
      <c r="T25" s="92" t="inlineStr"/>
      <c r="U25" s="92" t="inlineStr"/>
      <c r="V25" s="69">
        <f>G25-SUM(I25,K25,M25,O25,Q25,U25)</f>
        <v/>
      </c>
      <c r="W25" s="65" t="n"/>
      <c r="X25" t="inlineStr">
        <is>
          <t>Khớp</t>
        </is>
      </c>
    </row>
    <row r="26">
      <c r="A26" s="65" t="n">
        <v>17</v>
      </c>
      <c r="B26" s="65" t="inlineStr">
        <is>
          <t>25802800180</t>
        </is>
      </c>
      <c r="C26" s="65" t="inlineStr">
        <is>
          <t>Thái Huỳnh</t>
        </is>
      </c>
      <c r="D26" s="65" t="inlineStr">
        <is>
          <t>Nhân</t>
        </is>
      </c>
      <c r="E26" s="65" t="inlineStr">
        <is>
          <t>30/10/2007</t>
        </is>
      </c>
      <c r="F26" s="66" t="inlineStr">
        <is>
          <t>LNH0925ND01</t>
        </is>
      </c>
      <c r="G26" s="90" t="n">
        <v>8415000</v>
      </c>
      <c r="H26" s="65">
        <f>VLOOKUP(B26,'[1]TONG HOP'!B$5:G$624,6,0)</f>
        <v/>
      </c>
      <c r="I26" s="65" t="n">
        <v>2103750</v>
      </c>
      <c r="J26" s="65" t="n"/>
      <c r="K26" s="65" t="n"/>
      <c r="L26" s="65">
        <f>VLOOKUP(B26,'[2]DS THANG 11'!A$3:E$616,5,0)</f>
        <v/>
      </c>
      <c r="M26" s="65" t="n">
        <v>2103750</v>
      </c>
      <c r="N26" s="65" t="n"/>
      <c r="O26" s="65" t="n"/>
      <c r="P26" s="65">
        <f>VLOOKUP(B26,'[3]TONG HOP '!B$5:O$666,14,0)</f>
        <v/>
      </c>
      <c r="Q26" s="65" t="n">
        <v>2103750</v>
      </c>
      <c r="R26" s="65" t="n"/>
      <c r="S26" s="92">
        <f>G26-I26-R26-K26-M26-O26-Q26</f>
        <v/>
      </c>
      <c r="T26" s="92" t="inlineStr">
        <is>
          <t>LNH0526NQ09</t>
        </is>
      </c>
      <c r="U26" s="92" t="n">
        <v>2103750</v>
      </c>
      <c r="V26" s="69">
        <f>G26-SUM(I26,K26,M26,O26,Q26,U26)</f>
        <v/>
      </c>
      <c r="W26" s="65" t="n"/>
      <c r="X26" t="inlineStr">
        <is>
          <t>Khớp</t>
        </is>
      </c>
    </row>
    <row r="27">
      <c r="A27" s="65" t="n">
        <v>18</v>
      </c>
      <c r="B27" s="65" t="inlineStr">
        <is>
          <t>25800400117</t>
        </is>
      </c>
      <c r="C27" s="65" t="inlineStr">
        <is>
          <t>Vũ Hoàng Minh</t>
        </is>
      </c>
      <c r="D27" s="65" t="inlineStr">
        <is>
          <t>Nhật</t>
        </is>
      </c>
      <c r="E27" s="65" t="inlineStr">
        <is>
          <t>01/01/2007</t>
        </is>
      </c>
      <c r="F27" s="66" t="inlineStr">
        <is>
          <t>LNH0925ND01</t>
        </is>
      </c>
      <c r="G27" s="90" t="n">
        <v>8415000</v>
      </c>
      <c r="H27" s="65">
        <f>VLOOKUP(B27,'[1]TONG HOP'!B$5:G$624,6,0)</f>
        <v/>
      </c>
      <c r="I27" s="65" t="n">
        <v>2103750</v>
      </c>
      <c r="J27" s="65" t="n"/>
      <c r="K27" s="65" t="n"/>
      <c r="L27" s="65">
        <f>VLOOKUP(B27,'[2]DS THANG 11'!A$3:E$616,5,0)</f>
        <v/>
      </c>
      <c r="M27" s="65" t="n">
        <v>2103750</v>
      </c>
      <c r="N27" s="65" t="n"/>
      <c r="O27" s="65" t="n"/>
      <c r="P27" s="65">
        <f>VLOOKUP(B27,'[3]TONG HOP '!B$5:O$666,14,0)</f>
        <v/>
      </c>
      <c r="Q27" s="65" t="n">
        <v>2103750</v>
      </c>
      <c r="R27" s="65" t="n"/>
      <c r="S27" s="92">
        <f>G27-I27-R27-K27-M27-O27-Q27</f>
        <v/>
      </c>
      <c r="T27" s="92" t="inlineStr"/>
      <c r="U27" s="92" t="inlineStr"/>
      <c r="V27" s="69">
        <f>G27-SUM(I27,K27,M27,O27,Q27,U27)</f>
        <v/>
      </c>
      <c r="W27" s="65" t="n"/>
      <c r="X27" t="inlineStr">
        <is>
          <t>Khớp</t>
        </is>
      </c>
    </row>
    <row r="28">
      <c r="A28" s="65" t="n">
        <v>19</v>
      </c>
      <c r="B28" s="65" t="inlineStr">
        <is>
          <t>25802800096</t>
        </is>
      </c>
      <c r="C28" s="65" t="inlineStr">
        <is>
          <t>Tran Gia</t>
        </is>
      </c>
      <c r="D28" s="65" t="inlineStr">
        <is>
          <t>Huy</t>
        </is>
      </c>
      <c r="E28" s="65" t="inlineStr">
        <is>
          <t xml:space="preserve">  -   -</t>
        </is>
      </c>
      <c r="F28" s="66" t="inlineStr">
        <is>
          <t>LNH0925ND01</t>
        </is>
      </c>
      <c r="G28" s="90">
        <f>1000000+7415000</f>
        <v/>
      </c>
      <c r="H28" s="65" t="n"/>
      <c r="I28" s="65" t="n"/>
      <c r="J28" s="65" t="n"/>
      <c r="K28" s="65" t="n"/>
      <c r="L28" s="65">
        <f>VLOOKUP(B28,'[2]DS THANG 11'!A$3:E$616,5,0)</f>
        <v/>
      </c>
      <c r="M28" s="65" t="n">
        <v>2103750</v>
      </c>
      <c r="N28" s="65" t="n"/>
      <c r="O28" s="65" t="n"/>
      <c r="P28" s="65" t="n"/>
      <c r="Q28" s="65" t="n"/>
      <c r="R28" s="65" t="n"/>
      <c r="S28" s="92">
        <f>G28-I28-R28-K28-M28-O28-Q28</f>
        <v/>
      </c>
      <c r="T28" s="92" t="inlineStr">
        <is>
          <t>LNH0526NQ08</t>
        </is>
      </c>
      <c r="U28" s="92" t="n">
        <v>2103750</v>
      </c>
      <c r="V28" s="69">
        <f>G28-SUM(I28,K28,M28,O28,Q28,U28)</f>
        <v/>
      </c>
      <c r="W28" s="65" t="n"/>
      <c r="X28" t="inlineStr">
        <is>
          <t>Khớp</t>
        </is>
      </c>
    </row>
    <row r="29">
      <c r="A29" s="65" t="n">
        <v>20</v>
      </c>
      <c r="B29" s="65" t="inlineStr">
        <is>
          <t>25807500152</t>
        </is>
      </c>
      <c r="C29" s="65" t="inlineStr">
        <is>
          <t>Đặng Minh</t>
        </is>
      </c>
      <c r="D29" s="65" t="inlineStr">
        <is>
          <t>Trường</t>
        </is>
      </c>
      <c r="E29" s="65" t="inlineStr">
        <is>
          <t>03/12/2007</t>
        </is>
      </c>
      <c r="F29" s="66" t="inlineStr">
        <is>
          <t>LNH0925ND01</t>
        </is>
      </c>
      <c r="G29" s="90" t="n">
        <v>8415000</v>
      </c>
      <c r="H29" s="65">
        <f>VLOOKUP(B29,'[1]TONG HOP'!B$5:G$624,6,0)</f>
        <v/>
      </c>
      <c r="I29" s="65" t="n">
        <v>2103750</v>
      </c>
      <c r="J29" s="65" t="n"/>
      <c r="K29" s="65" t="n"/>
      <c r="L29" s="65" t="n"/>
      <c r="M29" s="65" t="n"/>
      <c r="N29" s="65" t="n"/>
      <c r="O29" s="65" t="n"/>
      <c r="P29" s="65" t="n"/>
      <c r="Q29" s="65" t="n"/>
      <c r="R29" s="65" t="n">
        <v>1005000</v>
      </c>
      <c r="S29" s="92">
        <f>G29-I29-R29-K29-M29-O29-Q29</f>
        <v/>
      </c>
      <c r="T29" s="92" t="inlineStr"/>
      <c r="U29" s="92" t="inlineStr"/>
      <c r="V29" s="69">
        <f>G29-SUM(I29,K29,M29,O29,Q29,U29)</f>
        <v/>
      </c>
      <c r="W29" s="65" t="inlineStr">
        <is>
          <t>Chuyển sang EDU - Đạt HB theo tờ trình 462 ngày 11/11/25 - giảm HB Level 1 - 2.1tr</t>
        </is>
      </c>
      <c r="X29" t="inlineStr">
        <is>
          <t>Khớp</t>
        </is>
      </c>
    </row>
    <row r="30">
      <c r="A30" s="65" t="n">
        <v>21</v>
      </c>
      <c r="B30" s="65" t="inlineStr">
        <is>
          <t>25801600070</t>
        </is>
      </c>
      <c r="C30" s="65" t="inlineStr">
        <is>
          <t>Phan Thành</t>
        </is>
      </c>
      <c r="D30" s="65" t="inlineStr">
        <is>
          <t>Nhân</t>
        </is>
      </c>
      <c r="E30" s="65" t="inlineStr">
        <is>
          <t>09/11/2007</t>
        </is>
      </c>
      <c r="F30" s="66" t="inlineStr">
        <is>
          <t>LNH0925ND01</t>
        </is>
      </c>
      <c r="G30" s="90" t="n">
        <v>8415000</v>
      </c>
      <c r="H30" s="65">
        <f>VLOOKUP(B30,'[1]TONG HOP'!B$5:G$624,6,0)</f>
        <v/>
      </c>
      <c r="I30" s="65" t="n">
        <v>2103750</v>
      </c>
      <c r="J30" s="65" t="n"/>
      <c r="K30" s="65" t="n"/>
      <c r="L30" s="65">
        <f>VLOOKUP(B30,'[2]DS THANG 11'!A$3:E$616,5,0)</f>
        <v/>
      </c>
      <c r="M30" s="65" t="n">
        <v>2103750</v>
      </c>
      <c r="N30" s="65" t="n"/>
      <c r="O30" s="65" t="n"/>
      <c r="P30" s="65">
        <f>VLOOKUP(B30,'[3]TONG HOP '!B$5:O$666,14,0)</f>
        <v/>
      </c>
      <c r="Q30" s="65" t="n">
        <v>2103750</v>
      </c>
      <c r="R30" s="65" t="n"/>
      <c r="S30" s="92">
        <f>G30-I30-R30-K30-M30-O30-Q30</f>
        <v/>
      </c>
      <c r="T30" s="92" t="inlineStr"/>
      <c r="U30" s="92" t="inlineStr"/>
      <c r="V30" s="69">
        <f>G30-SUM(I30,K30,M30,O30,Q30,U30)</f>
        <v/>
      </c>
      <c r="W30" s="65" t="n"/>
      <c r="X30" t="inlineStr">
        <is>
          <t>Khớp</t>
        </is>
      </c>
    </row>
    <row r="31">
      <c r="A31" s="65" t="n">
        <v>22</v>
      </c>
      <c r="B31" s="65" t="inlineStr">
        <is>
          <t>25802600107</t>
        </is>
      </c>
      <c r="C31" s="65" t="inlineStr">
        <is>
          <t>Ngô Đồng</t>
        </is>
      </c>
      <c r="D31" s="65" t="inlineStr">
        <is>
          <t>Tâm</t>
        </is>
      </c>
      <c r="E31" s="65" t="inlineStr">
        <is>
          <t>22/12/2007</t>
        </is>
      </c>
      <c r="F31" s="66" t="inlineStr">
        <is>
          <t>LNH0925ND01</t>
        </is>
      </c>
      <c r="G31" s="90" t="n">
        <v>1000000</v>
      </c>
      <c r="H31" s="65" t="n"/>
      <c r="I31" s="65" t="n"/>
      <c r="J31" s="65" t="n"/>
      <c r="K31" s="65" t="n"/>
      <c r="L31" s="65" t="n"/>
      <c r="M31" s="65" t="n"/>
      <c r="N31" s="65" t="n"/>
      <c r="O31" s="65" t="n"/>
      <c r="P31" s="65" t="n"/>
      <c r="Q31" s="65" t="n"/>
      <c r="R31" s="65" t="n"/>
      <c r="S31" s="92">
        <f>G31-I31-R31-K31-M31-O31-Q31</f>
        <v/>
      </c>
      <c r="T31" s="92" t="inlineStr"/>
      <c r="U31" s="92" t="inlineStr"/>
      <c r="V31" s="69">
        <f>G31-SUM(I31,K31,M31,O31,Q31,U31)</f>
        <v/>
      </c>
      <c r="W31" s="65" t="n"/>
      <c r="X31" t="inlineStr">
        <is>
          <t>Khớp</t>
        </is>
      </c>
    </row>
    <row r="32">
      <c r="A32" s="65" t="n">
        <v>23</v>
      </c>
      <c r="B32" s="70" t="inlineStr">
        <is>
          <t>25802100002</t>
        </is>
      </c>
      <c r="C32" s="65" t="inlineStr">
        <is>
          <t>Nguyễn Hoàng</t>
        </is>
      </c>
      <c r="D32" s="65" t="inlineStr">
        <is>
          <t>Anh</t>
        </is>
      </c>
      <c r="E32" s="65" t="inlineStr">
        <is>
          <t>09/04/2002</t>
        </is>
      </c>
      <c r="F32" s="66" t="inlineStr">
        <is>
          <t>LNH0925NL01</t>
        </is>
      </c>
      <c r="G32" s="90" t="n">
        <v>6120000</v>
      </c>
      <c r="H32" s="70">
        <f>VLOOKUP(B32,'[1]TONG HOP'!B$658:G$658,6,0)</f>
        <v/>
      </c>
      <c r="I32" s="65" t="n">
        <v>1530000</v>
      </c>
      <c r="J32" s="65" t="n"/>
      <c r="K32" s="65" t="n"/>
      <c r="L32" s="65">
        <f>VLOOKUP(B32,'[2]DS THANG 11'!A$3:E$616,5,0)</f>
        <v/>
      </c>
      <c r="M32" s="65" t="n">
        <v>1530000</v>
      </c>
      <c r="N32" s="65">
        <f>VLOOKUP(B32,'[4]TOEIC 01.26'!A$3:E$33,5,0)</f>
        <v/>
      </c>
      <c r="O32" s="65" t="n">
        <v>1530000</v>
      </c>
      <c r="P32" s="65">
        <f>VLOOKUP(B32,'[3]TONG HOP '!B$5:O$666,14,0)</f>
        <v/>
      </c>
      <c r="Q32" s="65" t="n">
        <v>1530000</v>
      </c>
      <c r="R32" s="65" t="n"/>
      <c r="S32" s="92">
        <f>G32-I32-R32-K32-M32-O32-Q32</f>
        <v/>
      </c>
      <c r="T32" s="92" t="inlineStr"/>
      <c r="U32" s="92" t="inlineStr"/>
      <c r="V32" s="69">
        <f>G32-SUM(I32,K32,M32,O32,Q32,U32)</f>
        <v/>
      </c>
      <c r="W32" s="65" t="n"/>
      <c r="X32" t="inlineStr">
        <is>
          <t>Khớp</t>
        </is>
      </c>
    </row>
    <row r="33">
      <c r="A33" s="65" t="n">
        <v>24</v>
      </c>
      <c r="B33" s="65" t="inlineStr">
        <is>
          <t>25808600150</t>
        </is>
      </c>
      <c r="C33" s="65" t="inlineStr">
        <is>
          <t>Nguyễn Thị Ngọc</t>
        </is>
      </c>
      <c r="D33" s="65" t="inlineStr">
        <is>
          <t>Vi</t>
        </is>
      </c>
      <c r="E33" s="65" t="inlineStr">
        <is>
          <t>31/07/2007</t>
        </is>
      </c>
      <c r="F33" s="66" t="inlineStr">
        <is>
          <t>LNH0925ND01</t>
        </is>
      </c>
      <c r="G33" s="90" t="n">
        <v>8415000</v>
      </c>
      <c r="H33" s="65">
        <f>VLOOKUP(B33,'[1]TONG HOP'!B$5:G$624,6,0)</f>
        <v/>
      </c>
      <c r="I33" s="65" t="n">
        <v>2103750</v>
      </c>
      <c r="J33" s="65" t="n"/>
      <c r="K33" s="65" t="n"/>
      <c r="L33" s="65">
        <f>VLOOKUP(B33,'[2]DS THANG 11'!A$3:E$616,5,0)</f>
        <v/>
      </c>
      <c r="M33" s="65" t="n">
        <v>2103750</v>
      </c>
      <c r="N33" s="65" t="n"/>
      <c r="O33" s="65" t="n"/>
      <c r="P33" s="65">
        <f>VLOOKUP(B33,'[3]TONG HOP '!B$5:O$666,14,0)</f>
        <v/>
      </c>
      <c r="Q33" s="65" t="n">
        <v>2103750</v>
      </c>
      <c r="R33" s="65" t="n"/>
      <c r="S33" s="92">
        <f>G33-I33-R33-K33-M33-O33-Q33</f>
        <v/>
      </c>
      <c r="T33" s="92" t="inlineStr"/>
      <c r="U33" s="92" t="inlineStr"/>
      <c r="V33" s="69">
        <f>G33-SUM(I33,K33,M33,O33,Q33,U33)</f>
        <v/>
      </c>
      <c r="W33" s="65" t="n"/>
      <c r="X33" t="inlineStr">
        <is>
          <t>Khớp</t>
        </is>
      </c>
    </row>
    <row r="34">
      <c r="A34" s="65" t="n">
        <v>25</v>
      </c>
      <c r="B34" s="65" t="inlineStr">
        <is>
          <t>25808600083</t>
        </is>
      </c>
      <c r="C34" s="65" t="inlineStr">
        <is>
          <t>Nguyễn Thị Khánh</t>
        </is>
      </c>
      <c r="D34" s="65" t="inlineStr">
        <is>
          <t>Nhi</t>
        </is>
      </c>
      <c r="E34" s="65" t="inlineStr">
        <is>
          <t>24/04/2007</t>
        </is>
      </c>
      <c r="F34" s="66" t="inlineStr">
        <is>
          <t>LNH0925ND01</t>
        </is>
      </c>
      <c r="G34" s="90" t="n">
        <v>8415000</v>
      </c>
      <c r="H34" s="65">
        <f>VLOOKUP(B34,'[1]TONG HOP'!B$5:G$624,6,0)</f>
        <v/>
      </c>
      <c r="I34" s="65" t="n">
        <v>2103750</v>
      </c>
      <c r="J34" s="65" t="n"/>
      <c r="K34" s="65" t="n"/>
      <c r="L34" s="65">
        <f>VLOOKUP(B34,'[2]DS THANG 11'!A$3:E$616,5,0)</f>
        <v/>
      </c>
      <c r="M34" s="65" t="n">
        <v>2103750</v>
      </c>
      <c r="N34" s="65" t="n"/>
      <c r="O34" s="65" t="n"/>
      <c r="P34" s="65" t="n"/>
      <c r="Q34" s="65" t="n"/>
      <c r="R34" s="65" t="n"/>
      <c r="S34" s="92">
        <f>G34-I34-R34-K34-M34-O34-Q34</f>
        <v/>
      </c>
      <c r="T34" s="92" t="inlineStr"/>
      <c r="U34" s="92" t="inlineStr"/>
      <c r="V34" s="69">
        <f>G34-SUM(I34,K34,M34,O34,Q34,U34)</f>
        <v/>
      </c>
      <c r="W34" s="65" t="n"/>
      <c r="X34" t="inlineStr">
        <is>
          <t>Khớp</t>
        </is>
      </c>
    </row>
    <row r="35">
      <c r="A35" s="65" t="n">
        <v>26</v>
      </c>
      <c r="B35" s="65" t="inlineStr">
        <is>
          <t>25808700077</t>
        </is>
      </c>
      <c r="C35" s="65" t="inlineStr">
        <is>
          <t>Trần Thanh</t>
        </is>
      </c>
      <c r="D35" s="65" t="inlineStr">
        <is>
          <t>Phong</t>
        </is>
      </c>
      <c r="E35" s="65" t="inlineStr">
        <is>
          <t>10/10/2007</t>
        </is>
      </c>
      <c r="F35" s="66" t="inlineStr">
        <is>
          <t>LNH0925ND01</t>
        </is>
      </c>
      <c r="G35" s="90">
        <f>1000000+7415000</f>
        <v/>
      </c>
      <c r="H35" s="65" t="n"/>
      <c r="I35" s="65" t="n"/>
      <c r="J35" s="65" t="n"/>
      <c r="K35" s="65" t="n"/>
      <c r="L35" s="65">
        <f>VLOOKUP(B35,'[2]DS THANG 11'!A$3:E$616,5,0)</f>
        <v/>
      </c>
      <c r="M35" s="65" t="n">
        <v>2103750</v>
      </c>
      <c r="N35" s="65" t="n"/>
      <c r="O35" s="65" t="n"/>
      <c r="P35" s="65">
        <f>VLOOKUP(B35,'[3]TONG HOP '!B$5:O$666,14,0)</f>
        <v/>
      </c>
      <c r="Q35" s="65" t="n">
        <v>2103750</v>
      </c>
      <c r="R35" s="65" t="n"/>
      <c r="S35" s="92">
        <f>G35-I35-R35-K35-M35-O35-Q35</f>
        <v/>
      </c>
      <c r="T35" s="92" t="inlineStr"/>
      <c r="U35" s="92" t="inlineStr"/>
      <c r="V35" s="69">
        <f>G35-SUM(I35,K35,M35,O35,Q35,U35)</f>
        <v/>
      </c>
      <c r="W35" s="65" t="n"/>
      <c r="X35" t="inlineStr">
        <is>
          <t>Khớp</t>
        </is>
      </c>
    </row>
    <row r="36">
      <c r="A36" s="65" t="n">
        <v>27</v>
      </c>
      <c r="B36" s="65" t="inlineStr">
        <is>
          <t>25808600120</t>
        </is>
      </c>
      <c r="C36" s="65" t="inlineStr">
        <is>
          <t>Trần Nguyễn Anh</t>
        </is>
      </c>
      <c r="D36" s="65" t="inlineStr">
        <is>
          <t>Thư</t>
        </is>
      </c>
      <c r="E36" s="65" t="inlineStr">
        <is>
          <t>27/05/2007</t>
        </is>
      </c>
      <c r="F36" s="66" t="inlineStr">
        <is>
          <t>LNH0925ND01</t>
        </is>
      </c>
      <c r="G36" s="90" t="n">
        <v>8415000</v>
      </c>
      <c r="H36" s="65">
        <f>VLOOKUP(B36,'[1]TONG HOP'!B$5:G$624,6,0)</f>
        <v/>
      </c>
      <c r="I36" s="65" t="n">
        <v>2103750</v>
      </c>
      <c r="J36" s="65" t="n"/>
      <c r="K36" s="65" t="n"/>
      <c r="L36" s="65">
        <f>VLOOKUP(B36,'[2]DS THANG 11'!A$3:E$616,5,0)</f>
        <v/>
      </c>
      <c r="M36" s="65" t="n">
        <v>2103750</v>
      </c>
      <c r="N36" s="65" t="n"/>
      <c r="O36" s="65" t="n"/>
      <c r="P36" s="65">
        <f>VLOOKUP(B36,'[3]TONG HOP '!B$5:O$666,14,0)</f>
        <v/>
      </c>
      <c r="Q36" s="65" t="n">
        <v>2103750</v>
      </c>
      <c r="R36" s="65" t="n"/>
      <c r="S36" s="92">
        <f>G36-I36-R36-K36-M36-O36-Q36</f>
        <v/>
      </c>
      <c r="T36" s="92" t="inlineStr"/>
      <c r="U36" s="92" t="inlineStr"/>
      <c r="V36" s="69">
        <f>G36-SUM(I36,K36,M36,O36,Q36,U36)</f>
        <v/>
      </c>
      <c r="W36" s="65" t="n"/>
      <c r="X36" t="inlineStr">
        <is>
          <t>Khớp</t>
        </is>
      </c>
    </row>
    <row r="37">
      <c r="A37" s="65" t="n">
        <v>28</v>
      </c>
      <c r="B37" s="65" t="inlineStr">
        <is>
          <t>25808900016</t>
        </is>
      </c>
      <c r="C37" s="65" t="inlineStr">
        <is>
          <t>Nguyễn Thành</t>
        </is>
      </c>
      <c r="D37" s="65" t="inlineStr">
        <is>
          <t>Công</t>
        </is>
      </c>
      <c r="E37" s="65" t="inlineStr">
        <is>
          <t>26/05/2007</t>
        </is>
      </c>
      <c r="F37" s="66" t="inlineStr">
        <is>
          <t>LNH0925ND01</t>
        </is>
      </c>
      <c r="G37" s="90" t="n">
        <v>1000000</v>
      </c>
      <c r="H37" s="65" t="n"/>
      <c r="I37" s="65" t="n"/>
      <c r="J37" s="65" t="n"/>
      <c r="K37" s="65" t="n"/>
      <c r="L37" s="65" t="n"/>
      <c r="M37" s="65" t="n"/>
      <c r="N37" s="65" t="n"/>
      <c r="O37" s="65" t="n"/>
      <c r="P37" s="65" t="n"/>
      <c r="Q37" s="65" t="n"/>
      <c r="R37" s="65" t="n"/>
      <c r="S37" s="92">
        <f>G37-I37-R37-K37-M37-O37-Q37</f>
        <v/>
      </c>
      <c r="T37" s="92" t="inlineStr"/>
      <c r="U37" s="92" t="inlineStr"/>
      <c r="V37" s="69">
        <f>G37-SUM(I37,K37,M37,O37,Q37,U37)</f>
        <v/>
      </c>
      <c r="W37" s="65" t="n"/>
      <c r="X37" t="inlineStr">
        <is>
          <t>Khớp</t>
        </is>
      </c>
    </row>
    <row r="38">
      <c r="A38" s="65" t="n">
        <v>29</v>
      </c>
      <c r="B38" s="65" t="inlineStr">
        <is>
          <t>25801100062</t>
        </is>
      </c>
      <c r="C38" s="65" t="inlineStr">
        <is>
          <t>Phạm Nhật</t>
        </is>
      </c>
      <c r="D38" s="65" t="inlineStr">
        <is>
          <t>Thiên</t>
        </is>
      </c>
      <c r="E38" s="65" t="inlineStr">
        <is>
          <t>10/08/2007</t>
        </is>
      </c>
      <c r="F38" s="66" t="inlineStr">
        <is>
          <t>LNH0925ND01</t>
        </is>
      </c>
      <c r="G38" s="90" t="n">
        <v>8415000</v>
      </c>
      <c r="H38" s="65">
        <f>VLOOKUP(B38,'[1]TONG HOP'!B$5:G$624,6,0)</f>
        <v/>
      </c>
      <c r="I38" s="65" t="n">
        <v>2103750</v>
      </c>
      <c r="J38" s="65" t="n"/>
      <c r="K38" s="65" t="n"/>
      <c r="L38" s="65">
        <f>VLOOKUP(B38,'[2]DS THANG 11'!A$3:E$616,5,0)</f>
        <v/>
      </c>
      <c r="M38" s="65" t="n">
        <v>2103750</v>
      </c>
      <c r="N38" s="65" t="n"/>
      <c r="O38" s="65" t="n"/>
      <c r="P38" s="65">
        <f>VLOOKUP(B38,'[3]TONG HOP '!B$5:O$666,14,0)</f>
        <v/>
      </c>
      <c r="Q38" s="65" t="n">
        <v>2103750</v>
      </c>
      <c r="R38" s="65" t="n"/>
      <c r="S38" s="92">
        <f>G38-I38-R38-K38-M38-O38-Q38</f>
        <v/>
      </c>
      <c r="T38" s="92" t="inlineStr">
        <is>
          <t>LNH0526NQ11</t>
        </is>
      </c>
      <c r="U38" s="92" t="n">
        <v>2103750</v>
      </c>
      <c r="V38" s="69">
        <f>G38-SUM(I38,K38,M38,O38,Q38,U38)</f>
        <v/>
      </c>
      <c r="W38" s="65" t="n"/>
      <c r="X38" t="inlineStr">
        <is>
          <t>Khớp</t>
        </is>
      </c>
    </row>
    <row r="39">
      <c r="A39" s="65" t="n">
        <v>30</v>
      </c>
      <c r="B39" s="65" t="inlineStr">
        <is>
          <t>25808600065</t>
        </is>
      </c>
      <c r="C39" s="65" t="inlineStr">
        <is>
          <t>Nguyễn Trà</t>
        </is>
      </c>
      <c r="D39" s="65" t="inlineStr">
        <is>
          <t>My</t>
        </is>
      </c>
      <c r="E39" s="65" t="inlineStr">
        <is>
          <t>13/05/2007</t>
        </is>
      </c>
      <c r="F39" s="66" t="inlineStr">
        <is>
          <t>LNH0925ND01</t>
        </is>
      </c>
      <c r="G39" s="90" t="n">
        <v>8415000</v>
      </c>
      <c r="H39" s="65">
        <f>VLOOKUP(B39,'[1]TONG HOP'!B$5:G$624,6,0)</f>
        <v/>
      </c>
      <c r="I39" s="65" t="n">
        <v>2103750</v>
      </c>
      <c r="J39" s="65" t="n"/>
      <c r="K39" s="65" t="n"/>
      <c r="L39" s="65">
        <f>VLOOKUP(B39,'[2]DS THANG 11'!A$3:E$616,5,0)</f>
        <v/>
      </c>
      <c r="M39" s="65" t="n">
        <v>2103750</v>
      </c>
      <c r="N39" s="65" t="n"/>
      <c r="O39" s="65" t="n"/>
      <c r="P39" s="65">
        <f>VLOOKUP(B39,'[3]TONG HOP '!B$5:O$666,14,0)</f>
        <v/>
      </c>
      <c r="Q39" s="65" t="n">
        <v>2103750</v>
      </c>
      <c r="R39" s="65" t="n"/>
      <c r="S39" s="92">
        <f>G39-I39-R39-K39-M39-O39-Q39</f>
        <v/>
      </c>
      <c r="T39" s="92" t="inlineStr"/>
      <c r="U39" s="92" t="inlineStr"/>
      <c r="V39" s="69">
        <f>G39-SUM(I39,K39,M39,O39,Q39,U39)</f>
        <v/>
      </c>
      <c r="W39" s="65" t="n"/>
      <c r="X39" t="inlineStr">
        <is>
          <t>Khớp</t>
        </is>
      </c>
    </row>
    <row r="40">
      <c r="A40" s="65" t="n">
        <v>31</v>
      </c>
      <c r="B40" s="65" t="inlineStr">
        <is>
          <t>25802700127</t>
        </is>
      </c>
      <c r="C40" s="65" t="inlineStr">
        <is>
          <t>Lê Xuân</t>
        </is>
      </c>
      <c r="D40" s="65" t="inlineStr">
        <is>
          <t>Hưng</t>
        </is>
      </c>
      <c r="E40" s="65" t="inlineStr">
        <is>
          <t>20/06/2007</t>
        </is>
      </c>
      <c r="F40" s="66" t="inlineStr">
        <is>
          <t>LNH0925ND01</t>
        </is>
      </c>
      <c r="G40" s="90" t="n">
        <v>8415000</v>
      </c>
      <c r="H40" s="65">
        <f>VLOOKUP(B40,'[1]TONG HOP'!B$5:G$624,6,0)</f>
        <v/>
      </c>
      <c r="I40" s="65" t="n">
        <v>2103750</v>
      </c>
      <c r="J40" s="65" t="n"/>
      <c r="K40" s="65" t="n"/>
      <c r="L40" s="65">
        <f>VLOOKUP(B40,'[2]DS THANG 11'!A$3:E$616,5,0)</f>
        <v/>
      </c>
      <c r="M40" s="65" t="n">
        <v>2103750</v>
      </c>
      <c r="N40" s="65" t="n"/>
      <c r="O40" s="65" t="n"/>
      <c r="P40" s="65">
        <f>VLOOKUP(B40,'[3]TONG HOP '!B$5:O$666,14,0)</f>
        <v/>
      </c>
      <c r="Q40" s="65" t="n">
        <v>2103750</v>
      </c>
      <c r="R40" s="65" t="n"/>
      <c r="S40" s="92">
        <f>G40-I40-R40-K40-M40-O40-Q40</f>
        <v/>
      </c>
      <c r="T40" s="92" t="inlineStr"/>
      <c r="U40" s="92" t="inlineStr"/>
      <c r="V40" s="69">
        <f>G40-SUM(I40,K40,M40,O40,Q40,U40)</f>
        <v/>
      </c>
      <c r="W40" s="65" t="n"/>
      <c r="X40" t="inlineStr">
        <is>
          <t>Khớp</t>
        </is>
      </c>
    </row>
    <row r="41">
      <c r="A41" s="65" t="n">
        <v>32</v>
      </c>
      <c r="B41" s="65" t="inlineStr">
        <is>
          <t>25802800205</t>
        </is>
      </c>
      <c r="C41" s="65" t="inlineStr">
        <is>
          <t>Phùng Thế</t>
        </is>
      </c>
      <c r="D41" s="65" t="inlineStr">
        <is>
          <t>Phong</t>
        </is>
      </c>
      <c r="E41" s="65" t="inlineStr">
        <is>
          <t>24/12/2007</t>
        </is>
      </c>
      <c r="F41" s="66" t="inlineStr">
        <is>
          <t>LNH0925ND01</t>
        </is>
      </c>
      <c r="G41" s="90" t="n">
        <v>8415000</v>
      </c>
      <c r="H41" s="65" t="n"/>
      <c r="I41" s="65" t="n"/>
      <c r="J41" s="65">
        <f>VLOOKUP(B41,[5]Sheet1!A$3:E$32,5,0)</f>
        <v/>
      </c>
      <c r="K41" s="65" t="n">
        <v>2103750</v>
      </c>
      <c r="L41" s="65" t="n"/>
      <c r="M41" s="65" t="n"/>
      <c r="N41" s="65" t="n"/>
      <c r="O41" s="65" t="n"/>
      <c r="P41" s="65">
        <f>VLOOKUP(B41,'[3]TONG HOP '!B$5:O$666,14,0)</f>
        <v/>
      </c>
      <c r="Q41" s="65" t="n">
        <v>2103750</v>
      </c>
      <c r="R41" s="65" t="n"/>
      <c r="S41" s="92">
        <f>G41-I41-R41-K41-M41-O41-Q41</f>
        <v/>
      </c>
      <c r="T41" s="92" t="inlineStr"/>
      <c r="U41" s="92" t="inlineStr"/>
      <c r="V41" s="69">
        <f>G41-SUM(I41,K41,M41,O41,Q41,U41)</f>
        <v/>
      </c>
      <c r="W41" s="65" t="n"/>
      <c r="X41" t="inlineStr">
        <is>
          <t>Khớp</t>
        </is>
      </c>
    </row>
    <row r="42">
      <c r="A42" s="65" t="n">
        <v>33</v>
      </c>
      <c r="B42" s="65" t="inlineStr">
        <is>
          <t>25802600109</t>
        </is>
      </c>
      <c r="C42" s="65" t="inlineStr">
        <is>
          <t>Ngô Tâm</t>
        </is>
      </c>
      <c r="D42" s="65" t="inlineStr">
        <is>
          <t>Thanh</t>
        </is>
      </c>
      <c r="E42" s="65" t="inlineStr">
        <is>
          <t>12/07/2007</t>
        </is>
      </c>
      <c r="F42" s="66" t="inlineStr">
        <is>
          <t>LNH0925ND01</t>
        </is>
      </c>
      <c r="G42" s="90" t="n">
        <v>4465000</v>
      </c>
      <c r="H42" s="65">
        <f>VLOOKUP(B42,'[1]TONG HOP'!B$5:G$624,6,0)</f>
        <v/>
      </c>
      <c r="I42" s="65" t="n">
        <v>2232500</v>
      </c>
      <c r="J42" s="65" t="n"/>
      <c r="K42" s="65" t="n"/>
      <c r="L42" s="65">
        <f>VLOOKUP(B42,'[2]DS THANG 11'!A$3:E$616,5,0)</f>
        <v/>
      </c>
      <c r="M42" s="65" t="n">
        <v>2232500</v>
      </c>
      <c r="N42" s="65" t="n"/>
      <c r="O42" s="65" t="n"/>
      <c r="P42" s="65" t="n"/>
      <c r="Q42" s="65" t="n"/>
      <c r="R42" s="65" t="n"/>
      <c r="S42" s="92">
        <f>G42-I42-R42-K42-M42-O42-Q42</f>
        <v/>
      </c>
      <c r="T42" s="92" t="inlineStr"/>
      <c r="U42" s="92" t="inlineStr"/>
      <c r="V42" s="69">
        <f>G42-SUM(I42,K42,M42,O42,Q42,U42)</f>
        <v/>
      </c>
      <c r="W42" s="65" t="n"/>
      <c r="X42" t="inlineStr">
        <is>
          <t>Khớp</t>
        </is>
      </c>
    </row>
    <row r="43">
      <c r="A43" s="65" t="n">
        <v>34</v>
      </c>
      <c r="B43" s="65" t="inlineStr">
        <is>
          <t>25802800160</t>
        </is>
      </c>
      <c r="C43" s="65" t="inlineStr">
        <is>
          <t>Cao Nguyễn Yến</t>
        </is>
      </c>
      <c r="D43" s="65" t="inlineStr">
        <is>
          <t>Ngọc</t>
        </is>
      </c>
      <c r="E43" s="65" t="inlineStr">
        <is>
          <t>05/01/2007</t>
        </is>
      </c>
      <c r="F43" s="66" t="inlineStr">
        <is>
          <t>LNH0925ND01</t>
        </is>
      </c>
      <c r="G43" s="90" t="n">
        <v>8415000</v>
      </c>
      <c r="H43" s="65" t="n"/>
      <c r="I43" s="65" t="n"/>
      <c r="J43" s="65">
        <f>VLOOKUP(B43,[5]Sheet1!A$3:E$32,5,0)</f>
        <v/>
      </c>
      <c r="K43" s="65" t="n">
        <v>2103750</v>
      </c>
      <c r="L43" s="65">
        <f>VLOOKUP(B43,'[2]DS THANG 11'!A$3:E$616,5,0)</f>
        <v/>
      </c>
      <c r="M43" s="65" t="n">
        <v>2103750</v>
      </c>
      <c r="N43" s="65" t="n"/>
      <c r="O43" s="65" t="n"/>
      <c r="P43" s="65">
        <f>VLOOKUP(B43,'[3]TONG HOP '!B$5:O$666,14,0)</f>
        <v/>
      </c>
      <c r="Q43" s="65" t="n">
        <v>2103750</v>
      </c>
      <c r="R43" s="65" t="n"/>
      <c r="S43" s="92">
        <f>G43-I43-R43-K43-M43-O43-Q43</f>
        <v/>
      </c>
      <c r="T43" s="92" t="inlineStr"/>
      <c r="U43" s="92" t="inlineStr"/>
      <c r="V43" s="69">
        <f>G43-SUM(I43,K43,M43,O43,Q43,U43)</f>
        <v/>
      </c>
      <c r="W43" s="65" t="n"/>
      <c r="X43" t="inlineStr">
        <is>
          <t>Khớp</t>
        </is>
      </c>
    </row>
    <row r="44">
      <c r="A44" s="65" t="n">
        <v>35</v>
      </c>
      <c r="B44" s="65" t="inlineStr">
        <is>
          <t>25820700030</t>
        </is>
      </c>
      <c r="C44" s="65" t="inlineStr">
        <is>
          <t>Trần Minh</t>
        </is>
      </c>
      <c r="D44" s="65" t="inlineStr">
        <is>
          <t>Phát</t>
        </is>
      </c>
      <c r="E44" s="65" t="inlineStr">
        <is>
          <t>06/03/2007</t>
        </is>
      </c>
      <c r="F44" s="66" t="inlineStr">
        <is>
          <t>LNH0925ND01</t>
        </is>
      </c>
      <c r="G44" s="90" t="n">
        <v>1000000</v>
      </c>
      <c r="H44" s="65" t="n"/>
      <c r="I44" s="65" t="n"/>
      <c r="J44" s="65" t="n"/>
      <c r="K44" s="65" t="n"/>
      <c r="L44" s="65" t="n"/>
      <c r="M44" s="65" t="n"/>
      <c r="N44" s="65" t="n"/>
      <c r="O44" s="65" t="n"/>
      <c r="P44" s="65" t="n"/>
      <c r="Q44" s="65" t="n"/>
      <c r="R44" s="65" t="n"/>
      <c r="S44" s="92">
        <f>G44-I44-R44-K44-M44-O44-Q44</f>
        <v/>
      </c>
      <c r="T44" s="92" t="inlineStr"/>
      <c r="U44" s="92" t="inlineStr"/>
      <c r="V44" s="69">
        <f>G44-SUM(I44,K44,M44,O44,Q44,U44)</f>
        <v/>
      </c>
      <c r="W44" s="65" t="n"/>
      <c r="X44" t="inlineStr">
        <is>
          <t>Khớp</t>
        </is>
      </c>
    </row>
    <row r="45">
      <c r="A45" s="65" t="n">
        <v>36</v>
      </c>
      <c r="B45" s="65" t="inlineStr">
        <is>
          <t>25807500079</t>
        </is>
      </c>
      <c r="C45" s="65" t="inlineStr">
        <is>
          <t>Lê Thảo Hạnh</t>
        </is>
      </c>
      <c r="D45" s="65" t="inlineStr">
        <is>
          <t>Nguyên</t>
        </is>
      </c>
      <c r="E45" s="65" t="inlineStr">
        <is>
          <t>23/12/2007</t>
        </is>
      </c>
      <c r="F45" s="66" t="inlineStr">
        <is>
          <t>LNH0925ND01</t>
        </is>
      </c>
      <c r="G45" s="90" t="n">
        <v>8415000</v>
      </c>
      <c r="H45" s="65">
        <f>VLOOKUP(B45,'[1]TONG HOP'!B$5:G$624,6,0)</f>
        <v/>
      </c>
      <c r="I45" s="65" t="n">
        <v>2103750</v>
      </c>
      <c r="J45" s="65" t="n"/>
      <c r="K45" s="65" t="n"/>
      <c r="L45" s="65" t="n"/>
      <c r="M45" s="65" t="n"/>
      <c r="N45" s="65" t="n"/>
      <c r="O45" s="65" t="n"/>
      <c r="P45" s="65">
        <f>VLOOKUP(B45,'[3]TONG HOP '!B$5:O$666,14,0)</f>
        <v/>
      </c>
      <c r="Q45" s="65" t="n">
        <v>2103750</v>
      </c>
      <c r="R45" s="65" t="n">
        <v>1005000</v>
      </c>
      <c r="S45" s="92">
        <f>G45-I45-R45-K45-M45-O45-Q45</f>
        <v/>
      </c>
      <c r="T45" s="92" t="inlineStr">
        <is>
          <t>LNH0526NQ03</t>
        </is>
      </c>
      <c r="U45" s="92" t="n">
        <v>2103750</v>
      </c>
      <c r="V45" s="69">
        <f>G45-SUM(I45,K45,M45,O45,Q45,U45)</f>
        <v/>
      </c>
      <c r="W45" s="65" t="inlineStr">
        <is>
          <t>Chuyển sang EDU - Đạt HB theo tờ trình 462 ngày 11/11/25 - giảm HB Level 1 - 2.1tr</t>
        </is>
      </c>
      <c r="X45" t="inlineStr">
        <is>
          <t>Khớp</t>
        </is>
      </c>
    </row>
    <row r="46">
      <c r="A46" s="65" t="n">
        <v>37</v>
      </c>
      <c r="B46" s="65" t="inlineStr">
        <is>
          <t>25803800039</t>
        </is>
      </c>
      <c r="C46" s="65" t="inlineStr">
        <is>
          <t>Lâm Đinh Bảo</t>
        </is>
      </c>
      <c r="D46" s="65" t="inlineStr">
        <is>
          <t>Nghi</t>
        </is>
      </c>
      <c r="E46" s="65" t="inlineStr">
        <is>
          <t>01/11/2007</t>
        </is>
      </c>
      <c r="F46" s="66" t="inlineStr">
        <is>
          <t>LNH0925ND01</t>
        </is>
      </c>
      <c r="G46" s="90" t="n">
        <v>8415000</v>
      </c>
      <c r="H46" s="65">
        <f>VLOOKUP(B46,'[1]TONG HOP'!B$5:G$624,6,0)</f>
        <v/>
      </c>
      <c r="I46" s="65" t="n">
        <v>2103750</v>
      </c>
      <c r="J46" s="65" t="n"/>
      <c r="K46" s="65" t="n"/>
      <c r="L46" s="65">
        <f>VLOOKUP(B46,'[2]DS THANG 11'!A$3:E$616,5,0)</f>
        <v/>
      </c>
      <c r="M46" s="65" t="n">
        <v>2103750</v>
      </c>
      <c r="N46" s="65" t="n"/>
      <c r="O46" s="65" t="n"/>
      <c r="P46" s="65">
        <f>VLOOKUP(B46,'[3]TONG HOP '!B$5:O$666,14,0)</f>
        <v/>
      </c>
      <c r="Q46" s="65" t="n">
        <v>2103750</v>
      </c>
      <c r="R46" s="65" t="n"/>
      <c r="S46" s="92">
        <f>G46-I46-R46-K46-M46-O46-Q46</f>
        <v/>
      </c>
      <c r="T46" s="92" t="inlineStr">
        <is>
          <t>LNH0526NQ13</t>
        </is>
      </c>
      <c r="U46" s="92" t="n">
        <v>2103750</v>
      </c>
      <c r="V46" s="69">
        <f>G46-SUM(I46,K46,M46,O46,Q46,U46)</f>
        <v/>
      </c>
      <c r="W46" s="65" t="n"/>
      <c r="X46" t="inlineStr">
        <is>
          <t>Khớp</t>
        </is>
      </c>
    </row>
    <row r="47">
      <c r="A47" s="65" t="n">
        <v>38</v>
      </c>
      <c r="B47" s="65" t="inlineStr">
        <is>
          <t>25801100079</t>
        </is>
      </c>
      <c r="C47" s="65" t="inlineStr">
        <is>
          <t>Trần Thị Bích</t>
        </is>
      </c>
      <c r="D47" s="65" t="inlineStr">
        <is>
          <t>Tuyền</t>
        </is>
      </c>
      <c r="E47" s="65" t="inlineStr">
        <is>
          <t>23/05/2007</t>
        </is>
      </c>
      <c r="F47" s="66" t="inlineStr">
        <is>
          <t>LNH0925ND01</t>
        </is>
      </c>
      <c r="G47" s="90" t="n">
        <v>8415000</v>
      </c>
      <c r="H47" s="65" t="n"/>
      <c r="I47" s="65" t="n"/>
      <c r="J47" s="65" t="n"/>
      <c r="K47" s="65" t="n"/>
      <c r="L47" s="65">
        <f>VLOOKUP(B47,'[2]DS THANG 11'!A$3:E$616,5,0)</f>
        <v/>
      </c>
      <c r="M47" s="65" t="n">
        <v>2103750</v>
      </c>
      <c r="N47" s="65" t="n"/>
      <c r="O47" s="65" t="n"/>
      <c r="P47" s="65">
        <f>VLOOKUP(B47,'[3]TONG HOP '!B$5:O$666,14,0)</f>
        <v/>
      </c>
      <c r="Q47" s="65" t="n">
        <v>2103750</v>
      </c>
      <c r="R47" s="65" t="n"/>
      <c r="S47" s="92">
        <f>G47-I47-R47-K47-M47-O47-Q47</f>
        <v/>
      </c>
      <c r="T47" s="92" t="inlineStr"/>
      <c r="U47" s="92" t="inlineStr"/>
      <c r="V47" s="69">
        <f>G47-SUM(I47,K47,M47,O47,Q47,U47)</f>
        <v/>
      </c>
      <c r="W47" s="65" t="n"/>
      <c r="X47" t="inlineStr">
        <is>
          <t>Khớp</t>
        </is>
      </c>
    </row>
    <row r="48">
      <c r="A48" s="65" t="n">
        <v>39</v>
      </c>
      <c r="B48" s="65" t="inlineStr">
        <is>
          <t>25807800024</t>
        </is>
      </c>
      <c r="C48" s="65" t="inlineStr">
        <is>
          <t>Hồ Minh</t>
        </is>
      </c>
      <c r="D48" s="65" t="inlineStr">
        <is>
          <t>Duy</t>
        </is>
      </c>
      <c r="E48" s="65" t="inlineStr">
        <is>
          <t>19/01/2007</t>
        </is>
      </c>
      <c r="F48" s="66" t="inlineStr">
        <is>
          <t>LNH0925ND01</t>
        </is>
      </c>
      <c r="G48" s="90" t="n">
        <v>2100000</v>
      </c>
      <c r="H48" s="65">
        <f>VLOOKUP(B48,'[1]TONG HOP'!B$5:G$624,6,0)</f>
        <v/>
      </c>
      <c r="I48" s="65" t="n">
        <v>2100000</v>
      </c>
      <c r="J48" s="65" t="n"/>
      <c r="K48" s="65" t="n"/>
      <c r="L48" s="65" t="n"/>
      <c r="M48" s="65" t="n"/>
      <c r="N48" s="65" t="n"/>
      <c r="O48" s="65" t="n"/>
      <c r="P48" s="65" t="n"/>
      <c r="Q48" s="65" t="n"/>
      <c r="R48" s="65" t="n"/>
      <c r="S48" s="92">
        <f>G48-I48-R48-K48-M48-O48-Q48</f>
        <v/>
      </c>
      <c r="T48" s="92" t="inlineStr"/>
      <c r="U48" s="92" t="inlineStr"/>
      <c r="V48" s="69">
        <f>G48-SUM(I48,K48,M48,O48,Q48,U48)</f>
        <v/>
      </c>
      <c r="W48" s="65" t="n"/>
      <c r="X48" t="inlineStr">
        <is>
          <t>Khớp</t>
        </is>
      </c>
    </row>
    <row r="49">
      <c r="A49" s="65" t="n">
        <v>40</v>
      </c>
      <c r="B49" s="65" t="inlineStr">
        <is>
          <t>25808200070</t>
        </is>
      </c>
      <c r="C49" s="65" t="inlineStr">
        <is>
          <t>Trần Minh</t>
        </is>
      </c>
      <c r="D49" s="65" t="inlineStr">
        <is>
          <t>Khoa</t>
        </is>
      </c>
      <c r="E49" s="65" t="inlineStr">
        <is>
          <t>20/12/2007</t>
        </is>
      </c>
      <c r="F49" s="66" t="inlineStr">
        <is>
          <t>LNH0925ND01</t>
        </is>
      </c>
      <c r="G49" s="90" t="n">
        <v>8415000</v>
      </c>
      <c r="H49" s="65">
        <f>VLOOKUP(B49,'[1]TONG HOP'!B$5:G$624,6,0)</f>
        <v/>
      </c>
      <c r="I49" s="65" t="n">
        <v>2103750</v>
      </c>
      <c r="J49" s="65" t="n"/>
      <c r="K49" s="65" t="n"/>
      <c r="L49" s="65">
        <f>VLOOKUP(B49,'[2]DS THANG 11'!A$3:E$616,5,0)</f>
        <v/>
      </c>
      <c r="M49" s="65" t="n">
        <v>2103750</v>
      </c>
      <c r="N49" s="65" t="n"/>
      <c r="O49" s="65" t="n"/>
      <c r="P49" s="65">
        <f>VLOOKUP(B49,'[3]TONG HOP '!B$5:O$666,14,0)</f>
        <v/>
      </c>
      <c r="Q49" s="65" t="n">
        <v>2103750</v>
      </c>
      <c r="R49" s="65" t="n"/>
      <c r="S49" s="92">
        <f>G49-I49-R49-K49-M49-O49-Q49</f>
        <v/>
      </c>
      <c r="T49" s="92" t="inlineStr">
        <is>
          <t>LNH0526NQ17</t>
        </is>
      </c>
      <c r="U49" s="92" t="n">
        <v>2103750</v>
      </c>
      <c r="V49" s="69">
        <f>G49-SUM(I49,K49,M49,O49,Q49,U49)</f>
        <v/>
      </c>
      <c r="W49" s="65" t="n"/>
      <c r="X49" t="inlineStr">
        <is>
          <t>Khớp</t>
        </is>
      </c>
    </row>
    <row r="50">
      <c r="A50" s="65" t="n">
        <v>41</v>
      </c>
      <c r="B50" s="65" t="inlineStr">
        <is>
          <t>25801800081</t>
        </is>
      </c>
      <c r="C50" s="65" t="inlineStr">
        <is>
          <t>Võ Thị Ngọc</t>
        </is>
      </c>
      <c r="D50" s="65" t="inlineStr">
        <is>
          <t>Trâm</t>
        </is>
      </c>
      <c r="E50" s="65" t="inlineStr">
        <is>
          <t>28/01/2006</t>
        </is>
      </c>
      <c r="F50" s="66" t="inlineStr">
        <is>
          <t>LNH0925ND01</t>
        </is>
      </c>
      <c r="G50" s="90" t="n">
        <v>1000000</v>
      </c>
      <c r="H50" s="65" t="n"/>
      <c r="I50" s="65" t="n"/>
      <c r="J50" s="65" t="n"/>
      <c r="K50" s="65" t="n"/>
      <c r="L50" s="65" t="n"/>
      <c r="M50" s="65" t="n"/>
      <c r="N50" s="65" t="n"/>
      <c r="O50" s="65" t="n"/>
      <c r="P50" s="65" t="n"/>
      <c r="Q50" s="65" t="n"/>
      <c r="R50" s="65" t="n"/>
      <c r="S50" s="92">
        <f>G50-I50-R50-K50-M50-O50-Q50</f>
        <v/>
      </c>
      <c r="T50" s="92" t="inlineStr"/>
      <c r="U50" s="92" t="inlineStr"/>
      <c r="V50" s="69">
        <f>G50-SUM(I50,K50,M50,O50,Q50,U50)</f>
        <v/>
      </c>
      <c r="W50" s="65" t="n"/>
      <c r="X50" t="inlineStr">
        <is>
          <t>Khớp</t>
        </is>
      </c>
    </row>
    <row r="51">
      <c r="A51" s="65" t="n">
        <v>42</v>
      </c>
      <c r="B51" s="65" t="inlineStr">
        <is>
          <t>25801100042</t>
        </is>
      </c>
      <c r="C51" s="65" t="inlineStr">
        <is>
          <t>Nguyễn Trọng</t>
        </is>
      </c>
      <c r="D51" s="65" t="inlineStr">
        <is>
          <t>Nguyễn</t>
        </is>
      </c>
      <c r="E51" s="65" t="inlineStr">
        <is>
          <t>29/12/2007</t>
        </is>
      </c>
      <c r="F51" s="66" t="inlineStr">
        <is>
          <t>LNH0925ND01</t>
        </is>
      </c>
      <c r="G51" s="90" t="n">
        <v>8415000</v>
      </c>
      <c r="H51" s="65">
        <f>VLOOKUP(B51,'[1]TONG HOP'!B$5:G$624,6,0)</f>
        <v/>
      </c>
      <c r="I51" s="65" t="n">
        <v>2103750</v>
      </c>
      <c r="J51" s="65" t="n"/>
      <c r="K51" s="65" t="n"/>
      <c r="L51" s="65" t="n"/>
      <c r="M51" s="65" t="n"/>
      <c r="N51" s="65" t="n"/>
      <c r="O51" s="65" t="n"/>
      <c r="P51" s="65" t="n"/>
      <c r="Q51" s="65" t="n"/>
      <c r="R51" s="65" t="n"/>
      <c r="S51" s="92">
        <f>G51-I51-R51-K51-M51-O51-Q51</f>
        <v/>
      </c>
      <c r="T51" s="92" t="inlineStr"/>
      <c r="U51" s="92" t="inlineStr"/>
      <c r="V51" s="69">
        <f>G51-SUM(I51,K51,M51,O51,Q51,U51)</f>
        <v/>
      </c>
      <c r="W51" s="65" t="n"/>
      <c r="X51" t="inlineStr">
        <is>
          <t>Khớp</t>
        </is>
      </c>
    </row>
    <row r="52">
      <c r="A52" s="65" t="n">
        <v>43</v>
      </c>
      <c r="B52" s="65" t="inlineStr">
        <is>
          <t>25808600086</t>
        </is>
      </c>
      <c r="C52" s="65" t="inlineStr">
        <is>
          <t>Tạ Thị Tuyết</t>
        </is>
      </c>
      <c r="D52" s="65" t="inlineStr">
        <is>
          <t>Nhung</t>
        </is>
      </c>
      <c r="E52" s="65" t="inlineStr">
        <is>
          <t>22/05/2006</t>
        </is>
      </c>
      <c r="F52" s="66" t="inlineStr">
        <is>
          <t>LNH0925ND01</t>
        </is>
      </c>
      <c r="G52" s="90" t="n">
        <v>8415000</v>
      </c>
      <c r="H52" s="65">
        <f>VLOOKUP(B52,'[1]TONG HOP'!B$5:G$624,6,0)</f>
        <v/>
      </c>
      <c r="I52" s="65" t="n">
        <v>2103750</v>
      </c>
      <c r="J52" s="65" t="n"/>
      <c r="K52" s="65" t="n"/>
      <c r="L52" s="65">
        <f>VLOOKUP(B52,'[2]DS THANG 11'!A$3:E$616,5,0)</f>
        <v/>
      </c>
      <c r="M52" s="65" t="n">
        <v>2103750</v>
      </c>
      <c r="N52" s="65" t="n"/>
      <c r="O52" s="65" t="n"/>
      <c r="P52" s="65">
        <f>VLOOKUP(B52,'[3]TONG HOP '!B$5:O$666,14,0)</f>
        <v/>
      </c>
      <c r="Q52" s="65" t="n">
        <v>2103750</v>
      </c>
      <c r="R52" s="65" t="n"/>
      <c r="S52" s="92">
        <f>G52-I52-R52-K52-M52-O52-Q52</f>
        <v/>
      </c>
      <c r="T52" s="92" t="inlineStr"/>
      <c r="U52" s="92" t="inlineStr"/>
      <c r="V52" s="69">
        <f>G52-SUM(I52,K52,M52,O52,Q52,U52)</f>
        <v/>
      </c>
      <c r="W52" s="65" t="n"/>
      <c r="X52" t="inlineStr">
        <is>
          <t>Khớp</t>
        </is>
      </c>
    </row>
    <row r="53">
      <c r="A53" s="65" t="n">
        <v>44</v>
      </c>
      <c r="B53" s="65" t="inlineStr">
        <is>
          <t>25807900008</t>
        </is>
      </c>
      <c r="C53" s="65" t="inlineStr">
        <is>
          <t>Võ Khắc</t>
        </is>
      </c>
      <c r="D53" s="65" t="inlineStr">
        <is>
          <t>Duy</t>
        </is>
      </c>
      <c r="E53" s="65" t="inlineStr">
        <is>
          <t>01/06/2007</t>
        </is>
      </c>
      <c r="F53" s="66" t="inlineStr">
        <is>
          <t>LNH0925ND01</t>
        </is>
      </c>
      <c r="G53" s="90" t="n">
        <v>8415000</v>
      </c>
      <c r="H53" s="65">
        <f>VLOOKUP(B53,'[1]TONG HOP'!B$5:G$624,6,0)</f>
        <v/>
      </c>
      <c r="I53" s="65" t="n">
        <v>2103750</v>
      </c>
      <c r="J53" s="65" t="n"/>
      <c r="K53" s="65" t="n"/>
      <c r="L53" s="65" t="n"/>
      <c r="M53" s="65" t="n"/>
      <c r="N53" s="65" t="n"/>
      <c r="O53" s="65" t="n"/>
      <c r="P53" s="65" t="n"/>
      <c r="Q53" s="65" t="n"/>
      <c r="R53" s="65" t="n"/>
      <c r="S53" s="92">
        <f>G53-I53-R53-K53-M53-O53-Q53</f>
        <v/>
      </c>
      <c r="T53" s="92" t="inlineStr"/>
      <c r="U53" s="92" t="inlineStr"/>
      <c r="V53" s="69">
        <f>G53-SUM(I53,K53,M53,O53,Q53,U53)</f>
        <v/>
      </c>
      <c r="W53" s="65" t="n"/>
      <c r="X53" t="inlineStr">
        <is>
          <t>Khớp</t>
        </is>
      </c>
    </row>
    <row r="54">
      <c r="A54" s="65" t="n">
        <v>45</v>
      </c>
      <c r="B54" s="65" t="inlineStr">
        <is>
          <t>25805800009</t>
        </is>
      </c>
      <c r="C54" s="65" t="inlineStr">
        <is>
          <t>Vũ Hải</t>
        </is>
      </c>
      <c r="D54" s="65" t="inlineStr">
        <is>
          <t>Hà</t>
        </is>
      </c>
      <c r="E54" s="65" t="inlineStr">
        <is>
          <t>12/11/2007</t>
        </is>
      </c>
      <c r="F54" s="66" t="inlineStr">
        <is>
          <t>LNH0925ND01</t>
        </is>
      </c>
      <c r="G54" s="90" t="n">
        <v>8415000</v>
      </c>
      <c r="H54" s="65">
        <f>VLOOKUP(B54,'[1]TONG HOP'!B$5:G$624,6,0)</f>
        <v/>
      </c>
      <c r="I54" s="65" t="n">
        <v>2103750</v>
      </c>
      <c r="J54" s="65" t="n"/>
      <c r="K54" s="65" t="n"/>
      <c r="L54" s="65">
        <f>VLOOKUP(B54,'[2]DS THANG 11'!A$3:E$616,5,0)</f>
        <v/>
      </c>
      <c r="M54" s="65" t="n">
        <v>2103750</v>
      </c>
      <c r="N54" s="65" t="n"/>
      <c r="O54" s="65" t="n"/>
      <c r="P54" s="65">
        <f>VLOOKUP(B54,'[3]TONG HOP '!B$5:O$666,14,0)</f>
        <v/>
      </c>
      <c r="Q54" s="65" t="n">
        <v>2103750</v>
      </c>
      <c r="R54" s="65" t="n"/>
      <c r="S54" s="92">
        <f>G54-I54-R54-K54-M54-O54-Q54</f>
        <v/>
      </c>
      <c r="T54" s="92" t="inlineStr">
        <is>
          <t>LNH0526NQ07</t>
        </is>
      </c>
      <c r="U54" s="92" t="n">
        <v>2103750</v>
      </c>
      <c r="V54" s="69">
        <f>G54-SUM(I54,K54,M54,O54,Q54,U54)</f>
        <v/>
      </c>
      <c r="W54" s="65" t="n"/>
      <c r="X54" t="inlineStr">
        <is>
          <t>Khớp</t>
        </is>
      </c>
    </row>
    <row r="55">
      <c r="A55" s="65" t="n">
        <v>46</v>
      </c>
      <c r="B55" s="65" t="inlineStr">
        <is>
          <t>25802600110</t>
        </is>
      </c>
      <c r="C55" s="65" t="inlineStr">
        <is>
          <t>Nguyễn Trần Nhật</t>
        </is>
      </c>
      <c r="D55" s="65" t="inlineStr">
        <is>
          <t>Thanh</t>
        </is>
      </c>
      <c r="E55" s="65" t="inlineStr">
        <is>
          <t>28/06/2007</t>
        </is>
      </c>
      <c r="F55" s="66" t="inlineStr">
        <is>
          <t>LNH0925ND01</t>
        </is>
      </c>
      <c r="G55" s="90">
        <f>8000000+415000</f>
        <v/>
      </c>
      <c r="H55" s="65">
        <f>VLOOKUP(B55,'[1]TONG HOP'!B$5:G$624,6,0)</f>
        <v/>
      </c>
      <c r="I55" s="65" t="n">
        <v>2103750</v>
      </c>
      <c r="J55" s="65" t="n"/>
      <c r="K55" s="65" t="n"/>
      <c r="L55" s="65">
        <f>VLOOKUP(B55,'[2]DS THANG 11'!A$3:E$616,5,0)</f>
        <v/>
      </c>
      <c r="M55" s="65" t="n">
        <v>2103750</v>
      </c>
      <c r="N55" s="65" t="n"/>
      <c r="O55" s="65" t="n"/>
      <c r="P55" s="65">
        <f>VLOOKUP(B55,'[3]TONG HOP '!B$5:O$666,14,0)</f>
        <v/>
      </c>
      <c r="Q55" s="65" t="n">
        <v>2103750</v>
      </c>
      <c r="R55" s="65" t="n"/>
      <c r="S55" s="92">
        <f>G55-I55-R55-K55-M55-O55-Q55</f>
        <v/>
      </c>
      <c r="T55" s="92" t="inlineStr"/>
      <c r="U55" s="92" t="inlineStr"/>
      <c r="V55" s="69">
        <f>G55-SUM(I55,K55,M55,O55,Q55,U55)</f>
        <v/>
      </c>
      <c r="W55" s="65" t="n"/>
      <c r="X55" t="inlineStr">
        <is>
          <t>Khớp</t>
        </is>
      </c>
    </row>
    <row r="56">
      <c r="A56" s="65" t="n">
        <v>47</v>
      </c>
      <c r="B56" s="65" t="inlineStr">
        <is>
          <t>25800400110</t>
        </is>
      </c>
      <c r="C56" s="65" t="inlineStr">
        <is>
          <t>Lê Trung</t>
        </is>
      </c>
      <c r="D56" s="65" t="inlineStr">
        <is>
          <t>Nguyên</t>
        </is>
      </c>
      <c r="E56" s="65" t="inlineStr">
        <is>
          <t>12/08/2007</t>
        </is>
      </c>
      <c r="F56" s="66" t="inlineStr">
        <is>
          <t>LNH0925ND01</t>
        </is>
      </c>
      <c r="G56" s="90" t="n">
        <v>8415000</v>
      </c>
      <c r="H56" s="65">
        <f>VLOOKUP(B56,'[1]TONG HOP'!B$5:G$624,6,0)</f>
        <v/>
      </c>
      <c r="I56" s="65" t="n">
        <v>2103750</v>
      </c>
      <c r="J56" s="65" t="n"/>
      <c r="K56" s="65" t="n"/>
      <c r="L56" s="65">
        <f>VLOOKUP(B56,'[2]DS THANG 11'!A$3:E$616,5,0)</f>
        <v/>
      </c>
      <c r="M56" s="65" t="n">
        <v>2103750</v>
      </c>
      <c r="N56" s="65" t="n"/>
      <c r="O56" s="65" t="n"/>
      <c r="P56" s="65">
        <f>VLOOKUP(B56,'[3]TONG HOP '!B$5:O$666,14,0)</f>
        <v/>
      </c>
      <c r="Q56" s="65" t="n">
        <v>2103750</v>
      </c>
      <c r="R56" s="65" t="n"/>
      <c r="S56" s="92">
        <f>G56-I56-R56-K56-M56-O56-Q56</f>
        <v/>
      </c>
      <c r="T56" s="92" t="inlineStr"/>
      <c r="U56" s="92" t="inlineStr"/>
      <c r="V56" s="69">
        <f>G56-SUM(I56,K56,M56,O56,Q56,U56)</f>
        <v/>
      </c>
      <c r="W56" s="65" t="n"/>
      <c r="X56" t="inlineStr">
        <is>
          <t>Khớp</t>
        </is>
      </c>
    </row>
    <row r="57">
      <c r="A57" s="65" t="n">
        <v>48</v>
      </c>
      <c r="B57" s="65" t="inlineStr">
        <is>
          <t>25806000071</t>
        </is>
      </c>
      <c r="C57" s="65" t="inlineStr">
        <is>
          <t>Trần Gia</t>
        </is>
      </c>
      <c r="D57" s="65" t="inlineStr">
        <is>
          <t>Nghi</t>
        </is>
      </c>
      <c r="E57" s="65" t="inlineStr">
        <is>
          <t>12/06/2007</t>
        </is>
      </c>
      <c r="F57" s="66" t="inlineStr">
        <is>
          <t>LNH0925ND01</t>
        </is>
      </c>
      <c r="G57" s="90" t="n">
        <v>8415000</v>
      </c>
      <c r="H57" s="65">
        <f>VLOOKUP(B57,'[1]TONG HOP'!B$5:G$624,6,0)</f>
        <v/>
      </c>
      <c r="I57" s="65" t="n">
        <v>2103750</v>
      </c>
      <c r="J57" s="65" t="n"/>
      <c r="K57" s="65" t="n"/>
      <c r="L57" s="65">
        <f>VLOOKUP(B57,'[2]DS THANG 11'!A$3:E$616,5,0)</f>
        <v/>
      </c>
      <c r="M57" s="65" t="n">
        <v>2103750</v>
      </c>
      <c r="N57" s="65" t="n"/>
      <c r="O57" s="65" t="n"/>
      <c r="P57" s="65">
        <f>VLOOKUP(B57,'[3]TONG HOP '!B$5:O$666,14,0)</f>
        <v/>
      </c>
      <c r="Q57" s="65" t="n">
        <v>2103750</v>
      </c>
      <c r="R57" s="65" t="n"/>
      <c r="S57" s="92">
        <f>G57-I57-R57-K57-M57-O57-Q57</f>
        <v/>
      </c>
      <c r="T57" s="92" t="inlineStr">
        <is>
          <t>LNH0526NQ10</t>
        </is>
      </c>
      <c r="U57" s="92" t="n">
        <v>2103750</v>
      </c>
      <c r="V57" s="69">
        <f>G57-SUM(I57,K57,M57,O57,Q57,U57)</f>
        <v/>
      </c>
      <c r="W57" s="65" t="n"/>
      <c r="X57" t="inlineStr">
        <is>
          <t>Khớp</t>
        </is>
      </c>
    </row>
    <row r="58">
      <c r="A58" s="65" t="n">
        <v>49</v>
      </c>
      <c r="B58" s="65" t="inlineStr">
        <is>
          <t>25806800071</t>
        </is>
      </c>
      <c r="C58" s="65" t="inlineStr">
        <is>
          <t>Nguyễn Ngọc Anh</t>
        </is>
      </c>
      <c r="D58" s="65" t="inlineStr">
        <is>
          <t>Thùy</t>
        </is>
      </c>
      <c r="E58" s="65" t="inlineStr">
        <is>
          <t>12/03/2007</t>
        </is>
      </c>
      <c r="F58" s="66" t="inlineStr">
        <is>
          <t>LNH0925ND01</t>
        </is>
      </c>
      <c r="G58" s="90" t="n">
        <v>1000000</v>
      </c>
      <c r="H58" s="65" t="n"/>
      <c r="I58" s="65" t="n"/>
      <c r="J58" s="65" t="n"/>
      <c r="K58" s="65" t="n"/>
      <c r="L58" s="65" t="n"/>
      <c r="M58" s="65" t="n"/>
      <c r="N58" s="65" t="n"/>
      <c r="O58" s="65" t="n"/>
      <c r="P58" s="65" t="n"/>
      <c r="Q58" s="65" t="n"/>
      <c r="R58" s="65" t="n"/>
      <c r="S58" s="92">
        <f>G58-I58-R58-K58-M58-O58-Q58</f>
        <v/>
      </c>
      <c r="T58" s="92" t="inlineStr"/>
      <c r="U58" s="92" t="inlineStr"/>
      <c r="V58" s="69">
        <f>G58-SUM(I58,K58,M58,O58,Q58,U58)</f>
        <v/>
      </c>
      <c r="W58" s="65" t="n"/>
      <c r="X58" t="inlineStr">
        <is>
          <t>Khớp</t>
        </is>
      </c>
    </row>
    <row r="59">
      <c r="A59" s="65" t="n">
        <v>50</v>
      </c>
      <c r="B59" s="65" t="inlineStr">
        <is>
          <t>25808900060</t>
        </is>
      </c>
      <c r="C59" s="65" t="inlineStr">
        <is>
          <t>Vũ Minh</t>
        </is>
      </c>
      <c r="D59" s="65" t="inlineStr">
        <is>
          <t>Khôi</t>
        </is>
      </c>
      <c r="E59" s="65" t="inlineStr">
        <is>
          <t>20/03/2007</t>
        </is>
      </c>
      <c r="F59" s="66" t="inlineStr">
        <is>
          <t>LNH0925ND01</t>
        </is>
      </c>
      <c r="G59" s="90" t="n">
        <v>8415000</v>
      </c>
      <c r="H59" s="65">
        <f>VLOOKUP(B59,'[1]TONG HOP'!B$5:G$624,6,0)</f>
        <v/>
      </c>
      <c r="I59" s="65" t="n">
        <v>2103750</v>
      </c>
      <c r="J59" s="65" t="n"/>
      <c r="K59" s="65" t="n"/>
      <c r="L59" s="65">
        <f>VLOOKUP(B59,'[2]DS THANG 11'!A$3:E$616,5,0)</f>
        <v/>
      </c>
      <c r="M59" s="65" t="n">
        <v>2103750</v>
      </c>
      <c r="N59" s="65" t="n"/>
      <c r="O59" s="65" t="n"/>
      <c r="P59" s="65" t="n"/>
      <c r="Q59" s="65" t="n"/>
      <c r="R59" s="65" t="n"/>
      <c r="S59" s="92">
        <f>G59-I59-R59-K59-M59-O59-Q59</f>
        <v/>
      </c>
      <c r="T59" s="92" t="inlineStr"/>
      <c r="U59" s="92" t="inlineStr"/>
      <c r="V59" s="69">
        <f>G59-SUM(I59,K59,M59,O59,Q59,U59)</f>
        <v/>
      </c>
      <c r="W59" s="65" t="n"/>
      <c r="X59" t="inlineStr">
        <is>
          <t>Khớp</t>
        </is>
      </c>
    </row>
    <row r="60">
      <c r="A60" s="65" t="n">
        <v>51</v>
      </c>
      <c r="B60" s="65" t="inlineStr">
        <is>
          <t>25820500001</t>
        </is>
      </c>
      <c r="C60" s="65" t="inlineStr">
        <is>
          <t>Bùi Duy</t>
        </is>
      </c>
      <c r="D60" s="65" t="inlineStr">
        <is>
          <t>Bảo</t>
        </is>
      </c>
      <c r="E60" s="65" t="inlineStr">
        <is>
          <t>28/07/2007</t>
        </is>
      </c>
      <c r="F60" s="66" t="inlineStr">
        <is>
          <t>LNH0925ND01</t>
        </is>
      </c>
      <c r="G60" s="90" t="n">
        <v>8415000</v>
      </c>
      <c r="H60" s="65">
        <f>VLOOKUP(B60,'[1]TONG HOP'!B$5:G$624,6,0)</f>
        <v/>
      </c>
      <c r="I60" s="65" t="n">
        <v>2103750</v>
      </c>
      <c r="J60" s="65" t="n"/>
      <c r="K60" s="65" t="n"/>
      <c r="L60" s="65">
        <f>VLOOKUP(B60,'[2]DS THANG 11'!A$3:E$616,5,0)</f>
        <v/>
      </c>
      <c r="M60" s="65" t="n">
        <v>2103750</v>
      </c>
      <c r="N60" s="65" t="n"/>
      <c r="O60" s="65" t="n"/>
      <c r="P60" s="65">
        <f>VLOOKUP(B60,'[3]TONG HOP '!B$5:O$666,14,0)</f>
        <v/>
      </c>
      <c r="Q60" s="65" t="n">
        <v>2103750</v>
      </c>
      <c r="R60" s="65" t="n"/>
      <c r="S60" s="92">
        <f>G60-I60-R60-K60-M60-O60-Q60</f>
        <v/>
      </c>
      <c r="T60" s="92" t="inlineStr">
        <is>
          <t>LNH0526NQ06</t>
        </is>
      </c>
      <c r="U60" s="92" t="n">
        <v>2103750</v>
      </c>
      <c r="V60" s="69">
        <f>G60-SUM(I60,K60,M60,O60,Q60,U60)</f>
        <v/>
      </c>
      <c r="W60" s="65" t="n"/>
      <c r="X60" t="inlineStr">
        <is>
          <t>Khớp</t>
        </is>
      </c>
    </row>
    <row r="61">
      <c r="A61" s="65" t="n">
        <v>52</v>
      </c>
      <c r="B61" s="65" t="inlineStr">
        <is>
          <t>25800500107</t>
        </is>
      </c>
      <c r="C61" s="65" t="inlineStr">
        <is>
          <t>Nguyễn Phạm Tấn</t>
        </is>
      </c>
      <c r="D61" s="65" t="inlineStr">
        <is>
          <t>Lộc</t>
        </is>
      </c>
      <c r="E61" s="65" t="inlineStr">
        <is>
          <t>01/11/2007</t>
        </is>
      </c>
      <c r="F61" s="66" t="inlineStr">
        <is>
          <t>LNH0925ND01</t>
        </is>
      </c>
      <c r="G61" s="90" t="n">
        <v>8415000</v>
      </c>
      <c r="H61" s="65" t="n"/>
      <c r="I61" s="65" t="n"/>
      <c r="J61" s="65" t="n"/>
      <c r="K61" s="65" t="n"/>
      <c r="L61" s="65">
        <f>VLOOKUP(B61,'[2]DS THANG 11'!A$3:E$616,5,0)</f>
        <v/>
      </c>
      <c r="M61" s="65" t="n">
        <v>2103750</v>
      </c>
      <c r="N61" s="65" t="n"/>
      <c r="O61" s="65" t="n"/>
      <c r="P61" s="65" t="n"/>
      <c r="Q61" s="65" t="n"/>
      <c r="R61" s="65" t="n"/>
      <c r="S61" s="92">
        <f>G61-I61-R61-K61-M61-O61-Q61</f>
        <v/>
      </c>
      <c r="T61" s="92" t="inlineStr">
        <is>
          <t>LNH0526NG02</t>
        </is>
      </c>
      <c r="U61" s="92" t="n">
        <v>2103750</v>
      </c>
      <c r="V61" s="69">
        <f>G61-SUM(I61,K61,M61,O61,Q61,U61)</f>
        <v/>
      </c>
      <c r="W61" s="65" t="n"/>
      <c r="X61" t="inlineStr">
        <is>
          <t>Khớp</t>
        </is>
      </c>
    </row>
    <row r="62">
      <c r="A62" s="65" t="n">
        <v>53</v>
      </c>
      <c r="B62" s="65" t="inlineStr">
        <is>
          <t>25809600013</t>
        </is>
      </c>
      <c r="C62" s="65" t="inlineStr">
        <is>
          <t>Nguyễn Phúc</t>
        </is>
      </c>
      <c r="D62" s="65" t="inlineStr">
        <is>
          <t>Đạt</t>
        </is>
      </c>
      <c r="E62" s="65" t="inlineStr">
        <is>
          <t>26/11/2007</t>
        </is>
      </c>
      <c r="F62" s="66" t="inlineStr">
        <is>
          <t>LNH0925ND01</t>
        </is>
      </c>
      <c r="G62" s="90" t="n">
        <v>1000000</v>
      </c>
      <c r="H62" s="65" t="n"/>
      <c r="I62" s="65" t="n"/>
      <c r="J62" s="65" t="n"/>
      <c r="K62" s="65" t="n"/>
      <c r="L62" s="65" t="n"/>
      <c r="M62" s="65" t="n"/>
      <c r="N62" s="65" t="n"/>
      <c r="O62" s="65" t="n"/>
      <c r="P62" s="65" t="n"/>
      <c r="Q62" s="65" t="n"/>
      <c r="R62" s="65" t="n"/>
      <c r="S62" s="92">
        <f>G62-I62-R62-K62-M62-O62-Q62</f>
        <v/>
      </c>
      <c r="T62" s="92" t="inlineStr"/>
      <c r="U62" s="92" t="inlineStr"/>
      <c r="V62" s="69">
        <f>G62-SUM(I62,K62,M62,O62,Q62,U62)</f>
        <v/>
      </c>
      <c r="W62" s="65" t="n"/>
      <c r="X62" t="inlineStr">
        <is>
          <t>Khớp</t>
        </is>
      </c>
    </row>
    <row r="63">
      <c r="A63" s="65" t="n">
        <v>54</v>
      </c>
      <c r="B63" s="65" t="inlineStr">
        <is>
          <t>25820200083</t>
        </is>
      </c>
      <c r="C63" s="65" t="inlineStr">
        <is>
          <t>Bùi Quang</t>
        </is>
      </c>
      <c r="D63" s="65" t="inlineStr">
        <is>
          <t>Thắng</t>
        </is>
      </c>
      <c r="E63" s="65" t="inlineStr">
        <is>
          <t>02/01/2004</t>
        </is>
      </c>
      <c r="F63" s="66" t="inlineStr">
        <is>
          <t>LNH0925ND01</t>
        </is>
      </c>
      <c r="G63" s="90" t="n">
        <v>1000000</v>
      </c>
      <c r="H63" s="65" t="n"/>
      <c r="I63" s="65" t="n"/>
      <c r="J63" s="65" t="n"/>
      <c r="K63" s="65" t="n"/>
      <c r="L63" s="65" t="n"/>
      <c r="M63" s="65" t="n"/>
      <c r="N63" s="65" t="n"/>
      <c r="O63" s="65" t="n"/>
      <c r="P63" s="65" t="n"/>
      <c r="Q63" s="65" t="n"/>
      <c r="R63" s="65" t="n"/>
      <c r="S63" s="92">
        <f>G63-I63-R63-K63-M63-O63-Q63</f>
        <v/>
      </c>
      <c r="T63" s="92" t="inlineStr"/>
      <c r="U63" s="92" t="inlineStr"/>
      <c r="V63" s="69">
        <f>G63-SUM(I63,K63,M63,O63,Q63,U63)</f>
        <v/>
      </c>
      <c r="W63" s="65" t="n"/>
      <c r="X63" t="inlineStr">
        <is>
          <t>Khớp</t>
        </is>
      </c>
    </row>
    <row r="64">
      <c r="A64" s="65" t="n">
        <v>55</v>
      </c>
      <c r="B64" s="65" t="inlineStr">
        <is>
          <t>25808700067</t>
        </is>
      </c>
      <c r="C64" s="65" t="inlineStr">
        <is>
          <t>Nguyễn Thị Yến</t>
        </is>
      </c>
      <c r="D64" s="65" t="inlineStr">
        <is>
          <t>Nhi</t>
        </is>
      </c>
      <c r="E64" s="65" t="inlineStr">
        <is>
          <t>11/08/2006</t>
        </is>
      </c>
      <c r="F64" s="66" t="inlineStr">
        <is>
          <t>LNH0925ND01</t>
        </is>
      </c>
      <c r="G64" s="90">
        <f>1000000+7415000</f>
        <v/>
      </c>
      <c r="H64" s="65" t="n"/>
      <c r="I64" s="65" t="n"/>
      <c r="J64" s="65" t="n"/>
      <c r="K64" s="65" t="n"/>
      <c r="L64" s="65">
        <f>VLOOKUP(B64,'[2]DS THANG 11'!A$3:E$616,5,0)</f>
        <v/>
      </c>
      <c r="M64" s="65" t="n">
        <v>2103750</v>
      </c>
      <c r="N64" s="65" t="n"/>
      <c r="O64" s="65" t="n"/>
      <c r="P64" s="65" t="n"/>
      <c r="Q64" s="65" t="n"/>
      <c r="R64" s="65" t="n"/>
      <c r="S64" s="92">
        <f>G64-I64-R64-K64-M64-O64-Q64</f>
        <v/>
      </c>
      <c r="T64" s="92" t="inlineStr">
        <is>
          <t>LNH0526NQ19</t>
        </is>
      </c>
      <c r="U64" s="92" t="n">
        <v>2103750</v>
      </c>
      <c r="V64" s="69">
        <f>G64-SUM(I64,K64,M64,O64,Q64,U64)</f>
        <v/>
      </c>
      <c r="W64" s="65" t="n"/>
      <c r="X64" t="inlineStr">
        <is>
          <t>Khớp</t>
        </is>
      </c>
    </row>
    <row r="65">
      <c r="A65" s="65" t="n">
        <v>56</v>
      </c>
      <c r="B65" s="65" t="inlineStr">
        <is>
          <t>25802800379</t>
        </is>
      </c>
      <c r="C65" s="65" t="inlineStr">
        <is>
          <t>Nguyen Thien</t>
        </is>
      </c>
      <c r="D65" s="65" t="inlineStr">
        <is>
          <t>Phuc</t>
        </is>
      </c>
      <c r="E65" s="65" t="inlineStr">
        <is>
          <t xml:space="preserve">  -   -</t>
        </is>
      </c>
      <c r="F65" s="66" t="inlineStr">
        <is>
          <t>LNH0925ND01</t>
        </is>
      </c>
      <c r="G65" s="90" t="n">
        <v>8415000</v>
      </c>
      <c r="H65" s="65">
        <f>VLOOKUP(B65,'[1]TONG HOP'!B$5:G$624,6,0)</f>
        <v/>
      </c>
      <c r="I65" s="65" t="n">
        <v>2103750</v>
      </c>
      <c r="J65" s="65" t="n"/>
      <c r="K65" s="65" t="n"/>
      <c r="L65" s="65">
        <f>VLOOKUP(B65,'[2]DS THANG 11'!A$3:E$616,5,0)</f>
        <v/>
      </c>
      <c r="M65" s="65" t="n">
        <v>2103750</v>
      </c>
      <c r="N65" s="65" t="n"/>
      <c r="O65" s="65" t="n"/>
      <c r="P65" s="65">
        <f>VLOOKUP(B65,'[3]TONG HOP '!B$5:O$666,14,0)</f>
        <v/>
      </c>
      <c r="Q65" s="65" t="n">
        <v>2103750</v>
      </c>
      <c r="R65" s="65" t="n"/>
      <c r="S65" s="92">
        <f>G65-I65-R65-K65-M65-O65-Q65</f>
        <v/>
      </c>
      <c r="T65" s="92" t="inlineStr"/>
      <c r="U65" s="92" t="inlineStr"/>
      <c r="V65" s="69">
        <f>G65-SUM(I65,K65,M65,O65,Q65,U65)</f>
        <v/>
      </c>
      <c r="W65" s="65" t="n"/>
      <c r="X65" t="inlineStr">
        <is>
          <t>Khớp</t>
        </is>
      </c>
    </row>
    <row r="66">
      <c r="A66" s="65" t="n">
        <v>57</v>
      </c>
      <c r="B66" s="65" t="inlineStr">
        <is>
          <t>25800400220</t>
        </is>
      </c>
      <c r="C66" s="65" t="inlineStr">
        <is>
          <t>Nguyễn Trần Vương</t>
        </is>
      </c>
      <c r="D66" s="65" t="inlineStr">
        <is>
          <t>Thịnh</t>
        </is>
      </c>
      <c r="E66" s="65" t="inlineStr">
        <is>
          <t>14/08/2007</t>
        </is>
      </c>
      <c r="F66" s="66" t="inlineStr">
        <is>
          <t>LNH0925ND01</t>
        </is>
      </c>
      <c r="G66" s="90" t="n">
        <v>2100000</v>
      </c>
      <c r="H66" s="65">
        <f>VLOOKUP(B66,'[1]TONG HOP'!B$5:G$624,6,0)</f>
        <v/>
      </c>
      <c r="I66" s="65" t="n">
        <v>2100000</v>
      </c>
      <c r="J66" s="65" t="n"/>
      <c r="K66" s="65" t="n"/>
      <c r="L66" s="65" t="n"/>
      <c r="M66" s="65" t="n"/>
      <c r="N66" s="65" t="n"/>
      <c r="O66" s="65" t="n"/>
      <c r="P66" s="65" t="n"/>
      <c r="Q66" s="65" t="n"/>
      <c r="R66" s="65" t="n"/>
      <c r="S66" s="92">
        <f>G66-I66-R66-K66-M66-O66-Q66</f>
        <v/>
      </c>
      <c r="T66" s="92" t="inlineStr"/>
      <c r="U66" s="92" t="inlineStr"/>
      <c r="V66" s="69">
        <f>G66-SUM(I66,K66,M66,O66,Q66,U66)</f>
        <v/>
      </c>
      <c r="W66" s="65" t="n"/>
      <c r="X66" t="inlineStr">
        <is>
          <t>Khớp</t>
        </is>
      </c>
    </row>
    <row r="67">
      <c r="A67" s="65" t="n">
        <v>58</v>
      </c>
      <c r="B67" s="65" t="inlineStr">
        <is>
          <t>25802600070</t>
        </is>
      </c>
      <c r="C67" s="65" t="inlineStr">
        <is>
          <t>Nguyễn Quỳnh</t>
        </is>
      </c>
      <c r="D67" s="65" t="inlineStr">
        <is>
          <t>Loan</t>
        </is>
      </c>
      <c r="E67" s="65" t="inlineStr">
        <is>
          <t>06/09/2007</t>
        </is>
      </c>
      <c r="F67" s="66" t="inlineStr">
        <is>
          <t>LNH0925ND01</t>
        </is>
      </c>
      <c r="G67" s="90" t="n">
        <v>2100000</v>
      </c>
      <c r="H67" s="65">
        <f>VLOOKUP(B67,'[1]TONG HOP'!B$5:G$624,6,0)</f>
        <v/>
      </c>
      <c r="I67" s="65" t="n">
        <v>2100000</v>
      </c>
      <c r="J67" s="65" t="n"/>
      <c r="K67" s="65" t="n"/>
      <c r="L67" s="65" t="n"/>
      <c r="M67" s="65" t="n"/>
      <c r="N67" s="65" t="n"/>
      <c r="O67" s="65" t="n"/>
      <c r="P67" s="65" t="n"/>
      <c r="Q67" s="65" t="n"/>
      <c r="R67" s="65" t="n"/>
      <c r="S67" s="92">
        <f>G67-I67-R67-K67-M67-O67-Q67</f>
        <v/>
      </c>
      <c r="T67" s="92" t="inlineStr">
        <is>
          <t>LNH0526NQ10</t>
        </is>
      </c>
      <c r="U67" s="92" t="n">
        <v>2470000</v>
      </c>
      <c r="V67" s="69">
        <f>G67-SUM(I67,K67,M67,O67,Q67,U67)</f>
        <v/>
      </c>
      <c r="W67" s="65" t="n"/>
      <c r="X67" t="inlineStr">
        <is>
          <t>Khớp</t>
        </is>
      </c>
    </row>
    <row r="68">
      <c r="A68" s="65" t="n">
        <v>59</v>
      </c>
      <c r="B68" s="65" t="inlineStr">
        <is>
          <t>25808500496</t>
        </is>
      </c>
      <c r="C68" s="65" t="inlineStr">
        <is>
          <t>Nguyễn Minh</t>
        </is>
      </c>
      <c r="D68" s="65" t="inlineStr">
        <is>
          <t>Như</t>
        </is>
      </c>
      <c r="E68" s="65" t="inlineStr">
        <is>
          <t>06/09/2007</t>
        </is>
      </c>
      <c r="F68" s="66" t="inlineStr">
        <is>
          <t>LNH0925ND01</t>
        </is>
      </c>
      <c r="G68" s="90" t="n">
        <v>2100000</v>
      </c>
      <c r="H68" s="65" t="n"/>
      <c r="I68" s="65" t="n"/>
      <c r="J68" s="65">
        <f>VLOOKUP(B68,[5]Sheet1!A$3:E$32,5,0)</f>
        <v/>
      </c>
      <c r="K68" s="65" t="n">
        <v>2100000</v>
      </c>
      <c r="L68" s="65" t="n"/>
      <c r="M68" s="65" t="n"/>
      <c r="N68" s="65" t="n"/>
      <c r="O68" s="65" t="n"/>
      <c r="P68" s="65" t="n"/>
      <c r="Q68" s="65" t="n"/>
      <c r="R68" s="65" t="n"/>
      <c r="S68" s="92">
        <f>G68-I68-R68-K68-M68-O68-Q68</f>
        <v/>
      </c>
      <c r="T68" s="92" t="inlineStr"/>
      <c r="U68" s="92" t="inlineStr"/>
      <c r="V68" s="69">
        <f>G68-SUM(I68,K68,M68,O68,Q68,U68)</f>
        <v/>
      </c>
      <c r="W68" s="65" t="n"/>
      <c r="X68" t="inlineStr">
        <is>
          <t>Khớp</t>
        </is>
      </c>
    </row>
    <row r="69">
      <c r="A69" s="65" t="n">
        <v>60</v>
      </c>
      <c r="B69" s="65" t="inlineStr">
        <is>
          <t>25802800201</t>
        </is>
      </c>
      <c r="C69" s="65" t="inlineStr">
        <is>
          <t>Cao Vũ Anh</t>
        </is>
      </c>
      <c r="D69" s="65" t="inlineStr">
        <is>
          <t>Phong</t>
        </is>
      </c>
      <c r="E69" s="65" t="inlineStr">
        <is>
          <t>03/12/2007</t>
        </is>
      </c>
      <c r="F69" s="66" t="inlineStr">
        <is>
          <t>LNH0925ND01</t>
        </is>
      </c>
      <c r="G69" s="90" t="n">
        <v>2100000</v>
      </c>
      <c r="H69" s="65">
        <f>VLOOKUP(B69,'[1]TONG HOP'!B$5:G$624,6,0)</f>
        <v/>
      </c>
      <c r="I69" s="65" t="n">
        <v>2100000</v>
      </c>
      <c r="J69" s="65" t="n"/>
      <c r="K69" s="65" t="n"/>
      <c r="L69" s="65" t="n"/>
      <c r="M69" s="65" t="n"/>
      <c r="N69" s="65" t="n"/>
      <c r="O69" s="65" t="n"/>
      <c r="P69" s="65" t="n"/>
      <c r="Q69" s="65" t="n"/>
      <c r="R69" s="65" t="n"/>
      <c r="S69" s="92">
        <f>G69-I69-R69-K69-M69-O69-Q69</f>
        <v/>
      </c>
      <c r="T69" s="92" t="inlineStr"/>
      <c r="U69" s="92" t="inlineStr"/>
      <c r="V69" s="69">
        <f>G69-SUM(I69,K69,M69,O69,Q69,U69)</f>
        <v/>
      </c>
      <c r="W69" s="65" t="n"/>
      <c r="X69" t="inlineStr">
        <is>
          <t>Khớp</t>
        </is>
      </c>
    </row>
    <row r="70">
      <c r="A70" s="65" t="n">
        <v>61</v>
      </c>
      <c r="B70" s="65" t="inlineStr">
        <is>
          <t>25802800371</t>
        </is>
      </c>
      <c r="C70" s="65" t="inlineStr">
        <is>
          <t>Vũ Lê Minh</t>
        </is>
      </c>
      <c r="D70" s="65" t="inlineStr">
        <is>
          <t>Vương</t>
        </is>
      </c>
      <c r="E70" s="65" t="inlineStr">
        <is>
          <t>17/10/2007</t>
        </is>
      </c>
      <c r="F70" s="66" t="inlineStr">
        <is>
          <t>LNH0925ND01</t>
        </is>
      </c>
      <c r="G70" s="90">
        <f>4415000+50000</f>
        <v/>
      </c>
      <c r="H70" s="65">
        <f>VLOOKUP(B70,'[1]TONG HOP'!B$5:G$624,6,0)</f>
        <v/>
      </c>
      <c r="I70" s="65" t="n">
        <v>2232500</v>
      </c>
      <c r="J70" s="65" t="n"/>
      <c r="K70" s="65" t="n"/>
      <c r="L70" s="65">
        <f>VLOOKUP(B70,'[2]DS THANG 11'!A$3:E$616,5,0)</f>
        <v/>
      </c>
      <c r="M70" s="65" t="n">
        <v>2232500</v>
      </c>
      <c r="N70" s="65" t="n"/>
      <c r="O70" s="65" t="n"/>
      <c r="P70" s="65" t="n"/>
      <c r="Q70" s="65" t="n"/>
      <c r="R70" s="65" t="n"/>
      <c r="S70" s="92">
        <f>G70-I70-R70-K70-M70-O70-Q70</f>
        <v/>
      </c>
      <c r="T70" s="92" t="inlineStr"/>
      <c r="U70" s="92" t="inlineStr">
        <is>
          <t>25800400240</t>
        </is>
      </c>
      <c r="V70" s="69">
        <f>G70-SUM(I70,K70,M70,O70,Q70,U70)</f>
        <v/>
      </c>
      <c r="W70" s="65" t="n"/>
      <c r="X70" s="65" t="inlineStr">
        <is>
          <t>Khớp</t>
        </is>
      </c>
    </row>
    <row r="71">
      <c r="A71" s="65" t="n">
        <v>62</v>
      </c>
      <c r="B71" s="65" t="inlineStr">
        <is>
          <t>25802800260</t>
        </is>
      </c>
      <c r="C71" s="65" t="inlineStr">
        <is>
          <t>Trần Lê Thủy</t>
        </is>
      </c>
      <c r="D71" s="65" t="inlineStr">
        <is>
          <t>Tiên</t>
        </is>
      </c>
      <c r="E71" s="65" t="inlineStr">
        <is>
          <t>20/09/2006</t>
        </is>
      </c>
      <c r="F71" s="66" t="inlineStr">
        <is>
          <t>LNH0925ND01</t>
        </is>
      </c>
      <c r="G71" s="90" t="n">
        <v>4465000</v>
      </c>
      <c r="H71" s="65" t="n"/>
      <c r="I71" s="65" t="n"/>
      <c r="J71" s="65" t="n"/>
      <c r="K71" s="65" t="n"/>
      <c r="L71" s="65">
        <f>VLOOKUP(B71,'[2]DS THANG 11'!A$3:E$616,5,0)</f>
        <v/>
      </c>
      <c r="M71" s="65" t="n">
        <v>2232500</v>
      </c>
      <c r="N71" s="65" t="n"/>
      <c r="O71" s="65" t="n"/>
      <c r="P71" s="65">
        <f>VLOOKUP(B71,'[3]TONG HOP '!B$5:O$666,14,0)</f>
        <v/>
      </c>
      <c r="Q71" s="65" t="n">
        <v>2232500</v>
      </c>
      <c r="R71" s="65" t="n"/>
      <c r="S71" s="92">
        <f>G71-I71-R71-K71-M71-O71-Q71</f>
        <v/>
      </c>
      <c r="T71" s="92" t="inlineStr"/>
      <c r="U71" s="92" t="inlineStr"/>
      <c r="V71" s="69">
        <f>G71-SUM(I71,K71,M71,O71,Q71,U71)</f>
        <v/>
      </c>
      <c r="W71" s="65" t="n"/>
      <c r="X71" t="inlineStr">
        <is>
          <t>Khớp</t>
        </is>
      </c>
    </row>
    <row r="72">
      <c r="A72" s="65" t="n">
        <v>63</v>
      </c>
      <c r="B72" s="65" t="inlineStr">
        <is>
          <t>25802600082</t>
        </is>
      </c>
      <c r="C72" s="65" t="inlineStr">
        <is>
          <t>Dương Nguyễn Hạnh</t>
        </is>
      </c>
      <c r="D72" s="65" t="inlineStr">
        <is>
          <t>Ngân</t>
        </is>
      </c>
      <c r="E72" s="65" t="inlineStr">
        <is>
          <t>10/06/2007</t>
        </is>
      </c>
      <c r="F72" s="66" t="inlineStr">
        <is>
          <t>LNH0925ND01</t>
        </is>
      </c>
      <c r="G72" s="90" t="n">
        <v>4465000</v>
      </c>
      <c r="H72" s="65">
        <f>VLOOKUP(B72,'[1]TONG HOP'!B$5:G$624,6,0)</f>
        <v/>
      </c>
      <c r="I72" s="65" t="n">
        <v>2232500</v>
      </c>
      <c r="J72" s="65" t="n"/>
      <c r="K72" s="65" t="n"/>
      <c r="L72" s="65">
        <f>VLOOKUP(B72,'[2]DS THANG 11'!A$3:E$616,5,0)</f>
        <v/>
      </c>
      <c r="M72" s="65" t="n">
        <v>2232500</v>
      </c>
      <c r="N72" s="65" t="n"/>
      <c r="O72" s="65" t="n"/>
      <c r="P72" s="65" t="n"/>
      <c r="Q72" s="65" t="n"/>
      <c r="R72" s="65" t="n"/>
      <c r="S72" s="92">
        <f>G72-I72-R72-K72-M72-O72-Q72</f>
        <v/>
      </c>
      <c r="T72" s="92" t="inlineStr">
        <is>
          <t>LNH0526NQ10</t>
        </is>
      </c>
      <c r="U72" s="92" t="n">
        <v>2470000</v>
      </c>
      <c r="V72" s="69">
        <f>G72-SUM(I72,K72,M72,O72,Q72,U72)</f>
        <v/>
      </c>
      <c r="W72" s="65" t="n"/>
      <c r="X72" t="inlineStr">
        <is>
          <t>Khớp</t>
        </is>
      </c>
    </row>
    <row r="73">
      <c r="A73" s="65" t="n">
        <v>64</v>
      </c>
      <c r="B73" s="65" t="inlineStr">
        <is>
          <t>25807000043</t>
        </is>
      </c>
      <c r="C73" s="65" t="inlineStr">
        <is>
          <t>Phan Thị Thuý</t>
        </is>
      </c>
      <c r="D73" s="65" t="inlineStr">
        <is>
          <t>Vi</t>
        </is>
      </c>
      <c r="E73" s="65" t="inlineStr">
        <is>
          <t>25/02/2007</t>
        </is>
      </c>
      <c r="F73" s="66" t="inlineStr">
        <is>
          <t>LNH0925ND01</t>
        </is>
      </c>
      <c r="G73" s="90" t="n">
        <v>4465000</v>
      </c>
      <c r="H73" s="65" t="n"/>
      <c r="I73" s="65" t="n"/>
      <c r="J73" s="65" t="n"/>
      <c r="K73" s="65" t="n"/>
      <c r="L73" s="65" t="n"/>
      <c r="M73" s="65" t="n"/>
      <c r="N73" s="65" t="n"/>
      <c r="O73" s="65" t="n"/>
      <c r="P73" s="65">
        <f>VLOOKUP(B73,'[3]TONG HOP '!B$5:O$666,14,0)</f>
        <v/>
      </c>
      <c r="Q73" s="65" t="n">
        <v>2232500</v>
      </c>
      <c r="R73" s="65" t="n"/>
      <c r="S73" s="92">
        <f>G73-I73-R73-K73-M73-O73-Q73</f>
        <v/>
      </c>
      <c r="T73" s="92" t="inlineStr"/>
      <c r="U73" s="92" t="inlineStr"/>
      <c r="V73" s="69">
        <f>G73-SUM(I73,K73,M73,O73,Q73,U73)</f>
        <v/>
      </c>
      <c r="W73" s="65" t="n"/>
      <c r="X73" t="inlineStr">
        <is>
          <t>Khớp</t>
        </is>
      </c>
    </row>
    <row r="74">
      <c r="A74" s="65" t="n">
        <v>65</v>
      </c>
      <c r="B74" s="65" t="inlineStr">
        <is>
          <t>25807800112</t>
        </is>
      </c>
      <c r="C74" s="65" t="inlineStr">
        <is>
          <t>Nguyễn Hoàng Minh</t>
        </is>
      </c>
      <c r="D74" s="65" t="inlineStr">
        <is>
          <t>Quang</t>
        </is>
      </c>
      <c r="E74" s="65" t="inlineStr">
        <is>
          <t>13/10/2007</t>
        </is>
      </c>
      <c r="F74" s="66" t="inlineStr">
        <is>
          <t>LNH0925ND01</t>
        </is>
      </c>
      <c r="G74" s="90" t="n">
        <v>4465000</v>
      </c>
      <c r="H74" s="65">
        <f>VLOOKUP(B74,'[1]TONG HOP'!B$5:G$624,6,0)</f>
        <v/>
      </c>
      <c r="I74" s="65" t="n">
        <v>2232500</v>
      </c>
      <c r="J74" s="65" t="n"/>
      <c r="K74" s="65" t="n"/>
      <c r="L74" s="65">
        <f>VLOOKUP(B74,'[2]DS THANG 11'!A$3:E$616,5,0)</f>
        <v/>
      </c>
      <c r="M74" s="65" t="n">
        <v>2232500</v>
      </c>
      <c r="N74" s="65" t="n"/>
      <c r="O74" s="65" t="n"/>
      <c r="P74" s="65" t="n"/>
      <c r="Q74" s="65" t="n"/>
      <c r="R74" s="65" t="n"/>
      <c r="S74" s="92">
        <f>G74-I74-R74-K74-M74-O74-Q74</f>
        <v/>
      </c>
      <c r="T74" s="92" t="inlineStr">
        <is>
          <t>LNH0526NQ16</t>
        </is>
      </c>
      <c r="U74" s="92" t="n">
        <v>2470000</v>
      </c>
      <c r="V74" s="69">
        <f>G74-SUM(I74,K74,M74,O74,Q74,U74)</f>
        <v/>
      </c>
      <c r="W74" s="65" t="n"/>
      <c r="X74" t="inlineStr">
        <is>
          <t>Khớp</t>
        </is>
      </c>
    </row>
    <row r="75">
      <c r="A75" s="65" t="n">
        <v>66</v>
      </c>
      <c r="B75" s="65" t="inlineStr">
        <is>
          <t>25805800030</t>
        </is>
      </c>
      <c r="C75" s="65" t="inlineStr">
        <is>
          <t>Ngô Ngọc Minh</t>
        </is>
      </c>
      <c r="D75" s="65" t="inlineStr">
        <is>
          <t>Thư</t>
        </is>
      </c>
      <c r="E75" s="65" t="inlineStr">
        <is>
          <t>02/03/2007</t>
        </is>
      </c>
      <c r="F75" s="66" t="inlineStr">
        <is>
          <t>LNH0925ND01</t>
        </is>
      </c>
      <c r="G75" s="90" t="n">
        <v>4465000</v>
      </c>
      <c r="H75" s="65">
        <f>VLOOKUP(B75,'[1]TONG HOP'!B$5:G$624,6,0)</f>
        <v/>
      </c>
      <c r="I75" s="65" t="n">
        <v>2232500</v>
      </c>
      <c r="J75" s="65" t="n"/>
      <c r="K75" s="65" t="n"/>
      <c r="L75" s="65">
        <f>VLOOKUP(B75,'[2]DS THANG 11'!A$3:E$616,5,0)</f>
        <v/>
      </c>
      <c r="M75" s="65" t="n">
        <v>2232500</v>
      </c>
      <c r="N75" s="65" t="n"/>
      <c r="O75" s="65" t="n"/>
      <c r="P75" s="65" t="n"/>
      <c r="Q75" s="65" t="n"/>
      <c r="R75" s="65" t="n"/>
      <c r="S75" s="92">
        <f>G75-I75-R75-K75-M75-O75-Q75</f>
        <v/>
      </c>
      <c r="T75" s="92" t="inlineStr"/>
      <c r="U75" s="92" t="inlineStr"/>
      <c r="V75" s="69">
        <f>G75-SUM(I75,K75,M75,O75,Q75,U75)</f>
        <v/>
      </c>
      <c r="W75" s="65" t="n"/>
      <c r="X75" t="inlineStr">
        <is>
          <t>Khớp</t>
        </is>
      </c>
    </row>
    <row r="76">
      <c r="A76" s="65" t="n">
        <v>67</v>
      </c>
      <c r="B76" s="65" t="inlineStr">
        <is>
          <t>25808200053</t>
        </is>
      </c>
      <c r="C76" s="65" t="inlineStr">
        <is>
          <t>Thái Ngọc</t>
        </is>
      </c>
      <c r="D76" s="65" t="inlineStr">
        <is>
          <t>Huy</t>
        </is>
      </c>
      <c r="E76" s="65" t="inlineStr">
        <is>
          <t>16/08/2007</t>
        </is>
      </c>
      <c r="F76" s="66" t="inlineStr">
        <is>
          <t>LNH0925ND01</t>
        </is>
      </c>
      <c r="G76" s="90" t="n">
        <v>4465000</v>
      </c>
      <c r="H76" s="65">
        <f>VLOOKUP(B76,'[1]TONG HOP'!B$5:G$624,6,0)</f>
        <v/>
      </c>
      <c r="I76" s="65" t="n">
        <v>2232500</v>
      </c>
      <c r="J76" s="65" t="n"/>
      <c r="K76" s="65" t="n"/>
      <c r="L76" s="65">
        <f>VLOOKUP(B76,'[2]DS THANG 11'!A$3:E$616,5,0)</f>
        <v/>
      </c>
      <c r="M76" s="65" t="n">
        <v>2232500</v>
      </c>
      <c r="N76" s="65" t="n"/>
      <c r="O76" s="65" t="n"/>
      <c r="P76" s="65" t="n"/>
      <c r="Q76" s="65" t="n"/>
      <c r="R76" s="65" t="n"/>
      <c r="S76" s="92">
        <f>G76-I76-R76-K76-M76-O76-Q76</f>
        <v/>
      </c>
      <c r="T76" s="92" t="inlineStr">
        <is>
          <t>LNH0526NQ13</t>
        </is>
      </c>
      <c r="U76" s="92" t="n">
        <v>2600000</v>
      </c>
      <c r="V76" s="69">
        <f>G76-SUM(I76,K76,M76,O76,Q76,U76)</f>
        <v/>
      </c>
      <c r="W76" s="65" t="n"/>
      <c r="X76" t="inlineStr">
        <is>
          <t>Khớp</t>
        </is>
      </c>
    </row>
    <row r="77">
      <c r="A77" s="65" t="n">
        <v>68</v>
      </c>
      <c r="B77" s="65" t="inlineStr">
        <is>
          <t>25807000012</t>
        </is>
      </c>
      <c r="C77" s="65" t="inlineStr">
        <is>
          <t>Trần Ngọc Minh</t>
        </is>
      </c>
      <c r="D77" s="65" t="inlineStr">
        <is>
          <t>Huyền</t>
        </is>
      </c>
      <c r="E77" s="65" t="inlineStr">
        <is>
          <t>20/04/2007</t>
        </is>
      </c>
      <c r="F77" s="66" t="inlineStr">
        <is>
          <t>LNH0925ND01</t>
        </is>
      </c>
      <c r="G77" s="90" t="n">
        <v>4465000</v>
      </c>
      <c r="H77" s="65">
        <f>VLOOKUP(B77,'[1]TONG HOP'!B$5:G$624,6,0)</f>
        <v/>
      </c>
      <c r="I77" s="65" t="n">
        <v>2232500</v>
      </c>
      <c r="J77" s="65" t="n"/>
      <c r="K77" s="65" t="n"/>
      <c r="L77" s="65">
        <f>VLOOKUP(B77,'[2]DS THANG 11'!A$3:E$616,5,0)</f>
        <v/>
      </c>
      <c r="M77" s="65" t="n">
        <v>2232500</v>
      </c>
      <c r="N77" s="65" t="n"/>
      <c r="O77" s="65" t="n"/>
      <c r="P77" s="65" t="n"/>
      <c r="Q77" s="65" t="n"/>
      <c r="R77" s="65" t="n"/>
      <c r="S77" s="92">
        <f>G77-I77-R77-K77-M77-O77-Q77</f>
        <v/>
      </c>
      <c r="T77" s="92" t="inlineStr">
        <is>
          <t>LNH0526NQ15</t>
        </is>
      </c>
      <c r="U77" s="92" t="n">
        <v>2470000</v>
      </c>
      <c r="V77" s="69">
        <f>G77-SUM(I77,K77,M77,O77,Q77,U77)</f>
        <v/>
      </c>
      <c r="W77" s="65" t="n"/>
      <c r="X77" t="inlineStr">
        <is>
          <t>Khớp</t>
        </is>
      </c>
    </row>
    <row r="78">
      <c r="A78" s="65" t="n">
        <v>69</v>
      </c>
      <c r="B78" s="65" t="inlineStr">
        <is>
          <t>25808900011</t>
        </is>
      </c>
      <c r="C78" s="65" t="inlineStr">
        <is>
          <t>Dương Hoàng</t>
        </is>
      </c>
      <c r="D78" s="65" t="inlineStr">
        <is>
          <t>Ân</t>
        </is>
      </c>
      <c r="E78" s="65" t="inlineStr">
        <is>
          <t>07/04/2007</t>
        </is>
      </c>
      <c r="F78" s="66" t="inlineStr">
        <is>
          <t>LNH0925ND01</t>
        </is>
      </c>
      <c r="G78" s="90" t="n">
        <v>4465000</v>
      </c>
      <c r="H78" s="65">
        <f>VLOOKUP(B78,'[1]TONG HOP'!B$5:G$624,6,0)</f>
        <v/>
      </c>
      <c r="I78" s="65" t="n">
        <v>2232500</v>
      </c>
      <c r="J78" s="65" t="n"/>
      <c r="K78" s="65" t="n"/>
      <c r="L78" s="65">
        <f>VLOOKUP(B78,'[2]DS THANG 11'!A$3:E$616,5,0)</f>
        <v/>
      </c>
      <c r="M78" s="65" t="n">
        <v>2232500</v>
      </c>
      <c r="N78" s="65" t="n"/>
      <c r="O78" s="65" t="n"/>
      <c r="P78" s="65" t="n"/>
      <c r="Q78" s="65" t="n"/>
      <c r="R78" s="65" t="n"/>
      <c r="S78" s="92">
        <f>G78-I78-R78-K78-M78-O78-Q78</f>
        <v/>
      </c>
      <c r="T78" s="92" t="inlineStr"/>
      <c r="U78" s="92" t="inlineStr"/>
      <c r="V78" s="69">
        <f>G78-SUM(I78,K78,M78,O78,Q78,U78)</f>
        <v/>
      </c>
      <c r="W78" s="65" t="n"/>
      <c r="X78" t="inlineStr">
        <is>
          <t>Khớp</t>
        </is>
      </c>
    </row>
    <row r="79">
      <c r="A79" s="65" t="n">
        <v>70</v>
      </c>
      <c r="B79" s="65" t="inlineStr">
        <is>
          <t>25820300030</t>
        </is>
      </c>
      <c r="C79" s="65" t="inlineStr">
        <is>
          <t>Lâm Hoàng</t>
        </is>
      </c>
      <c r="D79" s="65" t="inlineStr">
        <is>
          <t>Long</t>
        </is>
      </c>
      <c r="E79" s="65" t="inlineStr">
        <is>
          <t>30/12/2007</t>
        </is>
      </c>
      <c r="F79" s="66" t="inlineStr">
        <is>
          <t>LNH0925ND01</t>
        </is>
      </c>
      <c r="G79" s="90" t="n">
        <v>4465000</v>
      </c>
      <c r="H79" s="65">
        <f>VLOOKUP(B79,'[1]TONG HOP'!B$5:G$624,6,0)</f>
        <v/>
      </c>
      <c r="I79" s="65" t="n">
        <v>2232500</v>
      </c>
      <c r="J79" s="65" t="n"/>
      <c r="K79" s="65" t="n"/>
      <c r="L79" s="65">
        <f>VLOOKUP(B79,'[2]DS THANG 11'!A$3:E$616,5,0)</f>
        <v/>
      </c>
      <c r="M79" s="65" t="n">
        <v>2232500</v>
      </c>
      <c r="N79" s="65" t="n"/>
      <c r="O79" s="65" t="n"/>
      <c r="P79" s="65" t="n"/>
      <c r="Q79" s="65" t="n"/>
      <c r="R79" s="65" t="n"/>
      <c r="S79" s="92">
        <f>G79-I79-R79-K79-M79-O79-Q79</f>
        <v/>
      </c>
      <c r="T79" s="92" t="inlineStr"/>
      <c r="U79" s="92" t="inlineStr"/>
      <c r="V79" s="69">
        <f>G79-SUM(I79,K79,M79,O79,Q79,U79)</f>
        <v/>
      </c>
      <c r="W79" s="65" t="n"/>
      <c r="X79" t="inlineStr">
        <is>
          <t>Khớp</t>
        </is>
      </c>
    </row>
    <row r="80">
      <c r="A80" s="65" t="n">
        <v>71</v>
      </c>
      <c r="B80" s="65" t="inlineStr">
        <is>
          <t>25808200028</t>
        </is>
      </c>
      <c r="C80" s="65" t="inlineStr">
        <is>
          <t>Nguyễn Bá Hoàng</t>
        </is>
      </c>
      <c r="D80" s="65" t="inlineStr">
        <is>
          <t>Dương</t>
        </is>
      </c>
      <c r="E80" s="65" t="inlineStr">
        <is>
          <t>28/11/2007</t>
        </is>
      </c>
      <c r="F80" s="66" t="inlineStr">
        <is>
          <t>LNH0925ND01</t>
        </is>
      </c>
      <c r="G80" s="90" t="n">
        <v>4465000</v>
      </c>
      <c r="H80" s="65">
        <f>VLOOKUP(B80,'[1]TONG HOP'!B$5:G$624,6,0)</f>
        <v/>
      </c>
      <c r="I80" s="65" t="n">
        <v>2232500</v>
      </c>
      <c r="J80" s="65" t="n"/>
      <c r="K80" s="65" t="n"/>
      <c r="L80" s="65">
        <f>VLOOKUP(B80,'[2]DS THANG 11'!A$3:E$616,5,0)</f>
        <v/>
      </c>
      <c r="M80" s="65" t="n">
        <v>2232500</v>
      </c>
      <c r="N80" s="65" t="n"/>
      <c r="O80" s="65" t="n"/>
      <c r="P80" s="65" t="n"/>
      <c r="Q80" s="65" t="n"/>
      <c r="R80" s="65" t="n"/>
      <c r="S80" s="92">
        <f>G80-I80-R80-K80-M80-O80-Q80</f>
        <v/>
      </c>
      <c r="T80" s="92" t="inlineStr"/>
      <c r="U80" s="92" t="inlineStr"/>
      <c r="V80" s="69">
        <f>G80-SUM(I80,K80,M80,O80,Q80,U80)</f>
        <v/>
      </c>
      <c r="W80" s="65" t="n"/>
      <c r="X80" t="inlineStr">
        <is>
          <t>Khớp</t>
        </is>
      </c>
    </row>
    <row r="81">
      <c r="A81" s="65" t="n">
        <v>72</v>
      </c>
      <c r="B81" s="65" t="inlineStr">
        <is>
          <t>25802800107</t>
        </is>
      </c>
      <c r="C81" s="65" t="inlineStr">
        <is>
          <t>Trần Vĩnh</t>
        </is>
      </c>
      <c r="D81" s="65" t="inlineStr">
        <is>
          <t>Khang</t>
        </is>
      </c>
      <c r="E81" s="65" t="inlineStr">
        <is>
          <t>21/08/2007</t>
        </is>
      </c>
      <c r="F81" s="66" t="inlineStr">
        <is>
          <t>LNH0925ND01</t>
        </is>
      </c>
      <c r="G81" s="90" t="n">
        <v>4465000</v>
      </c>
      <c r="H81" s="65">
        <f>VLOOKUP(B81,'[1]TONG HOP'!B$5:G$624,6,0)</f>
        <v/>
      </c>
      <c r="I81" s="65" t="n">
        <v>2232500</v>
      </c>
      <c r="J81" s="65" t="n"/>
      <c r="K81" s="65" t="n"/>
      <c r="L81" s="65">
        <f>VLOOKUP(B81,'[2]DS THANG 11'!A$3:E$616,5,0)</f>
        <v/>
      </c>
      <c r="M81" s="65" t="n">
        <v>2232500</v>
      </c>
      <c r="N81" s="65" t="n"/>
      <c r="O81" s="65" t="n"/>
      <c r="P81" s="65" t="n"/>
      <c r="Q81" s="65" t="n"/>
      <c r="R81" s="65" t="n"/>
      <c r="S81" s="92">
        <f>G81-I81-R81-K81-M81-O81-Q81</f>
        <v/>
      </c>
      <c r="T81" s="92" t="inlineStr"/>
      <c r="U81" s="92" t="inlineStr"/>
      <c r="V81" s="69">
        <f>G81-SUM(I81,K81,M81,O81,Q81,U81)</f>
        <v/>
      </c>
      <c r="W81" s="65" t="n"/>
      <c r="X81" t="inlineStr">
        <is>
          <t>Khớp</t>
        </is>
      </c>
    </row>
    <row r="82">
      <c r="A82" s="65" t="n">
        <v>73</v>
      </c>
      <c r="B82" s="65" t="inlineStr">
        <is>
          <t>25802100038</t>
        </is>
      </c>
      <c r="C82" s="65" t="inlineStr">
        <is>
          <t>Ngô Xuân</t>
        </is>
      </c>
      <c r="D82" s="65" t="inlineStr">
        <is>
          <t>Thiên</t>
        </is>
      </c>
      <c r="E82" s="65" t="inlineStr">
        <is>
          <t>12/12/2006</t>
        </is>
      </c>
      <c r="F82" s="66" t="inlineStr">
        <is>
          <t>LNH0925ND01</t>
        </is>
      </c>
      <c r="G82" s="90" t="n">
        <v>4465000</v>
      </c>
      <c r="H82" s="65">
        <f>VLOOKUP(B82,'[1]TONG HOP'!B$5:G$624,6,0)</f>
        <v/>
      </c>
      <c r="I82" s="65" t="n">
        <v>2232500</v>
      </c>
      <c r="J82" s="65" t="n"/>
      <c r="K82" s="65" t="n"/>
      <c r="L82" s="65" t="n"/>
      <c r="M82" s="65" t="n"/>
      <c r="N82" s="65" t="n"/>
      <c r="O82" s="65" t="n"/>
      <c r="P82" s="65" t="n"/>
      <c r="Q82" s="65" t="n"/>
      <c r="R82" s="65" t="n"/>
      <c r="S82" s="92">
        <f>G82-I82-R82-K82-M82-O82-Q82</f>
        <v/>
      </c>
      <c r="T82" s="92" t="inlineStr"/>
      <c r="U82" s="92" t="inlineStr"/>
      <c r="V82" s="69">
        <f>G82-SUM(I82,K82,M82,O82,Q82,U82)</f>
        <v/>
      </c>
      <c r="W82" s="65" t="n"/>
      <c r="X82" t="inlineStr">
        <is>
          <t>Không tồn tại trong K.Hiền</t>
        </is>
      </c>
    </row>
    <row r="83">
      <c r="A83" s="65" t="n">
        <v>74</v>
      </c>
      <c r="B83" s="65" t="inlineStr">
        <is>
          <t>25800500056</t>
        </is>
      </c>
      <c r="C83" s="65" t="inlineStr">
        <is>
          <t>Đồng Minh</t>
        </is>
      </c>
      <c r="D83" s="65" t="inlineStr">
        <is>
          <t>Hoàng</t>
        </is>
      </c>
      <c r="E83" s="65" t="inlineStr">
        <is>
          <t>17/11/2007</t>
        </is>
      </c>
      <c r="F83" s="66" t="inlineStr">
        <is>
          <t>LNH0925ND01</t>
        </is>
      </c>
      <c r="G83" s="90" t="n">
        <v>4940000</v>
      </c>
      <c r="H83" s="65" t="n"/>
      <c r="I83" s="65" t="n"/>
      <c r="J83" s="65" t="n"/>
      <c r="K83" s="65" t="n"/>
      <c r="L83" s="65" t="n"/>
      <c r="M83" s="65" t="n"/>
      <c r="N83" s="65" t="n"/>
      <c r="O83" s="65" t="n"/>
      <c r="P83" s="65">
        <f>VLOOKUP(B83,'[3]TONG HOP '!B$5:O$666,14,0)</f>
        <v/>
      </c>
      <c r="Q83" s="65" t="n">
        <v>2470000</v>
      </c>
      <c r="R83" s="65" t="n"/>
      <c r="S83" s="92">
        <f>G83-I83-R83-K83-M83-O83-Q83</f>
        <v/>
      </c>
      <c r="T83" s="92" t="inlineStr">
        <is>
          <t>LNH0526NQ18</t>
        </is>
      </c>
      <c r="U83" s="92" t="n">
        <v>2470000</v>
      </c>
      <c r="V83" s="69">
        <f>G83-SUM(I83,K83,M83,O83,Q83,U83)</f>
        <v/>
      </c>
      <c r="W83" s="65" t="n"/>
      <c r="X83" t="inlineStr">
        <is>
          <t>Khớp</t>
        </is>
      </c>
    </row>
    <row r="84">
      <c r="A84" s="65" t="n">
        <v>75</v>
      </c>
      <c r="B84" s="65" t="inlineStr">
        <is>
          <t>25800600669</t>
        </is>
      </c>
      <c r="C84" s="65" t="inlineStr">
        <is>
          <t>Trần Thị Hoài</t>
        </is>
      </c>
      <c r="D84" s="65" t="inlineStr">
        <is>
          <t>Thương</t>
        </is>
      </c>
      <c r="E84" s="65" t="inlineStr">
        <is>
          <t>26/04/2007</t>
        </is>
      </c>
      <c r="F84" s="66" t="inlineStr">
        <is>
          <t>LNH0925ND01</t>
        </is>
      </c>
      <c r="G84" s="90" t="n">
        <v>8415000</v>
      </c>
      <c r="H84" s="65">
        <f>VLOOKUP(B84,'[1]TONG HOP'!B$5:G$624,6,0)</f>
        <v/>
      </c>
      <c r="I84" s="65" t="n">
        <v>2103750</v>
      </c>
      <c r="J84" s="65" t="n"/>
      <c r="K84" s="65" t="n"/>
      <c r="L84" s="65">
        <f>VLOOKUP(B84,'[2]DS THANG 11'!A$3:E$616,5,0)</f>
        <v/>
      </c>
      <c r="M84" s="65" t="n">
        <v>2103750</v>
      </c>
      <c r="N84" s="65" t="n"/>
      <c r="O84" s="65" t="n"/>
      <c r="P84" s="65">
        <f>VLOOKUP(B84,'[3]TONG HOP '!B$5:O$666,14,0)</f>
        <v/>
      </c>
      <c r="Q84" s="65" t="n">
        <v>2103750</v>
      </c>
      <c r="R84" s="65" t="n"/>
      <c r="S84" s="92">
        <f>G84-I84-R84-K84-M84-O84-Q84</f>
        <v/>
      </c>
      <c r="T84" s="92" t="inlineStr">
        <is>
          <t>LNH0526NQ14</t>
        </is>
      </c>
      <c r="U84" s="92" t="n">
        <v>2103750</v>
      </c>
      <c r="V84" s="69">
        <f>G84-SUM(I84,K84,M84,O84,Q84,U84)</f>
        <v/>
      </c>
      <c r="W84" s="65" t="n"/>
      <c r="X84" t="inlineStr">
        <is>
          <t>Khớp</t>
        </is>
      </c>
    </row>
    <row r="85">
      <c r="A85" s="65" t="n">
        <v>76</v>
      </c>
      <c r="B85" s="65" t="inlineStr">
        <is>
          <t>25820500002</t>
        </is>
      </c>
      <c r="C85" s="65" t="inlineStr">
        <is>
          <t>Đặng Quốc</t>
        </is>
      </c>
      <c r="D85" s="65" t="inlineStr">
        <is>
          <t>Bảo</t>
        </is>
      </c>
      <c r="E85" s="65" t="inlineStr">
        <is>
          <t>11/11/2007</t>
        </is>
      </c>
      <c r="F85" s="66" t="inlineStr">
        <is>
          <t>LNH0925ND01</t>
        </is>
      </c>
      <c r="G85" s="90" t="n">
        <v>8415000</v>
      </c>
      <c r="H85" s="65">
        <f>VLOOKUP(B85,'[1]TONG HOP'!B$5:G$624,6,0)</f>
        <v/>
      </c>
      <c r="I85" s="65" t="n">
        <v>2103750</v>
      </c>
      <c r="J85" s="65" t="n"/>
      <c r="K85" s="65" t="n"/>
      <c r="L85" s="65">
        <f>VLOOKUP(B85,'[2]DS THANG 11'!A$3:E$616,5,0)</f>
        <v/>
      </c>
      <c r="M85" s="65" t="n">
        <v>2103750</v>
      </c>
      <c r="N85" s="65" t="n"/>
      <c r="O85" s="65" t="n"/>
      <c r="P85" s="65">
        <f>VLOOKUP(B85,'[3]TONG HOP '!B$5:O$666,14,0)</f>
        <v/>
      </c>
      <c r="Q85" s="65" t="n">
        <v>2103750</v>
      </c>
      <c r="R85" s="65" t="n"/>
      <c r="S85" s="92">
        <f>G85-I85-R85-K85-M85-O85-Q85</f>
        <v/>
      </c>
      <c r="T85" s="92" t="inlineStr">
        <is>
          <t>LNH0526NG01</t>
        </is>
      </c>
      <c r="U85" s="92" t="n">
        <v>2103750</v>
      </c>
      <c r="V85" s="69">
        <f>G85-SUM(I85,K85,M85,O85,Q85,U85)</f>
        <v/>
      </c>
      <c r="W85" s="65" t="n"/>
      <c r="X85" t="inlineStr">
        <is>
          <t>Khớp</t>
        </is>
      </c>
    </row>
    <row r="86">
      <c r="A86" s="65" t="n">
        <v>77</v>
      </c>
      <c r="B86" s="65" t="inlineStr">
        <is>
          <t>25808600084</t>
        </is>
      </c>
      <c r="C86" s="65" t="inlineStr">
        <is>
          <t>Lý Thị Tuyết</t>
        </is>
      </c>
      <c r="D86" s="65" t="inlineStr">
        <is>
          <t>Nhung</t>
        </is>
      </c>
      <c r="E86" s="65" t="inlineStr">
        <is>
          <t>11/02/2007</t>
        </is>
      </c>
      <c r="F86" s="66" t="inlineStr">
        <is>
          <t>LNH0925ND01</t>
        </is>
      </c>
      <c r="G86" s="90" t="n">
        <v>8415000</v>
      </c>
      <c r="H86" s="65">
        <f>VLOOKUP(B86,'[1]TONG HOP'!B$5:G$624,6,0)</f>
        <v/>
      </c>
      <c r="I86" s="65" t="n">
        <v>2103750</v>
      </c>
      <c r="J86" s="65" t="n"/>
      <c r="K86" s="65" t="n"/>
      <c r="L86" s="65" t="n"/>
      <c r="M86" s="65" t="n"/>
      <c r="N86" s="65" t="n"/>
      <c r="O86" s="65" t="n"/>
      <c r="P86" s="65">
        <f>VLOOKUP(B86,'[3]TONG HOP '!B$5:O$666,14,0)</f>
        <v/>
      </c>
      <c r="Q86" s="65" t="n">
        <v>2103750</v>
      </c>
      <c r="R86" s="65" t="n"/>
      <c r="S86" s="92">
        <f>G86-I86-R86-K86-M86-O86-Q86</f>
        <v/>
      </c>
      <c r="T86" s="92" t="inlineStr"/>
      <c r="U86" s="92" t="inlineStr"/>
      <c r="V86" s="69">
        <f>G86-SUM(I86,K86,M86,O86,Q86,U86)</f>
        <v/>
      </c>
      <c r="W86" s="65" t="n"/>
      <c r="X86" t="inlineStr">
        <is>
          <t>Khớp</t>
        </is>
      </c>
    </row>
    <row r="87">
      <c r="A87" s="65" t="n">
        <v>78</v>
      </c>
      <c r="B87" s="65" t="inlineStr">
        <is>
          <t>25806300028</t>
        </is>
      </c>
      <c r="C87" s="65" t="inlineStr">
        <is>
          <t>Trần Hoài</t>
        </is>
      </c>
      <c r="D87" s="65" t="inlineStr">
        <is>
          <t>Nam</t>
        </is>
      </c>
      <c r="E87" s="65" t="inlineStr">
        <is>
          <t>24/07/2007</t>
        </is>
      </c>
      <c r="F87" s="66" t="inlineStr">
        <is>
          <t>LNH0925ND01</t>
        </is>
      </c>
      <c r="G87" s="90" t="n">
        <v>8415000</v>
      </c>
      <c r="H87" s="65">
        <f>VLOOKUP(B87,'[1]TONG HOP'!B$5:G$624,6,0)</f>
        <v/>
      </c>
      <c r="I87" s="65" t="n">
        <v>2103750</v>
      </c>
      <c r="J87" s="65" t="n"/>
      <c r="K87" s="65" t="n"/>
      <c r="L87" s="65">
        <f>VLOOKUP(B87,'[2]DS THANG 11'!A$3:E$616,5,0)</f>
        <v/>
      </c>
      <c r="M87" s="65" t="n">
        <v>2103750</v>
      </c>
      <c r="N87" s="65" t="n"/>
      <c r="O87" s="65" t="n"/>
      <c r="P87" s="65">
        <f>VLOOKUP(B87,'[3]TONG HOP '!B$5:O$666,14,0)</f>
        <v/>
      </c>
      <c r="Q87" s="65" t="n">
        <v>2103750</v>
      </c>
      <c r="R87" s="65" t="n"/>
      <c r="S87" s="92">
        <f>G87-I87-R87-K87-M87-O87-Q87</f>
        <v/>
      </c>
      <c r="T87" s="92" t="inlineStr">
        <is>
          <t>LNH0526NQ20</t>
        </is>
      </c>
      <c r="U87" s="92" t="n">
        <v>2103750</v>
      </c>
      <c r="V87" s="69">
        <f>G87-SUM(I87,K87,M87,O87,Q87,U87)</f>
        <v/>
      </c>
      <c r="W87" s="65" t="n"/>
      <c r="X87" t="inlineStr">
        <is>
          <t>Khớp</t>
        </is>
      </c>
    </row>
    <row r="88">
      <c r="A88" s="65" t="n">
        <v>79</v>
      </c>
      <c r="B88" s="65" t="inlineStr">
        <is>
          <t>25820700014</t>
        </is>
      </c>
      <c r="C88" s="65" t="inlineStr">
        <is>
          <t>Nguyễn Thị Kiều</t>
        </is>
      </c>
      <c r="D88" s="65" t="inlineStr">
        <is>
          <t>Loan</t>
        </is>
      </c>
      <c r="E88" s="65" t="inlineStr">
        <is>
          <t>04/10/2007</t>
        </is>
      </c>
      <c r="F88" s="66" t="inlineStr">
        <is>
          <t>LNH0925ND01</t>
        </is>
      </c>
      <c r="G88" s="90" t="n">
        <v>8415000</v>
      </c>
      <c r="H88" s="65">
        <f>VLOOKUP(B88,'[1]TONG HOP'!B$5:G$624,6,0)</f>
        <v/>
      </c>
      <c r="I88" s="65" t="n">
        <v>2103750</v>
      </c>
      <c r="J88" s="65" t="n"/>
      <c r="K88" s="65" t="n"/>
      <c r="L88" s="65">
        <f>VLOOKUP(B88,'[2]DS THANG 11'!A$3:E$616,5,0)</f>
        <v/>
      </c>
      <c r="M88" s="65" t="n">
        <v>2103750</v>
      </c>
      <c r="N88" s="65" t="n"/>
      <c r="O88" s="65" t="n"/>
      <c r="P88" s="65">
        <f>VLOOKUP(B88,'[3]TONG HOP '!B$5:O$666,14,0)</f>
        <v/>
      </c>
      <c r="Q88" s="65" t="n">
        <v>2103750</v>
      </c>
      <c r="R88" s="65" t="n"/>
      <c r="S88" s="92">
        <f>G88-I88-R88-K88-M88-O88-Q88</f>
        <v/>
      </c>
      <c r="T88" s="92" t="inlineStr"/>
      <c r="U88" s="92" t="inlineStr"/>
      <c r="V88" s="69">
        <f>G88-SUM(I88,K88,M88,O88,Q88,U88)</f>
        <v/>
      </c>
      <c r="W88" s="65" t="n"/>
      <c r="X88" t="inlineStr">
        <is>
          <t>Khớp</t>
        </is>
      </c>
    </row>
    <row r="89">
      <c r="A89" s="65" t="n">
        <v>80</v>
      </c>
      <c r="B89" s="65" t="inlineStr">
        <is>
          <t>25809600050</t>
        </is>
      </c>
      <c r="C89" s="65" t="inlineStr">
        <is>
          <t>Nguyễn Hoàng Bảo</t>
        </is>
      </c>
      <c r="D89" s="65" t="inlineStr">
        <is>
          <t>Phúc</t>
        </is>
      </c>
      <c r="E89" s="65" t="inlineStr">
        <is>
          <t>19/05/2007</t>
        </is>
      </c>
      <c r="F89" s="66" t="inlineStr">
        <is>
          <t>LNH0925ND01</t>
        </is>
      </c>
      <c r="G89" s="90" t="n">
        <v>8415000</v>
      </c>
      <c r="H89" s="65">
        <f>VLOOKUP(B89,'[1]TONG HOP'!B$5:G$624,6,0)</f>
        <v/>
      </c>
      <c r="I89" s="65" t="n">
        <v>2103750</v>
      </c>
      <c r="J89" s="65" t="n"/>
      <c r="K89" s="65" t="n"/>
      <c r="L89" s="65">
        <f>VLOOKUP(B89,'[2]DS THANG 11'!A$3:E$616,5,0)</f>
        <v/>
      </c>
      <c r="M89" s="65" t="n">
        <v>2103750</v>
      </c>
      <c r="N89" s="65" t="n"/>
      <c r="O89" s="65" t="n"/>
      <c r="P89" s="65">
        <f>VLOOKUP(B89,'[3]TONG HOP '!B$5:O$666,14,0)</f>
        <v/>
      </c>
      <c r="Q89" s="65" t="n">
        <v>2103750</v>
      </c>
      <c r="R89" s="65" t="n"/>
      <c r="S89" s="92">
        <f>G89-I89-R89-K89-M89-O89-Q89</f>
        <v/>
      </c>
      <c r="T89" s="92" t="inlineStr"/>
      <c r="U89" s="92" t="inlineStr"/>
      <c r="V89" s="69">
        <f>G89-SUM(I89,K89,M89,O89,Q89,U89)</f>
        <v/>
      </c>
      <c r="W89" s="65" t="n"/>
      <c r="X89" t="inlineStr">
        <is>
          <t>Khớp</t>
        </is>
      </c>
    </row>
    <row r="90">
      <c r="A90" s="65" t="n">
        <v>81</v>
      </c>
      <c r="B90" s="65" t="inlineStr">
        <is>
          <t>25800500108</t>
        </is>
      </c>
      <c r="C90" s="65" t="inlineStr">
        <is>
          <t>Tô Tấn</t>
        </is>
      </c>
      <c r="D90" s="65" t="inlineStr">
        <is>
          <t>Lộc</t>
        </is>
      </c>
      <c r="E90" s="65" t="inlineStr">
        <is>
          <t>21/10/2007</t>
        </is>
      </c>
      <c r="F90" s="66" t="inlineStr">
        <is>
          <t>LNH0925ND01</t>
        </is>
      </c>
      <c r="G90" s="90" t="n">
        <v>8415000</v>
      </c>
      <c r="H90" s="65">
        <f>VLOOKUP(B90,'[1]TONG HOP'!B$5:G$624,6,0)</f>
        <v/>
      </c>
      <c r="I90" s="65" t="n">
        <v>2103750</v>
      </c>
      <c r="J90" s="65" t="n"/>
      <c r="K90" s="65" t="n"/>
      <c r="L90" s="65">
        <f>VLOOKUP(B90,'[2]DS THANG 11'!A$3:E$616,5,0)</f>
        <v/>
      </c>
      <c r="M90" s="65" t="n">
        <v>2103750</v>
      </c>
      <c r="N90" s="65" t="n"/>
      <c r="O90" s="65" t="n"/>
      <c r="P90" s="65">
        <f>VLOOKUP(B90,'[3]TONG HOP '!B$5:O$666,14,0)</f>
        <v/>
      </c>
      <c r="Q90" s="65" t="n">
        <v>2103750</v>
      </c>
      <c r="R90" s="65" t="n"/>
      <c r="S90" s="92">
        <f>G90-I90-R90-K90-M90-O90-Q90</f>
        <v/>
      </c>
      <c r="T90" s="92" t="inlineStr">
        <is>
          <t>LNH0526NQ18</t>
        </is>
      </c>
      <c r="U90" s="92" t="n">
        <v>2103750</v>
      </c>
      <c r="V90" s="69">
        <f>G90-SUM(I90,K90,M90,O90,Q90,U90)</f>
        <v/>
      </c>
      <c r="W90" s="65" t="n"/>
      <c r="X90" t="inlineStr">
        <is>
          <t>Khớp</t>
        </is>
      </c>
    </row>
    <row r="91">
      <c r="A91" s="65" t="n">
        <v>82</v>
      </c>
      <c r="B91" s="65" t="inlineStr">
        <is>
          <t>25808500135</t>
        </is>
      </c>
      <c r="C91" s="65" t="inlineStr">
        <is>
          <t>Chu Quang</t>
        </is>
      </c>
      <c r="D91" s="65" t="inlineStr">
        <is>
          <t>Huy</t>
        </is>
      </c>
      <c r="E91" s="65" t="inlineStr">
        <is>
          <t>03/12/2007</t>
        </is>
      </c>
      <c r="F91" s="66" t="inlineStr">
        <is>
          <t>LNH0925ND01</t>
        </is>
      </c>
      <c r="G91" s="90" t="n">
        <v>8415000</v>
      </c>
      <c r="H91" s="65" t="n"/>
      <c r="I91" s="65" t="n"/>
      <c r="J91" s="65" t="n"/>
      <c r="K91" s="65" t="n"/>
      <c r="L91" s="65">
        <f>VLOOKUP(B91,'[2]DS THANG 11'!A$3:E$616,5,0)</f>
        <v/>
      </c>
      <c r="M91" s="65" t="n">
        <v>2103750</v>
      </c>
      <c r="N91" s="65" t="n"/>
      <c r="O91" s="65" t="n"/>
      <c r="P91" s="65" t="n"/>
      <c r="Q91" s="65" t="n"/>
      <c r="R91" s="65" t="n"/>
      <c r="S91" s="92">
        <f>G91-I91-R91-K91-M91-O91-Q91</f>
        <v/>
      </c>
      <c r="T91" s="92" t="inlineStr">
        <is>
          <t>LNH0526NG01</t>
        </is>
      </c>
      <c r="U91" s="92" t="n">
        <v>2103750</v>
      </c>
      <c r="V91" s="69">
        <f>G91-SUM(I91,K91,M91,O91,Q91,U91)</f>
        <v/>
      </c>
      <c r="W91" s="65" t="n"/>
      <c r="X91" t="inlineStr">
        <is>
          <t>Khớp</t>
        </is>
      </c>
    </row>
    <row r="92">
      <c r="A92" s="65" t="n">
        <v>83</v>
      </c>
      <c r="B92" s="65" t="inlineStr">
        <is>
          <t>25801400451</t>
        </is>
      </c>
      <c r="C92" s="65" t="inlineStr">
        <is>
          <t>Nguyễn Thành</t>
        </is>
      </c>
      <c r="D92" s="65" t="inlineStr">
        <is>
          <t>Tài</t>
        </is>
      </c>
      <c r="E92" s="65" t="inlineStr">
        <is>
          <t>08/06/2006</t>
        </is>
      </c>
      <c r="F92" s="66" t="inlineStr">
        <is>
          <t>LNH0925ND01</t>
        </is>
      </c>
      <c r="G92" s="90" t="n">
        <v>8415000</v>
      </c>
      <c r="H92" s="65">
        <f>VLOOKUP(B92,'[1]TONG HOP'!B$5:G$624,6,0)</f>
        <v/>
      </c>
      <c r="I92" s="65" t="n">
        <v>2103750</v>
      </c>
      <c r="J92" s="65" t="n"/>
      <c r="K92" s="65" t="n"/>
      <c r="L92" s="65">
        <f>VLOOKUP(B92,'[2]DS THANG 11'!A$3:E$616,5,0)</f>
        <v/>
      </c>
      <c r="M92" s="65" t="n">
        <v>2103750</v>
      </c>
      <c r="N92" s="65" t="n"/>
      <c r="O92" s="65" t="n"/>
      <c r="P92" s="65">
        <f>VLOOKUP(B92,'[3]TONG HOP '!B$5:O$666,14,0)</f>
        <v/>
      </c>
      <c r="Q92" s="65" t="n">
        <v>2103750</v>
      </c>
      <c r="R92" s="65" t="n"/>
      <c r="S92" s="92">
        <f>G92-I92-R92-K92-M92-O92-Q92</f>
        <v/>
      </c>
      <c r="T92" s="92" t="inlineStr">
        <is>
          <t>LNH0526NQ06</t>
        </is>
      </c>
      <c r="U92" s="92" t="n">
        <v>2103750</v>
      </c>
      <c r="V92" s="69">
        <f>G92-SUM(I92,K92,M92,O92,Q92,U92)</f>
        <v/>
      </c>
      <c r="W92" s="65" t="n"/>
      <c r="X92" t="inlineStr">
        <is>
          <t>Khớp</t>
        </is>
      </c>
    </row>
    <row r="93">
      <c r="A93" s="65" t="n">
        <v>84</v>
      </c>
      <c r="B93" s="65" t="inlineStr">
        <is>
          <t>25802600167</t>
        </is>
      </c>
      <c r="C93" s="65" t="inlineStr">
        <is>
          <t>Lê Thị Ngọc</t>
        </is>
      </c>
      <c r="D93" s="65" t="inlineStr">
        <is>
          <t>Vy</t>
        </is>
      </c>
      <c r="E93" s="65" t="inlineStr">
        <is>
          <t>21/02/2007</t>
        </is>
      </c>
      <c r="F93" s="66" t="inlineStr">
        <is>
          <t>LNH0925ND01</t>
        </is>
      </c>
      <c r="G93" s="90" t="n">
        <v>8415000</v>
      </c>
      <c r="H93" s="65">
        <f>VLOOKUP(B93,'[1]TONG HOP'!B$5:G$624,6,0)</f>
        <v/>
      </c>
      <c r="I93" s="65" t="n">
        <v>2103750</v>
      </c>
      <c r="J93" s="65" t="n"/>
      <c r="K93" s="65" t="n"/>
      <c r="L93" s="65">
        <f>VLOOKUP(B93,'[2]DS THANG 11'!A$3:E$616,5,0)</f>
        <v/>
      </c>
      <c r="M93" s="65" t="n">
        <v>2103750</v>
      </c>
      <c r="N93" s="65" t="n"/>
      <c r="O93" s="65" t="n"/>
      <c r="P93" s="65" t="n"/>
      <c r="Q93" s="65" t="n"/>
      <c r="R93" s="65" t="n"/>
      <c r="S93" s="92">
        <f>G93-I93-R93-K93-M93-O93-Q93</f>
        <v/>
      </c>
      <c r="T93" s="92" t="inlineStr"/>
      <c r="U93" s="92" t="inlineStr"/>
      <c r="V93" s="69">
        <f>G93-SUM(I93,K93,M93,O93,Q93,U93)</f>
        <v/>
      </c>
      <c r="W93" s="65" t="n"/>
      <c r="X93" t="inlineStr">
        <is>
          <t>Khớp</t>
        </is>
      </c>
    </row>
    <row r="94">
      <c r="A94" s="65" t="n">
        <v>85</v>
      </c>
      <c r="B94" s="65" t="inlineStr">
        <is>
          <t>25802800355</t>
        </is>
      </c>
      <c r="C94" s="65" t="inlineStr">
        <is>
          <t>Trần Thanh</t>
        </is>
      </c>
      <c r="D94" s="65" t="inlineStr">
        <is>
          <t>Tín</t>
        </is>
      </c>
      <c r="E94" s="65" t="inlineStr">
        <is>
          <t>06/09/2007</t>
        </is>
      </c>
      <c r="F94" s="66" t="inlineStr">
        <is>
          <t>LNH0925ND01</t>
        </is>
      </c>
      <c r="G94" s="90" t="n">
        <v>8415000</v>
      </c>
      <c r="H94" s="65">
        <f>VLOOKUP(B94,'[1]TONG HOP'!B$5:G$624,6,0)</f>
        <v/>
      </c>
      <c r="I94" s="65" t="n">
        <v>2103750</v>
      </c>
      <c r="J94" s="65" t="n"/>
      <c r="K94" s="65" t="n"/>
      <c r="L94" s="65">
        <f>VLOOKUP(B94,'[2]DS THANG 11'!A$3:E$616,5,0)</f>
        <v/>
      </c>
      <c r="M94" s="65" t="n">
        <v>2103750</v>
      </c>
      <c r="N94" s="65" t="n"/>
      <c r="O94" s="65" t="n"/>
      <c r="P94" s="65" t="n"/>
      <c r="Q94" s="65" t="n"/>
      <c r="R94" s="65" t="n"/>
      <c r="S94" s="92">
        <f>G94-I94-R94-K94-M94-O94-Q94</f>
        <v/>
      </c>
      <c r="T94" s="92" t="inlineStr"/>
      <c r="U94" s="92" t="inlineStr"/>
      <c r="V94" s="69">
        <f>G94-SUM(I94,K94,M94,O94,Q94,U94)</f>
        <v/>
      </c>
      <c r="W94" s="65" t="n"/>
      <c r="X94" t="inlineStr">
        <is>
          <t>Khớp</t>
        </is>
      </c>
    </row>
    <row r="95">
      <c r="A95" s="65" t="n">
        <v>86</v>
      </c>
      <c r="B95" s="65" t="inlineStr">
        <is>
          <t>25802800185</t>
        </is>
      </c>
      <c r="C95" s="65" t="inlineStr">
        <is>
          <t>Chu Yến</t>
        </is>
      </c>
      <c r="D95" s="65" t="inlineStr">
        <is>
          <t>Nhi</t>
        </is>
      </c>
      <c r="E95" s="65" t="inlineStr">
        <is>
          <t>10/12/2007</t>
        </is>
      </c>
      <c r="F95" s="66" t="inlineStr">
        <is>
          <t>LNH0925ND01</t>
        </is>
      </c>
      <c r="G95" s="90" t="n">
        <v>8415000</v>
      </c>
      <c r="H95" s="65">
        <f>VLOOKUP(B95,'[1]TONG HOP'!B$5:G$624,6,0)</f>
        <v/>
      </c>
      <c r="I95" s="65" t="n">
        <v>2103750</v>
      </c>
      <c r="J95" s="65" t="n"/>
      <c r="K95" s="65" t="n"/>
      <c r="L95" s="65">
        <f>VLOOKUP(B95,'[2]DS THANG 11'!A$3:E$616,5,0)</f>
        <v/>
      </c>
      <c r="M95" s="65" t="n">
        <v>2103750</v>
      </c>
      <c r="N95" s="65" t="n"/>
      <c r="O95" s="65" t="n"/>
      <c r="P95" s="65">
        <f>VLOOKUP(B95,'[3]TONG HOP '!B$5:O$666,14,0)</f>
        <v/>
      </c>
      <c r="Q95" s="65" t="n">
        <v>2103750</v>
      </c>
      <c r="R95" s="65" t="n"/>
      <c r="S95" s="92">
        <f>G95-I95-R95-K95-M95-O95-Q95</f>
        <v/>
      </c>
      <c r="T95" s="92" t="inlineStr">
        <is>
          <t>LNH0526NQ20</t>
        </is>
      </c>
      <c r="U95" s="92" t="n">
        <v>2103750</v>
      </c>
      <c r="V95" s="69">
        <f>G95-SUM(I95,K95,M95,O95,Q95,U95)</f>
        <v/>
      </c>
      <c r="W95" s="65" t="n"/>
      <c r="X95" t="inlineStr">
        <is>
          <t>Khớp</t>
        </is>
      </c>
    </row>
    <row r="96">
      <c r="A96" s="65" t="n">
        <v>87</v>
      </c>
      <c r="B96" s="65" t="inlineStr">
        <is>
          <t>25807500078</t>
        </is>
      </c>
      <c r="C96" s="65" t="inlineStr">
        <is>
          <t>Nguyễn Hoài Như</t>
        </is>
      </c>
      <c r="D96" s="65" t="inlineStr">
        <is>
          <t>Ngọc</t>
        </is>
      </c>
      <c r="E96" s="65" t="inlineStr">
        <is>
          <t>27/05/2007</t>
        </is>
      </c>
      <c r="F96" s="66" t="inlineStr">
        <is>
          <t>LNH0925ND01</t>
        </is>
      </c>
      <c r="G96" s="90" t="n">
        <v>8415000</v>
      </c>
      <c r="H96" s="65">
        <f>VLOOKUP(B96,'[1]TONG HOP'!B$5:G$624,6,0)</f>
        <v/>
      </c>
      <c r="I96" s="65" t="n">
        <v>2103750</v>
      </c>
      <c r="J96" s="65" t="n"/>
      <c r="K96" s="65" t="n"/>
      <c r="L96" s="65">
        <f>VLOOKUP(B96,'[2]DS THANG 11'!A$3:E$616,5,0)</f>
        <v/>
      </c>
      <c r="M96" s="65" t="n">
        <v>2103750</v>
      </c>
      <c r="N96" s="65" t="n"/>
      <c r="O96" s="65" t="n"/>
      <c r="P96" s="65" t="n"/>
      <c r="Q96" s="65" t="n"/>
      <c r="R96" s="65" t="n"/>
      <c r="S96" s="92">
        <f>G96-I96-R96-K96-M96-O96-Q96</f>
        <v/>
      </c>
      <c r="T96" s="92" t="inlineStr"/>
      <c r="U96" s="92" t="inlineStr"/>
      <c r="V96" s="69">
        <f>G96-SUM(I96,K96,M96,O96,Q96,U96)</f>
        <v/>
      </c>
      <c r="W96" s="65" t="n"/>
      <c r="X96" t="inlineStr">
        <is>
          <t>Khớp</t>
        </is>
      </c>
    </row>
    <row r="97">
      <c r="A97" s="65" t="n">
        <v>88</v>
      </c>
      <c r="B97" s="65" t="inlineStr">
        <is>
          <t>25802100009</t>
        </is>
      </c>
      <c r="C97" s="65" t="inlineStr">
        <is>
          <t>Nguyễn Văn</t>
        </is>
      </c>
      <c r="D97" s="65" t="inlineStr">
        <is>
          <t>Đông</t>
        </is>
      </c>
      <c r="E97" s="65" t="inlineStr">
        <is>
          <t>11/11/2007</t>
        </is>
      </c>
      <c r="F97" s="66" t="inlineStr">
        <is>
          <t>LNH0925ND01</t>
        </is>
      </c>
      <c r="G97" s="90" t="n">
        <v>8415000</v>
      </c>
      <c r="H97" s="65">
        <f>VLOOKUP(B97,'[1]TONG HOP'!B$5:G$624,6,0)</f>
        <v/>
      </c>
      <c r="I97" s="65" t="n">
        <v>2103750</v>
      </c>
      <c r="J97" s="65" t="n"/>
      <c r="K97" s="65" t="n"/>
      <c r="L97" s="65">
        <f>VLOOKUP(B97,'[2]DS THANG 11'!A$3:E$616,5,0)</f>
        <v/>
      </c>
      <c r="M97" s="65" t="n">
        <v>2103750</v>
      </c>
      <c r="N97" s="65" t="n"/>
      <c r="O97" s="65" t="n"/>
      <c r="P97" s="65" t="n"/>
      <c r="Q97" s="65" t="n"/>
      <c r="R97" s="65" t="n"/>
      <c r="S97" s="92">
        <f>G97-I97-R97-K97-M97-O97-Q97</f>
        <v/>
      </c>
      <c r="T97" s="92" t="inlineStr"/>
      <c r="U97" s="92" t="inlineStr"/>
      <c r="V97" s="69">
        <f>G97-SUM(I97,K97,M97,O97,Q97,U97)</f>
        <v/>
      </c>
      <c r="W97" s="65" t="n"/>
      <c r="X97" t="inlineStr">
        <is>
          <t>Khớp</t>
        </is>
      </c>
    </row>
    <row r="98">
      <c r="A98" s="65" t="n">
        <v>89</v>
      </c>
      <c r="B98" s="65" t="inlineStr">
        <is>
          <t>25802700104</t>
        </is>
      </c>
      <c r="C98" s="65" t="inlineStr">
        <is>
          <t>Lê Thị Mỹ</t>
        </is>
      </c>
      <c r="D98" s="65" t="inlineStr">
        <is>
          <t>Tuyền</t>
        </is>
      </c>
      <c r="E98" s="65" t="inlineStr">
        <is>
          <t>14/04/2007</t>
        </is>
      </c>
      <c r="F98" s="66" t="inlineStr">
        <is>
          <t>LNH0925ND01</t>
        </is>
      </c>
      <c r="G98" s="90" t="n">
        <v>8415000</v>
      </c>
      <c r="H98" s="65">
        <f>VLOOKUP(B98,'[1]TONG HOP'!B$5:G$624,6,0)</f>
        <v/>
      </c>
      <c r="I98" s="65" t="n">
        <v>2103750</v>
      </c>
      <c r="J98" s="65" t="n"/>
      <c r="K98" s="65" t="n"/>
      <c r="L98" s="65">
        <f>VLOOKUP(B98,'[2]DS THANG 11'!A$3:E$616,5,0)</f>
        <v/>
      </c>
      <c r="M98" s="65" t="n">
        <v>2103750</v>
      </c>
      <c r="N98" s="65" t="n"/>
      <c r="O98" s="65" t="n"/>
      <c r="P98" s="65">
        <f>VLOOKUP(B98,'[3]TONG HOP '!B$5:O$666,14,0)</f>
        <v/>
      </c>
      <c r="Q98" s="65" t="n">
        <v>2103750</v>
      </c>
      <c r="R98" s="65" t="n"/>
      <c r="S98" s="92">
        <f>G98-I98-R98-K98-M98-O98-Q98</f>
        <v/>
      </c>
      <c r="T98" s="92" t="inlineStr"/>
      <c r="U98" s="92" t="inlineStr"/>
      <c r="V98" s="69">
        <f>G98-SUM(I98,K98,M98,O98,Q98,U98)</f>
        <v/>
      </c>
      <c r="W98" s="65" t="n"/>
      <c r="X98" t="inlineStr">
        <is>
          <t>Khớp</t>
        </is>
      </c>
    </row>
    <row r="99">
      <c r="A99" s="65" t="n">
        <v>90</v>
      </c>
      <c r="B99" s="65" t="inlineStr">
        <is>
          <t>25806500029</t>
        </is>
      </c>
      <c r="C99" s="65" t="inlineStr">
        <is>
          <t>Lâm Phúc</t>
        </is>
      </c>
      <c r="D99" s="65" t="inlineStr">
        <is>
          <t>Nguyên</t>
        </is>
      </c>
      <c r="E99" s="65" t="inlineStr">
        <is>
          <t>21/02/2006</t>
        </is>
      </c>
      <c r="F99" s="66" t="inlineStr">
        <is>
          <t>LNH0925ND01</t>
        </is>
      </c>
      <c r="G99" s="90" t="n">
        <v>8415000</v>
      </c>
      <c r="H99" s="65" t="n"/>
      <c r="I99" s="65" t="n"/>
      <c r="J99" s="65" t="n"/>
      <c r="K99" s="65" t="n"/>
      <c r="L99" s="65" t="n"/>
      <c r="M99" s="65" t="n"/>
      <c r="N99" s="65" t="n"/>
      <c r="O99" s="65" t="n"/>
      <c r="P99" s="65" t="n"/>
      <c r="Q99" s="65" t="n"/>
      <c r="R99" s="65" t="n"/>
      <c r="S99" s="92">
        <f>G99-I99-R99-K99-M99-O99-Q99</f>
        <v/>
      </c>
      <c r="T99" s="92" t="inlineStr"/>
      <c r="U99" s="92" t="inlineStr"/>
      <c r="V99" s="69">
        <f>G99-SUM(I99,K99,M99,O99,Q99,U99)</f>
        <v/>
      </c>
      <c r="W99" s="65" t="n"/>
      <c r="X99" t="inlineStr">
        <is>
          <t>Khớp</t>
        </is>
      </c>
    </row>
    <row r="100">
      <c r="A100" s="65" t="n">
        <v>91</v>
      </c>
      <c r="B100" s="65" t="inlineStr">
        <is>
          <t>25808600094</t>
        </is>
      </c>
      <c r="C100" s="65" t="inlineStr">
        <is>
          <t>Dương Tú</t>
        </is>
      </c>
      <c r="D100" s="65" t="inlineStr">
        <is>
          <t>Quân</t>
        </is>
      </c>
      <c r="E100" s="65" t="inlineStr">
        <is>
          <t>30/07/2007</t>
        </is>
      </c>
      <c r="F100" s="66" t="inlineStr">
        <is>
          <t>LNH0925ND01</t>
        </is>
      </c>
      <c r="G100" s="90" t="n">
        <v>8415000</v>
      </c>
      <c r="H100" s="65">
        <f>VLOOKUP(B100,'[1]TONG HOP'!B$5:G$624,6,0)</f>
        <v/>
      </c>
      <c r="I100" s="65" t="n">
        <v>2103750</v>
      </c>
      <c r="J100" s="65" t="n"/>
      <c r="K100" s="65" t="n"/>
      <c r="L100" s="65">
        <f>VLOOKUP(B100,'[2]DS THANG 11'!A$3:E$616,5,0)</f>
        <v/>
      </c>
      <c r="M100" s="65" t="n">
        <v>2103750</v>
      </c>
      <c r="N100" s="65" t="n"/>
      <c r="O100" s="65" t="n"/>
      <c r="P100" s="65">
        <f>VLOOKUP(B100,'[3]TONG HOP '!B$5:O$666,14,0)</f>
        <v/>
      </c>
      <c r="Q100" s="65" t="n">
        <v>2103750</v>
      </c>
      <c r="R100" s="65" t="n"/>
      <c r="S100" s="92">
        <f>G100-I100-R100-K100-M100-O100-Q100</f>
        <v/>
      </c>
      <c r="T100" s="92" t="inlineStr"/>
      <c r="U100" s="92" t="inlineStr"/>
      <c r="V100" s="69">
        <f>G100-SUM(I100,K100,M100,O100,Q100,U100)</f>
        <v/>
      </c>
      <c r="W100" s="65" t="n"/>
      <c r="X100" t="inlineStr">
        <is>
          <t>Khớp</t>
        </is>
      </c>
    </row>
    <row r="101">
      <c r="A101" s="65" t="n">
        <v>92</v>
      </c>
      <c r="B101" s="65" t="inlineStr">
        <is>
          <t>25806800058</t>
        </is>
      </c>
      <c r="C101" s="65" t="inlineStr">
        <is>
          <t>Huỳnh Hoa Trinh</t>
        </is>
      </c>
      <c r="D101" s="65" t="inlineStr">
        <is>
          <t>Nữ</t>
        </is>
      </c>
      <c r="E101" s="65" t="inlineStr">
        <is>
          <t>08/10/2007</t>
        </is>
      </c>
      <c r="F101" s="66" t="inlineStr">
        <is>
          <t>LNH0925ND01</t>
        </is>
      </c>
      <c r="G101" s="90" t="n">
        <v>8415000</v>
      </c>
      <c r="H101" s="65">
        <f>VLOOKUP(B101,'[1]TONG HOP'!B$5:G$624,6,0)</f>
        <v/>
      </c>
      <c r="I101" s="65" t="n">
        <v>2103750</v>
      </c>
      <c r="J101" s="65" t="n"/>
      <c r="K101" s="65" t="n"/>
      <c r="L101" s="65">
        <f>VLOOKUP(B101,'[2]DS THANG 11'!A$3:E$616,5,0)</f>
        <v/>
      </c>
      <c r="M101" s="65" t="n">
        <v>2103750</v>
      </c>
      <c r="N101" s="65" t="n"/>
      <c r="O101" s="65" t="n"/>
      <c r="P101" s="65">
        <f>VLOOKUP(B101,'[3]TONG HOP '!B$5:O$666,14,0)</f>
        <v/>
      </c>
      <c r="Q101" s="65" t="n">
        <v>2103750</v>
      </c>
      <c r="R101" s="65" t="n"/>
      <c r="S101" s="92">
        <f>G101-I101-R101-K101-M101-O101-Q101</f>
        <v/>
      </c>
      <c r="T101" s="92" t="inlineStr"/>
      <c r="U101" s="92" t="inlineStr"/>
      <c r="V101" s="69">
        <f>G101-SUM(I101,K101,M101,O101,Q101,U101)</f>
        <v/>
      </c>
      <c r="W101" s="65" t="n"/>
      <c r="X101" t="inlineStr">
        <is>
          <t>Khớp</t>
        </is>
      </c>
    </row>
    <row r="102">
      <c r="A102" s="65" t="n">
        <v>93</v>
      </c>
      <c r="B102" s="65" t="inlineStr">
        <is>
          <t>25808200079</t>
        </is>
      </c>
      <c r="C102" s="65" t="inlineStr">
        <is>
          <t>Đặng Thái</t>
        </is>
      </c>
      <c r="D102" s="65" t="inlineStr">
        <is>
          <t>Lộc</t>
        </is>
      </c>
      <c r="E102" s="65" t="inlineStr">
        <is>
          <t>01/11/2007</t>
        </is>
      </c>
      <c r="F102" s="66" t="inlineStr">
        <is>
          <t>LNH0925ND01</t>
        </is>
      </c>
      <c r="G102" s="90" t="n">
        <v>8415000</v>
      </c>
      <c r="H102" s="65">
        <f>VLOOKUP(B102,'[1]TONG HOP'!B$5:G$624,6,0)</f>
        <v/>
      </c>
      <c r="I102" s="65" t="n">
        <v>2103750</v>
      </c>
      <c r="J102" s="65" t="n"/>
      <c r="K102" s="65" t="n"/>
      <c r="L102" s="65">
        <f>VLOOKUP(B102,'[2]DS THANG 11'!A$3:E$616,5,0)</f>
        <v/>
      </c>
      <c r="M102" s="65" t="n">
        <v>2103750</v>
      </c>
      <c r="N102" s="65" t="n"/>
      <c r="O102" s="65" t="n"/>
      <c r="P102" s="65">
        <f>VLOOKUP(B102,'[3]TONG HOP '!B$5:O$666,14,0)</f>
        <v/>
      </c>
      <c r="Q102" s="65" t="n">
        <v>2103750</v>
      </c>
      <c r="R102" s="65" t="n"/>
      <c r="S102" s="92">
        <f>G102-I102-R102-K102-M102-O102-Q102</f>
        <v/>
      </c>
      <c r="T102" s="92" t="inlineStr">
        <is>
          <t>LNH0526NG01</t>
        </is>
      </c>
      <c r="U102" s="92" t="n">
        <v>2103750</v>
      </c>
      <c r="V102" s="69">
        <f>G102-SUM(I102,K102,M102,O102,Q102,U102)</f>
        <v/>
      </c>
      <c r="W102" s="65" t="n"/>
      <c r="X102" t="inlineStr">
        <is>
          <t>Khớp</t>
        </is>
      </c>
    </row>
    <row r="103">
      <c r="A103" s="65" t="n">
        <v>94</v>
      </c>
      <c r="B103" s="65" t="inlineStr">
        <is>
          <t>25807500161</t>
        </is>
      </c>
      <c r="C103" s="65" t="inlineStr">
        <is>
          <t>Nguyễn Phương</t>
        </is>
      </c>
      <c r="D103" s="65" t="inlineStr">
        <is>
          <t>Uyên</t>
        </is>
      </c>
      <c r="E103" s="65" t="inlineStr">
        <is>
          <t>23/07/2007</t>
        </is>
      </c>
      <c r="F103" s="66" t="inlineStr">
        <is>
          <t>LNH0925ND01</t>
        </is>
      </c>
      <c r="G103" s="90" t="n">
        <v>4465000</v>
      </c>
      <c r="H103" s="65">
        <f>VLOOKUP(B103,'[1]TONG HOP'!B$5:G$624,6,0)</f>
        <v/>
      </c>
      <c r="I103" s="65" t="n">
        <v>2232500</v>
      </c>
      <c r="J103" s="65" t="n"/>
      <c r="K103" s="65" t="n"/>
      <c r="L103" s="65">
        <f>VLOOKUP(B103,'[2]DS THANG 11'!A$3:E$616,5,0)</f>
        <v/>
      </c>
      <c r="M103" s="65" t="n">
        <v>2232500</v>
      </c>
      <c r="N103" s="65" t="n"/>
      <c r="O103" s="65" t="n"/>
      <c r="P103" s="65" t="n"/>
      <c r="Q103" s="65" t="n"/>
      <c r="R103" s="65" t="n"/>
      <c r="S103" s="92">
        <f>G103-I103-R103-K103-M103-O103-Q103</f>
        <v/>
      </c>
      <c r="T103" s="92" t="inlineStr"/>
      <c r="U103" s="92" t="inlineStr"/>
      <c r="V103" s="69">
        <f>G103-SUM(I103,K103,M103,O103,Q103,U103)</f>
        <v/>
      </c>
      <c r="W103" s="65" t="n"/>
      <c r="X103" t="inlineStr">
        <is>
          <t>Khớp</t>
        </is>
      </c>
    </row>
    <row r="104">
      <c r="A104" s="65" t="n">
        <v>95</v>
      </c>
      <c r="B104" s="65" t="inlineStr">
        <is>
          <t>25802700162</t>
        </is>
      </c>
      <c r="C104" s="65" t="inlineStr">
        <is>
          <t>Vũ Thị Minh</t>
        </is>
      </c>
      <c r="D104" s="65" t="inlineStr">
        <is>
          <t>Thư</t>
        </is>
      </c>
      <c r="E104" s="65" t="inlineStr">
        <is>
          <t>01/05/2007</t>
        </is>
      </c>
      <c r="F104" s="66" t="inlineStr">
        <is>
          <t>LNH0925ND01</t>
        </is>
      </c>
      <c r="G104" s="90" t="n">
        <v>8415000</v>
      </c>
      <c r="H104" s="65" t="n"/>
      <c r="I104" s="65" t="n"/>
      <c r="J104" s="65" t="n"/>
      <c r="K104" s="65" t="n"/>
      <c r="L104" s="65">
        <f>VLOOKUP(B104,'[2]DS THANG 11'!A$3:E$616,5,0)</f>
        <v/>
      </c>
      <c r="M104" s="65" t="n">
        <v>2103750</v>
      </c>
      <c r="N104" s="65" t="n"/>
      <c r="O104" s="65" t="n"/>
      <c r="P104" s="65" t="n"/>
      <c r="Q104" s="65" t="n"/>
      <c r="R104" s="65" t="n"/>
      <c r="S104" s="92">
        <f>G104-I104-R104-K104-M104-O104-Q104</f>
        <v/>
      </c>
      <c r="T104" s="92" t="inlineStr"/>
      <c r="U104" s="92" t="inlineStr"/>
      <c r="V104" s="69">
        <f>G104-SUM(I104,K104,M104,O104,Q104,U104)</f>
        <v/>
      </c>
      <c r="W104" s="65" t="n"/>
      <c r="X104" t="inlineStr">
        <is>
          <t>Khớp</t>
        </is>
      </c>
    </row>
    <row r="105">
      <c r="A105" s="65" t="n">
        <v>96</v>
      </c>
      <c r="B105" s="65" t="inlineStr">
        <is>
          <t>25800500278</t>
        </is>
      </c>
      <c r="C105" s="65" t="inlineStr">
        <is>
          <t>Phạm Thế</t>
        </is>
      </c>
      <c r="D105" s="65" t="inlineStr">
        <is>
          <t>Lân</t>
        </is>
      </c>
      <c r="E105" s="65" t="inlineStr">
        <is>
          <t>30/10/2007</t>
        </is>
      </c>
      <c r="F105" s="66" t="inlineStr">
        <is>
          <t>LNH0925ND01</t>
        </is>
      </c>
      <c r="G105" s="90" t="n">
        <v>8415000</v>
      </c>
      <c r="H105" s="65">
        <f>VLOOKUP(B105,'[1]TONG HOP'!B$5:G$624,6,0)</f>
        <v/>
      </c>
      <c r="I105" s="65" t="n">
        <v>2103750</v>
      </c>
      <c r="J105" s="65" t="n"/>
      <c r="K105" s="65" t="n"/>
      <c r="L105" s="65">
        <f>VLOOKUP(B105,'[2]DS THANG 11'!A$3:E$616,5,0)</f>
        <v/>
      </c>
      <c r="M105" s="65" t="n">
        <v>2103750</v>
      </c>
      <c r="N105" s="65" t="n"/>
      <c r="O105" s="65" t="n"/>
      <c r="P105" s="65">
        <f>VLOOKUP(B105,'[3]TONG HOP '!B$5:O$666,14,0)</f>
        <v/>
      </c>
      <c r="Q105" s="65" t="n">
        <v>2103750</v>
      </c>
      <c r="R105" s="65" t="n"/>
      <c r="S105" s="92">
        <f>G105-I105-R105-K105-M105-O105-Q105</f>
        <v/>
      </c>
      <c r="T105" s="92" t="inlineStr">
        <is>
          <t>LNH0526NQ18</t>
        </is>
      </c>
      <c r="U105" s="92" t="n">
        <v>2103750</v>
      </c>
      <c r="V105" s="69">
        <f>G105-SUM(I105,K105,M105,O105,Q105,U105)</f>
        <v/>
      </c>
      <c r="W105" s="65" t="n"/>
      <c r="X105" t="inlineStr">
        <is>
          <t>Khớp</t>
        </is>
      </c>
    </row>
    <row r="106">
      <c r="A106" s="65" t="n">
        <v>97</v>
      </c>
      <c r="B106" s="65" t="inlineStr">
        <is>
          <t>25807500098</t>
        </is>
      </c>
      <c r="C106" s="65" t="inlineStr">
        <is>
          <t>Phan Ngọc Phú</t>
        </is>
      </c>
      <c r="D106" s="65" t="inlineStr">
        <is>
          <t>Quí</t>
        </is>
      </c>
      <c r="E106" s="65" t="inlineStr">
        <is>
          <t>12/09/2007</t>
        </is>
      </c>
      <c r="F106" s="66" t="inlineStr">
        <is>
          <t>LNH0925ND01</t>
        </is>
      </c>
      <c r="G106" s="90" t="n">
        <v>8415000</v>
      </c>
      <c r="H106" s="65">
        <f>VLOOKUP(B106,'[1]TONG HOP'!B$5:G$624,6,0)</f>
        <v/>
      </c>
      <c r="I106" s="65" t="n">
        <v>2103750</v>
      </c>
      <c r="J106" s="65" t="n"/>
      <c r="K106" s="65" t="n"/>
      <c r="L106" s="65">
        <f>VLOOKUP(B106,'[2]DS THANG 11'!A$3:E$616,5,0)</f>
        <v/>
      </c>
      <c r="M106" s="65" t="n">
        <v>2103750</v>
      </c>
      <c r="N106" s="65" t="n"/>
      <c r="O106" s="65" t="n"/>
      <c r="P106" s="65" t="n"/>
      <c r="Q106" s="65" t="n"/>
      <c r="R106" s="65" t="n"/>
      <c r="S106" s="92">
        <f>G106-I106-R106-K106-M106-O106-Q106</f>
        <v/>
      </c>
      <c r="T106" s="92" t="inlineStr"/>
      <c r="U106" s="92" t="inlineStr"/>
      <c r="V106" s="69">
        <f>G106-SUM(I106,K106,M106,O106,Q106,U106)</f>
        <v/>
      </c>
      <c r="W106" s="65" t="n"/>
      <c r="X106" t="inlineStr">
        <is>
          <t>Khớp</t>
        </is>
      </c>
    </row>
    <row r="107">
      <c r="A107" s="65" t="n">
        <v>98</v>
      </c>
      <c r="B107" s="65" t="inlineStr">
        <is>
          <t>25802700153</t>
        </is>
      </c>
      <c r="C107" s="65" t="inlineStr">
        <is>
          <t>Lê Thái</t>
        </is>
      </c>
      <c r="D107" s="65" t="inlineStr">
        <is>
          <t>Long</t>
        </is>
      </c>
      <c r="E107" s="65" t="inlineStr">
        <is>
          <t>20/05/2007</t>
        </is>
      </c>
      <c r="F107" s="66" t="inlineStr">
        <is>
          <t>LNH0925ND01</t>
        </is>
      </c>
      <c r="G107" s="90" t="n">
        <v>8415000</v>
      </c>
      <c r="H107" s="65">
        <f>VLOOKUP(B107,'[1]TONG HOP'!B$5:G$624,6,0)</f>
        <v/>
      </c>
      <c r="I107" s="65" t="n">
        <v>2103750</v>
      </c>
      <c r="J107" s="65" t="n"/>
      <c r="K107" s="65" t="n"/>
      <c r="L107" s="65">
        <f>VLOOKUP(B107,'[2]DS THANG 11'!A$3:E$616,5,0)</f>
        <v/>
      </c>
      <c r="M107" s="65" t="n">
        <v>2103750</v>
      </c>
      <c r="N107" s="65" t="n"/>
      <c r="O107" s="65" t="n"/>
      <c r="P107" s="65">
        <f>VLOOKUP(B107,'[3]TONG HOP '!B$5:O$666,14,0)</f>
        <v/>
      </c>
      <c r="Q107" s="65" t="n">
        <v>2103750</v>
      </c>
      <c r="R107" s="65" t="n"/>
      <c r="S107" s="92">
        <f>G107-I107-R107-K107-M107-O107-Q107</f>
        <v/>
      </c>
      <c r="T107" s="92" t="inlineStr"/>
      <c r="U107" s="92" t="inlineStr"/>
      <c r="V107" s="69">
        <f>G107-SUM(I107,K107,M107,O107,Q107,U107)</f>
        <v/>
      </c>
      <c r="W107" s="65" t="n"/>
      <c r="X107" t="inlineStr">
        <is>
          <t>Khớp</t>
        </is>
      </c>
    </row>
    <row r="108">
      <c r="A108" s="65" t="n">
        <v>99</v>
      </c>
      <c r="B108" s="65" t="inlineStr">
        <is>
          <t>25808600054</t>
        </is>
      </c>
      <c r="C108" s="65" t="inlineStr">
        <is>
          <t>Đặng Thị Thùy</t>
        </is>
      </c>
      <c r="D108" s="65" t="inlineStr">
        <is>
          <t>Linh</t>
        </is>
      </c>
      <c r="E108" s="65" t="inlineStr">
        <is>
          <t>16/02/2007</t>
        </is>
      </c>
      <c r="F108" s="66" t="inlineStr">
        <is>
          <t>LNH0925ND01</t>
        </is>
      </c>
      <c r="G108" s="90" t="n">
        <v>8415000</v>
      </c>
      <c r="H108" s="65">
        <f>VLOOKUP(B108,'[1]TONG HOP'!B$5:G$624,6,0)</f>
        <v/>
      </c>
      <c r="I108" s="65" t="n">
        <v>2103750</v>
      </c>
      <c r="J108" s="65" t="n"/>
      <c r="K108" s="65" t="n"/>
      <c r="L108" s="65">
        <f>VLOOKUP(B108,'[2]DS THANG 11'!A$3:E$616,5,0)</f>
        <v/>
      </c>
      <c r="M108" s="65" t="n">
        <v>2103750</v>
      </c>
      <c r="N108" s="65" t="n"/>
      <c r="O108" s="65" t="n"/>
      <c r="P108" s="65">
        <f>VLOOKUP(B108,'[3]TONG HOP '!B$5:O$666,14,0)</f>
        <v/>
      </c>
      <c r="Q108" s="65" t="n">
        <v>2103750</v>
      </c>
      <c r="R108" s="65" t="n"/>
      <c r="S108" s="92">
        <f>G108-I108-R108-K108-M108-O108-Q108</f>
        <v/>
      </c>
      <c r="T108" s="92" t="inlineStr"/>
      <c r="U108" s="92" t="inlineStr"/>
      <c r="V108" s="69">
        <f>G108-SUM(I108,K108,M108,O108,Q108,U108)</f>
        <v/>
      </c>
      <c r="W108" s="65" t="n"/>
      <c r="X108" t="inlineStr">
        <is>
          <t>Khớp</t>
        </is>
      </c>
    </row>
    <row r="109">
      <c r="A109" s="65" t="n">
        <v>100</v>
      </c>
      <c r="B109" s="71" t="inlineStr">
        <is>
          <t>25805900128</t>
        </is>
      </c>
      <c r="C109" s="65" t="inlineStr">
        <is>
          <t>Huỳnh Trà Sơn</t>
        </is>
      </c>
      <c r="D109" s="65" t="inlineStr">
        <is>
          <t>Tùng</t>
        </is>
      </c>
      <c r="E109" s="65" t="inlineStr">
        <is>
          <t>09/12/2007</t>
        </is>
      </c>
      <c r="F109" s="66" t="inlineStr">
        <is>
          <t>LNH0925ND01</t>
        </is>
      </c>
      <c r="G109" s="90">
        <f>1000000+7415000</f>
        <v/>
      </c>
      <c r="H109" s="65" t="n"/>
      <c r="I109" s="65" t="n"/>
      <c r="J109" s="65" t="n"/>
      <c r="K109" s="65" t="n"/>
      <c r="L109" s="65" t="inlineStr">
        <is>
          <t>LNH1125ND02</t>
        </is>
      </c>
      <c r="M109" s="65" t="n">
        <v>2103750</v>
      </c>
      <c r="N109" s="65" t="n"/>
      <c r="O109" s="65" t="n"/>
      <c r="P109" s="65">
        <f>VLOOKUP(B109,'[3]TONG HOP '!B$5:O$666,14,0)</f>
        <v/>
      </c>
      <c r="Q109" s="65" t="n">
        <v>2103750</v>
      </c>
      <c r="R109" s="65" t="n"/>
      <c r="S109" s="92">
        <f>G109-I109-R109-K109-M109-O109-Q109</f>
        <v/>
      </c>
      <c r="T109" s="92" t="inlineStr"/>
      <c r="U109" s="92" t="inlineStr"/>
      <c r="V109" s="69">
        <f>G109-SUM(I109,K109,M109,O109,Q109,U109)</f>
        <v/>
      </c>
      <c r="W109" s="65" t="inlineStr">
        <is>
          <t>MSV cu25809300008</t>
        </is>
      </c>
      <c r="X109" t="inlineStr">
        <is>
          <t>Khớp</t>
        </is>
      </c>
    </row>
    <row r="110">
      <c r="A110" s="65" t="n">
        <v>101</v>
      </c>
      <c r="B110" s="65" t="inlineStr">
        <is>
          <t>25820700045</t>
        </is>
      </c>
      <c r="C110" s="65" t="inlineStr">
        <is>
          <t>Nguyễn Cẩm</t>
        </is>
      </c>
      <c r="D110" s="65" t="inlineStr">
        <is>
          <t>Tú</t>
        </is>
      </c>
      <c r="E110" s="65" t="inlineStr">
        <is>
          <t>22/11/2007</t>
        </is>
      </c>
      <c r="F110" s="66" t="inlineStr">
        <is>
          <t>LNH0925ND01</t>
        </is>
      </c>
      <c r="G110" s="90" t="n">
        <v>1000000</v>
      </c>
      <c r="H110" s="65" t="n"/>
      <c r="I110" s="65" t="n"/>
      <c r="J110" s="65" t="n"/>
      <c r="K110" s="65" t="n"/>
      <c r="L110" s="65" t="n"/>
      <c r="M110" s="65" t="n"/>
      <c r="N110" s="65" t="n"/>
      <c r="O110" s="65" t="n"/>
      <c r="P110" s="65" t="n"/>
      <c r="Q110" s="65" t="n"/>
      <c r="R110" s="65" t="n"/>
      <c r="S110" s="92">
        <f>G110-I110-R110-K110-M110-O110-Q110</f>
        <v/>
      </c>
      <c r="T110" s="92" t="inlineStr"/>
      <c r="U110" s="92" t="inlineStr"/>
      <c r="V110" s="69">
        <f>G110-SUM(I110,K110,M110,O110,Q110,U110)</f>
        <v/>
      </c>
      <c r="W110" s="65" t="n"/>
      <c r="X110" t="inlineStr">
        <is>
          <t>Khớp</t>
        </is>
      </c>
    </row>
    <row r="111">
      <c r="A111" s="65" t="n">
        <v>102</v>
      </c>
      <c r="B111" s="65" t="inlineStr">
        <is>
          <t>25800500248</t>
        </is>
      </c>
      <c r="C111" s="65" t="inlineStr">
        <is>
          <t>Vũ Minh</t>
        </is>
      </c>
      <c r="D111" s="65" t="inlineStr">
        <is>
          <t>Hiếu</t>
        </is>
      </c>
      <c r="E111" s="65" t="inlineStr">
        <is>
          <t>09/07/2007</t>
        </is>
      </c>
      <c r="F111" s="66" t="inlineStr">
        <is>
          <t>LNH0925ND01</t>
        </is>
      </c>
      <c r="G111" s="90" t="n">
        <v>8415000</v>
      </c>
      <c r="H111" s="65">
        <f>VLOOKUP(B111,'[1]TONG HOP'!B$5:G$624,6,0)</f>
        <v/>
      </c>
      <c r="I111" s="65" t="n">
        <v>2103750</v>
      </c>
      <c r="J111" s="65" t="n"/>
      <c r="K111" s="65" t="n"/>
      <c r="L111" s="65">
        <f>VLOOKUP(B111,'[2]DS THANG 11'!A$3:E$616,5,0)</f>
        <v/>
      </c>
      <c r="M111" s="65" t="n">
        <v>2103750</v>
      </c>
      <c r="N111" s="65" t="n"/>
      <c r="O111" s="65" t="n"/>
      <c r="P111" s="65">
        <f>VLOOKUP(B111,'[3]TONG HOP '!B$5:O$666,14,0)</f>
        <v/>
      </c>
      <c r="Q111" s="65" t="n">
        <v>2103750</v>
      </c>
      <c r="R111" s="65" t="n"/>
      <c r="S111" s="92">
        <f>G111-I111-R111-K111-M111-O111-Q111</f>
        <v/>
      </c>
      <c r="T111" s="92" t="inlineStr">
        <is>
          <t>LNH0526NQ11</t>
        </is>
      </c>
      <c r="U111" s="92" t="n">
        <v>2103750</v>
      </c>
      <c r="V111" s="69">
        <f>G111-SUM(I111,K111,M111,O111,Q111,U111)</f>
        <v/>
      </c>
      <c r="W111" s="65" t="n"/>
      <c r="X111" t="inlineStr">
        <is>
          <t>Khớp</t>
        </is>
      </c>
    </row>
    <row r="112">
      <c r="A112" s="65" t="n">
        <v>103</v>
      </c>
      <c r="B112" s="65" t="inlineStr">
        <is>
          <t>25801600178</t>
        </is>
      </c>
      <c r="C112" s="65" t="inlineStr">
        <is>
          <t>Lê Ngọc Thảo</t>
        </is>
      </c>
      <c r="D112" s="65" t="inlineStr">
        <is>
          <t>Vy</t>
        </is>
      </c>
      <c r="E112" s="65" t="inlineStr">
        <is>
          <t>11/01/2007</t>
        </is>
      </c>
      <c r="F112" s="66" t="inlineStr">
        <is>
          <t>LNH0925ND01</t>
        </is>
      </c>
      <c r="G112" s="90" t="n">
        <v>2100000</v>
      </c>
      <c r="H112" s="65">
        <f>VLOOKUP(B112,'[1]TONG HOP'!B$5:G$624,6,0)</f>
        <v/>
      </c>
      <c r="I112" s="65" t="n">
        <v>2100000</v>
      </c>
      <c r="J112" s="65" t="n"/>
      <c r="K112" s="65" t="n"/>
      <c r="L112" s="65" t="n"/>
      <c r="M112" s="65" t="n"/>
      <c r="N112" s="65" t="n"/>
      <c r="O112" s="65" t="n"/>
      <c r="P112" s="65" t="n"/>
      <c r="Q112" s="65" t="n"/>
      <c r="R112" s="65" t="n"/>
      <c r="S112" s="92">
        <f>G112-I112-R112-K112-M112-O112-Q112</f>
        <v/>
      </c>
      <c r="T112" s="92" t="inlineStr"/>
      <c r="U112" s="92" t="inlineStr"/>
      <c r="V112" s="69">
        <f>G112-SUM(I112,K112,M112,O112,Q112,U112)</f>
        <v/>
      </c>
      <c r="W112" s="65" t="n"/>
      <c r="X112" t="inlineStr">
        <is>
          <t>Khớp</t>
        </is>
      </c>
    </row>
    <row r="113">
      <c r="A113" s="65" t="n">
        <v>104</v>
      </c>
      <c r="B113" s="65" t="inlineStr">
        <is>
          <t>25807400009</t>
        </is>
      </c>
      <c r="C113" s="65" t="inlineStr">
        <is>
          <t>Trần Thanh</t>
        </is>
      </c>
      <c r="D113" s="65" t="inlineStr">
        <is>
          <t>Nhàn</t>
        </is>
      </c>
      <c r="E113" s="65" t="inlineStr">
        <is>
          <t>24/08/2007</t>
        </is>
      </c>
      <c r="F113" s="66" t="inlineStr">
        <is>
          <t>LNH0925ND01</t>
        </is>
      </c>
      <c r="G113" s="90" t="n">
        <v>2100000</v>
      </c>
      <c r="H113" s="65">
        <f>VLOOKUP(B113,'[1]TONG HOP'!B$5:G$624,6,0)</f>
        <v/>
      </c>
      <c r="I113" s="65" t="n">
        <v>2100000</v>
      </c>
      <c r="J113" s="65" t="n"/>
      <c r="K113" s="65" t="n"/>
      <c r="L113" s="65" t="n"/>
      <c r="M113" s="65" t="n"/>
      <c r="N113" s="65" t="n"/>
      <c r="O113" s="65" t="n"/>
      <c r="P113" s="65" t="n"/>
      <c r="Q113" s="65" t="n"/>
      <c r="R113" s="65" t="n"/>
      <c r="S113" s="92">
        <f>G113-I113-R113-K113-M113-O113-Q113</f>
        <v/>
      </c>
      <c r="T113" s="92" t="inlineStr"/>
      <c r="U113" s="92" t="inlineStr"/>
      <c r="V113" s="69">
        <f>G113-SUM(I113,K113,M113,O113,Q113,U113)</f>
        <v/>
      </c>
      <c r="W113" s="65" t="n"/>
      <c r="X113" t="inlineStr">
        <is>
          <t>Khớp</t>
        </is>
      </c>
    </row>
    <row r="114">
      <c r="A114" s="65" t="n">
        <v>105</v>
      </c>
      <c r="B114" s="65" t="inlineStr">
        <is>
          <t>25806800057</t>
        </is>
      </c>
      <c r="C114" s="65" t="inlineStr">
        <is>
          <t>Lê Tâm</t>
        </is>
      </c>
      <c r="D114" s="65" t="inlineStr">
        <is>
          <t>Như</t>
        </is>
      </c>
      <c r="E114" s="65" t="inlineStr">
        <is>
          <t>01/02/2007</t>
        </is>
      </c>
      <c r="F114" s="66" t="inlineStr">
        <is>
          <t>LNH0925ND01</t>
        </is>
      </c>
      <c r="G114" s="90" t="n">
        <v>4465000</v>
      </c>
      <c r="H114" s="65">
        <f>VLOOKUP(B114,'[1]TONG HOP'!B$5:G$624,6,0)</f>
        <v/>
      </c>
      <c r="I114" s="65" t="n">
        <v>2232500</v>
      </c>
      <c r="J114" s="65" t="n"/>
      <c r="K114" s="65" t="n"/>
      <c r="L114" s="65">
        <f>VLOOKUP(B114,'[2]DS THANG 11'!A$3:E$616,5,0)</f>
        <v/>
      </c>
      <c r="M114" s="65" t="n">
        <v>2232500</v>
      </c>
      <c r="N114" s="65" t="n"/>
      <c r="O114" s="65" t="n"/>
      <c r="P114" s="65" t="n"/>
      <c r="Q114" s="65" t="n"/>
      <c r="R114" s="65" t="n"/>
      <c r="S114" s="92">
        <f>G114-I114-R114-K114-M114-O114-Q114</f>
        <v/>
      </c>
      <c r="T114" s="92" t="inlineStr"/>
      <c r="U114" s="92" t="inlineStr"/>
      <c r="V114" s="69">
        <f>G114-SUM(I114,K114,M114,O114,Q114,U114)</f>
        <v/>
      </c>
      <c r="W114" s="65" t="n"/>
      <c r="X114" t="inlineStr">
        <is>
          <t>Khớp</t>
        </is>
      </c>
    </row>
    <row r="115">
      <c r="A115" s="65" t="n">
        <v>106</v>
      </c>
      <c r="B115" s="65" t="inlineStr">
        <is>
          <t>25806000038</t>
        </is>
      </c>
      <c r="C115" s="65" t="inlineStr">
        <is>
          <t>Nguyễn Hồ Thu</t>
        </is>
      </c>
      <c r="D115" s="65" t="inlineStr">
        <is>
          <t>Thủy</t>
        </is>
      </c>
      <c r="E115" s="65" t="inlineStr">
        <is>
          <t>29/03/2007</t>
        </is>
      </c>
      <c r="F115" s="66" t="inlineStr">
        <is>
          <t>LNH0925ND01</t>
        </is>
      </c>
      <c r="G115" s="90" t="n">
        <v>8415000</v>
      </c>
      <c r="H115" s="65">
        <f>VLOOKUP(B115,'[1]TONG HOP'!B$5:G$624,6,0)</f>
        <v/>
      </c>
      <c r="I115" s="65" t="n">
        <v>2103750</v>
      </c>
      <c r="J115" s="65" t="n"/>
      <c r="K115" s="65" t="n"/>
      <c r="L115" s="65">
        <f>VLOOKUP(B115,'[2]DS THANG 11'!A$3:E$616,5,0)</f>
        <v/>
      </c>
      <c r="M115" s="65" t="n">
        <v>2103750</v>
      </c>
      <c r="N115" s="65" t="n"/>
      <c r="O115" s="65" t="n"/>
      <c r="P115" s="65">
        <f>VLOOKUP(B115,'[3]TONG HOP '!B$5:O$666,14,0)</f>
        <v/>
      </c>
      <c r="Q115" s="65" t="n">
        <v>2103750</v>
      </c>
      <c r="R115" s="65" t="n"/>
      <c r="S115" s="92">
        <f>G115-I115-R115-K115-M115-O115-Q115</f>
        <v/>
      </c>
      <c r="T115" s="92" t="inlineStr">
        <is>
          <t>LNH0526NQ04</t>
        </is>
      </c>
      <c r="U115" s="92" t="n">
        <v>2103750</v>
      </c>
      <c r="V115" s="69">
        <f>G115-SUM(I115,K115,M115,O115,Q115,U115)</f>
        <v/>
      </c>
      <c r="W115" s="65" t="n"/>
      <c r="X115" t="inlineStr">
        <is>
          <t>Khớp</t>
        </is>
      </c>
    </row>
    <row r="116">
      <c r="A116" s="65" t="n">
        <v>107</v>
      </c>
      <c r="B116" s="65" t="inlineStr">
        <is>
          <t>25800500025</t>
        </is>
      </c>
      <c r="C116" s="65" t="inlineStr">
        <is>
          <t>Hoàng Ngọc</t>
        </is>
      </c>
      <c r="D116" s="65" t="inlineStr">
        <is>
          <t>Duy</t>
        </is>
      </c>
      <c r="E116" s="65" t="inlineStr">
        <is>
          <t>13/01/2007</t>
        </is>
      </c>
      <c r="F116" s="66" t="inlineStr">
        <is>
          <t>LNH0925ND01</t>
        </is>
      </c>
      <c r="G116" s="90" t="n">
        <v>8415000</v>
      </c>
      <c r="H116" s="65">
        <f>VLOOKUP(B116,'[1]TONG HOP'!B$5:G$624,6,0)</f>
        <v/>
      </c>
      <c r="I116" s="65" t="n">
        <v>2103750</v>
      </c>
      <c r="J116" s="65" t="n"/>
      <c r="K116" s="65" t="n"/>
      <c r="L116" s="65">
        <f>VLOOKUP(B116,'[2]DS THANG 11'!A$3:E$616,5,0)</f>
        <v/>
      </c>
      <c r="M116" s="65" t="n">
        <v>2103750</v>
      </c>
      <c r="N116" s="65" t="n"/>
      <c r="O116" s="65" t="n"/>
      <c r="P116" s="65">
        <f>VLOOKUP(B116,'[3]TONG HOP '!B$5:O$666,14,0)</f>
        <v/>
      </c>
      <c r="Q116" s="65" t="n">
        <v>2103750</v>
      </c>
      <c r="R116" s="65" t="n"/>
      <c r="S116" s="92">
        <f>G116-I116-R116-K116-M116-O116-Q116</f>
        <v/>
      </c>
      <c r="T116" s="92" t="inlineStr">
        <is>
          <t>LNH0526NQ18</t>
        </is>
      </c>
      <c r="U116" s="92" t="n">
        <v>2103750</v>
      </c>
      <c r="V116" s="69">
        <f>G116-SUM(I116,K116,M116,O116,Q116,U116)</f>
        <v/>
      </c>
      <c r="W116" s="65" t="n"/>
      <c r="X116" t="inlineStr">
        <is>
          <t>Khớp</t>
        </is>
      </c>
    </row>
    <row r="117">
      <c r="A117" s="65" t="n">
        <v>108</v>
      </c>
      <c r="B117" s="65" t="inlineStr">
        <is>
          <t>25803800060</t>
        </is>
      </c>
      <c r="C117" s="65" t="inlineStr">
        <is>
          <t>Nguyễn Thùy</t>
        </is>
      </c>
      <c r="D117" s="65" t="inlineStr">
        <is>
          <t>Trang</t>
        </is>
      </c>
      <c r="E117" s="65" t="inlineStr">
        <is>
          <t>12/09/2007</t>
        </is>
      </c>
      <c r="F117" s="66" t="inlineStr">
        <is>
          <t>LNH0925ND01</t>
        </is>
      </c>
      <c r="G117" s="90" t="n">
        <v>8415000</v>
      </c>
      <c r="H117" s="65">
        <f>VLOOKUP(B117,'[1]TONG HOP'!B$5:G$624,6,0)</f>
        <v/>
      </c>
      <c r="I117" s="65" t="n">
        <v>2103750</v>
      </c>
      <c r="J117" s="65" t="n"/>
      <c r="K117" s="65" t="n"/>
      <c r="L117" s="65">
        <f>VLOOKUP(B117,'[2]DS THANG 11'!A$3:E$616,5,0)</f>
        <v/>
      </c>
      <c r="M117" s="65" t="n">
        <v>2103750</v>
      </c>
      <c r="N117" s="65" t="n"/>
      <c r="O117" s="65" t="n"/>
      <c r="P117" s="65">
        <f>VLOOKUP(B117,'[3]TONG HOP '!B$5:O$666,14,0)</f>
        <v/>
      </c>
      <c r="Q117" s="65" t="n">
        <v>2103750</v>
      </c>
      <c r="R117" s="65" t="n"/>
      <c r="S117" s="92">
        <f>G117-I117-R117-K117-M117-O117-Q117</f>
        <v/>
      </c>
      <c r="T117" s="92" t="inlineStr"/>
      <c r="U117" s="92" t="inlineStr"/>
      <c r="V117" s="69">
        <f>G117-SUM(I117,K117,M117,O117,Q117,U117)</f>
        <v/>
      </c>
      <c r="W117" s="65" t="n"/>
      <c r="X117" t="inlineStr">
        <is>
          <t>Khớp</t>
        </is>
      </c>
    </row>
    <row r="118">
      <c r="A118" s="65" t="n">
        <v>109</v>
      </c>
      <c r="B118" s="65" t="inlineStr">
        <is>
          <t>25807800074</t>
        </is>
      </c>
      <c r="C118" s="65" t="inlineStr">
        <is>
          <t>Nguyễn Hải</t>
        </is>
      </c>
      <c r="D118" s="65" t="inlineStr">
        <is>
          <t>Lĩnh</t>
        </is>
      </c>
      <c r="E118" s="65" t="inlineStr">
        <is>
          <t>04/04/2007</t>
        </is>
      </c>
      <c r="F118" s="66" t="inlineStr">
        <is>
          <t>LNH0925ND01</t>
        </is>
      </c>
      <c r="G118" s="90" t="n">
        <v>8415000</v>
      </c>
      <c r="H118" s="65" t="n"/>
      <c r="I118" s="65" t="n"/>
      <c r="J118" s="65" t="n"/>
      <c r="K118" s="65" t="n"/>
      <c r="L118" s="65">
        <f>VLOOKUP(B118,'[2]DS THANG 11'!A$3:E$616,5,0)</f>
        <v/>
      </c>
      <c r="M118" s="65" t="n">
        <v>2103750</v>
      </c>
      <c r="N118" s="65" t="n"/>
      <c r="O118" s="65" t="n"/>
      <c r="P118" s="65">
        <f>VLOOKUP(B118,'[3]TONG HOP '!B$5:O$666,14,0)</f>
        <v/>
      </c>
      <c r="Q118" s="65" t="n">
        <v>2103750</v>
      </c>
      <c r="R118" s="65" t="n"/>
      <c r="S118" s="92">
        <f>G118-I118-R118-K118-M118-O118-Q118</f>
        <v/>
      </c>
      <c r="T118" s="92" t="inlineStr">
        <is>
          <t>LNH0526NG01</t>
        </is>
      </c>
      <c r="U118" s="92" t="n">
        <v>2103750</v>
      </c>
      <c r="V118" s="69">
        <f>G118-SUM(I118,K118,M118,O118,Q118,U118)</f>
        <v/>
      </c>
      <c r="W118" s="65" t="n"/>
      <c r="X118" t="inlineStr">
        <is>
          <t>Khớp</t>
        </is>
      </c>
    </row>
    <row r="119">
      <c r="A119" s="65" t="n">
        <v>110</v>
      </c>
      <c r="B119" s="65" t="inlineStr">
        <is>
          <t>25807700041</t>
        </is>
      </c>
      <c r="C119" s="65" t="inlineStr">
        <is>
          <t>Phan Tử Gia</t>
        </is>
      </c>
      <c r="D119" s="65" t="inlineStr">
        <is>
          <t>Khiêm</t>
        </is>
      </c>
      <c r="E119" s="65" t="inlineStr">
        <is>
          <t>29/06/2007</t>
        </is>
      </c>
      <c r="F119" s="66" t="inlineStr">
        <is>
          <t>LNH0925ND01</t>
        </is>
      </c>
      <c r="G119" s="90" t="n">
        <v>4940000</v>
      </c>
      <c r="H119" s="65" t="n"/>
      <c r="I119" s="65" t="n"/>
      <c r="J119" s="65" t="n"/>
      <c r="K119" s="65" t="n"/>
      <c r="L119" s="65" t="n"/>
      <c r="M119" s="65" t="n"/>
      <c r="N119" s="65" t="n"/>
      <c r="O119" s="65" t="n"/>
      <c r="P119" s="65">
        <f>VLOOKUP(B119,'[3]TONG HOP '!B$5:O$666,14,0)</f>
        <v/>
      </c>
      <c r="Q119" s="65" t="n">
        <v>2470000</v>
      </c>
      <c r="R119" s="65" t="n"/>
      <c r="S119" s="92">
        <f>G119-I119-R119-K119-M119-O119-Q119</f>
        <v/>
      </c>
      <c r="T119" s="92" t="inlineStr">
        <is>
          <t>LNH0526NQ20</t>
        </is>
      </c>
      <c r="U119" s="92" t="n">
        <v>2470000</v>
      </c>
      <c r="V119" s="69">
        <f>G119-SUM(I119,K119,M119,O119,Q119,U119)</f>
        <v/>
      </c>
      <c r="W119" s="65" t="n"/>
      <c r="X119" t="inlineStr">
        <is>
          <t>Khớp</t>
        </is>
      </c>
    </row>
    <row r="120">
      <c r="A120" s="65" t="n">
        <v>111</v>
      </c>
      <c r="B120" s="65" t="inlineStr">
        <is>
          <t>25808300013</t>
        </is>
      </c>
      <c r="C120" s="65" t="inlineStr">
        <is>
          <t>Vi Thị Tú</t>
        </is>
      </c>
      <c r="D120" s="65" t="inlineStr">
        <is>
          <t>Hảo</t>
        </is>
      </c>
      <c r="E120" s="65" t="inlineStr">
        <is>
          <t>02/11/2007</t>
        </is>
      </c>
      <c r="F120" s="66" t="inlineStr">
        <is>
          <t>LNH0925ND01</t>
        </is>
      </c>
      <c r="G120" s="90" t="n">
        <v>8415000</v>
      </c>
      <c r="H120" s="65">
        <f>VLOOKUP(B120,'[1]TONG HOP'!B$5:G$624,6,0)</f>
        <v/>
      </c>
      <c r="I120" s="65" t="n">
        <v>2103750</v>
      </c>
      <c r="J120" s="65" t="n"/>
      <c r="K120" s="65" t="n"/>
      <c r="L120" s="65" t="n"/>
      <c r="M120" s="65" t="n"/>
      <c r="N120" s="65" t="n"/>
      <c r="O120" s="65" t="n"/>
      <c r="P120" s="65">
        <f>VLOOKUP(B120,'[3]TONG HOP '!B$5:O$666,14,0)</f>
        <v/>
      </c>
      <c r="Q120" s="65" t="n">
        <v>2103750</v>
      </c>
      <c r="R120" s="65" t="n">
        <v>1005000</v>
      </c>
      <c r="S120" s="92">
        <f>G120-I120-R120-K120-M120-O120-Q120</f>
        <v/>
      </c>
      <c r="T120" s="92" t="inlineStr"/>
      <c r="U120" s="92" t="inlineStr"/>
      <c r="V120" s="69">
        <f>G120-SUM(I120,K120,M120,O120,Q120,U120)</f>
        <v/>
      </c>
      <c r="W120" s="65" t="inlineStr">
        <is>
          <t>Chuyển sang EDU - Đạt HB theo tờ trình 462 ngày 11/11/25 - giảm HB Level 1 - 2.1tr</t>
        </is>
      </c>
      <c r="X120" t="inlineStr">
        <is>
          <t>Khớp</t>
        </is>
      </c>
    </row>
    <row r="121">
      <c r="A121" s="65" t="n">
        <v>112</v>
      </c>
      <c r="B121" s="65" t="inlineStr">
        <is>
          <t>25800500096</t>
        </is>
      </c>
      <c r="C121" s="65" t="inlineStr">
        <is>
          <t>Đỗ Chí</t>
        </is>
      </c>
      <c r="D121" s="65" t="inlineStr">
        <is>
          <t>Kiên</t>
        </is>
      </c>
      <c r="E121" s="65" t="inlineStr">
        <is>
          <t>23/01/2007</t>
        </is>
      </c>
      <c r="F121" s="66" t="inlineStr">
        <is>
          <t>LNH0925ND01</t>
        </is>
      </c>
      <c r="G121" s="90" t="n">
        <v>8415000</v>
      </c>
      <c r="H121" s="65">
        <f>VLOOKUP(B121,'[1]TONG HOP'!B$5:G$624,6,0)</f>
        <v/>
      </c>
      <c r="I121" s="65" t="n">
        <v>2103750</v>
      </c>
      <c r="J121" s="65" t="n"/>
      <c r="K121" s="65" t="n"/>
      <c r="L121" s="65">
        <f>VLOOKUP(B121,'[2]DS THANG 11'!A$3:E$616,5,0)</f>
        <v/>
      </c>
      <c r="M121" s="65" t="n">
        <v>2103750</v>
      </c>
      <c r="N121" s="65" t="n"/>
      <c r="O121" s="65" t="n"/>
      <c r="P121" s="65">
        <f>VLOOKUP(B121,'[3]TONG HOP '!B$5:O$666,14,0)</f>
        <v/>
      </c>
      <c r="Q121" s="65" t="n">
        <v>2103750</v>
      </c>
      <c r="R121" s="65" t="n"/>
      <c r="S121" s="92">
        <f>G121-I121-R121-K121-M121-O121-Q121</f>
        <v/>
      </c>
      <c r="T121" s="92" t="inlineStr">
        <is>
          <t>LNH0526NQ18</t>
        </is>
      </c>
      <c r="U121" s="92" t="n">
        <v>2103750</v>
      </c>
      <c r="V121" s="69">
        <f>G121-SUM(I121,K121,M121,O121,Q121,U121)</f>
        <v/>
      </c>
      <c r="W121" s="65" t="n"/>
      <c r="X121" t="inlineStr">
        <is>
          <t>Khớp</t>
        </is>
      </c>
    </row>
    <row r="122">
      <c r="A122" s="65" t="n">
        <v>113</v>
      </c>
      <c r="B122" s="65" t="inlineStr">
        <is>
          <t>25808600135</t>
        </is>
      </c>
      <c r="C122" s="65" t="inlineStr">
        <is>
          <t>Trần Thị Huyền</t>
        </is>
      </c>
      <c r="D122" s="65" t="inlineStr">
        <is>
          <t>Trân</t>
        </is>
      </c>
      <c r="E122" s="65" t="inlineStr">
        <is>
          <t>25/02/2007</t>
        </is>
      </c>
      <c r="F122" s="66" t="inlineStr">
        <is>
          <t>LNH0925ND01</t>
        </is>
      </c>
      <c r="G122" s="90" t="n">
        <v>8415000</v>
      </c>
      <c r="H122" s="65">
        <f>VLOOKUP(B122,'[1]TONG HOP'!B$5:G$624,6,0)</f>
        <v/>
      </c>
      <c r="I122" s="65" t="n">
        <v>2103750</v>
      </c>
      <c r="J122" s="65" t="n"/>
      <c r="K122" s="65" t="n"/>
      <c r="L122" s="65">
        <f>VLOOKUP(B122,'[2]DS THANG 11'!A$3:E$616,5,0)</f>
        <v/>
      </c>
      <c r="M122" s="65" t="n">
        <v>2103750</v>
      </c>
      <c r="N122" s="65" t="n"/>
      <c r="O122" s="65" t="n"/>
      <c r="P122" s="65">
        <f>VLOOKUP(B122,'[3]TONG HOP '!B$5:O$666,14,0)</f>
        <v/>
      </c>
      <c r="Q122" s="65" t="n">
        <v>2103750</v>
      </c>
      <c r="R122" s="65" t="n"/>
      <c r="S122" s="92">
        <f>G122-I122-R122-K122-M122-O122-Q122</f>
        <v/>
      </c>
      <c r="T122" s="92" t="inlineStr"/>
      <c r="U122" s="92" t="inlineStr"/>
      <c r="V122" s="69">
        <f>G122-SUM(I122,K122,M122,O122,Q122,U122)</f>
        <v/>
      </c>
      <c r="W122" s="65" t="n"/>
      <c r="X122" t="inlineStr">
        <is>
          <t>Khớp</t>
        </is>
      </c>
    </row>
    <row r="123">
      <c r="A123" s="65" t="n">
        <v>114</v>
      </c>
      <c r="B123" s="65" t="inlineStr">
        <is>
          <t>25820700032</t>
        </is>
      </c>
      <c r="C123" s="65" t="inlineStr">
        <is>
          <t>Nguyễn Hà Linh</t>
        </is>
      </c>
      <c r="D123" s="65" t="inlineStr">
        <is>
          <t>Phương</t>
        </is>
      </c>
      <c r="E123" s="65" t="inlineStr">
        <is>
          <t>07/08/2007</t>
        </is>
      </c>
      <c r="F123" s="66" t="inlineStr">
        <is>
          <t>LNH0925ND01</t>
        </is>
      </c>
      <c r="G123" s="90" t="n">
        <v>8415000</v>
      </c>
      <c r="H123" s="65">
        <f>VLOOKUP(B123,'[1]TONG HOP'!B$5:G$624,6,0)</f>
        <v/>
      </c>
      <c r="I123" s="65" t="n">
        <v>2103750</v>
      </c>
      <c r="J123" s="65" t="n"/>
      <c r="K123" s="65" t="n"/>
      <c r="L123" s="65">
        <f>VLOOKUP(B123,'[2]DS THANG 11'!A$3:E$616,5,0)</f>
        <v/>
      </c>
      <c r="M123" s="65" t="n">
        <v>2103750</v>
      </c>
      <c r="N123" s="65" t="n"/>
      <c r="O123" s="65" t="n"/>
      <c r="P123" s="65">
        <f>VLOOKUP(B123,'[3]TONG HOP '!B$5:O$666,14,0)</f>
        <v/>
      </c>
      <c r="Q123" s="65" t="n">
        <v>2103750</v>
      </c>
      <c r="R123" s="65" t="n"/>
      <c r="S123" s="92">
        <f>G123-I123-R123-K123-M123-O123-Q123</f>
        <v/>
      </c>
      <c r="T123" s="92" t="inlineStr"/>
      <c r="U123" s="92" t="inlineStr"/>
      <c r="V123" s="69">
        <f>G123-SUM(I123,K123,M123,O123,Q123,U123)</f>
        <v/>
      </c>
      <c r="W123" s="65" t="n"/>
      <c r="X123" t="inlineStr">
        <is>
          <t>Khớp</t>
        </is>
      </c>
    </row>
    <row r="124">
      <c r="A124" s="65" t="n">
        <v>115</v>
      </c>
      <c r="B124" s="65" t="inlineStr">
        <is>
          <t>25807500126</t>
        </is>
      </c>
      <c r="C124" s="65" t="inlineStr">
        <is>
          <t>Phan Ngọc Anh</t>
        </is>
      </c>
      <c r="D124" s="65" t="inlineStr">
        <is>
          <t>Thư</t>
        </is>
      </c>
      <c r="E124" s="65" t="inlineStr">
        <is>
          <t>28/02/2007</t>
        </is>
      </c>
      <c r="F124" s="66" t="inlineStr">
        <is>
          <t>LNH0925ND01</t>
        </is>
      </c>
      <c r="G124" s="90" t="n">
        <v>4465000</v>
      </c>
      <c r="H124" s="65">
        <f>VLOOKUP(B124,'[1]TONG HOP'!B$5:G$624,6,0)</f>
        <v/>
      </c>
      <c r="I124" s="65" t="n">
        <v>2232500</v>
      </c>
      <c r="J124" s="65" t="n"/>
      <c r="K124" s="65" t="n"/>
      <c r="L124" s="65">
        <f>VLOOKUP(B124,'[2]DS THANG 11'!A$3:E$616,5,0)</f>
        <v/>
      </c>
      <c r="M124" s="65" t="n">
        <v>2232500</v>
      </c>
      <c r="N124" s="65" t="n"/>
      <c r="O124" s="65" t="n"/>
      <c r="P124" s="65" t="n"/>
      <c r="Q124" s="65" t="n"/>
      <c r="R124" s="65" t="n"/>
      <c r="S124" s="92">
        <f>G124-I124-R124-K124-M124-O124-Q124</f>
        <v/>
      </c>
      <c r="T124" s="92" t="inlineStr"/>
      <c r="U124" s="92" t="inlineStr"/>
      <c r="V124" s="69">
        <f>G124-SUM(I124,K124,M124,O124,Q124,U124)</f>
        <v/>
      </c>
      <c r="W124" s="65" t="n"/>
      <c r="X124" t="inlineStr">
        <is>
          <t>Khớp</t>
        </is>
      </c>
    </row>
    <row r="125">
      <c r="A125" s="65" t="n">
        <v>116</v>
      </c>
      <c r="B125" s="65" t="inlineStr">
        <is>
          <t>25807800073</t>
        </is>
      </c>
      <c r="C125" s="65" t="inlineStr">
        <is>
          <t>Võ Thanh</t>
        </is>
      </c>
      <c r="D125" s="65" t="inlineStr">
        <is>
          <t>Liêm</t>
        </is>
      </c>
      <c r="E125" s="65" t="inlineStr">
        <is>
          <t>19/11/2007</t>
        </is>
      </c>
      <c r="F125" s="66" t="inlineStr">
        <is>
          <t>LNH0925ND01</t>
        </is>
      </c>
      <c r="G125" s="90" t="n">
        <v>8415000</v>
      </c>
      <c r="H125" s="65">
        <f>VLOOKUP(B125,'[1]TONG HOP'!B$5:G$624,6,0)</f>
        <v/>
      </c>
      <c r="I125" s="65" t="n">
        <v>2103750</v>
      </c>
      <c r="J125" s="65" t="n"/>
      <c r="K125" s="65" t="n"/>
      <c r="L125" s="65">
        <f>VLOOKUP(B125,'[2]DS THANG 11'!A$3:E$616,5,0)</f>
        <v/>
      </c>
      <c r="M125" s="65" t="n">
        <v>2103750</v>
      </c>
      <c r="N125" s="65" t="n"/>
      <c r="O125" s="65" t="n"/>
      <c r="P125" s="65">
        <f>VLOOKUP(B125,'[3]TONG HOP '!B$5:O$666,14,0)</f>
        <v/>
      </c>
      <c r="Q125" s="65" t="n">
        <v>2103750</v>
      </c>
      <c r="R125" s="65" t="n"/>
      <c r="S125" s="92">
        <f>G125-I125-R125-K125-M125-O125-Q125</f>
        <v/>
      </c>
      <c r="T125" s="92" t="inlineStr">
        <is>
          <t>LNH0526NQ16</t>
        </is>
      </c>
      <c r="U125" s="92" t="n">
        <v>2103750</v>
      </c>
      <c r="V125" s="69">
        <f>G125-SUM(I125,K125,M125,O125,Q125,U125)</f>
        <v/>
      </c>
      <c r="W125" s="65" t="n"/>
      <c r="X125" t="inlineStr">
        <is>
          <t>Khớp</t>
        </is>
      </c>
    </row>
    <row r="126">
      <c r="A126" s="65" t="n">
        <v>117</v>
      </c>
      <c r="B126" s="65" t="inlineStr">
        <is>
          <t>25800500134</t>
        </is>
      </c>
      <c r="C126" s="65" t="inlineStr">
        <is>
          <t>Huỳnh Nguyễn Lâm</t>
        </is>
      </c>
      <c r="D126" s="65" t="inlineStr">
        <is>
          <t>Phong</t>
        </is>
      </c>
      <c r="E126" s="65" t="inlineStr">
        <is>
          <t>25/12/2007</t>
        </is>
      </c>
      <c r="F126" s="66" t="inlineStr">
        <is>
          <t>LNH0925ND01</t>
        </is>
      </c>
      <c r="G126" s="90" t="n">
        <v>8415000</v>
      </c>
      <c r="H126" s="65">
        <f>VLOOKUP(B126,'[1]TONG HOP'!B$5:G$624,6,0)</f>
        <v/>
      </c>
      <c r="I126" s="65" t="n">
        <v>2103750</v>
      </c>
      <c r="J126" s="65" t="n"/>
      <c r="K126" s="65" t="n"/>
      <c r="L126" s="65">
        <f>VLOOKUP(B126,'[2]DS THANG 11'!A$3:E$616,5,0)</f>
        <v/>
      </c>
      <c r="M126" s="65" t="n">
        <v>2103750</v>
      </c>
      <c r="N126" s="65" t="n"/>
      <c r="O126" s="65" t="n"/>
      <c r="P126" s="65">
        <f>VLOOKUP(B126,'[3]TONG HOP '!B$5:O$666,14,0)</f>
        <v/>
      </c>
      <c r="Q126" s="65" t="n">
        <v>2103750</v>
      </c>
      <c r="R126" s="65" t="n"/>
      <c r="S126" s="92">
        <f>G126-I126-R126-K126-M126-O126-Q126</f>
        <v/>
      </c>
      <c r="T126" s="92" t="inlineStr">
        <is>
          <t>LNH0526NQ18</t>
        </is>
      </c>
      <c r="U126" s="92" t="n">
        <v>2103750</v>
      </c>
      <c r="V126" s="69">
        <f>G126-SUM(I126,K126,M126,O126,Q126,U126)</f>
        <v/>
      </c>
      <c r="W126" s="65" t="n"/>
      <c r="X126" t="inlineStr">
        <is>
          <t>Khớp</t>
        </is>
      </c>
    </row>
    <row r="127">
      <c r="A127" s="65" t="n">
        <v>118</v>
      </c>
      <c r="B127" s="65" t="inlineStr">
        <is>
          <t>25808200049</t>
        </is>
      </c>
      <c r="C127" s="65" t="inlineStr">
        <is>
          <t>Nguyễn Tuấn</t>
        </is>
      </c>
      <c r="D127" s="65" t="inlineStr">
        <is>
          <t>Hùng</t>
        </is>
      </c>
      <c r="E127" s="65" t="inlineStr">
        <is>
          <t>18/10/2007</t>
        </is>
      </c>
      <c r="F127" s="66" t="inlineStr">
        <is>
          <t>LNH0925ND01</t>
        </is>
      </c>
      <c r="G127" s="90" t="n">
        <v>8415000</v>
      </c>
      <c r="H127" s="65">
        <f>VLOOKUP(B127,'[1]TONG HOP'!B$5:G$624,6,0)</f>
        <v/>
      </c>
      <c r="I127" s="65" t="n">
        <v>2103750</v>
      </c>
      <c r="J127" s="65" t="n"/>
      <c r="K127" s="65" t="n"/>
      <c r="L127" s="65">
        <f>VLOOKUP(B127,'[2]DS THANG 11'!A$3:E$616,5,0)</f>
        <v/>
      </c>
      <c r="M127" s="65" t="n">
        <v>2103750</v>
      </c>
      <c r="N127" s="65" t="n"/>
      <c r="O127" s="65" t="n"/>
      <c r="P127" s="65">
        <f>VLOOKUP(B127,'[3]TONG HOP '!B$5:O$666,14,0)</f>
        <v/>
      </c>
      <c r="Q127" s="65" t="n">
        <v>2103750</v>
      </c>
      <c r="R127" s="65" t="n"/>
      <c r="S127" s="92">
        <f>G127-I127-R127-K127-M127-O127-Q127</f>
        <v/>
      </c>
      <c r="T127" s="92" t="inlineStr">
        <is>
          <t>LNH0526NQ18</t>
        </is>
      </c>
      <c r="U127" s="92" t="n">
        <v>2103750</v>
      </c>
      <c r="V127" s="69">
        <f>G127-SUM(I127,K127,M127,O127,Q127,U127)</f>
        <v/>
      </c>
      <c r="W127" s="65" t="n"/>
      <c r="X127" t="inlineStr">
        <is>
          <t>Khớp</t>
        </is>
      </c>
    </row>
    <row r="128">
      <c r="A128" s="65" t="n">
        <v>119</v>
      </c>
      <c r="B128" s="65" t="inlineStr">
        <is>
          <t>25800500112</t>
        </is>
      </c>
      <c r="C128" s="65" t="inlineStr">
        <is>
          <t>Lê Hoài</t>
        </is>
      </c>
      <c r="D128" s="65" t="inlineStr">
        <is>
          <t>Nam</t>
        </is>
      </c>
      <c r="E128" s="65" t="inlineStr">
        <is>
          <t>15/05/2007</t>
        </is>
      </c>
      <c r="F128" s="66" t="inlineStr">
        <is>
          <t>LNH0925ND01</t>
        </is>
      </c>
      <c r="G128" s="90" t="n">
        <v>4940000</v>
      </c>
      <c r="H128" s="65" t="n"/>
      <c r="I128" s="65" t="n"/>
      <c r="J128" s="65" t="n"/>
      <c r="K128" s="65" t="n"/>
      <c r="L128" s="65" t="n"/>
      <c r="M128" s="65" t="n"/>
      <c r="N128" s="65" t="n"/>
      <c r="O128" s="65" t="n"/>
      <c r="P128" s="65">
        <f>VLOOKUP(B128,'[3]TONG HOP '!B$5:O$666,14,0)</f>
        <v/>
      </c>
      <c r="Q128" s="65" t="n">
        <v>2470000</v>
      </c>
      <c r="R128" s="65" t="n"/>
      <c r="S128" s="92">
        <f>G128-I128-R128-K128-M128-O128-Q128</f>
        <v/>
      </c>
      <c r="T128" s="92" t="inlineStr">
        <is>
          <t>LNH0526NQ16</t>
        </is>
      </c>
      <c r="U128" s="92" t="n">
        <v>2470000</v>
      </c>
      <c r="V128" s="69">
        <f>G128-SUM(I128,K128,M128,O128,Q128,U128)</f>
        <v/>
      </c>
      <c r="W128" s="65" t="n"/>
      <c r="X128" t="inlineStr">
        <is>
          <t>Khớp</t>
        </is>
      </c>
    </row>
    <row r="129">
      <c r="A129" s="65" t="n">
        <v>120</v>
      </c>
      <c r="B129" s="65" t="inlineStr">
        <is>
          <t>25805900035</t>
        </is>
      </c>
      <c r="C129" s="65" t="inlineStr">
        <is>
          <t>Chu Lập</t>
        </is>
      </c>
      <c r="D129" s="65" t="inlineStr">
        <is>
          <t>Quốc</t>
        </is>
      </c>
      <c r="E129" s="65" t="inlineStr">
        <is>
          <t>23/12/2007</t>
        </is>
      </c>
      <c r="F129" s="66" t="inlineStr">
        <is>
          <t>LNH0925ND01</t>
        </is>
      </c>
      <c r="G129" s="90" t="n">
        <v>4465000</v>
      </c>
      <c r="H129" s="65">
        <f>VLOOKUP(B129,'[1]TONG HOP'!B$5:G$624,6,0)</f>
        <v/>
      </c>
      <c r="I129" s="65" t="n">
        <v>2232500</v>
      </c>
      <c r="J129" s="65" t="n"/>
      <c r="K129" s="65" t="n"/>
      <c r="L129" s="65" t="n"/>
      <c r="M129" s="65" t="n"/>
      <c r="N129" s="65" t="n"/>
      <c r="O129" s="65" t="n"/>
      <c r="P129" s="65">
        <f>VLOOKUP(B129,'[3]TONG HOP '!B$5:O$666,14,0)</f>
        <v/>
      </c>
      <c r="Q129" s="65" t="n">
        <v>2232500</v>
      </c>
      <c r="R129" s="65" t="n"/>
      <c r="S129" s="92">
        <f>G129-I129-R129-K129-M129-O129-Q129</f>
        <v/>
      </c>
      <c r="T129" s="92" t="inlineStr"/>
      <c r="U129" s="92" t="inlineStr"/>
      <c r="V129" s="69">
        <f>G129-SUM(I129,K129,M129,O129,Q129,U129)</f>
        <v/>
      </c>
      <c r="W129" s="65" t="n"/>
      <c r="X129" t="inlineStr">
        <is>
          <t>Khớp</t>
        </is>
      </c>
    </row>
    <row r="130">
      <c r="A130" s="65" t="n">
        <v>121</v>
      </c>
      <c r="B130" s="65" t="inlineStr">
        <is>
          <t>25801800021</t>
        </is>
      </c>
      <c r="C130" s="65" t="inlineStr">
        <is>
          <t>Võ Thảo</t>
        </is>
      </c>
      <c r="D130" s="65" t="inlineStr">
        <is>
          <t>Huyền</t>
        </is>
      </c>
      <c r="E130" s="65" t="inlineStr">
        <is>
          <t>03/12/2005</t>
        </is>
      </c>
      <c r="F130" s="66" t="inlineStr">
        <is>
          <t>LNH0925ND01</t>
        </is>
      </c>
      <c r="G130" s="90" t="n">
        <v>8415000</v>
      </c>
      <c r="H130" s="65">
        <f>VLOOKUP(B130,'[1]TONG HOP'!B$5:G$624,6,0)</f>
        <v/>
      </c>
      <c r="I130" s="65" t="n">
        <v>2103750</v>
      </c>
      <c r="J130" s="65" t="n"/>
      <c r="K130" s="65" t="n"/>
      <c r="L130" s="65">
        <f>VLOOKUP(B130,'[2]DS THANG 11'!A$3:E$616,5,0)</f>
        <v/>
      </c>
      <c r="M130" s="65" t="n">
        <v>2103750</v>
      </c>
      <c r="N130" s="65" t="n"/>
      <c r="O130" s="65" t="n"/>
      <c r="P130" s="65">
        <f>VLOOKUP(B130,'[3]TONG HOP '!B$5:O$666,14,0)</f>
        <v/>
      </c>
      <c r="Q130" s="65" t="n">
        <v>2103750</v>
      </c>
      <c r="R130" s="65" t="n"/>
      <c r="S130" s="92">
        <f>G130-I130-R130-K130-M130-O130-Q130</f>
        <v/>
      </c>
      <c r="T130" s="92" t="inlineStr">
        <is>
          <t>LNH0526NQ07</t>
        </is>
      </c>
      <c r="U130" s="92" t="n">
        <v>2103750</v>
      </c>
      <c r="V130" s="69">
        <f>G130-SUM(I130,K130,M130,O130,Q130,U130)</f>
        <v/>
      </c>
      <c r="W130" s="65" t="n"/>
      <c r="X130" t="inlineStr">
        <is>
          <t>Khớp</t>
        </is>
      </c>
    </row>
    <row r="131">
      <c r="A131" s="65" t="n">
        <v>122</v>
      </c>
      <c r="B131" s="65" t="inlineStr">
        <is>
          <t>25800500121</t>
        </is>
      </c>
      <c r="C131" s="65" t="inlineStr">
        <is>
          <t>Nguyễn Chỉnh</t>
        </is>
      </c>
      <c r="D131" s="65" t="inlineStr">
        <is>
          <t>Nghiêm</t>
        </is>
      </c>
      <c r="E131" s="65" t="inlineStr">
        <is>
          <t>02/12/2007</t>
        </is>
      </c>
      <c r="F131" s="66" t="inlineStr">
        <is>
          <t>LNH0925ND01</t>
        </is>
      </c>
      <c r="G131" s="90" t="n">
        <v>8415000</v>
      </c>
      <c r="H131" s="65">
        <f>VLOOKUP(B131,'[1]TONG HOP'!B$5:G$624,6,0)</f>
        <v/>
      </c>
      <c r="I131" s="65" t="n">
        <v>2103750</v>
      </c>
      <c r="J131" s="65" t="n"/>
      <c r="K131" s="65" t="n"/>
      <c r="L131" s="65">
        <f>VLOOKUP(B131,'[2]DS THANG 11'!A$3:E$616,5,0)</f>
        <v/>
      </c>
      <c r="M131" s="65" t="n">
        <v>2103750</v>
      </c>
      <c r="N131" s="65" t="n"/>
      <c r="O131" s="65" t="n"/>
      <c r="P131" s="65">
        <f>VLOOKUP(B131,'[3]TONG HOP '!B$5:O$666,14,0)</f>
        <v/>
      </c>
      <c r="Q131" s="65" t="n">
        <v>2103750</v>
      </c>
      <c r="R131" s="65" t="n"/>
      <c r="S131" s="92">
        <f>G131-I131-R131-K131-M131-O131-Q131</f>
        <v/>
      </c>
      <c r="T131" s="92" t="inlineStr">
        <is>
          <t>LNH0526NQ20</t>
        </is>
      </c>
      <c r="U131" s="92" t="n">
        <v>2103750</v>
      </c>
      <c r="V131" s="69">
        <f>G131-SUM(I131,K131,M131,O131,Q131,U131)</f>
        <v/>
      </c>
      <c r="W131" s="65" t="n"/>
      <c r="X131" t="inlineStr">
        <is>
          <t>Khớp</t>
        </is>
      </c>
    </row>
    <row r="132">
      <c r="A132" s="65" t="n">
        <v>123</v>
      </c>
      <c r="B132" s="65" t="inlineStr">
        <is>
          <t>25802800274</t>
        </is>
      </c>
      <c r="C132" s="65" t="inlineStr">
        <is>
          <t>Lê Hoàng Bảo</t>
        </is>
      </c>
      <c r="D132" s="65" t="inlineStr">
        <is>
          <t>Trân</t>
        </is>
      </c>
      <c r="E132" s="65" t="inlineStr">
        <is>
          <t>22/07/2007</t>
        </is>
      </c>
      <c r="F132" s="66" t="inlineStr">
        <is>
          <t>LNH0925ND01</t>
        </is>
      </c>
      <c r="G132" s="90" t="n">
        <v>8415000</v>
      </c>
      <c r="H132" s="65">
        <f>VLOOKUP(B132,'[1]TONG HOP'!B$5:G$624,6,0)</f>
        <v/>
      </c>
      <c r="I132" s="65" t="n">
        <v>2103750</v>
      </c>
      <c r="J132" s="65" t="n"/>
      <c r="K132" s="65" t="n"/>
      <c r="L132" s="65">
        <f>VLOOKUP(B132,'[2]DS THANG 11'!A$3:E$616,5,0)</f>
        <v/>
      </c>
      <c r="M132" s="65" t="n">
        <v>2103750</v>
      </c>
      <c r="N132" s="65" t="n"/>
      <c r="O132" s="65" t="n"/>
      <c r="P132" s="65">
        <f>VLOOKUP(B132,'[3]TONG HOP '!B$5:O$666,14,0)</f>
        <v/>
      </c>
      <c r="Q132" s="65" t="n">
        <v>2103750</v>
      </c>
      <c r="R132" s="65" t="n"/>
      <c r="S132" s="92">
        <f>G132-I132-R132-K132-M132-O132-Q132</f>
        <v/>
      </c>
      <c r="T132" s="92" t="inlineStr"/>
      <c r="U132" s="92" t="inlineStr"/>
      <c r="V132" s="69">
        <f>G132-SUM(I132,K132,M132,O132,Q132,U132)</f>
        <v/>
      </c>
      <c r="W132" s="65" t="n"/>
      <c r="X132" t="inlineStr">
        <is>
          <t>Khớp</t>
        </is>
      </c>
    </row>
    <row r="133">
      <c r="A133" s="65" t="n">
        <v>124</v>
      </c>
      <c r="B133" s="65" t="inlineStr">
        <is>
          <t>25802600056</t>
        </is>
      </c>
      <c r="C133" s="65" t="inlineStr">
        <is>
          <t>Nguyễn Duy</t>
        </is>
      </c>
      <c r="D133" s="65" t="inlineStr">
        <is>
          <t>Khang</t>
        </is>
      </c>
      <c r="E133" s="65" t="inlineStr">
        <is>
          <t>23/03/2007</t>
        </is>
      </c>
      <c r="F133" s="66" t="inlineStr">
        <is>
          <t>LNH0925ND01</t>
        </is>
      </c>
      <c r="G133" s="90" t="n">
        <v>8415000</v>
      </c>
      <c r="H133" s="65">
        <f>VLOOKUP(B133,'[1]TONG HOP'!B$5:G$624,6,0)</f>
        <v/>
      </c>
      <c r="I133" s="65" t="n">
        <v>2103750</v>
      </c>
      <c r="J133" s="65" t="n"/>
      <c r="K133" s="65" t="n"/>
      <c r="L133" s="65">
        <f>VLOOKUP(B133,'[2]DS THANG 11'!A$3:E$616,5,0)</f>
        <v/>
      </c>
      <c r="M133" s="65" t="n">
        <v>2103750</v>
      </c>
      <c r="N133" s="65" t="n"/>
      <c r="O133" s="65" t="n"/>
      <c r="P133" s="65">
        <f>VLOOKUP(B133,'[3]TONG HOP '!B$5:O$666,14,0)</f>
        <v/>
      </c>
      <c r="Q133" s="65" t="n">
        <v>2103750</v>
      </c>
      <c r="R133" s="65" t="n"/>
      <c r="S133" s="92">
        <f>G133-I133-R133-K133-M133-O133-Q133</f>
        <v/>
      </c>
      <c r="T133" s="92" t="inlineStr">
        <is>
          <t>LNH0526NQ03</t>
        </is>
      </c>
      <c r="U133" s="92" t="n">
        <v>2103750</v>
      </c>
      <c r="V133" s="69">
        <f>G133-SUM(I133,K133,M133,O133,Q133,U133)</f>
        <v/>
      </c>
      <c r="W133" s="65" t="n"/>
      <c r="X133" t="inlineStr">
        <is>
          <t>Khớp</t>
        </is>
      </c>
    </row>
    <row r="134">
      <c r="A134" s="65" t="n">
        <v>125</v>
      </c>
      <c r="B134" s="65" t="inlineStr">
        <is>
          <t>25809600015</t>
        </is>
      </c>
      <c r="C134" s="65" t="inlineStr">
        <is>
          <t>Lê Duy Hải</t>
        </is>
      </c>
      <c r="D134" s="65" t="inlineStr">
        <is>
          <t>Đăng</t>
        </is>
      </c>
      <c r="E134" s="65" t="inlineStr">
        <is>
          <t>21/12/2006</t>
        </is>
      </c>
      <c r="F134" s="66" t="inlineStr">
        <is>
          <t>LNH0925ND01</t>
        </is>
      </c>
      <c r="G134" s="90" t="n">
        <v>8415000</v>
      </c>
      <c r="H134" s="65" t="n"/>
      <c r="I134" s="65" t="n"/>
      <c r="J134" s="65" t="n"/>
      <c r="K134" s="65" t="n"/>
      <c r="L134" s="65" t="n"/>
      <c r="M134" s="65" t="n"/>
      <c r="N134" s="65" t="n"/>
      <c r="O134" s="65" t="n"/>
      <c r="P134" s="65">
        <f>VLOOKUP(B134,'[3]TONG HOP '!B$5:O$666,14,0)</f>
        <v/>
      </c>
      <c r="Q134" s="65" t="n">
        <v>2103750</v>
      </c>
      <c r="R134" s="65" t="n"/>
      <c r="S134" s="92">
        <f>G134-I134-R134-K134-M134-O134-Q134</f>
        <v/>
      </c>
      <c r="T134" s="92" t="inlineStr"/>
      <c r="U134" s="92" t="inlineStr"/>
      <c r="V134" s="69">
        <f>G134-SUM(I134,K134,M134,O134,Q134,U134)</f>
        <v/>
      </c>
      <c r="W134" s="65" t="n"/>
      <c r="X134" t="inlineStr">
        <is>
          <t>Khớp</t>
        </is>
      </c>
    </row>
    <row r="135">
      <c r="A135" s="65" t="n">
        <v>126</v>
      </c>
      <c r="B135" s="65" t="inlineStr">
        <is>
          <t>25802800114</t>
        </is>
      </c>
      <c r="C135" s="65" t="inlineStr">
        <is>
          <t>Vũ Bùi Đăng</t>
        </is>
      </c>
      <c r="D135" s="65" t="inlineStr">
        <is>
          <t>Khoa</t>
        </is>
      </c>
      <c r="E135" s="65" t="inlineStr">
        <is>
          <t>28/04/2007</t>
        </is>
      </c>
      <c r="F135" s="66" t="inlineStr">
        <is>
          <t>LNH0925ND01</t>
        </is>
      </c>
      <c r="G135" s="90" t="n">
        <v>8415000</v>
      </c>
      <c r="H135" s="65">
        <f>VLOOKUP(B135,'[1]TONG HOP'!B$5:G$624,6,0)</f>
        <v/>
      </c>
      <c r="I135" s="65" t="n">
        <v>2103750</v>
      </c>
      <c r="J135" s="65" t="n"/>
      <c r="K135" s="65" t="n"/>
      <c r="L135" s="65">
        <f>VLOOKUP(B135,'[2]DS THANG 11'!A$3:E$616,5,0)</f>
        <v/>
      </c>
      <c r="M135" s="65" t="n">
        <v>2103750</v>
      </c>
      <c r="N135" s="65" t="n"/>
      <c r="O135" s="65" t="n"/>
      <c r="P135" s="65">
        <f>VLOOKUP(B135,'[3]TONG HOP '!B$5:O$666,14,0)</f>
        <v/>
      </c>
      <c r="Q135" s="65" t="n">
        <v>2103750</v>
      </c>
      <c r="R135" s="65" t="n"/>
      <c r="S135" s="92">
        <f>G135-I135-R135-K135-M135-O135-Q135</f>
        <v/>
      </c>
      <c r="T135" s="92" t="inlineStr">
        <is>
          <t>LNH0526NQ09</t>
        </is>
      </c>
      <c r="U135" s="92" t="n">
        <v>2103750</v>
      </c>
      <c r="V135" s="69">
        <f>G135-SUM(I135,K135,M135,O135,Q135,U135)</f>
        <v/>
      </c>
      <c r="W135" s="65" t="n"/>
      <c r="X135" t="inlineStr">
        <is>
          <t>Khớp</t>
        </is>
      </c>
    </row>
    <row r="136">
      <c r="A136" s="65" t="n">
        <v>127</v>
      </c>
      <c r="B136" s="65" t="inlineStr">
        <is>
          <t>25805900069</t>
        </is>
      </c>
      <c r="C136" s="65" t="inlineStr">
        <is>
          <t>Bùi Nguyễn Minh</t>
        </is>
      </c>
      <c r="D136" s="65" t="inlineStr">
        <is>
          <t>Anh</t>
        </is>
      </c>
      <c r="E136" s="65" t="inlineStr">
        <is>
          <t>28/06/2004</t>
        </is>
      </c>
      <c r="F136" s="66" t="inlineStr">
        <is>
          <t>LNH0925ND01</t>
        </is>
      </c>
      <c r="G136" s="90">
        <f>1000000+5300000+2115000</f>
        <v/>
      </c>
      <c r="H136" s="65" t="n"/>
      <c r="I136" s="65" t="n"/>
      <c r="J136" s="65" t="n"/>
      <c r="K136" s="65" t="n"/>
      <c r="L136" s="65">
        <f>VLOOKUP(B136,'[2]DS THANG 11'!A$3:E$616,5,0)</f>
        <v/>
      </c>
      <c r="M136" s="65" t="n">
        <v>2103750</v>
      </c>
      <c r="N136" s="65" t="n"/>
      <c r="O136" s="65" t="n"/>
      <c r="P136" s="65" t="n"/>
      <c r="Q136" s="65" t="n"/>
      <c r="R136" s="65" t="n"/>
      <c r="S136" s="92">
        <f>G136-I136-R136-K136-M136-O136-Q136</f>
        <v/>
      </c>
      <c r="T136" s="92" t="inlineStr"/>
      <c r="U136" s="92" t="inlineStr"/>
      <c r="V136" s="69">
        <f>G136-SUM(I136,K136,M136,O136,Q136,U136)</f>
        <v/>
      </c>
      <c r="W136" s="65" t="n"/>
      <c r="X136" t="inlineStr">
        <is>
          <t>Khớp</t>
        </is>
      </c>
    </row>
    <row r="137">
      <c r="A137" s="65" t="n">
        <v>128</v>
      </c>
      <c r="B137" s="65" t="inlineStr">
        <is>
          <t>25820200021</t>
        </is>
      </c>
      <c r="C137" s="65" t="inlineStr">
        <is>
          <t>Phan</t>
        </is>
      </c>
      <c r="D137" s="65" t="inlineStr">
        <is>
          <t>Hào</t>
        </is>
      </c>
      <c r="E137" s="65" t="inlineStr">
        <is>
          <t>23/11/2007</t>
        </is>
      </c>
      <c r="F137" s="66" t="inlineStr">
        <is>
          <t>LNH0925ND01</t>
        </is>
      </c>
      <c r="G137" s="90" t="n">
        <v>1000000</v>
      </c>
      <c r="H137" s="65" t="n"/>
      <c r="I137" s="65" t="n"/>
      <c r="J137" s="65" t="n"/>
      <c r="K137" s="65" t="n"/>
      <c r="L137" s="65" t="n"/>
      <c r="M137" s="65" t="n"/>
      <c r="N137" s="65" t="n"/>
      <c r="O137" s="65" t="n"/>
      <c r="P137" s="65" t="n"/>
      <c r="Q137" s="65" t="n"/>
      <c r="R137" s="65" t="n"/>
      <c r="S137" s="92">
        <f>G137-I137-R137-K137-M137-O137-Q137</f>
        <v/>
      </c>
      <c r="T137" s="92" t="inlineStr"/>
      <c r="U137" s="92" t="inlineStr"/>
      <c r="V137" s="69">
        <f>G137-SUM(I137,K137,M137,O137,Q137,U137)</f>
        <v/>
      </c>
      <c r="W137" s="65" t="n"/>
      <c r="X137" t="inlineStr">
        <is>
          <t>Khớp</t>
        </is>
      </c>
    </row>
    <row r="138">
      <c r="A138" s="65" t="n">
        <v>129</v>
      </c>
      <c r="B138" s="65" t="inlineStr">
        <is>
          <t>25805900036</t>
        </is>
      </c>
      <c r="C138" s="65" t="inlineStr">
        <is>
          <t>Bùi Huỳnh</t>
        </is>
      </c>
      <c r="D138" s="65" t="inlineStr">
        <is>
          <t>Quyên</t>
        </is>
      </c>
      <c r="E138" s="65" t="inlineStr">
        <is>
          <t>04/10/2007</t>
        </is>
      </c>
      <c r="F138" s="66" t="inlineStr">
        <is>
          <t>LNH0925ND01</t>
        </is>
      </c>
      <c r="G138" s="90" t="n">
        <v>8415000</v>
      </c>
      <c r="H138" s="65">
        <f>VLOOKUP(B138,'[1]TONG HOP'!B$5:G$624,6,0)</f>
        <v/>
      </c>
      <c r="I138" s="65" t="n">
        <v>2103750</v>
      </c>
      <c r="J138" s="65" t="n"/>
      <c r="K138" s="65" t="n"/>
      <c r="L138" s="65">
        <f>VLOOKUP(B138,'[2]DS THANG 11'!A$3:E$616,5,0)</f>
        <v/>
      </c>
      <c r="M138" s="65" t="n">
        <v>2103750</v>
      </c>
      <c r="N138" s="65" t="n"/>
      <c r="O138" s="65" t="n"/>
      <c r="P138" s="65">
        <f>VLOOKUP(B138,'[3]TONG HOP '!B$5:O$666,14,0)</f>
        <v/>
      </c>
      <c r="Q138" s="65" t="n">
        <v>2103750</v>
      </c>
      <c r="R138" s="65" t="n"/>
      <c r="S138" s="92">
        <f>G138-I138-R138-K138-M138-O138-Q138</f>
        <v/>
      </c>
      <c r="T138" s="92" t="inlineStr">
        <is>
          <t>LNH0526NQ04</t>
        </is>
      </c>
      <c r="U138" s="92" t="n">
        <v>2103750</v>
      </c>
      <c r="V138" s="69">
        <f>G138-SUM(I138,K138,M138,O138,Q138,U138)</f>
        <v/>
      </c>
      <c r="W138" s="65" t="n"/>
      <c r="X138" t="inlineStr">
        <is>
          <t>Khớp</t>
        </is>
      </c>
    </row>
    <row r="139">
      <c r="A139" s="65" t="n">
        <v>130</v>
      </c>
      <c r="B139" s="65" t="inlineStr">
        <is>
          <t>25802800138</t>
        </is>
      </c>
      <c r="C139" s="65" t="inlineStr">
        <is>
          <t>Lê Nguyễn Hữu</t>
        </is>
      </c>
      <c r="D139" s="65" t="inlineStr">
        <is>
          <t>Lộc</t>
        </is>
      </c>
      <c r="E139" s="65" t="inlineStr">
        <is>
          <t>15/02/2007</t>
        </is>
      </c>
      <c r="F139" s="66" t="inlineStr">
        <is>
          <t>LNH0925ND01</t>
        </is>
      </c>
      <c r="G139" s="90" t="n">
        <v>1000000</v>
      </c>
      <c r="H139" s="65" t="n"/>
      <c r="I139" s="65" t="n"/>
      <c r="J139" s="65" t="n"/>
      <c r="K139" s="65" t="n"/>
      <c r="L139" s="65" t="n"/>
      <c r="M139" s="65" t="n"/>
      <c r="N139" s="65" t="n"/>
      <c r="O139" s="65" t="n"/>
      <c r="P139" s="65" t="n"/>
      <c r="Q139" s="65" t="n"/>
      <c r="R139" s="65" t="n"/>
      <c r="S139" s="92">
        <f>G139-I139-R139-K139-M139-O139-Q139</f>
        <v/>
      </c>
      <c r="T139" s="92" t="inlineStr"/>
      <c r="U139" s="92" t="inlineStr"/>
      <c r="V139" s="69">
        <f>G139-SUM(I139,K139,M139,O139,Q139,U139)</f>
        <v/>
      </c>
      <c r="W139" s="65" t="n"/>
      <c r="X139" t="inlineStr">
        <is>
          <t>Khớp</t>
        </is>
      </c>
    </row>
    <row r="140">
      <c r="A140" s="65" t="n">
        <v>131</v>
      </c>
      <c r="B140" s="65" t="inlineStr">
        <is>
          <t>25808600190</t>
        </is>
      </c>
      <c r="C140" s="65" t="inlineStr">
        <is>
          <t>Dinh Viet</t>
        </is>
      </c>
      <c r="D140" s="65" t="inlineStr">
        <is>
          <t>Nguyen</t>
        </is>
      </c>
      <c r="E140" s="65" t="inlineStr">
        <is>
          <t xml:space="preserve">  -   -</t>
        </is>
      </c>
      <c r="F140" s="66" t="inlineStr">
        <is>
          <t>LNH0925ND01</t>
        </is>
      </c>
      <c r="G140" s="90" t="n">
        <v>4465000</v>
      </c>
      <c r="H140" s="65">
        <f>VLOOKUP(B140,'[1]TONG HOP'!B$5:G$624,6,0)</f>
        <v/>
      </c>
      <c r="I140" s="65" t="n">
        <v>2232500</v>
      </c>
      <c r="J140" s="65" t="n"/>
      <c r="K140" s="65" t="n"/>
      <c r="L140" s="65">
        <f>VLOOKUP(B140,'[2]DS THANG 11'!A$3:E$616,5,0)</f>
        <v/>
      </c>
      <c r="M140" s="65" t="n">
        <v>2232500</v>
      </c>
      <c r="N140" s="65" t="n"/>
      <c r="O140" s="65" t="n"/>
      <c r="P140" s="65" t="n"/>
      <c r="Q140" s="65" t="n"/>
      <c r="R140" s="65" t="n"/>
      <c r="S140" s="92">
        <f>G140-I140-R140-K140-M140-O140-Q140</f>
        <v/>
      </c>
      <c r="T140" s="92" t="inlineStr"/>
      <c r="U140" s="92" t="inlineStr"/>
      <c r="V140" s="69">
        <f>G140-SUM(I140,K140,M140,O140,Q140,U140)</f>
        <v/>
      </c>
      <c r="W140" s="65" t="n"/>
      <c r="X140" t="inlineStr">
        <is>
          <t>Khớp</t>
        </is>
      </c>
    </row>
    <row r="141">
      <c r="A141" s="65" t="n">
        <v>132</v>
      </c>
      <c r="B141" s="65" t="inlineStr">
        <is>
          <t>25806100240</t>
        </is>
      </c>
      <c r="C141" s="65" t="inlineStr">
        <is>
          <t>Bùi Thị Nguyệt</t>
        </is>
      </c>
      <c r="D141" s="65" t="inlineStr">
        <is>
          <t>Hằng</t>
        </is>
      </c>
      <c r="E141" s="65" t="inlineStr">
        <is>
          <t>29/10/2007</t>
        </is>
      </c>
      <c r="F141" s="66" t="inlineStr">
        <is>
          <t>LNH0925ND01</t>
        </is>
      </c>
      <c r="G141" s="90" t="n">
        <v>4465000</v>
      </c>
      <c r="H141" s="65">
        <f>VLOOKUP(B141,'[1]TONG HOP'!B$5:G$624,6,0)</f>
        <v/>
      </c>
      <c r="I141" s="65" t="n">
        <v>2232500</v>
      </c>
      <c r="J141" s="65" t="n"/>
      <c r="K141" s="65" t="n"/>
      <c r="L141" s="65">
        <f>VLOOKUP(B141,'[2]DS THANG 11'!A$3:E$616,5,0)</f>
        <v/>
      </c>
      <c r="M141" s="65" t="n">
        <v>2232500</v>
      </c>
      <c r="N141" s="65" t="n"/>
      <c r="O141" s="65" t="n"/>
      <c r="P141" s="65" t="n"/>
      <c r="Q141" s="65" t="n"/>
      <c r="R141" s="65" t="n"/>
      <c r="S141" s="92">
        <f>G141-I141-R141-K141-M141-O141-Q141</f>
        <v/>
      </c>
      <c r="T141" s="92" t="inlineStr"/>
      <c r="U141" s="92" t="inlineStr"/>
      <c r="V141" s="69">
        <f>G141-SUM(I141,K141,M141,O141,Q141,U141)</f>
        <v/>
      </c>
      <c r="W141" s="65" t="n"/>
      <c r="X141" t="inlineStr">
        <is>
          <t>Khớp</t>
        </is>
      </c>
    </row>
    <row r="142">
      <c r="A142" s="65" t="n">
        <v>133</v>
      </c>
      <c r="B142" s="65" t="inlineStr">
        <is>
          <t>25807500093</t>
        </is>
      </c>
      <c r="C142" s="65" t="inlineStr">
        <is>
          <t>Võ Thành</t>
        </is>
      </c>
      <c r="D142" s="65" t="inlineStr">
        <is>
          <t>Phát</t>
        </is>
      </c>
      <c r="E142" s="65" t="inlineStr">
        <is>
          <t>09/08/2007</t>
        </is>
      </c>
      <c r="F142" s="66" t="inlineStr">
        <is>
          <t>LNH0925ND01</t>
        </is>
      </c>
      <c r="G142" s="90" t="n">
        <v>4465000</v>
      </c>
      <c r="H142" s="65">
        <f>VLOOKUP(B142,'[1]TONG HOP'!B$5:G$624,6,0)</f>
        <v/>
      </c>
      <c r="I142" s="65" t="n">
        <v>2232500</v>
      </c>
      <c r="J142" s="65" t="n"/>
      <c r="K142" s="65" t="n"/>
      <c r="L142" s="65">
        <f>VLOOKUP(B142,'[2]DS THANG 11'!A$3:E$616,5,0)</f>
        <v/>
      </c>
      <c r="M142" s="65" t="n">
        <v>2232500</v>
      </c>
      <c r="N142" s="65" t="n"/>
      <c r="O142" s="65" t="n"/>
      <c r="P142" s="65" t="n"/>
      <c r="Q142" s="65" t="n"/>
      <c r="R142" s="65" t="n"/>
      <c r="S142" s="92">
        <f>G142-I142-R142-K142-M142-O142-Q142</f>
        <v/>
      </c>
      <c r="T142" s="92" t="inlineStr"/>
      <c r="U142" s="92" t="inlineStr"/>
      <c r="V142" s="69">
        <f>G142-SUM(I142,K142,M142,O142,Q142,U142)</f>
        <v/>
      </c>
      <c r="W142" s="65" t="n"/>
      <c r="X142" t="inlineStr">
        <is>
          <t>Khớp</t>
        </is>
      </c>
    </row>
    <row r="143">
      <c r="A143" s="65" t="n">
        <v>134</v>
      </c>
      <c r="B143" s="65" t="inlineStr">
        <is>
          <t>25807900018</t>
        </is>
      </c>
      <c r="C143" s="65" t="inlineStr">
        <is>
          <t>Lê Dương Gia</t>
        </is>
      </c>
      <c r="D143" s="65" t="inlineStr">
        <is>
          <t>Huy</t>
        </is>
      </c>
      <c r="E143" s="65" t="inlineStr">
        <is>
          <t>04/01/2007</t>
        </is>
      </c>
      <c r="F143" s="66" t="inlineStr">
        <is>
          <t>LNH0925ND01</t>
        </is>
      </c>
      <c r="G143" s="90" t="n">
        <v>4940000</v>
      </c>
      <c r="H143" s="65" t="n"/>
      <c r="I143" s="65" t="n"/>
      <c r="J143" s="65" t="n"/>
      <c r="K143" s="65" t="n"/>
      <c r="L143" s="65" t="n"/>
      <c r="M143" s="65" t="n"/>
      <c r="N143" s="65" t="n"/>
      <c r="O143" s="65" t="n"/>
      <c r="P143" s="65">
        <f>VLOOKUP(B143,'[3]TONG HOP '!B$5:O$666,14,0)</f>
        <v/>
      </c>
      <c r="Q143" s="65" t="n">
        <v>2470000</v>
      </c>
      <c r="R143" s="65" t="n"/>
      <c r="S143" s="92">
        <f>G143-I143-R143-K143-M143-O143-Q143</f>
        <v/>
      </c>
      <c r="T143" s="92" t="inlineStr">
        <is>
          <t>LNH0526NQ17</t>
        </is>
      </c>
      <c r="U143" s="92" t="n">
        <v>2470000</v>
      </c>
      <c r="V143" s="69">
        <f>G143-SUM(I143,K143,M143,O143,Q143,U143)</f>
        <v/>
      </c>
      <c r="W143" s="65" t="n"/>
      <c r="X143" t="inlineStr">
        <is>
          <t>Khớp</t>
        </is>
      </c>
    </row>
    <row r="144">
      <c r="A144" s="65" t="n">
        <v>135</v>
      </c>
      <c r="B144" s="65" t="inlineStr">
        <is>
          <t>25808700079</t>
        </is>
      </c>
      <c r="C144" s="65" t="inlineStr">
        <is>
          <t>Đặng Hiểu</t>
        </is>
      </c>
      <c r="D144" s="65" t="inlineStr">
        <is>
          <t>Phúc</t>
        </is>
      </c>
      <c r="E144" s="65" t="inlineStr">
        <is>
          <t>30/01/2007</t>
        </is>
      </c>
      <c r="F144" s="66" t="inlineStr">
        <is>
          <t>LNH0925ND01</t>
        </is>
      </c>
      <c r="G144" s="90" t="n">
        <v>8415000</v>
      </c>
      <c r="H144" s="65">
        <f>VLOOKUP(B144,'[1]TONG HOP'!B$5:G$624,6,0)</f>
        <v/>
      </c>
      <c r="I144" s="65" t="n">
        <v>2103750</v>
      </c>
      <c r="J144" s="65" t="n"/>
      <c r="K144" s="65" t="n"/>
      <c r="L144" s="65">
        <f>VLOOKUP(B144,'[2]DS THANG 11'!A$3:E$616,5,0)</f>
        <v/>
      </c>
      <c r="M144" s="65" t="n">
        <v>2103750</v>
      </c>
      <c r="N144" s="65" t="n"/>
      <c r="O144" s="65" t="n"/>
      <c r="P144" s="65">
        <f>VLOOKUP(B144,'[3]TONG HOP '!B$5:O$666,14,0)</f>
        <v/>
      </c>
      <c r="Q144" s="65" t="n">
        <v>2103750</v>
      </c>
      <c r="R144" s="65" t="n"/>
      <c r="S144" s="92">
        <f>G144-I144-R144-K144-M144-O144-Q144</f>
        <v/>
      </c>
      <c r="T144" s="92" t="inlineStr"/>
      <c r="U144" s="92" t="inlineStr"/>
      <c r="V144" s="69">
        <f>G144-SUM(I144,K144,M144,O144,Q144,U144)</f>
        <v/>
      </c>
      <c r="W144" s="65" t="n"/>
      <c r="X144" t="inlineStr">
        <is>
          <t>Khớp</t>
        </is>
      </c>
    </row>
    <row r="145">
      <c r="A145" s="65" t="n">
        <v>136</v>
      </c>
      <c r="B145" s="65" t="inlineStr">
        <is>
          <t>25806800034</t>
        </is>
      </c>
      <c r="C145" s="65" t="inlineStr">
        <is>
          <t>Nguyễn Huỳnh Gia</t>
        </is>
      </c>
      <c r="D145" s="65" t="inlineStr">
        <is>
          <t>Linh</t>
        </is>
      </c>
      <c r="E145" s="65" t="inlineStr">
        <is>
          <t>03/12/2007</t>
        </is>
      </c>
      <c r="F145" s="66" t="inlineStr">
        <is>
          <t>LNH0925ND01</t>
        </is>
      </c>
      <c r="G145" s="90" t="n">
        <v>8415000</v>
      </c>
      <c r="H145" s="65">
        <f>VLOOKUP(B145,'[1]TONG HOP'!B$5:G$624,6,0)</f>
        <v/>
      </c>
      <c r="I145" s="65" t="n">
        <v>2103750</v>
      </c>
      <c r="J145" s="65" t="n"/>
      <c r="K145" s="65" t="n"/>
      <c r="L145" s="65">
        <f>VLOOKUP(B145,'[2]DS THANG 11'!A$3:E$616,5,0)</f>
        <v/>
      </c>
      <c r="M145" s="65" t="n">
        <v>2103750</v>
      </c>
      <c r="N145" s="65" t="n"/>
      <c r="O145" s="65" t="n"/>
      <c r="P145" s="65" t="n"/>
      <c r="Q145" s="65" t="n"/>
      <c r="R145" s="65" t="n"/>
      <c r="S145" s="92">
        <f>G145-I145-R145-K145-M145-O145-Q145</f>
        <v/>
      </c>
      <c r="T145" s="92" t="inlineStr"/>
      <c r="U145" s="92" t="inlineStr"/>
      <c r="V145" s="69">
        <f>G145-SUM(I145,K145,M145,O145,Q145,U145)</f>
        <v/>
      </c>
      <c r="W145" s="65" t="n"/>
      <c r="X145" t="inlineStr">
        <is>
          <t>Khớp</t>
        </is>
      </c>
    </row>
    <row r="146">
      <c r="A146" s="65" t="n">
        <v>137</v>
      </c>
      <c r="B146" s="65" t="inlineStr">
        <is>
          <t>25802800250</t>
        </is>
      </c>
      <c r="C146" s="65" t="inlineStr">
        <is>
          <t>Mai Thanh</t>
        </is>
      </c>
      <c r="D146" s="65" t="inlineStr">
        <is>
          <t>Thúy</t>
        </is>
      </c>
      <c r="E146" s="65" t="inlineStr">
        <is>
          <t>15/06/2007</t>
        </is>
      </c>
      <c r="F146" s="66" t="inlineStr">
        <is>
          <t>LNH0925ND01</t>
        </is>
      </c>
      <c r="G146" s="90">
        <f>5415000+3990000</f>
        <v/>
      </c>
      <c r="H146" s="65">
        <f>VLOOKUP(B146,'[1]TONG HOP'!B$5:G$624,6,0)</f>
        <v/>
      </c>
      <c r="I146" s="65" t="n">
        <v>2232500</v>
      </c>
      <c r="J146" s="65" t="n"/>
      <c r="K146" s="65" t="n"/>
      <c r="L146" s="65">
        <f>VLOOKUP(B146,'[2]DS THANG 11'!A$3:E$616,5,0)</f>
        <v/>
      </c>
      <c r="M146" s="65" t="n">
        <v>2232500</v>
      </c>
      <c r="N146" s="65" t="n"/>
      <c r="O146" s="65" t="n"/>
      <c r="P146" s="65" t="n"/>
      <c r="Q146" s="65" t="n"/>
      <c r="R146" s="65" t="n"/>
      <c r="S146" s="92">
        <f>G146-I146-R146-K146-M146-O146-Q146</f>
        <v/>
      </c>
      <c r="T146" s="92" t="inlineStr"/>
      <c r="U146" s="92" t="inlineStr"/>
      <c r="V146" s="69">
        <f>G146-SUM(I146,K146,M146,O146,Q146,U146)</f>
        <v/>
      </c>
      <c r="W146" s="65" t="n"/>
      <c r="X146" t="inlineStr">
        <is>
          <t>Khớp</t>
        </is>
      </c>
    </row>
    <row r="147">
      <c r="A147" s="65" t="n">
        <v>138</v>
      </c>
      <c r="B147" s="65" t="inlineStr">
        <is>
          <t>25807500153</t>
        </is>
      </c>
      <c r="C147" s="65" t="inlineStr">
        <is>
          <t>Bùi Anh</t>
        </is>
      </c>
      <c r="D147" s="65" t="inlineStr">
        <is>
          <t>Tú</t>
        </is>
      </c>
      <c r="E147" s="65" t="inlineStr">
        <is>
          <t>13/06/2007</t>
        </is>
      </c>
      <c r="F147" s="66" t="inlineStr">
        <is>
          <t>LNH0925ND01</t>
        </is>
      </c>
      <c r="G147" s="90" t="n">
        <v>4465000</v>
      </c>
      <c r="H147" s="65" t="n"/>
      <c r="I147" s="65" t="n"/>
      <c r="J147" s="65">
        <f>VLOOKUP(B147,[5]Sheet1!A$3:E$32,5,0)</f>
        <v/>
      </c>
      <c r="K147" s="65" t="n">
        <v>2232500</v>
      </c>
      <c r="L147" s="65">
        <f>VLOOKUP(B147,'[2]DS THANG 11'!A$3:E$616,5,0)</f>
        <v/>
      </c>
      <c r="M147" s="65" t="n">
        <v>2232500</v>
      </c>
      <c r="N147" s="65" t="n"/>
      <c r="O147" s="65" t="n"/>
      <c r="P147" s="65" t="n"/>
      <c r="Q147" s="65" t="n"/>
      <c r="R147" s="65" t="n"/>
      <c r="S147" s="92">
        <f>G147-I147-R147-K147-M147-O147-Q147</f>
        <v/>
      </c>
      <c r="T147" s="92" t="inlineStr"/>
      <c r="U147" s="92" t="inlineStr"/>
      <c r="V147" s="69">
        <f>G147-SUM(I147,K147,M147,O147,Q147,U147)</f>
        <v/>
      </c>
      <c r="W147" s="65" t="n"/>
      <c r="X147" t="inlineStr">
        <is>
          <t>Khớp</t>
        </is>
      </c>
    </row>
    <row r="148">
      <c r="A148" s="65" t="n">
        <v>139</v>
      </c>
      <c r="B148" s="65" t="inlineStr">
        <is>
          <t>25802400010</t>
        </is>
      </c>
      <c r="C148" s="65" t="inlineStr">
        <is>
          <t>Nguyễn Thị Thảo</t>
        </is>
      </c>
      <c r="D148" s="65" t="inlineStr">
        <is>
          <t>Linh</t>
        </is>
      </c>
      <c r="E148" s="65" t="inlineStr">
        <is>
          <t>22/01/2007</t>
        </is>
      </c>
      <c r="F148" s="66" t="inlineStr">
        <is>
          <t>LNH0925ND01</t>
        </is>
      </c>
      <c r="G148" s="90" t="n">
        <v>4940000</v>
      </c>
      <c r="H148" s="65" t="n"/>
      <c r="I148" s="65" t="n"/>
      <c r="J148" s="65" t="n"/>
      <c r="K148" s="65" t="n"/>
      <c r="L148" s="65" t="n"/>
      <c r="M148" s="65" t="n"/>
      <c r="N148" s="65" t="n"/>
      <c r="O148" s="65" t="n"/>
      <c r="P148" s="65">
        <f>VLOOKUP(B148,'[3]TONG HOP '!B$5:O$666,14,0)</f>
        <v/>
      </c>
      <c r="Q148" s="65" t="n">
        <v>2470000</v>
      </c>
      <c r="R148" s="65" t="n"/>
      <c r="S148" s="92">
        <f>G148-I148-R148-K148-M148-O148-Q148</f>
        <v/>
      </c>
      <c r="T148" s="92" t="inlineStr"/>
      <c r="U148" s="92" t="inlineStr"/>
      <c r="V148" s="69">
        <f>G148-SUM(I148,K148,M148,O148,Q148,U148)</f>
        <v/>
      </c>
      <c r="W148" s="65" t="n"/>
      <c r="X148" t="inlineStr">
        <is>
          <t>Khớp</t>
        </is>
      </c>
    </row>
    <row r="149">
      <c r="A149" s="65" t="n">
        <v>140</v>
      </c>
      <c r="B149" s="65" t="inlineStr">
        <is>
          <t>25808600137</t>
        </is>
      </c>
      <c r="C149" s="65" t="inlineStr">
        <is>
          <t>Lương Thị Tuyết</t>
        </is>
      </c>
      <c r="D149" s="65" t="inlineStr">
        <is>
          <t>Trinh</t>
        </is>
      </c>
      <c r="E149" s="65" t="inlineStr">
        <is>
          <t>04/07/2007</t>
        </is>
      </c>
      <c r="F149" s="66" t="inlineStr">
        <is>
          <t>LNH0925ND01</t>
        </is>
      </c>
      <c r="G149" s="90" t="n">
        <v>8415000</v>
      </c>
      <c r="H149" s="65" t="n"/>
      <c r="I149" s="65" t="n"/>
      <c r="J149" s="65">
        <f>VLOOKUP(B149,[5]Sheet1!A$3:E$32,5,0)</f>
        <v/>
      </c>
      <c r="K149" s="65" t="n">
        <v>2103750</v>
      </c>
      <c r="L149" s="65">
        <f>VLOOKUP(B149,'[2]DS THANG 11'!A$3:E$616,5,0)</f>
        <v/>
      </c>
      <c r="M149" s="65" t="n">
        <v>2103750</v>
      </c>
      <c r="N149" s="65" t="n"/>
      <c r="O149" s="65" t="n"/>
      <c r="P149" s="65">
        <f>VLOOKUP(B149,'[3]TONG HOP '!B$5:O$666,14,0)</f>
        <v/>
      </c>
      <c r="Q149" s="65" t="n">
        <v>2103750</v>
      </c>
      <c r="R149" s="65" t="n"/>
      <c r="S149" s="92">
        <f>G149-I149-R149-K149-M149-O149-Q149</f>
        <v/>
      </c>
      <c r="T149" s="92" t="inlineStr"/>
      <c r="U149" s="92" t="inlineStr"/>
      <c r="V149" s="69">
        <f>G149-SUM(I149,K149,M149,O149,Q149,U149)</f>
        <v/>
      </c>
      <c r="W149" s="65" t="n"/>
      <c r="X149" t="inlineStr">
        <is>
          <t>Khớp</t>
        </is>
      </c>
    </row>
    <row r="150">
      <c r="A150" s="65" t="n">
        <v>141</v>
      </c>
      <c r="B150" s="65" t="inlineStr">
        <is>
          <t>25807500011</t>
        </is>
      </c>
      <c r="C150" s="65" t="inlineStr">
        <is>
          <t>Bùi Gia</t>
        </is>
      </c>
      <c r="D150" s="65" t="inlineStr">
        <is>
          <t>Bảo</t>
        </is>
      </c>
      <c r="E150" s="65" t="inlineStr">
        <is>
          <t>16/03/2007</t>
        </is>
      </c>
      <c r="F150" s="66" t="inlineStr">
        <is>
          <t>LNH0925ND01</t>
        </is>
      </c>
      <c r="G150" s="90" t="n">
        <v>8415000</v>
      </c>
      <c r="H150" s="65">
        <f>VLOOKUP(B150,'[1]TONG HOP'!B$5:G$624,6,0)</f>
        <v/>
      </c>
      <c r="I150" s="65" t="n">
        <v>2103750</v>
      </c>
      <c r="J150" s="65" t="n"/>
      <c r="K150" s="65" t="n"/>
      <c r="L150" s="65">
        <f>VLOOKUP(B150,'[2]DS THANG 11'!A$3:E$616,5,0)</f>
        <v/>
      </c>
      <c r="M150" s="65" t="n">
        <v>2103750</v>
      </c>
      <c r="N150" s="65" t="n"/>
      <c r="O150" s="65" t="n"/>
      <c r="P150" s="65">
        <f>VLOOKUP(B150,'[3]TONG HOP '!B$5:O$666,14,0)</f>
        <v/>
      </c>
      <c r="Q150" s="65" t="n">
        <v>2103750</v>
      </c>
      <c r="R150" s="65" t="n"/>
      <c r="S150" s="92">
        <f>G150-I150-R150-K150-M150-O150-Q150</f>
        <v/>
      </c>
      <c r="T150" s="92" t="inlineStr">
        <is>
          <t>LNH0526NQ13</t>
        </is>
      </c>
      <c r="U150" s="92" t="n">
        <v>2103750</v>
      </c>
      <c r="V150" s="69">
        <f>G150-SUM(I150,K150,M150,O150,Q150,U150)</f>
        <v/>
      </c>
      <c r="W150" s="65" t="n"/>
      <c r="X150" t="inlineStr">
        <is>
          <t>Khớp</t>
        </is>
      </c>
    </row>
    <row r="151">
      <c r="A151" s="65" t="n">
        <v>142</v>
      </c>
      <c r="B151" s="65" t="inlineStr">
        <is>
          <t>25808900066</t>
        </is>
      </c>
      <c r="C151" s="65" t="inlineStr">
        <is>
          <t>Nguyễn Văn</t>
        </is>
      </c>
      <c r="D151" s="65" t="inlineStr">
        <is>
          <t>Lai</t>
        </is>
      </c>
      <c r="E151" s="65" t="inlineStr">
        <is>
          <t>20/04/2007</t>
        </is>
      </c>
      <c r="F151" s="66" t="inlineStr">
        <is>
          <t>LNH0925ND01</t>
        </is>
      </c>
      <c r="G151" s="90">
        <f>3000000+1700000</f>
        <v/>
      </c>
      <c r="H151" s="65" t="n"/>
      <c r="I151" s="65" t="n"/>
      <c r="J151" s="65" t="n"/>
      <c r="K151" s="65" t="n"/>
      <c r="L151" s="65">
        <f>VLOOKUP(B151,'[2]DS THANG 11'!A$3:E$616,5,0)</f>
        <v/>
      </c>
      <c r="M151" s="65" t="n">
        <v>2600000</v>
      </c>
      <c r="N151" s="65" t="n"/>
      <c r="O151" s="65" t="n"/>
      <c r="P151" s="65" t="n"/>
      <c r="Q151" s="65" t="n"/>
      <c r="R151" s="65" t="n"/>
      <c r="S151" s="92">
        <f>G151-I151-R151-K151-M151-O151-Q151</f>
        <v/>
      </c>
      <c r="T151" s="92" t="inlineStr"/>
      <c r="U151" s="92" t="inlineStr"/>
      <c r="V151" s="69">
        <f>G151-SUM(I151,K151,M151,O151,Q151,U151)</f>
        <v/>
      </c>
      <c r="W151" s="65" t="n"/>
      <c r="X151" t="inlineStr">
        <is>
          <t>Khớp</t>
        </is>
      </c>
    </row>
    <row r="152">
      <c r="A152" s="65" t="n">
        <v>143</v>
      </c>
      <c r="B152" s="65" t="inlineStr">
        <is>
          <t>25807500115</t>
        </is>
      </c>
      <c r="C152" s="65" t="inlineStr">
        <is>
          <t>Huỳnh</t>
        </is>
      </c>
      <c r="D152" s="65" t="inlineStr">
        <is>
          <t>Thân</t>
        </is>
      </c>
      <c r="E152" s="65" t="inlineStr">
        <is>
          <t>20/06/2007</t>
        </is>
      </c>
      <c r="F152" s="66" t="inlineStr">
        <is>
          <t>LNH0925ND01</t>
        </is>
      </c>
      <c r="G152" s="90" t="n">
        <v>8415000</v>
      </c>
      <c r="H152" s="65">
        <f>VLOOKUP(B152,'[1]TONG HOP'!B$5:G$624,6,0)</f>
        <v/>
      </c>
      <c r="I152" s="65" t="n">
        <v>2103750</v>
      </c>
      <c r="J152" s="65" t="n"/>
      <c r="K152" s="65" t="n"/>
      <c r="L152" s="65">
        <f>VLOOKUP(B152,'[2]DS THANG 11'!A$3:E$616,5,0)</f>
        <v/>
      </c>
      <c r="M152" s="65" t="n">
        <v>2103750</v>
      </c>
      <c r="N152" s="65" t="n"/>
      <c r="O152" s="65" t="n"/>
      <c r="P152" s="65">
        <f>VLOOKUP(B152,'[3]TONG HOP '!B$5:O$666,14,0)</f>
        <v/>
      </c>
      <c r="Q152" s="65" t="n">
        <v>2103750</v>
      </c>
      <c r="R152" s="65" t="n"/>
      <c r="S152" s="92">
        <f>G152-I152-R152-K152-M152-O152-Q152</f>
        <v/>
      </c>
      <c r="T152" s="92" t="inlineStr"/>
      <c r="U152" s="92" t="inlineStr"/>
      <c r="V152" s="69">
        <f>G152-SUM(I152,K152,M152,O152,Q152,U152)</f>
        <v/>
      </c>
      <c r="W152" s="65" t="n"/>
      <c r="X152" t="inlineStr">
        <is>
          <t>Khớp</t>
        </is>
      </c>
    </row>
    <row r="153">
      <c r="A153" s="65" t="n">
        <v>144</v>
      </c>
      <c r="B153" s="65" t="inlineStr">
        <is>
          <t>25807900049</t>
        </is>
      </c>
      <c r="C153" s="65" t="inlineStr">
        <is>
          <t>Trần Hữu</t>
        </is>
      </c>
      <c r="D153" s="65" t="inlineStr">
        <is>
          <t>Thành</t>
        </is>
      </c>
      <c r="E153" s="65" t="inlineStr">
        <is>
          <t>21/02/2007</t>
        </is>
      </c>
      <c r="F153" s="66" t="inlineStr">
        <is>
          <t>LNH0925ND01</t>
        </is>
      </c>
      <c r="G153" s="90" t="n">
        <v>8415000</v>
      </c>
      <c r="H153" s="65" t="n"/>
      <c r="I153" s="65" t="n"/>
      <c r="J153" s="65" t="n"/>
      <c r="K153" s="65" t="n"/>
      <c r="L153" s="65">
        <f>VLOOKUP(B153,'[2]DS THANG 11'!A$3:E$616,5,0)</f>
        <v/>
      </c>
      <c r="M153" s="65" t="n">
        <v>2103750</v>
      </c>
      <c r="N153" s="65" t="n"/>
      <c r="O153" s="65" t="n"/>
      <c r="P153" s="65">
        <f>VLOOKUP(B153,'[3]TONG HOP '!B$5:O$666,14,0)</f>
        <v/>
      </c>
      <c r="Q153" s="65" t="n">
        <v>2103750</v>
      </c>
      <c r="R153" s="65" t="n"/>
      <c r="S153" s="92">
        <f>G153-I153-R153-K153-M153-O153-Q153</f>
        <v/>
      </c>
      <c r="T153" s="92" t="inlineStr"/>
      <c r="U153" s="92" t="inlineStr"/>
      <c r="V153" s="69">
        <f>G153-SUM(I153,K153,M153,O153,Q153,U153)</f>
        <v/>
      </c>
      <c r="W153" s="65" t="n"/>
      <c r="X153" t="inlineStr">
        <is>
          <t>Khớp</t>
        </is>
      </c>
    </row>
    <row r="154">
      <c r="A154" s="65" t="n">
        <v>145</v>
      </c>
      <c r="B154" s="65" t="inlineStr">
        <is>
          <t>25808600181</t>
        </is>
      </c>
      <c r="C154" s="65" t="inlineStr">
        <is>
          <t>Nguyễn Thị Diệu</t>
        </is>
      </c>
      <c r="D154" s="65" t="inlineStr">
        <is>
          <t>Linh</t>
        </is>
      </c>
      <c r="E154" s="65" t="inlineStr">
        <is>
          <t>10/05/2005</t>
        </is>
      </c>
      <c r="F154" s="66" t="inlineStr">
        <is>
          <t>LNH0925ND01</t>
        </is>
      </c>
      <c r="G154" s="90" t="n">
        <v>1000000</v>
      </c>
      <c r="H154" s="65" t="n"/>
      <c r="I154" s="65" t="n"/>
      <c r="J154" s="65" t="n"/>
      <c r="K154" s="65" t="n"/>
      <c r="L154" s="65" t="n"/>
      <c r="M154" s="65" t="n"/>
      <c r="N154" s="65" t="n"/>
      <c r="O154" s="65" t="n"/>
      <c r="P154" s="65" t="n"/>
      <c r="Q154" s="65" t="n"/>
      <c r="R154" s="65" t="n"/>
      <c r="S154" s="92">
        <f>G154-I154-R154-K154-M154-O154-Q154</f>
        <v/>
      </c>
      <c r="T154" s="92" t="inlineStr"/>
      <c r="U154" s="92" t="inlineStr"/>
      <c r="V154" s="69">
        <f>G154-SUM(I154,K154,M154,O154,Q154,U154)</f>
        <v/>
      </c>
      <c r="W154" s="65" t="n"/>
      <c r="X154" t="inlineStr">
        <is>
          <t>Khớp</t>
        </is>
      </c>
    </row>
    <row r="155">
      <c r="A155" s="65" t="n">
        <v>146</v>
      </c>
      <c r="B155" s="65" t="inlineStr">
        <is>
          <t>25800400077</t>
        </is>
      </c>
      <c r="C155" s="65" t="inlineStr">
        <is>
          <t>Nguyễn Đăng</t>
        </is>
      </c>
      <c r="D155" s="65" t="inlineStr">
        <is>
          <t>Khoa</t>
        </is>
      </c>
      <c r="E155" s="65" t="inlineStr">
        <is>
          <t>21/01/2007</t>
        </is>
      </c>
      <c r="F155" s="66" t="inlineStr">
        <is>
          <t>LNH0925ND01</t>
        </is>
      </c>
      <c r="G155" s="90" t="n">
        <v>8415000</v>
      </c>
      <c r="H155" s="65">
        <f>VLOOKUP(B155,'[1]TONG HOP'!B$5:G$624,6,0)</f>
        <v/>
      </c>
      <c r="I155" s="65" t="n">
        <v>2103750</v>
      </c>
      <c r="J155" s="65" t="n"/>
      <c r="K155" s="65" t="n"/>
      <c r="L155" s="65">
        <f>VLOOKUP(B155,'[2]DS THANG 11'!A$3:E$616,5,0)</f>
        <v/>
      </c>
      <c r="M155" s="65" t="n">
        <v>2103750</v>
      </c>
      <c r="N155" s="65" t="n"/>
      <c r="O155" s="65" t="n"/>
      <c r="P155" s="65">
        <f>VLOOKUP(B155,'[3]TONG HOP '!B$5:O$666,14,0)</f>
        <v/>
      </c>
      <c r="Q155" s="65" t="n">
        <v>2103750</v>
      </c>
      <c r="R155" s="65" t="n"/>
      <c r="S155" s="92">
        <f>G155-I155-R155-K155-M155-O155-Q155</f>
        <v/>
      </c>
      <c r="T155" s="92" t="inlineStr">
        <is>
          <t>LNH0526NQ13</t>
        </is>
      </c>
      <c r="U155" s="92" t="n">
        <v>2103750</v>
      </c>
      <c r="V155" s="69">
        <f>G155-SUM(I155,K155,M155,O155,Q155,U155)</f>
        <v/>
      </c>
      <c r="W155" s="65" t="n"/>
      <c r="X155" t="inlineStr">
        <is>
          <t>Khớp</t>
        </is>
      </c>
    </row>
    <row r="156">
      <c r="A156" s="65" t="n">
        <v>147</v>
      </c>
      <c r="B156" s="65" t="inlineStr">
        <is>
          <t>25800400256</t>
        </is>
      </c>
      <c r="C156" s="65" t="inlineStr">
        <is>
          <t>Trương Hồng</t>
        </is>
      </c>
      <c r="D156" s="65" t="inlineStr">
        <is>
          <t>Khãi</t>
        </is>
      </c>
      <c r="E156" s="65" t="inlineStr">
        <is>
          <t>30/05/2007</t>
        </is>
      </c>
      <c r="F156" s="66" t="inlineStr">
        <is>
          <t>LNH0925ND01</t>
        </is>
      </c>
      <c r="G156" s="90" t="n">
        <v>2100000</v>
      </c>
      <c r="H156" s="65">
        <f>VLOOKUP(B156,'[1]TONG HOP'!B$5:G$624,6,0)</f>
        <v/>
      </c>
      <c r="I156" s="65" t="n">
        <v>2100000</v>
      </c>
      <c r="J156" s="65" t="n"/>
      <c r="K156" s="65" t="n"/>
      <c r="L156" s="65" t="n"/>
      <c r="M156" s="65" t="n"/>
      <c r="N156" s="65" t="n"/>
      <c r="O156" s="65" t="n"/>
      <c r="P156" s="65" t="n"/>
      <c r="Q156" s="65" t="n"/>
      <c r="R156" s="65" t="n"/>
      <c r="S156" s="92">
        <f>G156-I156-R156-K156-M156-O156-Q156</f>
        <v/>
      </c>
      <c r="T156" s="92" t="inlineStr"/>
      <c r="U156" s="92" t="inlineStr"/>
      <c r="V156" s="69">
        <f>G156-SUM(I156,K156,M156,O156,Q156,U156)</f>
        <v/>
      </c>
      <c r="W156" s="65" t="n"/>
      <c r="X156" t="inlineStr">
        <is>
          <t>Khớp</t>
        </is>
      </c>
    </row>
    <row r="157">
      <c r="A157" s="65" t="n">
        <v>148</v>
      </c>
      <c r="B157" s="65" t="inlineStr">
        <is>
          <t>25806400021</t>
        </is>
      </c>
      <c r="C157" s="65" t="inlineStr">
        <is>
          <t>Lê Ngọc Quỳnh</t>
        </is>
      </c>
      <c r="D157" s="65" t="inlineStr">
        <is>
          <t>Trang</t>
        </is>
      </c>
      <c r="E157" s="65" t="inlineStr">
        <is>
          <t>28/03/2007</t>
        </is>
      </c>
      <c r="F157" s="66" t="inlineStr">
        <is>
          <t>LNH0925ND01</t>
        </is>
      </c>
      <c r="G157" s="90" t="n">
        <v>8415000</v>
      </c>
      <c r="H157" s="65">
        <f>VLOOKUP(B157,'[1]TONG HOP'!B$5:G$624,6,0)</f>
        <v/>
      </c>
      <c r="I157" s="65" t="n">
        <v>2103750</v>
      </c>
      <c r="J157" s="65" t="n"/>
      <c r="K157" s="65" t="n"/>
      <c r="L157" s="65">
        <f>VLOOKUP(B157,'[2]DS THANG 11'!A$3:E$616,5,0)</f>
        <v/>
      </c>
      <c r="M157" s="65" t="n">
        <v>2103750</v>
      </c>
      <c r="N157" s="65" t="n"/>
      <c r="O157" s="65" t="n"/>
      <c r="P157" s="65">
        <f>VLOOKUP(B157,'[3]TONG HOP '!B$5:O$666,14,0)</f>
        <v/>
      </c>
      <c r="Q157" s="65" t="n">
        <v>2103750</v>
      </c>
      <c r="R157" s="65" t="n"/>
      <c r="S157" s="92">
        <f>G157-I157-R157-K157-M157-O157-Q157</f>
        <v/>
      </c>
      <c r="T157" s="92" t="inlineStr"/>
      <c r="U157" s="92" t="inlineStr"/>
      <c r="V157" s="69">
        <f>G157-SUM(I157,K157,M157,O157,Q157,U157)</f>
        <v/>
      </c>
      <c r="W157" s="65" t="n"/>
      <c r="X157" t="inlineStr">
        <is>
          <t>Khớp</t>
        </is>
      </c>
    </row>
    <row r="158">
      <c r="A158" s="65" t="n">
        <v>149</v>
      </c>
      <c r="B158" s="65" t="inlineStr">
        <is>
          <t>25809600021</t>
        </is>
      </c>
      <c r="C158" s="65" t="inlineStr">
        <is>
          <t>Nguyễn Gia</t>
        </is>
      </c>
      <c r="D158" s="65" t="inlineStr">
        <is>
          <t>Hưng</t>
        </is>
      </c>
      <c r="E158" s="65" t="inlineStr">
        <is>
          <t>16/03/2007</t>
        </is>
      </c>
      <c r="F158" s="66" t="inlineStr">
        <is>
          <t>LNH0925ND01</t>
        </is>
      </c>
      <c r="G158" s="90" t="n">
        <v>8415000</v>
      </c>
      <c r="H158" s="65">
        <f>VLOOKUP(B158,'[1]TONG HOP'!B$5:G$624,6,0)</f>
        <v/>
      </c>
      <c r="I158" s="65" t="n">
        <v>2103750</v>
      </c>
      <c r="J158" s="65" t="n"/>
      <c r="K158" s="65" t="n"/>
      <c r="L158" s="65">
        <f>VLOOKUP(B158,'[2]DS THANG 11'!A$3:E$616,5,0)</f>
        <v/>
      </c>
      <c r="M158" s="65" t="n">
        <v>2103750</v>
      </c>
      <c r="N158" s="65" t="n"/>
      <c r="O158" s="65" t="n"/>
      <c r="P158" s="65" t="n"/>
      <c r="Q158" s="65" t="n"/>
      <c r="R158" s="65" t="n"/>
      <c r="S158" s="92">
        <f>G158-I158-R158-K158-M158-O158-Q158</f>
        <v/>
      </c>
      <c r="T158" s="92" t="inlineStr"/>
      <c r="U158" s="92" t="inlineStr"/>
      <c r="V158" s="69">
        <f>G158-SUM(I158,K158,M158,O158,Q158,U158)</f>
        <v/>
      </c>
      <c r="W158" s="65" t="n"/>
      <c r="X158" t="inlineStr">
        <is>
          <t>Khớp</t>
        </is>
      </c>
    </row>
    <row r="159">
      <c r="A159" s="65" t="n">
        <v>150</v>
      </c>
      <c r="B159" s="65" t="inlineStr">
        <is>
          <t>25808700023</t>
        </is>
      </c>
      <c r="C159" s="65" t="inlineStr">
        <is>
          <t>Phùng Thanh</t>
        </is>
      </c>
      <c r="D159" s="65" t="inlineStr">
        <is>
          <t>Hằng</t>
        </is>
      </c>
      <c r="E159" s="65" t="inlineStr">
        <is>
          <t>14/05/2007</t>
        </is>
      </c>
      <c r="F159" s="66" t="inlineStr">
        <is>
          <t>LNH0925ND01</t>
        </is>
      </c>
      <c r="G159" s="90" t="n">
        <v>8415000</v>
      </c>
      <c r="H159" s="65">
        <f>VLOOKUP(B159,'[1]TONG HOP'!B$5:G$624,6,0)</f>
        <v/>
      </c>
      <c r="I159" s="65" t="n">
        <v>2103750</v>
      </c>
      <c r="J159" s="65" t="n"/>
      <c r="K159" s="65" t="n"/>
      <c r="L159" s="65">
        <f>VLOOKUP(B159,'[2]DS THANG 11'!A$3:E$616,5,0)</f>
        <v/>
      </c>
      <c r="M159" s="65" t="n">
        <v>2103750</v>
      </c>
      <c r="N159" s="65" t="n"/>
      <c r="O159" s="65" t="n"/>
      <c r="P159" s="65">
        <f>VLOOKUP(B159,'[3]TONG HOP '!B$5:O$666,14,0)</f>
        <v/>
      </c>
      <c r="Q159" s="65" t="n">
        <v>2103750</v>
      </c>
      <c r="R159" s="65" t="n"/>
      <c r="S159" s="92">
        <f>G159-I159-R159-K159-M159-O159-Q159</f>
        <v/>
      </c>
      <c r="T159" s="92" t="inlineStr"/>
      <c r="U159" s="92" t="inlineStr"/>
      <c r="V159" s="69">
        <f>G159-SUM(I159,K159,M159,O159,Q159,U159)</f>
        <v/>
      </c>
      <c r="W159" s="65" t="n"/>
      <c r="X159" t="inlineStr">
        <is>
          <t>Khớp</t>
        </is>
      </c>
    </row>
    <row r="160">
      <c r="A160" s="65" t="n">
        <v>151</v>
      </c>
      <c r="B160" s="65" t="inlineStr">
        <is>
          <t>25801700057</t>
        </is>
      </c>
      <c r="C160" s="65" t="inlineStr">
        <is>
          <t>Nguyễn Thị Thủy</t>
        </is>
      </c>
      <c r="D160" s="65" t="inlineStr">
        <is>
          <t>Tiên</t>
        </is>
      </c>
      <c r="E160" s="65" t="inlineStr">
        <is>
          <t>23/11/2001</t>
        </is>
      </c>
      <c r="F160" s="66" t="inlineStr">
        <is>
          <t>LNH0925ND01</t>
        </is>
      </c>
      <c r="G160" s="90" t="n">
        <v>8415000</v>
      </c>
      <c r="H160" s="65" t="n"/>
      <c r="I160" s="65" t="n"/>
      <c r="J160" s="65">
        <f>VLOOKUP(B160,[5]Sheet1!A$3:E$32,5,0)</f>
        <v/>
      </c>
      <c r="K160" s="65" t="n">
        <v>2103750</v>
      </c>
      <c r="L160" s="65">
        <f>VLOOKUP(B160,'[2]DS THANG 11'!A$3:E$616,5,0)</f>
        <v/>
      </c>
      <c r="M160" s="65" t="n">
        <v>2103750</v>
      </c>
      <c r="N160" s="65" t="n"/>
      <c r="O160" s="65" t="n"/>
      <c r="P160" s="65">
        <f>VLOOKUP(B160,'[3]TONG HOP '!B$5:O$666,14,0)</f>
        <v/>
      </c>
      <c r="Q160" s="65" t="n">
        <v>2103750</v>
      </c>
      <c r="R160" s="65" t="n"/>
      <c r="S160" s="92">
        <f>G160-I160-R160-K160-M160-O160-Q160</f>
        <v/>
      </c>
      <c r="T160" s="92" t="inlineStr">
        <is>
          <t>LNH0526NQ02</t>
        </is>
      </c>
      <c r="U160" s="92" t="n">
        <v>2103750</v>
      </c>
      <c r="V160" s="69">
        <f>G160-SUM(I160,K160,M160,O160,Q160,U160)</f>
        <v/>
      </c>
      <c r="W160" s="65" t="n"/>
      <c r="X160" t="inlineStr">
        <is>
          <t>Khớp</t>
        </is>
      </c>
    </row>
    <row r="161">
      <c r="A161" s="65" t="n">
        <v>152</v>
      </c>
      <c r="B161" s="65" t="inlineStr">
        <is>
          <t>25802800245</t>
        </is>
      </c>
      <c r="C161" s="65" t="inlineStr">
        <is>
          <t>Trần Anh</t>
        </is>
      </c>
      <c r="D161" s="65" t="inlineStr">
        <is>
          <t>Thi</t>
        </is>
      </c>
      <c r="E161" s="65" t="inlineStr">
        <is>
          <t>05/09/2007</t>
        </is>
      </c>
      <c r="F161" s="66" t="inlineStr">
        <is>
          <t>LNH0925ND01</t>
        </is>
      </c>
      <c r="G161" s="90" t="n">
        <v>7540000</v>
      </c>
      <c r="H161" s="65" t="n"/>
      <c r="I161" s="65" t="n"/>
      <c r="J161" s="65" t="n"/>
      <c r="K161" s="65" t="n"/>
      <c r="L161" s="65">
        <f>VLOOKUP(B161,'[2]DS THANG 11'!A$3:E$616,5,0)</f>
        <v/>
      </c>
      <c r="M161" s="65" t="n">
        <v>2600000</v>
      </c>
      <c r="N161" s="65" t="n"/>
      <c r="O161" s="65" t="n"/>
      <c r="P161" s="65">
        <f>VLOOKUP(B161,'[3]TONG HOP '!B$5:O$666,14,0)</f>
        <v/>
      </c>
      <c r="Q161" s="65" t="n">
        <v>2470000</v>
      </c>
      <c r="R161" s="65" t="n"/>
      <c r="S161" s="92">
        <f>G161-I161-R161-K161-M161-O161-Q161</f>
        <v/>
      </c>
      <c r="T161" s="92" t="inlineStr">
        <is>
          <t>LNH0526NQ02</t>
        </is>
      </c>
      <c r="U161" s="92" t="n">
        <v>2470000</v>
      </c>
      <c r="V161" s="69">
        <f>G161-SUM(I161,K161,M161,O161,Q161,U161)</f>
        <v/>
      </c>
      <c r="W161" s="65" t="n"/>
      <c r="X161" t="inlineStr">
        <is>
          <t>Khớp</t>
        </is>
      </c>
    </row>
    <row r="162">
      <c r="A162" s="65" t="n">
        <v>153</v>
      </c>
      <c r="B162" s="65" t="inlineStr">
        <is>
          <t>25800500075</t>
        </is>
      </c>
      <c r="C162" s="65" t="inlineStr">
        <is>
          <t>Lê Trọng</t>
        </is>
      </c>
      <c r="D162" s="65" t="inlineStr">
        <is>
          <t>Kha</t>
        </is>
      </c>
      <c r="E162" s="65" t="inlineStr">
        <is>
          <t>23/06/2007</t>
        </is>
      </c>
      <c r="F162" s="66" t="inlineStr">
        <is>
          <t>LNH0925ND01</t>
        </is>
      </c>
      <c r="G162" s="90" t="n">
        <v>8415000</v>
      </c>
      <c r="H162" s="65">
        <f>VLOOKUP(B162,'[1]TONG HOP'!B$5:G$624,6,0)</f>
        <v/>
      </c>
      <c r="I162" s="65" t="n">
        <v>2103750</v>
      </c>
      <c r="J162" s="65" t="n"/>
      <c r="K162" s="65" t="n"/>
      <c r="L162" s="65">
        <f>VLOOKUP(B162,'[2]DS THANG 11'!A$3:E$616,5,0)</f>
        <v/>
      </c>
      <c r="M162" s="65" t="n">
        <v>2103750</v>
      </c>
      <c r="N162" s="65" t="n"/>
      <c r="O162" s="65" t="n"/>
      <c r="P162" s="65">
        <f>VLOOKUP(B162,'[3]TONG HOP '!B$5:O$666,14,0)</f>
        <v/>
      </c>
      <c r="Q162" s="65" t="n">
        <v>2103750</v>
      </c>
      <c r="R162" s="65" t="n"/>
      <c r="S162" s="92">
        <f>G162-I162-R162-K162-M162-O162-Q162</f>
        <v/>
      </c>
      <c r="T162" s="92" t="inlineStr">
        <is>
          <t>LNH0526NQ18</t>
        </is>
      </c>
      <c r="U162" s="92" t="n">
        <v>2103750</v>
      </c>
      <c r="V162" s="69">
        <f>G162-SUM(I162,K162,M162,O162,Q162,U162)</f>
        <v/>
      </c>
      <c r="W162" s="65" t="n"/>
      <c r="X162" t="inlineStr">
        <is>
          <t>Khớp</t>
        </is>
      </c>
    </row>
    <row r="163">
      <c r="A163" s="65" t="n">
        <v>154</v>
      </c>
      <c r="B163" s="65" t="inlineStr">
        <is>
          <t>25820300020</t>
        </is>
      </c>
      <c r="C163" s="65" t="inlineStr">
        <is>
          <t>Nguyễn</t>
        </is>
      </c>
      <c r="D163" s="65" t="inlineStr">
        <is>
          <t>Huỳnh</t>
        </is>
      </c>
      <c r="E163" s="65" t="inlineStr">
        <is>
          <t>14/05/2007</t>
        </is>
      </c>
      <c r="F163" s="66" t="inlineStr">
        <is>
          <t>LNH0925ND01</t>
        </is>
      </c>
      <c r="G163" s="90" t="n">
        <v>8415000</v>
      </c>
      <c r="H163" s="65">
        <f>VLOOKUP(B163,'[1]TONG HOP'!B$5:G$624,6,0)</f>
        <v/>
      </c>
      <c r="I163" s="65" t="n">
        <v>2103750</v>
      </c>
      <c r="J163" s="65" t="n"/>
      <c r="K163" s="65" t="n"/>
      <c r="L163" s="65">
        <f>VLOOKUP(B163,'[2]DS THANG 11'!A$3:E$616,5,0)</f>
        <v/>
      </c>
      <c r="M163" s="65" t="n">
        <v>2103750</v>
      </c>
      <c r="N163" s="65" t="n"/>
      <c r="O163" s="65" t="n"/>
      <c r="P163" s="65">
        <f>VLOOKUP(B163,'[3]TONG HOP '!B$5:O$666,14,0)</f>
        <v/>
      </c>
      <c r="Q163" s="65" t="n">
        <v>2103750</v>
      </c>
      <c r="R163" s="65" t="n"/>
      <c r="S163" s="92">
        <f>G163-I163-R163-K163-M163-O163-Q163</f>
        <v/>
      </c>
      <c r="T163" s="92" t="inlineStr"/>
      <c r="U163" s="92" t="inlineStr"/>
      <c r="V163" s="69">
        <f>G163-SUM(I163,K163,M163,O163,Q163,U163)</f>
        <v/>
      </c>
      <c r="W163" s="65" t="n"/>
      <c r="X163" t="inlineStr">
        <is>
          <t>Khớp</t>
        </is>
      </c>
    </row>
    <row r="164">
      <c r="A164" s="65" t="n">
        <v>155</v>
      </c>
      <c r="B164" s="65" t="inlineStr">
        <is>
          <t>25808600039</t>
        </is>
      </c>
      <c r="C164" s="65" t="inlineStr">
        <is>
          <t>Đinh Nguyễn Nhựt</t>
        </is>
      </c>
      <c r="D164" s="65" t="inlineStr">
        <is>
          <t>Huy</t>
        </is>
      </c>
      <c r="E164" s="65" t="inlineStr">
        <is>
          <t>04/08/2006</t>
        </is>
      </c>
      <c r="F164" s="66" t="inlineStr">
        <is>
          <t>LNH0925ND01</t>
        </is>
      </c>
      <c r="G164" s="90" t="n">
        <v>8415000</v>
      </c>
      <c r="H164" s="65">
        <f>VLOOKUP(B164,'[1]TONG HOP'!B$5:G$624,6,0)</f>
        <v/>
      </c>
      <c r="I164" s="65" t="n">
        <v>2103750</v>
      </c>
      <c r="J164" s="65" t="n"/>
      <c r="K164" s="65" t="n"/>
      <c r="L164" s="65">
        <f>VLOOKUP(B164,'[2]DS THANG 11'!A$3:E$616,5,0)</f>
        <v/>
      </c>
      <c r="M164" s="65" t="n">
        <v>2103750</v>
      </c>
      <c r="N164" s="65" t="n"/>
      <c r="O164" s="65" t="n"/>
      <c r="P164" s="65">
        <f>VLOOKUP(B164,'[3]TONG HOP '!B$5:O$666,14,0)</f>
        <v/>
      </c>
      <c r="Q164" s="65" t="n">
        <v>2103750</v>
      </c>
      <c r="R164" s="65" t="n"/>
      <c r="S164" s="92">
        <f>G164-I164-R164-K164-M164-O164-Q164</f>
        <v/>
      </c>
      <c r="T164" s="92" t="inlineStr">
        <is>
          <t>LNH0526NQ02</t>
        </is>
      </c>
      <c r="U164" s="92" t="n">
        <v>2103750</v>
      </c>
      <c r="V164" s="69">
        <f>G164-SUM(I164,K164,M164,O164,Q164,U164)</f>
        <v/>
      </c>
      <c r="W164" s="65" t="n"/>
      <c r="X164" t="inlineStr">
        <is>
          <t>Khớp</t>
        </is>
      </c>
    </row>
    <row r="165">
      <c r="A165" s="65" t="n">
        <v>156</v>
      </c>
      <c r="B165" s="65" t="inlineStr">
        <is>
          <t>25802800347</t>
        </is>
      </c>
      <c r="C165" s="65" t="inlineStr">
        <is>
          <t>Hoàng Minh</t>
        </is>
      </c>
      <c r="D165" s="65" t="inlineStr">
        <is>
          <t>Quân</t>
        </is>
      </c>
      <c r="E165" s="65" t="inlineStr">
        <is>
          <t>08/05/2007</t>
        </is>
      </c>
      <c r="F165" s="66" t="inlineStr">
        <is>
          <t>LNH0925ND01</t>
        </is>
      </c>
      <c r="G165" s="90" t="n">
        <v>8415000</v>
      </c>
      <c r="H165" s="65">
        <f>VLOOKUP(B165,'[1]TONG HOP'!B$5:G$624,6,0)</f>
        <v/>
      </c>
      <c r="I165" s="65" t="n">
        <v>2103750</v>
      </c>
      <c r="J165" s="65" t="n"/>
      <c r="K165" s="65" t="n"/>
      <c r="L165" s="65">
        <f>VLOOKUP(B165,'[2]DS THANG 11'!A$3:E$616,5,0)</f>
        <v/>
      </c>
      <c r="M165" s="65" t="n">
        <v>2103750</v>
      </c>
      <c r="N165" s="65" t="n"/>
      <c r="O165" s="65" t="n"/>
      <c r="P165" s="65">
        <f>VLOOKUP(B165,'[3]TONG HOP '!B$5:O$666,14,0)</f>
        <v/>
      </c>
      <c r="Q165" s="65" t="n">
        <v>2103750</v>
      </c>
      <c r="R165" s="65" t="n"/>
      <c r="S165" s="92">
        <f>G165-I165-R165-K165-M165-O165-Q165</f>
        <v/>
      </c>
      <c r="T165" s="92" t="inlineStr">
        <is>
          <t>LNH0526NQ07</t>
        </is>
      </c>
      <c r="U165" s="92" t="n">
        <v>2103750</v>
      </c>
      <c r="V165" s="69">
        <f>G165-SUM(I165,K165,M165,O165,Q165,U165)</f>
        <v/>
      </c>
      <c r="W165" s="65" t="n"/>
      <c r="X165" t="inlineStr">
        <is>
          <t>Khớp</t>
        </is>
      </c>
    </row>
    <row r="166">
      <c r="A166" s="65" t="n">
        <v>157</v>
      </c>
      <c r="B166" s="65" t="inlineStr">
        <is>
          <t>25801800063</t>
        </is>
      </c>
      <c r="C166" s="65" t="inlineStr">
        <is>
          <t>Nguyễn Thanh</t>
        </is>
      </c>
      <c r="D166" s="65" t="inlineStr">
        <is>
          <t>Thảo</t>
        </is>
      </c>
      <c r="E166" s="65" t="inlineStr">
        <is>
          <t>16/04/2007</t>
        </is>
      </c>
      <c r="F166" s="66" t="inlineStr">
        <is>
          <t>LNH0925ND01</t>
        </is>
      </c>
      <c r="G166" s="90" t="n">
        <v>4465000</v>
      </c>
      <c r="H166" s="65">
        <f>VLOOKUP(B166,'[1]TONG HOP'!B$5:G$624,6,0)</f>
        <v/>
      </c>
      <c r="I166" s="65" t="n">
        <v>2232500</v>
      </c>
      <c r="J166" s="65" t="n"/>
      <c r="K166" s="65" t="n"/>
      <c r="L166" s="65">
        <f>VLOOKUP(B166,'[2]DS THANG 11'!A$3:E$616,5,0)</f>
        <v/>
      </c>
      <c r="M166" s="65" t="n">
        <v>2232500</v>
      </c>
      <c r="N166" s="65" t="n"/>
      <c r="O166" s="65" t="n"/>
      <c r="P166" s="65" t="n"/>
      <c r="Q166" s="65" t="n"/>
      <c r="R166" s="65" t="n"/>
      <c r="S166" s="92">
        <f>G166-I166-R166-K166-M166-O166-Q166</f>
        <v/>
      </c>
      <c r="T166" s="92" t="inlineStr"/>
      <c r="U166" s="92" t="inlineStr"/>
      <c r="V166" s="69">
        <f>G166-SUM(I166,K166,M166,O166,Q166,U166)</f>
        <v/>
      </c>
      <c r="W166" s="65" t="n"/>
      <c r="X166" t="inlineStr">
        <is>
          <t>Khớp</t>
        </is>
      </c>
    </row>
    <row r="167">
      <c r="A167" s="65" t="n">
        <v>158</v>
      </c>
      <c r="B167" s="65" t="inlineStr">
        <is>
          <t>25803800098</t>
        </is>
      </c>
      <c r="C167" s="65" t="inlineStr">
        <is>
          <t>Hứa Mỹ</t>
        </is>
      </c>
      <c r="D167" s="65" t="inlineStr">
        <is>
          <t>Linh</t>
        </is>
      </c>
      <c r="E167" s="65" t="inlineStr">
        <is>
          <t>04/11/2007</t>
        </is>
      </c>
      <c r="F167" s="66" t="inlineStr">
        <is>
          <t>LNH0925ND01</t>
        </is>
      </c>
      <c r="G167" s="90" t="n">
        <v>8415000</v>
      </c>
      <c r="H167" s="65">
        <f>VLOOKUP(B167,'[1]TONG HOP'!B$5:G$624,6,0)</f>
        <v/>
      </c>
      <c r="I167" s="65" t="n">
        <v>2103750</v>
      </c>
      <c r="J167" s="65" t="n"/>
      <c r="K167" s="65" t="n"/>
      <c r="L167" s="65">
        <f>VLOOKUP(B167,'[2]DS THANG 11'!A$3:E$616,5,0)</f>
        <v/>
      </c>
      <c r="M167" s="65" t="n">
        <v>2103750</v>
      </c>
      <c r="N167" s="65" t="n"/>
      <c r="O167" s="65" t="n"/>
      <c r="P167" s="65">
        <f>VLOOKUP(B167,'[3]TONG HOP '!B$5:O$666,14,0)</f>
        <v/>
      </c>
      <c r="Q167" s="65" t="n">
        <v>2103750</v>
      </c>
      <c r="R167" s="65" t="n"/>
      <c r="S167" s="92">
        <f>G167-I167-R167-K167-M167-O167-Q167</f>
        <v/>
      </c>
      <c r="T167" s="92" t="inlineStr">
        <is>
          <t>LNH0526NQ12</t>
        </is>
      </c>
      <c r="U167" s="92" t="n">
        <v>2103750</v>
      </c>
      <c r="V167" s="69">
        <f>G167-SUM(I167,K167,M167,O167,Q167,U167)</f>
        <v/>
      </c>
      <c r="W167" s="65" t="n"/>
      <c r="X167" t="inlineStr">
        <is>
          <t>Khớp</t>
        </is>
      </c>
    </row>
    <row r="168">
      <c r="A168" s="65" t="n">
        <v>159</v>
      </c>
      <c r="B168" s="65" t="inlineStr">
        <is>
          <t>25805900021</t>
        </is>
      </c>
      <c r="C168" s="65" t="inlineStr">
        <is>
          <t>Nguyễn Thị Xuân</t>
        </is>
      </c>
      <c r="D168" s="65" t="inlineStr">
        <is>
          <t>Mai</t>
        </is>
      </c>
      <c r="E168" s="65" t="inlineStr">
        <is>
          <t>03/09/2007</t>
        </is>
      </c>
      <c r="F168" s="66" t="inlineStr">
        <is>
          <t>LNH0925ND01</t>
        </is>
      </c>
      <c r="G168" s="90" t="n">
        <v>8415000</v>
      </c>
      <c r="H168" s="65">
        <f>VLOOKUP(B168,'[1]TONG HOP'!B$5:G$624,6,0)</f>
        <v/>
      </c>
      <c r="I168" s="65" t="n">
        <v>2103750</v>
      </c>
      <c r="J168" s="65" t="n"/>
      <c r="K168" s="65" t="n"/>
      <c r="L168" s="65" t="n"/>
      <c r="M168" s="65" t="n"/>
      <c r="N168" s="65" t="n"/>
      <c r="O168" s="65" t="n"/>
      <c r="P168" s="65" t="n"/>
      <c r="Q168" s="65" t="n"/>
      <c r="R168" s="65" t="n"/>
      <c r="S168" s="92">
        <f>G168-I168-R168-K168-M168-O168-Q168</f>
        <v/>
      </c>
      <c r="T168" s="92" t="inlineStr"/>
      <c r="U168" s="92" t="inlineStr"/>
      <c r="V168" s="69">
        <f>G168-SUM(I168,K168,M168,O168,Q168,U168)</f>
        <v/>
      </c>
      <c r="W168" s="65" t="n"/>
      <c r="X168" t="inlineStr">
        <is>
          <t>Khớp</t>
        </is>
      </c>
    </row>
    <row r="169">
      <c r="A169" s="65" t="n">
        <v>160</v>
      </c>
      <c r="B169" s="65" t="inlineStr">
        <is>
          <t>25803800045</t>
        </is>
      </c>
      <c r="C169" s="65" t="inlineStr">
        <is>
          <t>Trần Ngọc Kiều</t>
        </is>
      </c>
      <c r="D169" s="65" t="inlineStr">
        <is>
          <t>Oanh</t>
        </is>
      </c>
      <c r="E169" s="65" t="inlineStr">
        <is>
          <t>04/08/2005</t>
        </is>
      </c>
      <c r="F169" s="66" t="inlineStr">
        <is>
          <t>LNH0925ND01</t>
        </is>
      </c>
      <c r="G169" s="90" t="n">
        <v>4465000</v>
      </c>
      <c r="H169" s="65">
        <f>VLOOKUP(B169,'[1]TONG HOP'!B$5:G$624,6,0)</f>
        <v/>
      </c>
      <c r="I169" s="65" t="n">
        <v>2232500</v>
      </c>
      <c r="J169" s="65" t="n"/>
      <c r="K169" s="65" t="n"/>
      <c r="L169" s="65">
        <f>VLOOKUP(B169,'[2]DS THANG 11'!A$3:E$616,5,0)</f>
        <v/>
      </c>
      <c r="M169" s="65" t="n">
        <v>2232500</v>
      </c>
      <c r="N169" s="65" t="n"/>
      <c r="O169" s="65" t="n"/>
      <c r="P169" s="65" t="n"/>
      <c r="Q169" s="65" t="n"/>
      <c r="R169" s="65" t="n"/>
      <c r="S169" s="92">
        <f>G169-I169-R169-K169-M169-O169-Q169</f>
        <v/>
      </c>
      <c r="T169" s="92" t="inlineStr">
        <is>
          <t>LNH0526NQ14</t>
        </is>
      </c>
      <c r="U169" s="92" t="n">
        <v>2470000</v>
      </c>
      <c r="V169" s="69">
        <f>G169-SUM(I169,K169,M169,O169,Q169,U169)</f>
        <v/>
      </c>
      <c r="W169" s="65" t="n"/>
      <c r="X169" t="inlineStr">
        <is>
          <t>Khớp</t>
        </is>
      </c>
    </row>
    <row r="170">
      <c r="A170" s="65" t="n">
        <v>161</v>
      </c>
      <c r="B170" s="65" t="inlineStr">
        <is>
          <t>25805900029</t>
        </is>
      </c>
      <c r="C170" s="65" t="inlineStr">
        <is>
          <t>Dương Huỳnh Thanh</t>
        </is>
      </c>
      <c r="D170" s="65" t="inlineStr">
        <is>
          <t>Như</t>
        </is>
      </c>
      <c r="E170" s="65" t="inlineStr">
        <is>
          <t>11/01/2007</t>
        </is>
      </c>
      <c r="F170" s="66" t="inlineStr">
        <is>
          <t>LNH0925ND01</t>
        </is>
      </c>
      <c r="G170" s="90" t="n">
        <v>8415000</v>
      </c>
      <c r="H170" s="65">
        <f>VLOOKUP(B170,'[1]TONG HOP'!B$5:G$624,6,0)</f>
        <v/>
      </c>
      <c r="I170" s="65" t="n">
        <v>2103750</v>
      </c>
      <c r="J170" s="65" t="n"/>
      <c r="K170" s="65" t="n"/>
      <c r="L170" s="65">
        <f>VLOOKUP(B170,'[2]DS THANG 11'!A$3:E$616,5,0)</f>
        <v/>
      </c>
      <c r="M170" s="65" t="n">
        <v>2103750</v>
      </c>
      <c r="N170" s="65" t="n"/>
      <c r="O170" s="65" t="n"/>
      <c r="P170" s="65" t="n"/>
      <c r="Q170" s="65" t="n"/>
      <c r="R170" s="65" t="n"/>
      <c r="S170" s="92">
        <f>G170-I170-R170-K170-M170-O170-Q170</f>
        <v/>
      </c>
      <c r="T170" s="92" t="inlineStr"/>
      <c r="U170" s="92" t="inlineStr"/>
      <c r="V170" s="69">
        <f>G170-SUM(I170,K170,M170,O170,Q170,U170)</f>
        <v/>
      </c>
      <c r="W170" s="65" t="n"/>
      <c r="X170" t="inlineStr">
        <is>
          <t>Khớp</t>
        </is>
      </c>
    </row>
    <row r="171">
      <c r="A171" s="65" t="n">
        <v>162</v>
      </c>
      <c r="B171" s="65" t="inlineStr">
        <is>
          <t>25800500109</t>
        </is>
      </c>
      <c r="C171" s="65" t="inlineStr">
        <is>
          <t>Nguyễn Huỳnh Nhựt</t>
        </is>
      </c>
      <c r="D171" s="65" t="inlineStr">
        <is>
          <t>Minh</t>
        </is>
      </c>
      <c r="E171" s="65" t="inlineStr">
        <is>
          <t>30/08/2007</t>
        </is>
      </c>
      <c r="F171" s="66" t="inlineStr">
        <is>
          <t>LNH0925ND01</t>
        </is>
      </c>
      <c r="G171" s="90" t="n">
        <v>8415000</v>
      </c>
      <c r="H171" s="65">
        <f>VLOOKUP(B171,'[1]TONG HOP'!B$5:G$624,6,0)</f>
        <v/>
      </c>
      <c r="I171" s="65" t="n">
        <v>2103750</v>
      </c>
      <c r="J171" s="65" t="n"/>
      <c r="K171" s="65" t="n"/>
      <c r="L171" s="65">
        <f>VLOOKUP(B171,'[2]DS THANG 11'!A$3:E$616,5,0)</f>
        <v/>
      </c>
      <c r="M171" s="65" t="n">
        <v>2103750</v>
      </c>
      <c r="N171" s="65" t="n"/>
      <c r="O171" s="65" t="n"/>
      <c r="P171" s="65">
        <f>VLOOKUP(B171,'[3]TONG HOP '!B$5:O$666,14,0)</f>
        <v/>
      </c>
      <c r="Q171" s="65" t="n">
        <v>2103750</v>
      </c>
      <c r="R171" s="65" t="n"/>
      <c r="S171" s="92">
        <f>G171-I171-R171-K171-M171-O171-Q171</f>
        <v/>
      </c>
      <c r="T171" s="92" t="inlineStr">
        <is>
          <t>LNH0526NQ16</t>
        </is>
      </c>
      <c r="U171" s="92" t="n">
        <v>2103750</v>
      </c>
      <c r="V171" s="69">
        <f>G171-SUM(I171,K171,M171,O171,Q171,U171)</f>
        <v/>
      </c>
      <c r="W171" s="65" t="n"/>
      <c r="X171" t="inlineStr">
        <is>
          <t>Khớp</t>
        </is>
      </c>
    </row>
    <row r="172">
      <c r="A172" s="65" t="n">
        <v>163</v>
      </c>
      <c r="B172" s="65" t="inlineStr">
        <is>
          <t>25807800158</t>
        </is>
      </c>
      <c r="C172" s="65" t="inlineStr">
        <is>
          <t>Đỗ Thanh</t>
        </is>
      </c>
      <c r="D172" s="65" t="inlineStr">
        <is>
          <t>Tùng</t>
        </is>
      </c>
      <c r="E172" s="65" t="inlineStr">
        <is>
          <t>24/04/2007</t>
        </is>
      </c>
      <c r="F172" s="66" t="inlineStr">
        <is>
          <t>LNH0925ND01</t>
        </is>
      </c>
      <c r="G172" s="90" t="n">
        <v>8415000</v>
      </c>
      <c r="H172" s="65">
        <f>VLOOKUP(B172,'[1]TONG HOP'!B$5:G$624,6,0)</f>
        <v/>
      </c>
      <c r="I172" s="65" t="n">
        <v>2103750</v>
      </c>
      <c r="J172" s="65" t="n"/>
      <c r="K172" s="65" t="n"/>
      <c r="L172" s="65">
        <f>VLOOKUP(B172,'[2]DS THANG 11'!A$3:E$616,5,0)</f>
        <v/>
      </c>
      <c r="M172" s="65" t="n">
        <v>2103750</v>
      </c>
      <c r="N172" s="65" t="n"/>
      <c r="O172" s="65" t="n"/>
      <c r="P172" s="65">
        <f>VLOOKUP(B172,'[3]TONG HOP '!B$5:O$666,14,0)</f>
        <v/>
      </c>
      <c r="Q172" s="65" t="n">
        <v>2103750</v>
      </c>
      <c r="R172" s="65" t="n"/>
      <c r="S172" s="92">
        <f>G172-I172-R172-K172-M172-O172-Q172</f>
        <v/>
      </c>
      <c r="T172" s="92" t="inlineStr"/>
      <c r="U172" s="92" t="inlineStr"/>
      <c r="V172" s="69">
        <f>G172-SUM(I172,K172,M172,O172,Q172,U172)</f>
        <v/>
      </c>
      <c r="W172" s="65" t="n"/>
      <c r="X172" t="inlineStr">
        <is>
          <t>Khớp</t>
        </is>
      </c>
    </row>
    <row r="173">
      <c r="A173" s="65" t="n">
        <v>164</v>
      </c>
      <c r="B173" s="65" t="inlineStr">
        <is>
          <t>25801700013</t>
        </is>
      </c>
      <c r="C173" s="65" t="inlineStr">
        <is>
          <t>Trần Văn Anh</t>
        </is>
      </c>
      <c r="D173" s="65" t="inlineStr">
        <is>
          <t>Đức</t>
        </is>
      </c>
      <c r="E173" s="65" t="inlineStr">
        <is>
          <t>01/05/2007</t>
        </is>
      </c>
      <c r="F173" s="66" t="inlineStr">
        <is>
          <t>LNH0925ND01</t>
        </is>
      </c>
      <c r="G173" s="90" t="n">
        <v>8415000</v>
      </c>
      <c r="H173" s="65">
        <f>VLOOKUP(B173,'[1]TONG HOP'!B$5:G$624,6,0)</f>
        <v/>
      </c>
      <c r="I173" s="65" t="n">
        <v>2103750</v>
      </c>
      <c r="J173" s="65" t="n"/>
      <c r="K173" s="65" t="n"/>
      <c r="L173" s="65" t="n"/>
      <c r="M173" s="65" t="n"/>
      <c r="N173" s="65" t="n"/>
      <c r="O173" s="65" t="n"/>
      <c r="P173" s="65" t="n"/>
      <c r="Q173" s="65" t="n"/>
      <c r="R173" s="65" t="n"/>
      <c r="S173" s="92">
        <f>G173-I173-R173-K173-M173-O173-Q173</f>
        <v/>
      </c>
      <c r="T173" s="92" t="inlineStr"/>
      <c r="U173" s="92" t="inlineStr"/>
      <c r="V173" s="69">
        <f>G173-SUM(I173,K173,M173,O173,Q173,U173)</f>
        <v/>
      </c>
      <c r="W173" s="65" t="n"/>
      <c r="X173" t="inlineStr">
        <is>
          <t>Khớp</t>
        </is>
      </c>
    </row>
    <row r="174">
      <c r="A174" s="65" t="n">
        <v>165</v>
      </c>
      <c r="B174" s="65" t="inlineStr">
        <is>
          <t>25805900005</t>
        </is>
      </c>
      <c r="C174" s="65" t="inlineStr">
        <is>
          <t>Nguyễn Chí</t>
        </is>
      </c>
      <c r="D174" s="65" t="inlineStr">
        <is>
          <t>Bền</t>
        </is>
      </c>
      <c r="E174" s="65" t="inlineStr">
        <is>
          <t>29/10/2007</t>
        </is>
      </c>
      <c r="F174" s="66" t="inlineStr">
        <is>
          <t>LNH0925ND01</t>
        </is>
      </c>
      <c r="G174" s="90" t="n">
        <v>8415000</v>
      </c>
      <c r="H174" s="65">
        <f>VLOOKUP(B174,'[1]TONG HOP'!B$5:G$624,6,0)</f>
        <v/>
      </c>
      <c r="I174" s="65" t="n">
        <v>2103750</v>
      </c>
      <c r="J174" s="65" t="n"/>
      <c r="K174" s="65" t="n"/>
      <c r="L174" s="65" t="n"/>
      <c r="M174" s="65" t="n"/>
      <c r="N174" s="65" t="n"/>
      <c r="O174" s="65" t="n"/>
      <c r="P174" s="65" t="n"/>
      <c r="Q174" s="65" t="n"/>
      <c r="R174" s="65" t="n"/>
      <c r="S174" s="92">
        <f>G174-I174-R174-K174-M174-O174-Q174</f>
        <v/>
      </c>
      <c r="T174" s="92" t="inlineStr"/>
      <c r="U174" s="92" t="inlineStr"/>
      <c r="V174" s="69">
        <f>G174-SUM(I174,K174,M174,O174,Q174,U174)</f>
        <v/>
      </c>
      <c r="W174" s="65" t="n"/>
      <c r="X174" t="inlineStr">
        <is>
          <t>Khớp</t>
        </is>
      </c>
    </row>
    <row r="175">
      <c r="A175" s="65" t="n">
        <v>166</v>
      </c>
      <c r="B175" s="65" t="inlineStr">
        <is>
          <t>25806800005</t>
        </is>
      </c>
      <c r="C175" s="65" t="inlineStr">
        <is>
          <t>Trương Thị Thúy</t>
        </is>
      </c>
      <c r="D175" s="65" t="inlineStr">
        <is>
          <t>An</t>
        </is>
      </c>
      <c r="E175" s="65" t="inlineStr">
        <is>
          <t>11/08/2007</t>
        </is>
      </c>
      <c r="F175" s="66" t="inlineStr">
        <is>
          <t>LNH0925ND01</t>
        </is>
      </c>
      <c r="G175" s="90" t="n">
        <v>8415000</v>
      </c>
      <c r="H175" s="65">
        <f>VLOOKUP(B175,'[1]TONG HOP'!B$5:G$624,6,0)</f>
        <v/>
      </c>
      <c r="I175" s="65" t="n">
        <v>2103750</v>
      </c>
      <c r="J175" s="65" t="n"/>
      <c r="K175" s="65" t="n"/>
      <c r="L175" s="65">
        <f>VLOOKUP(B175,'[2]DS THANG 11'!A$3:E$616,5,0)</f>
        <v/>
      </c>
      <c r="M175" s="65" t="n">
        <v>2103750</v>
      </c>
      <c r="N175" s="65" t="n"/>
      <c r="O175" s="65" t="n"/>
      <c r="P175" s="65">
        <f>VLOOKUP(B175,'[3]TONG HOP '!B$5:O$666,14,0)</f>
        <v/>
      </c>
      <c r="Q175" s="65" t="n">
        <v>2103750</v>
      </c>
      <c r="R175" s="65" t="n"/>
      <c r="S175" s="92">
        <f>G175-I175-R175-K175-M175-O175-Q175</f>
        <v/>
      </c>
      <c r="T175" s="92" t="inlineStr">
        <is>
          <t>LNH0526NQ06</t>
        </is>
      </c>
      <c r="U175" s="92" t="n">
        <v>2103750</v>
      </c>
      <c r="V175" s="69">
        <f>G175-SUM(I175,K175,M175,O175,Q175,U175)</f>
        <v/>
      </c>
      <c r="W175" s="65" t="n"/>
      <c r="X175" t="inlineStr">
        <is>
          <t>Khớp</t>
        </is>
      </c>
    </row>
    <row r="176">
      <c r="A176" s="65" t="n">
        <v>167</v>
      </c>
      <c r="B176" s="65" t="inlineStr">
        <is>
          <t>25806300022</t>
        </is>
      </c>
      <c r="C176" s="65" t="inlineStr">
        <is>
          <t>Nguyễn Tuấn</t>
        </is>
      </c>
      <c r="D176" s="65" t="inlineStr">
        <is>
          <t>Kiệt</t>
        </is>
      </c>
      <c r="E176" s="65" t="inlineStr">
        <is>
          <t>08/01/2007</t>
        </is>
      </c>
      <c r="F176" s="66" t="inlineStr">
        <is>
          <t>LNH0925ND01</t>
        </is>
      </c>
      <c r="G176" s="90">
        <f>1000000+7450000</f>
        <v/>
      </c>
      <c r="H176" s="65" t="n"/>
      <c r="I176" s="65" t="n"/>
      <c r="J176" s="65" t="n"/>
      <c r="K176" s="65" t="n"/>
      <c r="L176" s="65" t="n"/>
      <c r="M176" s="65" t="n"/>
      <c r="N176" s="65" t="n"/>
      <c r="O176" s="65" t="n"/>
      <c r="P176" s="65">
        <f>VLOOKUP(B176,'[3]TONG HOP '!B$5:O$666,14,0)</f>
        <v/>
      </c>
      <c r="Q176" s="65" t="n">
        <v>2103750</v>
      </c>
      <c r="R176" s="65" t="n"/>
      <c r="S176" s="92">
        <f>G176-I176-R176-K176-M176-O176-Q176</f>
        <v/>
      </c>
      <c r="T176" s="92" t="inlineStr"/>
      <c r="U176" s="92" t="inlineStr"/>
      <c r="V176" s="69">
        <f>G176-SUM(I176,K176,M176,O176,Q176,U176)</f>
        <v/>
      </c>
      <c r="W176" s="65" t="n"/>
      <c r="X176" t="inlineStr">
        <is>
          <t>Khớp</t>
        </is>
      </c>
    </row>
    <row r="177">
      <c r="A177" s="65" t="n">
        <v>168</v>
      </c>
      <c r="B177" s="65" t="inlineStr">
        <is>
          <t>25807800030</t>
        </is>
      </c>
      <c r="C177" s="65" t="inlineStr">
        <is>
          <t>Nguyễn Bá Công</t>
        </is>
      </c>
      <c r="D177" s="65" t="inlineStr">
        <is>
          <t>Định</t>
        </is>
      </c>
      <c r="E177" s="65" t="inlineStr">
        <is>
          <t>22/07/2007</t>
        </is>
      </c>
      <c r="F177" s="66" t="inlineStr">
        <is>
          <t>LNH0925ND01</t>
        </is>
      </c>
      <c r="G177" s="90" t="n">
        <v>8415000</v>
      </c>
      <c r="H177" s="65">
        <f>VLOOKUP(B177,'[1]TONG HOP'!B$5:G$624,6,0)</f>
        <v/>
      </c>
      <c r="I177" s="65" t="n">
        <v>2103750</v>
      </c>
      <c r="J177" s="65" t="n"/>
      <c r="K177" s="65" t="n"/>
      <c r="L177" s="65">
        <f>VLOOKUP(B177,'[2]DS THANG 11'!A$3:E$616,5,0)</f>
        <v/>
      </c>
      <c r="M177" s="65" t="n">
        <v>2103750</v>
      </c>
      <c r="N177" s="65" t="n"/>
      <c r="O177" s="65" t="n"/>
      <c r="P177" s="65">
        <f>VLOOKUP(B177,'[3]TONG HOP '!B$5:O$666,14,0)</f>
        <v/>
      </c>
      <c r="Q177" s="65" t="n">
        <v>2103750</v>
      </c>
      <c r="R177" s="65" t="n"/>
      <c r="S177" s="92">
        <f>G177-I177-R177-K177-M177-O177-Q177</f>
        <v/>
      </c>
      <c r="T177" s="92" t="inlineStr"/>
      <c r="U177" s="92" t="inlineStr"/>
      <c r="V177" s="69">
        <f>G177-SUM(I177,K177,M177,O177,Q177,U177)</f>
        <v/>
      </c>
      <c r="W177" s="65" t="n"/>
      <c r="X177" t="inlineStr">
        <is>
          <t>Khớp</t>
        </is>
      </c>
    </row>
    <row r="178">
      <c r="A178" s="65" t="n">
        <v>169</v>
      </c>
      <c r="B178" s="65" t="inlineStr">
        <is>
          <t>25806400003</t>
        </is>
      </c>
      <c r="C178" s="65" t="inlineStr">
        <is>
          <t>Đỗ</t>
        </is>
      </c>
      <c r="D178" s="65" t="inlineStr">
        <is>
          <t>Duẫn</t>
        </is>
      </c>
      <c r="E178" s="65" t="inlineStr">
        <is>
          <t>16/10/2007</t>
        </is>
      </c>
      <c r="F178" s="66" t="inlineStr">
        <is>
          <t>LNH0925ND01</t>
        </is>
      </c>
      <c r="G178" s="90" t="n">
        <v>8415000</v>
      </c>
      <c r="H178" s="65">
        <f>VLOOKUP(B178,'[1]TONG HOP'!B$5:G$624,6,0)</f>
        <v/>
      </c>
      <c r="I178" s="65" t="n">
        <v>2103750</v>
      </c>
      <c r="J178" s="65" t="n"/>
      <c r="K178" s="65" t="n"/>
      <c r="L178" s="65">
        <f>VLOOKUP(B178,'[2]DS THANG 11'!A$3:E$616,5,0)</f>
        <v/>
      </c>
      <c r="M178" s="65" t="n">
        <v>2103750</v>
      </c>
      <c r="N178" s="65" t="n"/>
      <c r="O178" s="65" t="n"/>
      <c r="P178" s="65">
        <f>VLOOKUP(B178,'[3]TONG HOP '!B$5:O$666,14,0)</f>
        <v/>
      </c>
      <c r="Q178" s="65" t="n">
        <v>2103750</v>
      </c>
      <c r="R178" s="65" t="n"/>
      <c r="S178" s="92">
        <f>G178-I178-R178-K178-M178-O178-Q178</f>
        <v/>
      </c>
      <c r="T178" s="92" t="inlineStr">
        <is>
          <t>LNH0526NQ15</t>
        </is>
      </c>
      <c r="U178" s="92" t="n">
        <v>2103750</v>
      </c>
      <c r="V178" s="69">
        <f>G178-SUM(I178,K178,M178,O178,Q178,U178)</f>
        <v/>
      </c>
      <c r="W178" s="65" t="n"/>
      <c r="X178" t="inlineStr">
        <is>
          <t>Khớp</t>
        </is>
      </c>
    </row>
    <row r="179">
      <c r="A179" s="65" t="n">
        <v>170</v>
      </c>
      <c r="B179" s="65" t="inlineStr">
        <is>
          <t>25808900091</t>
        </is>
      </c>
      <c r="C179" s="65" t="inlineStr">
        <is>
          <t>Dương Thị Tuyết</t>
        </is>
      </c>
      <c r="D179" s="65" t="inlineStr">
        <is>
          <t>Nhi</t>
        </is>
      </c>
      <c r="E179" s="65" t="inlineStr">
        <is>
          <t>19/07/2007</t>
        </is>
      </c>
      <c r="F179" s="66" t="inlineStr">
        <is>
          <t>LNH0925ND01</t>
        </is>
      </c>
      <c r="G179" s="90" t="n">
        <v>8415000</v>
      </c>
      <c r="H179" s="65">
        <f>VLOOKUP(B179,'[1]TONG HOP'!B$5:G$624,6,0)</f>
        <v/>
      </c>
      <c r="I179" s="65" t="n">
        <v>2103750</v>
      </c>
      <c r="J179" s="65" t="n"/>
      <c r="K179" s="65" t="n"/>
      <c r="L179" s="65">
        <f>VLOOKUP(B179,'[2]DS THANG 11'!A$3:E$616,5,0)</f>
        <v/>
      </c>
      <c r="M179" s="65" t="n">
        <v>2103750</v>
      </c>
      <c r="N179" s="65" t="n"/>
      <c r="O179" s="65" t="n"/>
      <c r="P179" s="65">
        <f>VLOOKUP(B179,'[3]TONG HOP '!B$5:O$666,14,0)</f>
        <v/>
      </c>
      <c r="Q179" s="65" t="n">
        <v>2103750</v>
      </c>
      <c r="R179" s="65" t="n"/>
      <c r="S179" s="92">
        <f>G179-I179-R179-K179-M179-O179-Q179</f>
        <v/>
      </c>
      <c r="T179" s="92" t="inlineStr">
        <is>
          <t>LNH0526NQ07</t>
        </is>
      </c>
      <c r="U179" s="92" t="n">
        <v>2103750</v>
      </c>
      <c r="V179" s="69">
        <f>G179-SUM(I179,K179,M179,O179,Q179,U179)</f>
        <v/>
      </c>
      <c r="W179" s="65" t="n"/>
      <c r="X179" t="inlineStr">
        <is>
          <t>Khớp</t>
        </is>
      </c>
    </row>
    <row r="180">
      <c r="A180" s="65" t="n">
        <v>171</v>
      </c>
      <c r="B180" s="65" t="inlineStr">
        <is>
          <t>25807500215</t>
        </is>
      </c>
      <c r="C180" s="65" t="inlineStr">
        <is>
          <t>Trương Ngọc Nhã</t>
        </is>
      </c>
      <c r="D180" s="65" t="inlineStr">
        <is>
          <t>Đoan</t>
        </is>
      </c>
      <c r="E180" s="65" t="inlineStr">
        <is>
          <t>06/12/2007</t>
        </is>
      </c>
      <c r="F180" s="66" t="inlineStr">
        <is>
          <t>LNH0925ND01</t>
        </is>
      </c>
      <c r="G180" s="90">
        <f>8145000+300000</f>
        <v/>
      </c>
      <c r="H180" s="65">
        <f>VLOOKUP(B180,'[1]TONG HOP'!B$5:G$624,6,0)</f>
        <v/>
      </c>
      <c r="I180" s="65" t="n">
        <v>2103750</v>
      </c>
      <c r="J180" s="65" t="n"/>
      <c r="K180" s="65" t="n"/>
      <c r="L180" s="65" t="n"/>
      <c r="M180" s="65" t="n"/>
      <c r="N180" s="65" t="n"/>
      <c r="O180" s="65" t="n"/>
      <c r="P180" s="65" t="n"/>
      <c r="Q180" s="65" t="n"/>
      <c r="R180" s="65" t="n">
        <v>1005000</v>
      </c>
      <c r="S180" s="92">
        <f>G180-I180-R180-K180-M180-O180-Q180</f>
        <v/>
      </c>
      <c r="T180" s="92" t="inlineStr">
        <is>
          <t>LNH0526NG02</t>
        </is>
      </c>
      <c r="U180" s="92" t="n">
        <v>2103750</v>
      </c>
      <c r="V180" s="69">
        <f>G180-SUM(I180,K180,M180,O180,Q180,U180)</f>
        <v/>
      </c>
      <c r="W180" s="65" t="inlineStr">
        <is>
          <t>Chuyển sang EDU - Đạt HB theo tờ trình 462 ngày 11/11/25 - giảm HB Level 1 - 2.1tr</t>
        </is>
      </c>
      <c r="X180" s="65" t="inlineStr">
        <is>
          <t>Khớp</t>
        </is>
      </c>
    </row>
    <row r="181">
      <c r="A181" s="65" t="n">
        <v>172</v>
      </c>
      <c r="B181" s="65" t="inlineStr">
        <is>
          <t>25801200041</t>
        </is>
      </c>
      <c r="C181" s="65" t="inlineStr">
        <is>
          <t>Nguyễn Thị Tường</t>
        </is>
      </c>
      <c r="D181" s="65" t="inlineStr">
        <is>
          <t>Vy</t>
        </is>
      </c>
      <c r="E181" s="65" t="inlineStr">
        <is>
          <t>25/01/2007</t>
        </is>
      </c>
      <c r="F181" s="66" t="inlineStr">
        <is>
          <t>LNH0925ND01</t>
        </is>
      </c>
      <c r="G181" s="90" t="n">
        <v>8415000</v>
      </c>
      <c r="H181" s="65">
        <f>VLOOKUP(B181,'[1]TONG HOP'!B$5:G$624,6,0)</f>
        <v/>
      </c>
      <c r="I181" s="65" t="n">
        <v>2103750</v>
      </c>
      <c r="J181" s="65" t="n"/>
      <c r="K181" s="65" t="n"/>
      <c r="L181" s="65">
        <f>VLOOKUP(B181,'[2]DS THANG 11'!A$3:E$616,5,0)</f>
        <v/>
      </c>
      <c r="M181" s="65" t="n">
        <v>2103750</v>
      </c>
      <c r="N181" s="65" t="n"/>
      <c r="O181" s="65" t="n"/>
      <c r="P181" s="65">
        <f>VLOOKUP(B181,'[3]TONG HOP '!B$5:O$666,14,0)</f>
        <v/>
      </c>
      <c r="Q181" s="65" t="n">
        <v>2103750</v>
      </c>
      <c r="R181" s="65" t="n"/>
      <c r="S181" s="92">
        <f>G181-I181-R181-K181-M181-O181-Q181</f>
        <v/>
      </c>
      <c r="T181" s="92" t="inlineStr"/>
      <c r="U181" s="92" t="inlineStr"/>
      <c r="V181" s="69">
        <f>G181-SUM(I181,K181,M181,O181,Q181,U181)</f>
        <v/>
      </c>
      <c r="W181" s="65" t="n"/>
      <c r="X181" t="inlineStr">
        <is>
          <t>Khớp</t>
        </is>
      </c>
    </row>
    <row r="182">
      <c r="A182" s="65" t="n">
        <v>173</v>
      </c>
      <c r="B182" s="65" t="inlineStr">
        <is>
          <t>25808200100</t>
        </is>
      </c>
      <c r="C182" s="65" t="inlineStr">
        <is>
          <t>Phạm Tấn</t>
        </is>
      </c>
      <c r="D182" s="65" t="inlineStr">
        <is>
          <t>Phát</t>
        </is>
      </c>
      <c r="E182" s="65" t="inlineStr">
        <is>
          <t>07/10/2007</t>
        </is>
      </c>
      <c r="F182" s="66" t="inlineStr">
        <is>
          <t>LNH0925ND01</t>
        </is>
      </c>
      <c r="G182" s="90" t="n">
        <v>8415000</v>
      </c>
      <c r="H182" s="65">
        <f>VLOOKUP(B182,'[1]TONG HOP'!B$5:G$624,6,0)</f>
        <v/>
      </c>
      <c r="I182" s="65" t="n">
        <v>2103750</v>
      </c>
      <c r="J182" s="65" t="n"/>
      <c r="K182" s="65" t="n"/>
      <c r="L182" s="65">
        <f>VLOOKUP(B182,'[2]DS THANG 11'!A$3:E$616,5,0)</f>
        <v/>
      </c>
      <c r="M182" s="65" t="n">
        <v>2103750</v>
      </c>
      <c r="N182" s="65" t="n"/>
      <c r="O182" s="65" t="n"/>
      <c r="P182" s="65">
        <f>VLOOKUP(B182,'[3]TONG HOP '!B$5:O$666,14,0)</f>
        <v/>
      </c>
      <c r="Q182" s="65" t="n">
        <v>2103750</v>
      </c>
      <c r="R182" s="65" t="n"/>
      <c r="S182" s="92">
        <f>G182-I182-R182-K182-M182-O182-Q182</f>
        <v/>
      </c>
      <c r="T182" s="92" t="inlineStr">
        <is>
          <t>LNH0526NQ07</t>
        </is>
      </c>
      <c r="U182" s="92" t="n">
        <v>2103750</v>
      </c>
      <c r="V182" s="69">
        <f>G182-SUM(I182,K182,M182,O182,Q182,U182)</f>
        <v/>
      </c>
      <c r="W182" s="65" t="n"/>
      <c r="X182" t="inlineStr">
        <is>
          <t>Khớp</t>
        </is>
      </c>
    </row>
    <row r="183">
      <c r="A183" s="65" t="n">
        <v>174</v>
      </c>
      <c r="B183" s="65" t="inlineStr">
        <is>
          <t>25808300060</t>
        </is>
      </c>
      <c r="C183" s="65" t="inlineStr">
        <is>
          <t>Đặng Ngọc Tú</t>
        </is>
      </c>
      <c r="D183" s="65" t="inlineStr">
        <is>
          <t>Uyên</t>
        </is>
      </c>
      <c r="E183" s="65" t="inlineStr">
        <is>
          <t>25/08/2006</t>
        </is>
      </c>
      <c r="F183" s="66" t="inlineStr">
        <is>
          <t>LNH0925ND01</t>
        </is>
      </c>
      <c r="G183" s="90" t="n">
        <v>2100000</v>
      </c>
      <c r="H183" s="65">
        <f>VLOOKUP(B183,'[1]TONG HOP'!B$5:G$624,6,0)</f>
        <v/>
      </c>
      <c r="I183" s="65" t="n">
        <v>2100000</v>
      </c>
      <c r="J183" s="65" t="n"/>
      <c r="K183" s="65" t="n"/>
      <c r="L183" s="65" t="n"/>
      <c r="M183" s="65" t="n"/>
      <c r="N183" s="65" t="n"/>
      <c r="O183" s="65" t="n"/>
      <c r="P183" s="65" t="n"/>
      <c r="Q183" s="65" t="n"/>
      <c r="R183" s="65" t="n"/>
      <c r="S183" s="92">
        <f>G183-I183-R183-K183-M183-O183-Q183</f>
        <v/>
      </c>
      <c r="T183" s="92" t="inlineStr"/>
      <c r="U183" s="92" t="inlineStr"/>
      <c r="V183" s="69">
        <f>G183-SUM(I183,K183,M183,O183,Q183,U183)</f>
        <v/>
      </c>
      <c r="W183" s="65" t="n"/>
      <c r="X183" t="inlineStr">
        <is>
          <t>Khớp</t>
        </is>
      </c>
    </row>
    <row r="184">
      <c r="A184" s="65" t="n">
        <v>175</v>
      </c>
      <c r="B184" s="65" t="inlineStr">
        <is>
          <t>25809600002</t>
        </is>
      </c>
      <c r="C184" s="65" t="inlineStr">
        <is>
          <t>Nguyễn Trần Tuấn</t>
        </is>
      </c>
      <c r="D184" s="65" t="inlineStr">
        <is>
          <t>Anh</t>
        </is>
      </c>
      <c r="E184" s="65" t="inlineStr">
        <is>
          <t>14/06/2006</t>
        </is>
      </c>
      <c r="F184" s="66" t="inlineStr">
        <is>
          <t>LNH0925ND01</t>
        </is>
      </c>
      <c r="G184" s="90" t="n">
        <v>2100000</v>
      </c>
      <c r="H184" s="65">
        <f>VLOOKUP(B184,'[1]TONG HOP'!B$5:G$624,6,0)</f>
        <v/>
      </c>
      <c r="I184" s="65" t="n">
        <v>2100000</v>
      </c>
      <c r="J184" s="65" t="n"/>
      <c r="K184" s="65" t="n"/>
      <c r="L184" s="65" t="n"/>
      <c r="M184" s="65" t="n"/>
      <c r="N184" s="65" t="n"/>
      <c r="O184" s="65" t="n"/>
      <c r="P184" s="65" t="n"/>
      <c r="Q184" s="65" t="n"/>
      <c r="R184" s="65" t="n"/>
      <c r="S184" s="92">
        <f>G184-I184-R184-K184-M184-O184-Q184</f>
        <v/>
      </c>
      <c r="T184" s="92" t="inlineStr"/>
      <c r="U184" s="92" t="inlineStr"/>
      <c r="V184" s="69">
        <f>G184-SUM(I184,K184,M184,O184,Q184,U184)</f>
        <v/>
      </c>
      <c r="W184" s="65" t="n"/>
      <c r="X184" t="inlineStr">
        <is>
          <t>Khớp</t>
        </is>
      </c>
    </row>
    <row r="185">
      <c r="A185" s="65" t="n">
        <v>176</v>
      </c>
      <c r="B185" s="65" t="inlineStr">
        <is>
          <t>25801000044</t>
        </is>
      </c>
      <c r="C185" s="65" t="inlineStr">
        <is>
          <t>Phạm Hoàng Trang</t>
        </is>
      </c>
      <c r="D185" s="65" t="inlineStr">
        <is>
          <t>Nguyên</t>
        </is>
      </c>
      <c r="E185" s="65" t="inlineStr">
        <is>
          <t>15/01/2007</t>
        </is>
      </c>
      <c r="F185" s="66" t="inlineStr">
        <is>
          <t>LNH0925ND01</t>
        </is>
      </c>
      <c r="G185" s="90" t="n">
        <v>8415000</v>
      </c>
      <c r="H185" s="65">
        <f>VLOOKUP(B185,'[1]TONG HOP'!B$5:G$624,6,0)</f>
        <v/>
      </c>
      <c r="I185" s="65" t="n">
        <v>2103750</v>
      </c>
      <c r="J185" s="65" t="n"/>
      <c r="K185" s="65" t="n"/>
      <c r="L185" s="65">
        <f>VLOOKUP(B185,'[2]DS THANG 11'!A$3:E$616,5,0)</f>
        <v/>
      </c>
      <c r="M185" s="65" t="n">
        <v>2103750</v>
      </c>
      <c r="N185" s="65" t="n"/>
      <c r="O185" s="65" t="n"/>
      <c r="P185" s="65" t="n"/>
      <c r="Q185" s="65" t="n"/>
      <c r="R185" s="65" t="n"/>
      <c r="S185" s="92">
        <f>G185-I185-R185-K185-M185-O185-Q185</f>
        <v/>
      </c>
      <c r="T185" s="92" t="inlineStr"/>
      <c r="U185" s="92" t="inlineStr"/>
      <c r="V185" s="69">
        <f>G185-SUM(I185,K185,M185,O185,Q185,U185)</f>
        <v/>
      </c>
      <c r="W185" s="65" t="n"/>
      <c r="X185" t="inlineStr">
        <is>
          <t>Khớp</t>
        </is>
      </c>
    </row>
    <row r="186">
      <c r="A186" s="65" t="n">
        <v>177</v>
      </c>
      <c r="B186" s="65" t="inlineStr">
        <is>
          <t>25800500120</t>
        </is>
      </c>
      <c r="C186" s="65" t="inlineStr">
        <is>
          <t>Nguyễn Chính</t>
        </is>
      </c>
      <c r="D186" s="65" t="inlineStr">
        <is>
          <t>Nghĩa</t>
        </is>
      </c>
      <c r="E186" s="65" t="inlineStr">
        <is>
          <t>02/06/2007</t>
        </is>
      </c>
      <c r="F186" s="66" t="inlineStr">
        <is>
          <t>LNH0925ND01</t>
        </is>
      </c>
      <c r="G186" s="90" t="n">
        <v>1000000</v>
      </c>
      <c r="H186" s="65" t="n"/>
      <c r="I186" s="65" t="n"/>
      <c r="J186" s="65" t="n"/>
      <c r="K186" s="65" t="n"/>
      <c r="L186" s="65" t="n"/>
      <c r="M186" s="65" t="n"/>
      <c r="N186" s="65" t="n"/>
      <c r="O186" s="65" t="n"/>
      <c r="P186" s="65" t="n"/>
      <c r="Q186" s="65" t="n"/>
      <c r="R186" s="65" t="n"/>
      <c r="S186" s="92">
        <f>G186-I186-R186-K186-M186-O186-Q186</f>
        <v/>
      </c>
      <c r="T186" s="92" t="inlineStr"/>
      <c r="U186" s="92" t="inlineStr"/>
      <c r="V186" s="69">
        <f>G186-SUM(I186,K186,M186,O186,Q186,U186)</f>
        <v/>
      </c>
      <c r="W186" s="65" t="n"/>
      <c r="X186" t="inlineStr">
        <is>
          <t>Khớp</t>
        </is>
      </c>
    </row>
    <row r="187">
      <c r="A187" s="65" t="n">
        <v>178</v>
      </c>
      <c r="B187" s="65" t="inlineStr">
        <is>
          <t>25808200093</t>
        </is>
      </c>
      <c r="C187" s="65" t="inlineStr">
        <is>
          <t>Nguyễn Khắc</t>
        </is>
      </c>
      <c r="D187" s="65" t="inlineStr">
        <is>
          <t>Nguyên</t>
        </is>
      </c>
      <c r="E187" s="65" t="inlineStr">
        <is>
          <t>06/02/2007</t>
        </is>
      </c>
      <c r="F187" s="66" t="inlineStr">
        <is>
          <t>LNH0925ND01</t>
        </is>
      </c>
      <c r="G187" s="90" t="n">
        <v>8415000</v>
      </c>
      <c r="H187" s="65">
        <f>VLOOKUP(B187,'[1]TONG HOP'!B$5:G$624,6,0)</f>
        <v/>
      </c>
      <c r="I187" s="65" t="n">
        <v>2103750</v>
      </c>
      <c r="J187" s="65" t="n"/>
      <c r="K187" s="65" t="n"/>
      <c r="L187" s="65">
        <f>VLOOKUP(B187,'[2]DS THANG 11'!A$3:E$616,5,0)</f>
        <v/>
      </c>
      <c r="M187" s="65" t="n">
        <v>2103750</v>
      </c>
      <c r="N187" s="65" t="n"/>
      <c r="O187" s="65" t="n"/>
      <c r="P187" s="65">
        <f>VLOOKUP(B187,'[3]TONG HOP '!B$5:O$666,14,0)</f>
        <v/>
      </c>
      <c r="Q187" s="65" t="n">
        <v>2103750</v>
      </c>
      <c r="R187" s="65" t="n"/>
      <c r="S187" s="92">
        <f>G187-I187-R187-K187-M187-O187-Q187</f>
        <v/>
      </c>
      <c r="T187" s="92" t="inlineStr">
        <is>
          <t>LNH0526NQ15</t>
        </is>
      </c>
      <c r="U187" s="92" t="n">
        <v>2103750</v>
      </c>
      <c r="V187" s="69">
        <f>G187-SUM(I187,K187,M187,O187,Q187,U187)</f>
        <v/>
      </c>
      <c r="W187" s="65" t="n"/>
      <c r="X187" t="inlineStr">
        <is>
          <t>Khớp</t>
        </is>
      </c>
    </row>
    <row r="188">
      <c r="A188" s="65" t="n">
        <v>179</v>
      </c>
      <c r="B188" s="65" t="inlineStr">
        <is>
          <t>25802600074</t>
        </is>
      </c>
      <c r="C188" s="65" t="inlineStr">
        <is>
          <t>Huỳnh Thanh</t>
        </is>
      </c>
      <c r="D188" s="65" t="inlineStr">
        <is>
          <t>Luân</t>
        </is>
      </c>
      <c r="E188" s="65" t="inlineStr">
        <is>
          <t>02/10/2006</t>
        </is>
      </c>
      <c r="F188" s="66" t="inlineStr">
        <is>
          <t>LNH0925ND01</t>
        </is>
      </c>
      <c r="G188" s="90" t="n">
        <v>4465000</v>
      </c>
      <c r="H188" s="65">
        <f>VLOOKUP(B188,'[1]TONG HOP'!B$5:G$624,6,0)</f>
        <v/>
      </c>
      <c r="I188" s="65" t="n">
        <v>2232500</v>
      </c>
      <c r="J188" s="65" t="n"/>
      <c r="K188" s="65" t="n"/>
      <c r="L188" s="65">
        <f>VLOOKUP(B188,'[2]DS THANG 11'!A$3:E$616,5,0)</f>
        <v/>
      </c>
      <c r="M188" s="65" t="n">
        <v>2232500</v>
      </c>
      <c r="N188" s="65" t="n"/>
      <c r="O188" s="65" t="n"/>
      <c r="P188" s="65" t="n"/>
      <c r="Q188" s="65" t="n"/>
      <c r="R188" s="65" t="n"/>
      <c r="S188" s="92">
        <f>G188-I188-R188-K188-M188-O188-Q188</f>
        <v/>
      </c>
      <c r="T188" s="92" t="inlineStr"/>
      <c r="U188" s="92" t="inlineStr"/>
      <c r="V188" s="69">
        <f>G188-SUM(I188,K188,M188,O188,Q188,U188)</f>
        <v/>
      </c>
      <c r="W188" s="65" t="n"/>
      <c r="X188" t="inlineStr">
        <is>
          <t>Khớp</t>
        </is>
      </c>
    </row>
    <row r="189">
      <c r="A189" s="65" t="n">
        <v>180</v>
      </c>
      <c r="B189" s="65" t="inlineStr">
        <is>
          <t>25808900012</t>
        </is>
      </c>
      <c r="C189" s="65" t="inlineStr">
        <is>
          <t>Phan Hoàng Gia</t>
        </is>
      </c>
      <c r="D189" s="65" t="inlineStr">
        <is>
          <t>Bảo</t>
        </is>
      </c>
      <c r="E189" s="65" t="inlineStr">
        <is>
          <t>26/02/2007</t>
        </is>
      </c>
      <c r="F189" s="66" t="inlineStr">
        <is>
          <t>LNH0925ND01</t>
        </is>
      </c>
      <c r="G189" s="90" t="n">
        <v>1000000</v>
      </c>
      <c r="H189" s="65" t="n"/>
      <c r="I189" s="65" t="n"/>
      <c r="J189" s="65" t="n"/>
      <c r="K189" s="65" t="n"/>
      <c r="L189" s="65" t="n"/>
      <c r="M189" s="65" t="n"/>
      <c r="N189" s="65" t="n"/>
      <c r="O189" s="65" t="n"/>
      <c r="P189" s="65" t="n"/>
      <c r="Q189" s="65" t="n"/>
      <c r="R189" s="65" t="n"/>
      <c r="S189" s="92">
        <f>G189-I189-R189-K189-M189-O189-Q189</f>
        <v/>
      </c>
      <c r="T189" s="92" t="inlineStr"/>
      <c r="U189" s="92" t="inlineStr"/>
      <c r="V189" s="69">
        <f>G189-SUM(I189,K189,M189,O189,Q189,U189)</f>
        <v/>
      </c>
      <c r="W189" s="65" t="n"/>
      <c r="X189" t="inlineStr">
        <is>
          <t>Khớp</t>
        </is>
      </c>
    </row>
    <row r="190">
      <c r="A190" s="65" t="n">
        <v>181</v>
      </c>
      <c r="B190" s="65" t="inlineStr">
        <is>
          <t>25800500215</t>
        </is>
      </c>
      <c r="C190" s="65" t="inlineStr">
        <is>
          <t>Nguyễn Xuân</t>
        </is>
      </c>
      <c r="D190" s="65" t="inlineStr">
        <is>
          <t>Trường</t>
        </is>
      </c>
      <c r="E190" s="65" t="inlineStr">
        <is>
          <t>22/11/2007</t>
        </is>
      </c>
      <c r="F190" s="66" t="inlineStr">
        <is>
          <t>LNH0925ND01</t>
        </is>
      </c>
      <c r="G190" s="90" t="n">
        <v>8415000</v>
      </c>
      <c r="H190" s="65" t="n"/>
      <c r="I190" s="65" t="n"/>
      <c r="J190" s="65" t="n"/>
      <c r="K190" s="65" t="n"/>
      <c r="L190" s="65">
        <f>VLOOKUP(B190,'[2]DS THANG 11'!A$3:E$616,5,0)</f>
        <v/>
      </c>
      <c r="M190" s="65" t="n">
        <v>2103750</v>
      </c>
      <c r="N190" s="65" t="n"/>
      <c r="O190" s="65" t="n"/>
      <c r="P190" s="65">
        <f>VLOOKUP(B190,'[3]TONG HOP '!B$5:O$666,14,0)</f>
        <v/>
      </c>
      <c r="Q190" s="65" t="n">
        <v>2103750</v>
      </c>
      <c r="R190" s="65" t="n"/>
      <c r="S190" s="92">
        <f>G190-I190-R190-K190-M190-O190-Q190</f>
        <v/>
      </c>
      <c r="T190" s="92" t="inlineStr"/>
      <c r="U190" s="92" t="inlineStr"/>
      <c r="V190" s="69">
        <f>G190-SUM(I190,K190,M190,O190,Q190,U190)</f>
        <v/>
      </c>
      <c r="W190" s="65" t="n"/>
      <c r="X190" t="inlineStr">
        <is>
          <t>Khớp</t>
        </is>
      </c>
    </row>
    <row r="191">
      <c r="A191" s="65" t="n">
        <v>182</v>
      </c>
      <c r="B191" s="65" t="inlineStr">
        <is>
          <t>25803000304</t>
        </is>
      </c>
      <c r="C191" s="65" t="inlineStr">
        <is>
          <t>Nguyễn Thị Thùy</t>
        </is>
      </c>
      <c r="D191" s="65" t="inlineStr">
        <is>
          <t>Linh</t>
        </is>
      </c>
      <c r="E191" s="65" t="inlineStr">
        <is>
          <t>09/03/2007</t>
        </is>
      </c>
      <c r="F191" s="66" t="inlineStr">
        <is>
          <t>LNH0925ND01</t>
        </is>
      </c>
      <c r="G191" s="90" t="n">
        <v>8415000</v>
      </c>
      <c r="H191" s="65">
        <f>VLOOKUP(B191,'[1]TONG HOP'!B$5:G$624,6,0)</f>
        <v/>
      </c>
      <c r="I191" s="65" t="n">
        <v>2103750</v>
      </c>
      <c r="J191" s="65" t="n"/>
      <c r="K191" s="65" t="n"/>
      <c r="L191" s="65">
        <f>VLOOKUP(B191,'[2]DS THANG 11'!A$3:E$616,5,0)</f>
        <v/>
      </c>
      <c r="M191" s="65" t="n">
        <v>2103750</v>
      </c>
      <c r="N191" s="65" t="n"/>
      <c r="O191" s="65" t="n"/>
      <c r="P191" s="65" t="n"/>
      <c r="Q191" s="65" t="n"/>
      <c r="R191" s="65" t="n"/>
      <c r="S191" s="92">
        <f>G191-I191-R191-K191-M191-O191-Q191</f>
        <v/>
      </c>
      <c r="T191" s="92" t="inlineStr"/>
      <c r="U191" s="92" t="inlineStr"/>
      <c r="V191" s="69">
        <f>G191-SUM(I191,K191,M191,O191,Q191,U191)</f>
        <v/>
      </c>
      <c r="W191" s="65" t="n"/>
      <c r="X191" t="inlineStr">
        <is>
          <t>Khớp</t>
        </is>
      </c>
    </row>
    <row r="192">
      <c r="A192" s="65" t="n">
        <v>183</v>
      </c>
      <c r="B192" s="65" t="inlineStr">
        <is>
          <t>25808100019</t>
        </is>
      </c>
      <c r="C192" s="65" t="inlineStr">
        <is>
          <t>Trần Gia</t>
        </is>
      </c>
      <c r="D192" s="65" t="inlineStr">
        <is>
          <t>Huy</t>
        </is>
      </c>
      <c r="E192" s="65" t="inlineStr">
        <is>
          <t>19/10/2007</t>
        </is>
      </c>
      <c r="F192" s="66" t="inlineStr">
        <is>
          <t>LNH0925ND01</t>
        </is>
      </c>
      <c r="G192" s="90" t="n">
        <v>8415000</v>
      </c>
      <c r="H192" s="65">
        <f>VLOOKUP(B192,'[1]TONG HOP'!B$5:G$624,6,0)</f>
        <v/>
      </c>
      <c r="I192" s="65" t="n">
        <v>2103750</v>
      </c>
      <c r="J192" s="65" t="n"/>
      <c r="K192" s="65" t="n"/>
      <c r="L192" s="65">
        <f>VLOOKUP(B192,'[2]DS THANG 11'!A$3:E$616,5,0)</f>
        <v/>
      </c>
      <c r="M192" s="65" t="n">
        <v>2103750</v>
      </c>
      <c r="N192" s="65" t="n"/>
      <c r="O192" s="65" t="n"/>
      <c r="P192" s="65">
        <f>VLOOKUP(B192,'[3]TONG HOP '!B$5:O$666,14,0)</f>
        <v/>
      </c>
      <c r="Q192" s="65" t="n">
        <v>2103750</v>
      </c>
      <c r="R192" s="65" t="n"/>
      <c r="S192" s="92">
        <f>G192-I192-R192-K192-M192-O192-Q192</f>
        <v/>
      </c>
      <c r="T192" s="92" t="inlineStr">
        <is>
          <t>LNH0526NQ13</t>
        </is>
      </c>
      <c r="U192" s="92" t="n">
        <v>2103750</v>
      </c>
      <c r="V192" s="69">
        <f>G192-SUM(I192,K192,M192,O192,Q192,U192)</f>
        <v/>
      </c>
      <c r="W192" s="65" t="n"/>
      <c r="X192" t="inlineStr">
        <is>
          <t>Khớp</t>
        </is>
      </c>
    </row>
    <row r="193">
      <c r="A193" s="65" t="n">
        <v>184</v>
      </c>
      <c r="B193" s="65" t="inlineStr">
        <is>
          <t>25801200018</t>
        </is>
      </c>
      <c r="C193" s="65" t="inlineStr">
        <is>
          <t>Nguyễn Thị Hoàng</t>
        </is>
      </c>
      <c r="D193" s="65" t="inlineStr">
        <is>
          <t>Kiều</t>
        </is>
      </c>
      <c r="E193" s="65" t="inlineStr">
        <is>
          <t>18/02/2007</t>
        </is>
      </c>
      <c r="F193" s="66" t="inlineStr">
        <is>
          <t>LNH0925ND01</t>
        </is>
      </c>
      <c r="G193" s="90" t="n">
        <v>8415000</v>
      </c>
      <c r="H193" s="65">
        <f>VLOOKUP(B193,'[1]TONG HOP'!B$5:G$624,6,0)</f>
        <v/>
      </c>
      <c r="I193" s="65" t="n">
        <v>2103750</v>
      </c>
      <c r="J193" s="65" t="n"/>
      <c r="K193" s="65" t="n"/>
      <c r="L193" s="65">
        <f>VLOOKUP(B193,'[2]DS THANG 11'!A$3:E$616,5,0)</f>
        <v/>
      </c>
      <c r="M193" s="65" t="n">
        <v>2103750</v>
      </c>
      <c r="N193" s="65" t="n"/>
      <c r="O193" s="65" t="n"/>
      <c r="P193" s="65" t="n"/>
      <c r="Q193" s="65" t="n"/>
      <c r="R193" s="65" t="n"/>
      <c r="S193" s="92">
        <f>G193-I193-R193-K193-M193-O193-Q193</f>
        <v/>
      </c>
      <c r="T193" s="92" t="inlineStr">
        <is>
          <t>LNH0526NQ19</t>
        </is>
      </c>
      <c r="U193" s="92" t="n">
        <v>2103750</v>
      </c>
      <c r="V193" s="69">
        <f>G193-SUM(I193,K193,M193,O193,Q193,U193)</f>
        <v/>
      </c>
      <c r="W193" s="65" t="n"/>
      <c r="X193" t="inlineStr">
        <is>
          <t>Khớp</t>
        </is>
      </c>
    </row>
    <row r="194">
      <c r="A194" s="65" t="n">
        <v>185</v>
      </c>
      <c r="B194" s="65" t="inlineStr">
        <is>
          <t>25809500009</t>
        </is>
      </c>
      <c r="C194" s="65" t="inlineStr">
        <is>
          <t>Nguyễn Hữu</t>
        </is>
      </c>
      <c r="D194" s="65" t="inlineStr">
        <is>
          <t>Phúc</t>
        </is>
      </c>
      <c r="E194" s="65" t="inlineStr">
        <is>
          <t>29/11/2007</t>
        </is>
      </c>
      <c r="F194" s="66" t="inlineStr">
        <is>
          <t>LNH0925ND01</t>
        </is>
      </c>
      <c r="G194" s="90" t="n">
        <v>1000000</v>
      </c>
      <c r="H194" s="65" t="n"/>
      <c r="I194" s="65" t="n"/>
      <c r="J194" s="65" t="n"/>
      <c r="K194" s="65" t="n"/>
      <c r="L194" s="65" t="n"/>
      <c r="M194" s="65" t="n"/>
      <c r="N194" s="65" t="n"/>
      <c r="O194" s="65" t="n"/>
      <c r="P194" s="65" t="n"/>
      <c r="Q194" s="65" t="n"/>
      <c r="R194" s="65" t="n"/>
      <c r="S194" s="92">
        <f>G194-I194-R194-K194-M194-O194-Q194</f>
        <v/>
      </c>
      <c r="T194" s="92" t="inlineStr"/>
      <c r="U194" s="92" t="inlineStr"/>
      <c r="V194" s="69">
        <f>G194-SUM(I194,K194,M194,O194,Q194,U194)</f>
        <v/>
      </c>
      <c r="W194" s="65" t="n"/>
      <c r="X194" t="inlineStr">
        <is>
          <t>Khớp</t>
        </is>
      </c>
    </row>
    <row r="195">
      <c r="A195" s="65" t="n">
        <v>186</v>
      </c>
      <c r="B195" s="65" t="inlineStr">
        <is>
          <t>25800400244</t>
        </is>
      </c>
      <c r="C195" s="65" t="inlineStr">
        <is>
          <t>Nguyễn Đăng</t>
        </is>
      </c>
      <c r="D195" s="65" t="inlineStr">
        <is>
          <t>Khang</t>
        </is>
      </c>
      <c r="E195" s="65" t="inlineStr">
        <is>
          <t>31/03/2007</t>
        </is>
      </c>
      <c r="F195" s="66" t="inlineStr">
        <is>
          <t>LNH0925ND01</t>
        </is>
      </c>
      <c r="G195" s="90" t="n">
        <v>8415000</v>
      </c>
      <c r="H195" s="65">
        <f>VLOOKUP(B195,'[1]TONG HOP'!B$5:G$624,6,0)</f>
        <v/>
      </c>
      <c r="I195" s="65" t="n">
        <v>2103750</v>
      </c>
      <c r="J195" s="65" t="n"/>
      <c r="K195" s="65" t="n"/>
      <c r="L195" s="65">
        <f>VLOOKUP(B195,'[2]DS THANG 11'!A$3:E$616,5,0)</f>
        <v/>
      </c>
      <c r="M195" s="65" t="n">
        <v>2103750</v>
      </c>
      <c r="N195" s="65" t="n"/>
      <c r="O195" s="65" t="n"/>
      <c r="P195" s="65">
        <f>VLOOKUP(B195,'[3]TONG HOP '!B$5:O$666,14,0)</f>
        <v/>
      </c>
      <c r="Q195" s="65" t="n">
        <v>2103750</v>
      </c>
      <c r="R195" s="65" t="n"/>
      <c r="S195" s="92">
        <f>G195-I195-R195-K195-M195-O195-Q195</f>
        <v/>
      </c>
      <c r="T195" s="92" t="inlineStr"/>
      <c r="U195" s="92" t="inlineStr"/>
      <c r="V195" s="69">
        <f>G195-SUM(I195,K195,M195,O195,Q195,U195)</f>
        <v/>
      </c>
      <c r="W195" s="65" t="n"/>
      <c r="X195" t="inlineStr">
        <is>
          <t>Khớp</t>
        </is>
      </c>
    </row>
    <row r="196">
      <c r="A196" s="65" t="n">
        <v>187</v>
      </c>
      <c r="B196" s="65" t="inlineStr">
        <is>
          <t>25807800151</t>
        </is>
      </c>
      <c r="C196" s="65" t="inlineStr">
        <is>
          <t>Nguyễn Phước</t>
        </is>
      </c>
      <c r="D196" s="65" t="inlineStr">
        <is>
          <t>Trung</t>
        </is>
      </c>
      <c r="E196" s="65" t="inlineStr">
        <is>
          <t>04/12/2007</t>
        </is>
      </c>
      <c r="F196" s="66" t="inlineStr">
        <is>
          <t>LNH0925ND01</t>
        </is>
      </c>
      <c r="G196" s="90" t="n">
        <v>8415000</v>
      </c>
      <c r="H196" s="65">
        <f>VLOOKUP(B196,'[1]TONG HOP'!B$5:G$624,6,0)</f>
        <v/>
      </c>
      <c r="I196" s="65" t="n">
        <v>2103750</v>
      </c>
      <c r="J196" s="65" t="n"/>
      <c r="K196" s="65" t="n"/>
      <c r="L196" s="65">
        <f>VLOOKUP(B196,'[2]DS THANG 11'!A$3:E$616,5,0)</f>
        <v/>
      </c>
      <c r="M196" s="65" t="n">
        <v>2103750</v>
      </c>
      <c r="N196" s="65" t="n"/>
      <c r="O196" s="65" t="n"/>
      <c r="P196" s="65">
        <f>VLOOKUP(B196,'[3]TONG HOP '!B$5:O$666,14,0)</f>
        <v/>
      </c>
      <c r="Q196" s="65" t="n">
        <v>2103750</v>
      </c>
      <c r="R196" s="65" t="n"/>
      <c r="S196" s="92">
        <f>G196-I196-R196-K196-M196-O196-Q196</f>
        <v/>
      </c>
      <c r="T196" s="92" t="inlineStr"/>
      <c r="U196" s="92" t="inlineStr"/>
      <c r="V196" s="69">
        <f>G196-SUM(I196,K196,M196,O196,Q196,U196)</f>
        <v/>
      </c>
      <c r="W196" s="65" t="n"/>
      <c r="X196" t="inlineStr">
        <is>
          <t>Khớp</t>
        </is>
      </c>
    </row>
    <row r="197">
      <c r="A197" s="65" t="n">
        <v>188</v>
      </c>
      <c r="B197" s="65" t="inlineStr">
        <is>
          <t>25808200002</t>
        </is>
      </c>
      <c r="C197" s="65" t="inlineStr">
        <is>
          <t>Nguyễn Trường</t>
        </is>
      </c>
      <c r="D197" s="65" t="inlineStr">
        <is>
          <t>An</t>
        </is>
      </c>
      <c r="E197" s="65" t="inlineStr">
        <is>
          <t>11/02/2007</t>
        </is>
      </c>
      <c r="F197" s="66" t="inlineStr">
        <is>
          <t>LNH0925ND01</t>
        </is>
      </c>
      <c r="G197" s="90" t="n">
        <v>8415000</v>
      </c>
      <c r="H197" s="65">
        <f>VLOOKUP(B197,'[1]TONG HOP'!B$5:G$624,6,0)</f>
        <v/>
      </c>
      <c r="I197" s="65" t="n">
        <v>2103750</v>
      </c>
      <c r="J197" s="65" t="n"/>
      <c r="K197" s="65" t="n"/>
      <c r="L197" s="65" t="n"/>
      <c r="M197" s="65" t="n"/>
      <c r="N197" s="65" t="n"/>
      <c r="O197" s="65" t="n"/>
      <c r="P197" s="65" t="n"/>
      <c r="Q197" s="65" t="n"/>
      <c r="R197" s="65" t="n"/>
      <c r="S197" s="92">
        <f>G197-I197-R197-K197-M197-O197-Q197</f>
        <v/>
      </c>
      <c r="T197" s="92" t="inlineStr"/>
      <c r="U197" s="92" t="inlineStr"/>
      <c r="V197" s="69">
        <f>G197-SUM(I197,K197,M197,O197,Q197,U197)</f>
        <v/>
      </c>
      <c r="W197" s="65" t="n"/>
      <c r="X197" t="inlineStr">
        <is>
          <t>Khớp</t>
        </is>
      </c>
    </row>
    <row r="198">
      <c r="A198" s="65" t="n">
        <v>189</v>
      </c>
      <c r="B198" s="65" t="inlineStr">
        <is>
          <t>25805900103</t>
        </is>
      </c>
      <c r="C198" s="65" t="inlineStr">
        <is>
          <t>Lê Mỹ</t>
        </is>
      </c>
      <c r="D198" s="65" t="inlineStr">
        <is>
          <t>Nhàn</t>
        </is>
      </c>
      <c r="E198" s="65" t="inlineStr">
        <is>
          <t>11/08/2007</t>
        </is>
      </c>
      <c r="F198" s="66" t="inlineStr">
        <is>
          <t>LNH0925ND01</t>
        </is>
      </c>
      <c r="G198" s="90" t="n">
        <v>8415000</v>
      </c>
      <c r="H198" s="65">
        <f>VLOOKUP(B198,'[1]TONG HOP'!B$5:G$624,6,0)</f>
        <v/>
      </c>
      <c r="I198" s="65" t="n">
        <v>2103750</v>
      </c>
      <c r="J198" s="65" t="n"/>
      <c r="K198" s="65" t="n"/>
      <c r="L198" s="65">
        <f>VLOOKUP(B198,'[2]DS THANG 11'!A$3:E$616,5,0)</f>
        <v/>
      </c>
      <c r="M198" s="65" t="n">
        <v>2103750</v>
      </c>
      <c r="N198" s="65" t="n"/>
      <c r="O198" s="65" t="n"/>
      <c r="P198" s="65">
        <f>VLOOKUP(B198,'[3]TONG HOP '!B$5:O$666,14,0)</f>
        <v/>
      </c>
      <c r="Q198" s="65" t="n">
        <v>2103750</v>
      </c>
      <c r="R198" s="65" t="n"/>
      <c r="S198" s="92">
        <f>G198-I198-R198-K198-M198-O198-Q198</f>
        <v/>
      </c>
      <c r="T198" s="92" t="inlineStr">
        <is>
          <t>LNH0526NQ08</t>
        </is>
      </c>
      <c r="U198" s="92" t="n">
        <v>2103750</v>
      </c>
      <c r="V198" s="69">
        <f>G198-SUM(I198,K198,M198,O198,Q198,U198)</f>
        <v/>
      </c>
      <c r="W198" s="65" t="n"/>
      <c r="X198" t="inlineStr">
        <is>
          <t>Khớp</t>
        </is>
      </c>
    </row>
    <row r="199">
      <c r="A199" s="65" t="n">
        <v>190</v>
      </c>
      <c r="B199" s="65" t="inlineStr">
        <is>
          <t>25820700021</t>
        </is>
      </c>
      <c r="C199" s="65" t="inlineStr">
        <is>
          <t>Ngô Thị Bảo</t>
        </is>
      </c>
      <c r="D199" s="65" t="inlineStr">
        <is>
          <t>Ngọc</t>
        </is>
      </c>
      <c r="E199" s="65" t="inlineStr">
        <is>
          <t>29/11/2007</t>
        </is>
      </c>
      <c r="F199" s="66" t="inlineStr">
        <is>
          <t>LNH0925ND01</t>
        </is>
      </c>
      <c r="G199" s="90" t="n">
        <v>8415000</v>
      </c>
      <c r="H199" s="65">
        <f>VLOOKUP(B199,'[1]TONG HOP'!B$5:G$624,6,0)</f>
        <v/>
      </c>
      <c r="I199" s="65" t="n">
        <v>2103750</v>
      </c>
      <c r="J199" s="65" t="n"/>
      <c r="K199" s="65" t="n"/>
      <c r="L199" s="65" t="n"/>
      <c r="M199" s="65" t="n"/>
      <c r="N199" s="65" t="n"/>
      <c r="O199" s="65" t="n"/>
      <c r="P199" s="65" t="n"/>
      <c r="Q199" s="65" t="n"/>
      <c r="R199" s="65" t="n"/>
      <c r="S199" s="92">
        <f>G199-I199-R199-K199-M199-O199-Q199</f>
        <v/>
      </c>
      <c r="T199" s="92" t="inlineStr"/>
      <c r="U199" s="92" t="inlineStr"/>
      <c r="V199" s="69">
        <f>G199-SUM(I199,K199,M199,O199,Q199,U199)</f>
        <v/>
      </c>
      <c r="W199" s="65" t="n"/>
      <c r="X199" t="inlineStr">
        <is>
          <t>Khớp</t>
        </is>
      </c>
    </row>
    <row r="200">
      <c r="A200" s="65" t="n">
        <v>191</v>
      </c>
      <c r="B200" s="65" t="inlineStr">
        <is>
          <t>25806000094</t>
        </is>
      </c>
      <c r="C200" s="65" t="inlineStr">
        <is>
          <t>Nguyễn Thanh</t>
        </is>
      </c>
      <c r="D200" s="65" t="inlineStr">
        <is>
          <t>Ngân</t>
        </is>
      </c>
      <c r="E200" s="65" t="inlineStr">
        <is>
          <t>21/05/2007</t>
        </is>
      </c>
      <c r="F200" s="66" t="inlineStr">
        <is>
          <t>LNH0925ND01</t>
        </is>
      </c>
      <c r="G200" s="90" t="n">
        <v>8415000</v>
      </c>
      <c r="H200" s="65">
        <f>VLOOKUP(B200,'[1]TONG HOP'!B$5:G$624,6,0)</f>
        <v/>
      </c>
      <c r="I200" s="65" t="n">
        <v>2103750</v>
      </c>
      <c r="J200" s="65" t="n"/>
      <c r="K200" s="65" t="n"/>
      <c r="L200" s="65" t="n"/>
      <c r="M200" s="65" t="n"/>
      <c r="N200" s="65" t="n"/>
      <c r="O200" s="65" t="n"/>
      <c r="P200" s="65">
        <f>VLOOKUP(B200,'[3]TONG HOP '!B$5:O$666,14,0)</f>
        <v/>
      </c>
      <c r="Q200" s="65" t="n">
        <v>2103750</v>
      </c>
      <c r="R200" s="65" t="n"/>
      <c r="S200" s="92">
        <f>G200-I200-R200-K200-M200-O200-Q200</f>
        <v/>
      </c>
      <c r="T200" s="92" t="inlineStr">
        <is>
          <t>LNH0526NQ10</t>
        </is>
      </c>
      <c r="U200" s="92" t="n">
        <v>2103750</v>
      </c>
      <c r="V200" s="69">
        <f>G200-SUM(I200,K200,M200,O200,Q200,U200)</f>
        <v/>
      </c>
      <c r="W200" s="65" t="n"/>
      <c r="X200" t="inlineStr">
        <is>
          <t>Khớp</t>
        </is>
      </c>
    </row>
    <row r="201">
      <c r="A201" s="65" t="n">
        <v>192</v>
      </c>
      <c r="B201" s="65" t="inlineStr">
        <is>
          <t>25802800290</t>
        </is>
      </c>
      <c r="C201" s="65" t="inlineStr">
        <is>
          <t>Ngô Bảo</t>
        </is>
      </c>
      <c r="D201" s="65" t="inlineStr">
        <is>
          <t>Uyên</t>
        </is>
      </c>
      <c r="E201" s="65" t="inlineStr">
        <is>
          <t>16/05/2007</t>
        </is>
      </c>
      <c r="F201" s="66" t="inlineStr">
        <is>
          <t>LNH0925ND01</t>
        </is>
      </c>
      <c r="G201" s="90" t="n">
        <v>8415000</v>
      </c>
      <c r="H201" s="65">
        <f>VLOOKUP(B201,'[1]TONG HOP'!B$5:G$624,6,0)</f>
        <v/>
      </c>
      <c r="I201" s="65" t="n">
        <v>2103750</v>
      </c>
      <c r="J201" s="65" t="n"/>
      <c r="K201" s="65" t="n"/>
      <c r="L201" s="65">
        <f>VLOOKUP(B201,'[2]DS THANG 11'!A$3:E$616,5,0)</f>
        <v/>
      </c>
      <c r="M201" s="65" t="n">
        <v>2103750</v>
      </c>
      <c r="N201" s="65" t="n"/>
      <c r="O201" s="65" t="n"/>
      <c r="P201" s="65">
        <f>VLOOKUP(B201,'[3]TONG HOP '!B$5:O$666,14,0)</f>
        <v/>
      </c>
      <c r="Q201" s="65" t="n">
        <v>2103750</v>
      </c>
      <c r="R201" s="65" t="n"/>
      <c r="S201" s="92">
        <f>G201-I201-R201-K201-M201-O201-Q201</f>
        <v/>
      </c>
      <c r="T201" s="92" t="inlineStr"/>
      <c r="U201" s="92" t="inlineStr"/>
      <c r="V201" s="69">
        <f>G201-SUM(I201,K201,M201,O201,Q201,U201)</f>
        <v/>
      </c>
      <c r="W201" s="65" t="n"/>
      <c r="X201" t="inlineStr">
        <is>
          <t>Khớp</t>
        </is>
      </c>
    </row>
    <row r="202">
      <c r="A202" s="65" t="n">
        <v>193</v>
      </c>
      <c r="B202" s="65" t="inlineStr">
        <is>
          <t>25807500072</t>
        </is>
      </c>
      <c r="C202" s="65" t="inlineStr">
        <is>
          <t>Phan Thị</t>
        </is>
      </c>
      <c r="D202" s="65" t="inlineStr">
        <is>
          <t>Mừng</t>
        </is>
      </c>
      <c r="E202" s="65" t="inlineStr">
        <is>
          <t>26/08/1984</t>
        </is>
      </c>
      <c r="F202" s="66" t="inlineStr">
        <is>
          <t>LNH0925ND01</t>
        </is>
      </c>
      <c r="G202" s="90" t="n">
        <v>8415000</v>
      </c>
      <c r="H202" s="65">
        <f>VLOOKUP(B202,'[1]TONG HOP'!B$5:G$624,6,0)</f>
        <v/>
      </c>
      <c r="I202" s="65" t="n">
        <v>2103750</v>
      </c>
      <c r="J202" s="65" t="n"/>
      <c r="K202" s="65" t="n"/>
      <c r="L202" s="65">
        <f>VLOOKUP(B202,'[2]DS THANG 11'!A$3:E$616,5,0)</f>
        <v/>
      </c>
      <c r="M202" s="65" t="n">
        <v>2103750</v>
      </c>
      <c r="N202" s="65" t="n"/>
      <c r="O202" s="65" t="n"/>
      <c r="P202" s="65" t="n"/>
      <c r="Q202" s="65" t="n"/>
      <c r="R202" s="65" t="n"/>
      <c r="S202" s="92">
        <f>G202-I202-R202-K202-M202-O202-Q202</f>
        <v/>
      </c>
      <c r="T202" s="92" t="inlineStr">
        <is>
          <t>LNH0526NG01</t>
        </is>
      </c>
      <c r="U202" s="92" t="n">
        <v>2103750</v>
      </c>
      <c r="V202" s="69">
        <f>G202-SUM(I202,K202,M202,O202,Q202,U202)</f>
        <v/>
      </c>
      <c r="W202" s="65" t="n"/>
      <c r="X202" t="inlineStr">
        <is>
          <t>Khớp</t>
        </is>
      </c>
    </row>
    <row r="203">
      <c r="A203" s="65" t="n">
        <v>194</v>
      </c>
      <c r="B203" s="65" t="inlineStr">
        <is>
          <t>25809100020</t>
        </is>
      </c>
      <c r="C203" s="65" t="inlineStr">
        <is>
          <t>Phạm Huỳnh Hai</t>
        </is>
      </c>
      <c r="D203" s="65" t="inlineStr">
        <is>
          <t>Tỷ</t>
        </is>
      </c>
      <c r="E203" s="65" t="inlineStr">
        <is>
          <t>10/06/2007</t>
        </is>
      </c>
      <c r="F203" s="66" t="inlineStr">
        <is>
          <t>LNH0925ND01</t>
        </is>
      </c>
      <c r="G203" s="90" t="n">
        <v>8415000</v>
      </c>
      <c r="H203" s="65">
        <f>VLOOKUP(B203,'[1]TONG HOP'!B$5:G$624,6,0)</f>
        <v/>
      </c>
      <c r="I203" s="65" t="n">
        <v>2103750</v>
      </c>
      <c r="J203" s="65" t="n"/>
      <c r="K203" s="65" t="n"/>
      <c r="L203" s="65">
        <f>VLOOKUP(B203,'[2]DS THANG 11'!A$3:E$616,5,0)</f>
        <v/>
      </c>
      <c r="M203" s="65" t="n">
        <v>2103750</v>
      </c>
      <c r="N203" s="65" t="n"/>
      <c r="O203" s="65" t="n"/>
      <c r="P203" s="65" t="n"/>
      <c r="Q203" s="65" t="n"/>
      <c r="R203" s="65" t="n"/>
      <c r="S203" s="92">
        <f>G203-I203-R203-K203-M203-O203-Q203</f>
        <v/>
      </c>
      <c r="T203" s="92" t="inlineStr"/>
      <c r="U203" s="92" t="inlineStr"/>
      <c r="V203" s="69">
        <f>G203-SUM(I203,K203,M203,O203,Q203,U203)</f>
        <v/>
      </c>
      <c r="W203" s="65" t="n"/>
      <c r="X203" t="inlineStr">
        <is>
          <t>Khớp</t>
        </is>
      </c>
    </row>
    <row r="204">
      <c r="A204" s="65" t="n">
        <v>195</v>
      </c>
      <c r="B204" s="65" t="inlineStr">
        <is>
          <t>25802400028</t>
        </is>
      </c>
      <c r="C204" s="65" t="inlineStr">
        <is>
          <t>Nguyễn Thị Xuân</t>
        </is>
      </c>
      <c r="D204" s="65" t="inlineStr">
        <is>
          <t>Thảo</t>
        </is>
      </c>
      <c r="E204" s="65" t="inlineStr">
        <is>
          <t>11/08/2006</t>
        </is>
      </c>
      <c r="F204" s="66" t="inlineStr">
        <is>
          <t>LNH0925ND01</t>
        </is>
      </c>
      <c r="G204" s="90" t="n">
        <v>8415000</v>
      </c>
      <c r="H204" s="65" t="n"/>
      <c r="I204" s="65" t="n"/>
      <c r="J204" s="65">
        <f>VLOOKUP(B204,[5]Sheet1!A$3:E$32,5,0)</f>
        <v/>
      </c>
      <c r="K204" s="65" t="n">
        <v>2103750</v>
      </c>
      <c r="L204" s="65" t="n"/>
      <c r="M204" s="65" t="n"/>
      <c r="N204" s="65" t="n"/>
      <c r="O204" s="65" t="n"/>
      <c r="P204" s="65">
        <f>VLOOKUP(B204,'[3]TONG HOP '!B$5:O$666,14,0)</f>
        <v/>
      </c>
      <c r="Q204" s="65" t="n">
        <v>2103750</v>
      </c>
      <c r="R204" s="65" t="n"/>
      <c r="S204" s="92">
        <f>G204-I204-R204-K204-M204-O204-Q204</f>
        <v/>
      </c>
      <c r="T204" s="92" t="inlineStr">
        <is>
          <t>LNH0526NQ08</t>
        </is>
      </c>
      <c r="U204" s="92" t="n">
        <v>2103750</v>
      </c>
      <c r="V204" s="69">
        <f>G204-SUM(I204,K204,M204,O204,Q204,U204)</f>
        <v/>
      </c>
      <c r="W204" s="65" t="n"/>
      <c r="X204" t="inlineStr">
        <is>
          <t>Khớp</t>
        </is>
      </c>
    </row>
    <row r="205">
      <c r="A205" s="65" t="n">
        <v>196</v>
      </c>
      <c r="B205" s="65" t="inlineStr">
        <is>
          <t>25806800036</t>
        </is>
      </c>
      <c r="C205" s="65" t="inlineStr">
        <is>
          <t>Nguyễn Ngọc</t>
        </is>
      </c>
      <c r="D205" s="65" t="inlineStr">
        <is>
          <t>Mi</t>
        </is>
      </c>
      <c r="E205" s="65" t="inlineStr">
        <is>
          <t>10/11/2007</t>
        </is>
      </c>
      <c r="F205" s="66" t="inlineStr">
        <is>
          <t>LNH0925ND01</t>
        </is>
      </c>
      <c r="G205" s="90" t="n">
        <v>1000000</v>
      </c>
      <c r="H205" s="65" t="n"/>
      <c r="I205" s="65" t="n"/>
      <c r="J205" s="65" t="n"/>
      <c r="K205" s="65" t="n"/>
      <c r="L205" s="65" t="n"/>
      <c r="M205" s="65" t="n"/>
      <c r="N205" s="65" t="n"/>
      <c r="O205" s="65" t="n"/>
      <c r="P205" s="65" t="n"/>
      <c r="Q205" s="65" t="n"/>
      <c r="R205" s="65" t="n"/>
      <c r="S205" s="92">
        <f>G205-I205-R205-K205-M205-O205-Q205</f>
        <v/>
      </c>
      <c r="T205" s="92" t="inlineStr"/>
      <c r="U205" s="92" t="inlineStr"/>
      <c r="V205" s="69">
        <f>G205-SUM(I205,K205,M205,O205,Q205,U205)</f>
        <v/>
      </c>
      <c r="W205" s="65" t="n"/>
      <c r="X205" t="inlineStr">
        <is>
          <t>Khớp</t>
        </is>
      </c>
    </row>
    <row r="206">
      <c r="A206" s="65" t="n">
        <v>197</v>
      </c>
      <c r="B206" s="65" t="inlineStr">
        <is>
          <t>25808900092</t>
        </is>
      </c>
      <c r="C206" s="65" t="inlineStr">
        <is>
          <t>Trần Yến</t>
        </is>
      </c>
      <c r="D206" s="65" t="inlineStr">
        <is>
          <t>Nhi</t>
        </is>
      </c>
      <c r="E206" s="65" t="inlineStr">
        <is>
          <t>14/11/2007</t>
        </is>
      </c>
      <c r="F206" s="66" t="inlineStr">
        <is>
          <t>LNH0925ND01</t>
        </is>
      </c>
      <c r="G206" s="90" t="n">
        <v>8415000</v>
      </c>
      <c r="H206" s="65">
        <f>VLOOKUP(B206,'[1]TONG HOP'!B$5:G$624,6,0)</f>
        <v/>
      </c>
      <c r="I206" s="65" t="n">
        <v>2103750</v>
      </c>
      <c r="J206" s="65" t="n"/>
      <c r="K206" s="65" t="n"/>
      <c r="L206" s="65">
        <f>VLOOKUP(B206,'[2]DS THANG 11'!A$3:E$616,5,0)</f>
        <v/>
      </c>
      <c r="M206" s="65" t="n">
        <v>2103750</v>
      </c>
      <c r="N206" s="65" t="n"/>
      <c r="O206" s="65" t="n"/>
      <c r="P206" s="65">
        <f>VLOOKUP(B206,'[3]TONG HOP '!B$5:O$666,14,0)</f>
        <v/>
      </c>
      <c r="Q206" s="65" t="n">
        <v>2103750</v>
      </c>
      <c r="R206" s="65" t="n"/>
      <c r="S206" s="92">
        <f>G206-I206-R206-K206-M206-O206-Q206</f>
        <v/>
      </c>
      <c r="T206" s="92" t="inlineStr">
        <is>
          <t>LNH0526NQ14</t>
        </is>
      </c>
      <c r="U206" s="92" t="n">
        <v>2103750</v>
      </c>
      <c r="V206" s="69">
        <f>G206-SUM(I206,K206,M206,O206,Q206,U206)</f>
        <v/>
      </c>
      <c r="W206" s="65" t="n"/>
      <c r="X206" t="inlineStr">
        <is>
          <t>Khớp</t>
        </is>
      </c>
    </row>
    <row r="207">
      <c r="A207" s="65" t="n">
        <v>198</v>
      </c>
      <c r="B207" s="65" t="inlineStr">
        <is>
          <t>25802800095</t>
        </is>
      </c>
      <c r="C207" s="65" t="inlineStr">
        <is>
          <t>Tạ Quang</t>
        </is>
      </c>
      <c r="D207" s="65" t="inlineStr">
        <is>
          <t>Huy</t>
        </is>
      </c>
      <c r="E207" s="65" t="inlineStr">
        <is>
          <t>14/11/2007</t>
        </is>
      </c>
      <c r="F207" s="66" t="inlineStr">
        <is>
          <t>LNH0925ND01</t>
        </is>
      </c>
      <c r="G207" s="90" t="n">
        <v>8415000</v>
      </c>
      <c r="H207" s="65" t="n"/>
      <c r="I207" s="65" t="n"/>
      <c r="J207" s="65" t="n"/>
      <c r="K207" s="65" t="n"/>
      <c r="L207" s="65" t="n"/>
      <c r="M207" s="65" t="n"/>
      <c r="N207" s="65" t="n"/>
      <c r="O207" s="65" t="n"/>
      <c r="P207" s="65" t="n"/>
      <c r="Q207" s="65" t="n"/>
      <c r="R207" s="65" t="n"/>
      <c r="S207" s="92">
        <f>G207-I207-R207-K207-M207-O207-Q207</f>
        <v/>
      </c>
      <c r="T207" s="92" t="inlineStr"/>
      <c r="U207" s="92" t="inlineStr"/>
      <c r="V207" s="69">
        <f>G207-SUM(I207,K207,M207,O207,Q207,U207)</f>
        <v/>
      </c>
      <c r="W207" s="65" t="n"/>
      <c r="X207" t="inlineStr">
        <is>
          <t>Khớp</t>
        </is>
      </c>
    </row>
    <row r="208">
      <c r="A208" s="65" t="n">
        <v>199</v>
      </c>
      <c r="B208" s="65" t="inlineStr">
        <is>
          <t>25802700134</t>
        </is>
      </c>
      <c r="C208" s="65" t="inlineStr">
        <is>
          <t>Phan Bảo</t>
        </is>
      </c>
      <c r="D208" s="65" t="inlineStr">
        <is>
          <t>Luân</t>
        </is>
      </c>
      <c r="E208" s="65" t="inlineStr">
        <is>
          <t>24/09/2007</t>
        </is>
      </c>
      <c r="F208" s="66" t="inlineStr">
        <is>
          <t>LNH0925ND01</t>
        </is>
      </c>
      <c r="G208" s="90" t="n">
        <v>8415000</v>
      </c>
      <c r="H208" s="65">
        <f>VLOOKUP(B208,'[1]TONG HOP'!B$5:G$624,6,0)</f>
        <v/>
      </c>
      <c r="I208" s="65" t="n">
        <v>2103750</v>
      </c>
      <c r="J208" s="65" t="n"/>
      <c r="K208" s="65" t="n"/>
      <c r="L208" s="65">
        <f>VLOOKUP(B208,'[2]DS THANG 11'!A$3:E$616,5,0)</f>
        <v/>
      </c>
      <c r="M208" s="65" t="n">
        <v>2103750</v>
      </c>
      <c r="N208" s="65" t="n"/>
      <c r="O208" s="65" t="n"/>
      <c r="P208" s="65">
        <f>VLOOKUP(B208,'[3]TONG HOP '!B$5:O$666,14,0)</f>
        <v/>
      </c>
      <c r="Q208" s="65" t="n">
        <v>2103750</v>
      </c>
      <c r="R208" s="65" t="n"/>
      <c r="S208" s="92">
        <f>G208-I208-R208-K208-M208-O208-Q208</f>
        <v/>
      </c>
      <c r="T208" s="92" t="inlineStr">
        <is>
          <t>LNH0526NQ17</t>
        </is>
      </c>
      <c r="U208" s="92" t="n">
        <v>2103750</v>
      </c>
      <c r="V208" s="69">
        <f>G208-SUM(I208,K208,M208,O208,Q208,U208)</f>
        <v/>
      </c>
      <c r="W208" s="65" t="n"/>
      <c r="X208" t="inlineStr">
        <is>
          <t>Khớp</t>
        </is>
      </c>
    </row>
    <row r="209">
      <c r="A209" s="65" t="n">
        <v>200</v>
      </c>
      <c r="B209" s="65" t="inlineStr">
        <is>
          <t>25808700026</t>
        </is>
      </c>
      <c r="C209" s="65" t="inlineStr">
        <is>
          <t>Nguyễn Phạm Minh</t>
        </is>
      </c>
      <c r="D209" s="65" t="inlineStr">
        <is>
          <t>Hiếu</t>
        </is>
      </c>
      <c r="E209" s="65" t="inlineStr">
        <is>
          <t>17/12/2007</t>
        </is>
      </c>
      <c r="F209" s="66" t="inlineStr">
        <is>
          <t>LNH0925ND01</t>
        </is>
      </c>
      <c r="G209" s="90" t="n">
        <v>8415000</v>
      </c>
      <c r="H209" s="65">
        <f>VLOOKUP(B209,'[1]TONG HOP'!B$5:G$624,6,0)</f>
        <v/>
      </c>
      <c r="I209" s="65" t="n">
        <v>2103750</v>
      </c>
      <c r="J209" s="65" t="n"/>
      <c r="K209" s="65" t="n"/>
      <c r="L209" s="65">
        <f>VLOOKUP(B209,'[2]DS THANG 11'!A$3:E$616,5,0)</f>
        <v/>
      </c>
      <c r="M209" s="65" t="n">
        <v>2103750</v>
      </c>
      <c r="N209" s="65" t="n"/>
      <c r="O209" s="65" t="n"/>
      <c r="P209" s="65" t="n"/>
      <c r="Q209" s="65" t="n"/>
      <c r="R209" s="65" t="n"/>
      <c r="S209" s="92">
        <f>G209-I209-R209-K209-M209-O209-Q209</f>
        <v/>
      </c>
      <c r="T209" s="92" t="inlineStr"/>
      <c r="U209" s="92" t="inlineStr"/>
      <c r="V209" s="69">
        <f>G209-SUM(I209,K209,M209,O209,Q209,U209)</f>
        <v/>
      </c>
      <c r="W209" s="65" t="n"/>
      <c r="X209" t="inlineStr">
        <is>
          <t>Khớp</t>
        </is>
      </c>
    </row>
    <row r="210">
      <c r="A210" s="65" t="n">
        <v>201</v>
      </c>
      <c r="B210" s="65" t="inlineStr">
        <is>
          <t>25806000007</t>
        </is>
      </c>
      <c r="C210" s="65" t="inlineStr">
        <is>
          <t>Nguyễn Quốc</t>
        </is>
      </c>
      <c r="D210" s="65" t="inlineStr">
        <is>
          <t>Duy</t>
        </is>
      </c>
      <c r="E210" s="65" t="inlineStr">
        <is>
          <t>27/12/2007</t>
        </is>
      </c>
      <c r="F210" s="66" t="inlineStr">
        <is>
          <t>LNH0925ND01</t>
        </is>
      </c>
      <c r="G210" s="90" t="n">
        <v>8415000</v>
      </c>
      <c r="H210" s="65">
        <f>VLOOKUP(B210,'[1]TONG HOP'!B$5:G$624,6,0)</f>
        <v/>
      </c>
      <c r="I210" s="65" t="n">
        <v>2103750</v>
      </c>
      <c r="J210" s="65" t="n"/>
      <c r="K210" s="65" t="n"/>
      <c r="L210" s="65" t="n"/>
      <c r="M210" s="65" t="n"/>
      <c r="N210" s="65" t="n"/>
      <c r="O210" s="65" t="n"/>
      <c r="P210" s="65">
        <f>VLOOKUP(B210,'[3]TONG HOP '!B$5:O$666,14,0)</f>
        <v/>
      </c>
      <c r="Q210" s="65" t="n">
        <v>2103750</v>
      </c>
      <c r="R210" s="65" t="n">
        <v>1005000</v>
      </c>
      <c r="S210" s="92">
        <f>G210-I210-R210-K210-M210-O210-Q210</f>
        <v/>
      </c>
      <c r="T210" s="92" t="inlineStr">
        <is>
          <t>LNH0526NQ08</t>
        </is>
      </c>
      <c r="U210" s="92" t="n">
        <v>2103750</v>
      </c>
      <c r="V210" s="69">
        <f>G210-SUM(I210,K210,M210,O210,Q210,U210)</f>
        <v/>
      </c>
      <c r="W210" s="65" t="inlineStr">
        <is>
          <t>Chuyển sang EDU - Đạt HB theo tờ trình 462 ngày 11/11/25 - giảm HB Level 1 - 2.1tr</t>
        </is>
      </c>
      <c r="X210" t="inlineStr">
        <is>
          <t>Khớp</t>
        </is>
      </c>
    </row>
    <row r="211">
      <c r="A211" s="65" t="n">
        <v>202</v>
      </c>
      <c r="B211" s="65" t="inlineStr">
        <is>
          <t>25802700078</t>
        </is>
      </c>
      <c r="C211" s="65" t="inlineStr">
        <is>
          <t>Nguyễn Lê Phương</t>
        </is>
      </c>
      <c r="D211" s="65" t="inlineStr">
        <is>
          <t>Thảo</t>
        </is>
      </c>
      <c r="E211" s="65" t="inlineStr">
        <is>
          <t>26/10/2007</t>
        </is>
      </c>
      <c r="F211" s="66" t="inlineStr">
        <is>
          <t>LNH0925ND01</t>
        </is>
      </c>
      <c r="G211" s="90">
        <f>1000000+1600000</f>
        <v/>
      </c>
      <c r="H211" s="65" t="n"/>
      <c r="I211" s="65" t="n"/>
      <c r="J211" s="65" t="n"/>
      <c r="K211" s="65" t="n"/>
      <c r="L211" s="65">
        <f>VLOOKUP(B211,'[2]DS THANG 11'!A$3:E$616,5,0)</f>
        <v/>
      </c>
      <c r="M211" s="65" t="n">
        <v>2600000</v>
      </c>
      <c r="N211" s="65" t="n"/>
      <c r="O211" s="65" t="n"/>
      <c r="P211" s="65" t="n"/>
      <c r="Q211" s="65" t="n"/>
      <c r="R211" s="65" t="n"/>
      <c r="S211" s="92">
        <f>G211-I211-R211-K211-M211-O211-Q211</f>
        <v/>
      </c>
      <c r="T211" s="92" t="inlineStr"/>
      <c r="U211" s="92" t="inlineStr"/>
      <c r="V211" s="69">
        <f>G211-SUM(I211,K211,M211,O211,Q211,U211)</f>
        <v/>
      </c>
      <c r="W211" s="65" t="n"/>
      <c r="X211" t="inlineStr">
        <is>
          <t>Khớp</t>
        </is>
      </c>
    </row>
    <row r="212">
      <c r="A212" s="65" t="n">
        <v>203</v>
      </c>
      <c r="B212" s="65" t="inlineStr">
        <is>
          <t>25802300306</t>
        </is>
      </c>
      <c r="C212" s="65" t="inlineStr">
        <is>
          <t>Lê Ngọc Kiều</t>
        </is>
      </c>
      <c r="D212" s="65" t="inlineStr">
        <is>
          <t>Vy</t>
        </is>
      </c>
      <c r="E212" s="65" t="inlineStr">
        <is>
          <t>20/08/2007</t>
        </is>
      </c>
      <c r="F212" s="66" t="inlineStr">
        <is>
          <t>LNH0925ND01</t>
        </is>
      </c>
      <c r="G212" s="90" t="n">
        <v>8415000</v>
      </c>
      <c r="H212" s="65">
        <f>VLOOKUP(B212,'[1]TONG HOP'!B$5:G$624,6,0)</f>
        <v/>
      </c>
      <c r="I212" s="65" t="n">
        <v>2103750</v>
      </c>
      <c r="J212" s="65" t="n"/>
      <c r="K212" s="65" t="n"/>
      <c r="L212" s="65">
        <f>VLOOKUP(B212,'[2]DS THANG 11'!A$3:E$616,5,0)</f>
        <v/>
      </c>
      <c r="M212" s="65" t="n">
        <v>2103750</v>
      </c>
      <c r="N212" s="65" t="n"/>
      <c r="O212" s="65" t="n"/>
      <c r="P212" s="65">
        <f>VLOOKUP(B212,'[3]TONG HOP '!B$5:O$666,14,0)</f>
        <v/>
      </c>
      <c r="Q212" s="65" t="n">
        <v>2103750</v>
      </c>
      <c r="R212" s="65" t="n"/>
      <c r="S212" s="92">
        <f>G212-I212-R212-K212-M212-O212-Q212</f>
        <v/>
      </c>
      <c r="T212" s="92" t="inlineStr"/>
      <c r="U212" s="92" t="inlineStr"/>
      <c r="V212" s="69">
        <f>G212-SUM(I212,K212,M212,O212,Q212,U212)</f>
        <v/>
      </c>
      <c r="W212" s="65" t="n"/>
      <c r="X212" t="inlineStr">
        <is>
          <t>Khớp</t>
        </is>
      </c>
    </row>
    <row r="213" ht="15" customHeight="1" s="87">
      <c r="A213" s="65" t="n">
        <v>204</v>
      </c>
      <c r="B213" s="65" t="inlineStr">
        <is>
          <t>25800500277</t>
        </is>
      </c>
      <c r="C213" s="65" t="inlineStr">
        <is>
          <t>Vũ Đức</t>
        </is>
      </c>
      <c r="D213" s="65" t="inlineStr">
        <is>
          <t>Hòa</t>
        </is>
      </c>
      <c r="E213" s="65" t="inlineStr">
        <is>
          <t>23/01/2007</t>
        </is>
      </c>
      <c r="F213" s="66" t="inlineStr">
        <is>
          <t>LNH0925ND01</t>
        </is>
      </c>
      <c r="G213" s="90">
        <f>5000000+4405000</f>
        <v/>
      </c>
      <c r="H213" s="65">
        <f>VLOOKUP(B213,'[1]TONG HOP'!B$5:G$624,6,0)</f>
        <v/>
      </c>
      <c r="I213" s="65" t="n">
        <v>2232500</v>
      </c>
      <c r="J213" s="65" t="n"/>
      <c r="K213" s="65" t="n"/>
      <c r="L213" s="65">
        <f>VLOOKUP(B213,'[2]DS THANG 11'!A$3:E$616,5,0)</f>
        <v/>
      </c>
      <c r="M213" s="65" t="n">
        <v>2232500</v>
      </c>
      <c r="N213" s="65" t="n"/>
      <c r="O213" s="65" t="n"/>
      <c r="P213" s="65">
        <f>VLOOKUP(B213,'[3]TONG HOP '!B$5:O$666,14,0)</f>
        <v/>
      </c>
      <c r="Q213" s="65" t="n">
        <v>2470000</v>
      </c>
      <c r="R213" s="65" t="n"/>
      <c r="S213" s="92">
        <f>G213-I213-R213-K213-M213-O213-Q213</f>
        <v/>
      </c>
      <c r="T213" s="92" t="inlineStr">
        <is>
          <t>LNH0526NQ17</t>
        </is>
      </c>
      <c r="U213" s="92" t="n">
        <v>2470000</v>
      </c>
      <c r="V213" s="69">
        <f>G213-SUM(I213,K213,M213,O213,Q213,U213)</f>
        <v/>
      </c>
      <c r="W213" s="65" t="inlineStr">
        <is>
          <t>Đóng Bs ngày 25.12.2025</t>
        </is>
      </c>
      <c r="X213" s="65" t="inlineStr">
        <is>
          <t>Khớp</t>
        </is>
      </c>
      <c r="Y213" s="65" t="inlineStr">
        <is>
          <t>I84519</t>
        </is>
      </c>
      <c r="Z213" t="n">
        <v>4405000</v>
      </c>
    </row>
    <row r="214">
      <c r="A214" s="65" t="n">
        <v>205</v>
      </c>
      <c r="B214" s="65" t="inlineStr">
        <is>
          <t>25808800046</t>
        </is>
      </c>
      <c r="C214" s="65" t="inlineStr">
        <is>
          <t>Bùi Đức</t>
        </is>
      </c>
      <c r="D214" s="65" t="inlineStr">
        <is>
          <t>Thắng</t>
        </is>
      </c>
      <c r="E214" s="65" t="inlineStr">
        <is>
          <t>17/02/2007</t>
        </is>
      </c>
      <c r="F214" s="66" t="inlineStr">
        <is>
          <t>LNH0925ND01</t>
        </is>
      </c>
      <c r="G214" s="90">
        <f>1000000+3465000</f>
        <v/>
      </c>
      <c r="H214" s="65" t="n"/>
      <c r="I214" s="65" t="n"/>
      <c r="J214" s="65" t="n"/>
      <c r="K214" s="65" t="n"/>
      <c r="L214" s="65" t="n"/>
      <c r="M214" s="65" t="n"/>
      <c r="N214" s="65" t="n"/>
      <c r="O214" s="65" t="n"/>
      <c r="P214" s="65" t="n"/>
      <c r="Q214" s="65" t="n"/>
      <c r="R214" s="65" t="n"/>
      <c r="S214" s="92">
        <f>G214-I214-R214-K214-M214-O214-Q214</f>
        <v/>
      </c>
      <c r="T214" s="92" t="inlineStr"/>
      <c r="U214" s="92" t="inlineStr"/>
      <c r="V214" s="69">
        <f>G214-SUM(I214,K214,M214,O214,Q214,U214)</f>
        <v/>
      </c>
      <c r="W214" s="65" t="n"/>
      <c r="X214" t="inlineStr">
        <is>
          <t>Khớp</t>
        </is>
      </c>
    </row>
    <row r="215">
      <c r="A215" s="65" t="n">
        <v>206</v>
      </c>
      <c r="B215" s="65" t="inlineStr">
        <is>
          <t>25800500098</t>
        </is>
      </c>
      <c r="C215" s="65" t="inlineStr">
        <is>
          <t>Đàm Anh</t>
        </is>
      </c>
      <c r="D215" s="65" t="inlineStr">
        <is>
          <t>Kiệt</t>
        </is>
      </c>
      <c r="E215" s="65" t="inlineStr">
        <is>
          <t>04/10/2007</t>
        </is>
      </c>
      <c r="F215" s="66" t="inlineStr">
        <is>
          <t>LNH0925ND01</t>
        </is>
      </c>
      <c r="G215" s="90" t="n">
        <v>8415008</v>
      </c>
      <c r="H215" s="65">
        <f>VLOOKUP(B215,'[1]TONG HOP'!B$5:G$624,6,0)</f>
        <v/>
      </c>
      <c r="I215" s="65" t="n">
        <v>2103750</v>
      </c>
      <c r="J215" s="65" t="n"/>
      <c r="K215" s="65" t="n"/>
      <c r="L215" s="65" t="n"/>
      <c r="M215" s="65" t="n"/>
      <c r="N215" s="65" t="n"/>
      <c r="O215" s="65" t="n"/>
      <c r="P215" s="65" t="n"/>
      <c r="Q215" s="65" t="n"/>
      <c r="R215" s="65" t="n"/>
      <c r="S215" s="92">
        <f>G215-I215-R215-K215-M215-O215-Q215</f>
        <v/>
      </c>
      <c r="T215" s="92" t="inlineStr"/>
      <c r="U215" s="92" t="inlineStr"/>
      <c r="V215" s="69">
        <f>G215-SUM(I215,K215,M215,O215,Q215,U215)</f>
        <v/>
      </c>
      <c r="W215" s="65" t="n"/>
      <c r="X215" t="inlineStr">
        <is>
          <t>Khớp</t>
        </is>
      </c>
    </row>
    <row r="216">
      <c r="A216" s="65" t="n">
        <v>207</v>
      </c>
      <c r="B216" s="65" t="inlineStr">
        <is>
          <t>25801100058</t>
        </is>
      </c>
      <c r="C216" s="65" t="inlineStr">
        <is>
          <t>Trần Minh</t>
        </is>
      </c>
      <c r="D216" s="65" t="inlineStr">
        <is>
          <t>Quí</t>
        </is>
      </c>
      <c r="E216" s="65" t="inlineStr">
        <is>
          <t>16/01/2007</t>
        </is>
      </c>
      <c r="F216" s="66" t="inlineStr">
        <is>
          <t>LNH0925ND01</t>
        </is>
      </c>
      <c r="G216" s="90" t="n">
        <v>1465000</v>
      </c>
      <c r="H216" s="65" t="n"/>
      <c r="I216" s="65" t="n"/>
      <c r="J216" s="65" t="n"/>
      <c r="K216" s="65" t="n"/>
      <c r="L216" s="65" t="n"/>
      <c r="M216" s="65" t="n"/>
      <c r="N216" s="65" t="n"/>
      <c r="O216" s="65" t="n"/>
      <c r="P216" s="65" t="n"/>
      <c r="Q216" s="65" t="n"/>
      <c r="R216" s="65" t="n"/>
      <c r="S216" s="92">
        <f>G216-I216-R216-K216-M216-O216-Q216</f>
        <v/>
      </c>
      <c r="T216" s="92" t="inlineStr"/>
      <c r="U216" s="92" t="inlineStr"/>
      <c r="V216" s="69">
        <f>G216-SUM(I216,K216,M216,O216,Q216,U216)</f>
        <v/>
      </c>
      <c r="W216" s="65" t="n"/>
      <c r="X216" t="inlineStr">
        <is>
          <t>Khớp</t>
        </is>
      </c>
    </row>
    <row r="217">
      <c r="A217" s="65" t="n">
        <v>208</v>
      </c>
      <c r="B217" s="65" t="inlineStr">
        <is>
          <t>25820300026</t>
        </is>
      </c>
      <c r="C217" s="65" t="inlineStr">
        <is>
          <t>Phạm Nguyễn Đăng</t>
        </is>
      </c>
      <c r="D217" s="65" t="inlineStr">
        <is>
          <t>Khoa</t>
        </is>
      </c>
      <c r="E217" s="65" t="inlineStr">
        <is>
          <t>14/12/2007</t>
        </is>
      </c>
      <c r="F217" s="66" t="inlineStr">
        <is>
          <t>LNH0925ND01</t>
        </is>
      </c>
      <c r="G217" s="90" t="n">
        <v>8415000</v>
      </c>
      <c r="H217" s="65">
        <f>VLOOKUP(B217,'[1]TONG HOP'!B$5:G$624,6,0)</f>
        <v/>
      </c>
      <c r="I217" s="65" t="n">
        <v>2103750</v>
      </c>
      <c r="J217" s="65" t="n"/>
      <c r="K217" s="65" t="n"/>
      <c r="L217" s="65">
        <f>VLOOKUP(B217,'[2]DS THANG 11'!A$3:E$616,5,0)</f>
        <v/>
      </c>
      <c r="M217" s="65" t="n">
        <v>2103750</v>
      </c>
      <c r="N217" s="65" t="n"/>
      <c r="O217" s="65" t="n"/>
      <c r="P217" s="65">
        <f>VLOOKUP(B217,'[3]TONG HOP '!B$5:O$666,14,0)</f>
        <v/>
      </c>
      <c r="Q217" s="65" t="n">
        <v>2103750</v>
      </c>
      <c r="R217" s="65" t="n"/>
      <c r="S217" s="92">
        <f>G217-I217-R217-K217-M217-O217-Q217</f>
        <v/>
      </c>
      <c r="T217" s="92" t="inlineStr">
        <is>
          <t>LNH0526NQ17</t>
        </is>
      </c>
      <c r="U217" s="92" t="n">
        <v>2103750</v>
      </c>
      <c r="V217" s="69">
        <f>G217-SUM(I217,K217,M217,O217,Q217,U217)</f>
        <v/>
      </c>
      <c r="W217" s="65" t="n"/>
      <c r="X217" t="inlineStr">
        <is>
          <t>Khớp</t>
        </is>
      </c>
    </row>
    <row r="218">
      <c r="A218" s="65" t="n">
        <v>209</v>
      </c>
      <c r="B218" s="65" t="inlineStr">
        <is>
          <t>25807000019</t>
        </is>
      </c>
      <c r="C218" s="65" t="inlineStr">
        <is>
          <t>Văn Thành</t>
        </is>
      </c>
      <c r="D218" s="65" t="inlineStr">
        <is>
          <t>Nhựt</t>
        </is>
      </c>
      <c r="E218" s="65" t="inlineStr">
        <is>
          <t>18/01/2007</t>
        </is>
      </c>
      <c r="F218" s="66" t="inlineStr">
        <is>
          <t>LNH0925ND01</t>
        </is>
      </c>
      <c r="G218" s="90" t="n">
        <v>2100000</v>
      </c>
      <c r="H218" s="65">
        <f>VLOOKUP(B218,'[1]TONG HOP'!B$5:G$624,6,0)</f>
        <v/>
      </c>
      <c r="I218" s="65" t="n">
        <v>2100000</v>
      </c>
      <c r="J218" s="65" t="n"/>
      <c r="K218" s="65" t="n"/>
      <c r="L218" s="65" t="n"/>
      <c r="M218" s="65" t="n"/>
      <c r="N218" s="65" t="n"/>
      <c r="O218" s="65" t="n"/>
      <c r="P218" s="65" t="n"/>
      <c r="Q218" s="65" t="n"/>
      <c r="R218" s="65" t="n"/>
      <c r="S218" s="92">
        <f>G218-I218-R218-K218-M218-O218-Q218</f>
        <v/>
      </c>
      <c r="T218" s="92" t="inlineStr"/>
      <c r="U218" s="92" t="inlineStr"/>
      <c r="V218" s="69">
        <f>G218-SUM(I218,K218,M218,O218,Q218,U218)</f>
        <v/>
      </c>
      <c r="W218" s="65" t="n"/>
      <c r="X218" t="inlineStr">
        <is>
          <t>Khớp</t>
        </is>
      </c>
    </row>
    <row r="219">
      <c r="A219" s="65" t="n">
        <v>210</v>
      </c>
      <c r="B219" s="65" t="inlineStr">
        <is>
          <t>25808900070</t>
        </is>
      </c>
      <c r="C219" s="65" t="inlineStr">
        <is>
          <t>Trần Khánh</t>
        </is>
      </c>
      <c r="D219" s="65" t="inlineStr">
        <is>
          <t>Linh</t>
        </is>
      </c>
      <c r="E219" s="65" t="inlineStr">
        <is>
          <t>15/04/2007</t>
        </is>
      </c>
      <c r="F219" s="66" t="inlineStr">
        <is>
          <t>LNH0925ND01</t>
        </is>
      </c>
      <c r="G219" s="90" t="n">
        <v>2100000</v>
      </c>
      <c r="H219" s="65" t="n"/>
      <c r="I219" s="65" t="n"/>
      <c r="J219" s="65">
        <f>VLOOKUP(B219,[5]Sheet1!A$3:E$32,5,0)</f>
        <v/>
      </c>
      <c r="K219" s="65" t="n">
        <v>2100000</v>
      </c>
      <c r="L219" s="65" t="n"/>
      <c r="M219" s="65" t="n"/>
      <c r="N219" s="65" t="n"/>
      <c r="O219" s="65" t="n"/>
      <c r="P219" s="65" t="n"/>
      <c r="Q219" s="65" t="n"/>
      <c r="R219" s="65" t="n"/>
      <c r="S219" s="92">
        <f>G219-I219-R219-K219-M219-O219-Q219</f>
        <v/>
      </c>
      <c r="T219" s="92" t="inlineStr"/>
      <c r="U219" s="92" t="inlineStr"/>
      <c r="V219" s="69">
        <f>G219-SUM(I219,K219,M219,O219,Q219,U219)</f>
        <v/>
      </c>
      <c r="W219" s="65" t="n"/>
      <c r="X219" t="inlineStr">
        <is>
          <t>Khớp</t>
        </is>
      </c>
    </row>
    <row r="220">
      <c r="A220" s="65" t="n">
        <v>211</v>
      </c>
      <c r="B220" s="65" t="inlineStr">
        <is>
          <t>25801700022</t>
        </is>
      </c>
      <c r="C220" s="65" t="inlineStr">
        <is>
          <t>Phạm Hoàng</t>
        </is>
      </c>
      <c r="D220" s="65" t="inlineStr">
        <is>
          <t>Khang</t>
        </is>
      </c>
      <c r="E220" s="65" t="inlineStr">
        <is>
          <t>11/04/2007</t>
        </is>
      </c>
      <c r="F220" s="66" t="inlineStr">
        <is>
          <t>LNH0925ND01</t>
        </is>
      </c>
      <c r="G220" s="90" t="n">
        <v>2100000</v>
      </c>
      <c r="H220" s="65" t="n"/>
      <c r="I220" s="65" t="n"/>
      <c r="J220" s="65">
        <f>VLOOKUP(B220,[5]Sheet1!A$3:E$32,5,0)</f>
        <v/>
      </c>
      <c r="K220" s="65" t="n">
        <v>2100000</v>
      </c>
      <c r="L220" s="65" t="n"/>
      <c r="M220" s="65" t="n"/>
      <c r="N220" s="65" t="n"/>
      <c r="O220" s="65" t="n"/>
      <c r="P220" s="65" t="n"/>
      <c r="Q220" s="65" t="n"/>
      <c r="R220" s="65" t="n"/>
      <c r="S220" s="92">
        <f>G220-I220-R220-K220-M220-O220-Q220</f>
        <v/>
      </c>
      <c r="T220" s="92" t="inlineStr">
        <is>
          <t>LNH0526NQ02</t>
        </is>
      </c>
      <c r="U220" s="92" t="n">
        <v>2600000</v>
      </c>
      <c r="V220" s="69">
        <f>G220-SUM(I220,K220,M220,O220,Q220,U220)</f>
        <v/>
      </c>
      <c r="W220" s="65" t="n"/>
      <c r="X220" t="inlineStr">
        <is>
          <t>Khớp</t>
        </is>
      </c>
    </row>
    <row r="221">
      <c r="A221" s="65" t="n">
        <v>212</v>
      </c>
      <c r="B221" s="65" t="inlineStr">
        <is>
          <t>25800500081</t>
        </is>
      </c>
      <c r="C221" s="65" t="inlineStr">
        <is>
          <t>Phan Minh</t>
        </is>
      </c>
      <c r="D221" s="65" t="inlineStr">
        <is>
          <t>Khang</t>
        </is>
      </c>
      <c r="E221" s="65" t="inlineStr">
        <is>
          <t>13/09/2007</t>
        </is>
      </c>
      <c r="F221" s="66" t="inlineStr">
        <is>
          <t>LNH0925ND01</t>
        </is>
      </c>
      <c r="G221" s="90" t="n">
        <v>2100000</v>
      </c>
      <c r="H221" s="65">
        <f>VLOOKUP(B221,'[1]TONG HOP'!B$5:G$624,6,0)</f>
        <v/>
      </c>
      <c r="I221" s="65" t="n">
        <v>2100000</v>
      </c>
      <c r="J221" s="65" t="n"/>
      <c r="K221" s="65" t="n"/>
      <c r="L221" s="65" t="n"/>
      <c r="M221" s="65" t="n"/>
      <c r="N221" s="65" t="n"/>
      <c r="O221" s="65" t="n"/>
      <c r="P221" s="65" t="n"/>
      <c r="Q221" s="65" t="n"/>
      <c r="R221" s="65" t="n"/>
      <c r="S221" s="92">
        <f>G221-I221-R221-K221-M221-O221-Q221</f>
        <v/>
      </c>
      <c r="T221" s="92" t="inlineStr"/>
      <c r="U221" s="92" t="inlineStr"/>
      <c r="V221" s="69">
        <f>G221-SUM(I221,K221,M221,O221,Q221,U221)</f>
        <v/>
      </c>
      <c r="W221" s="65" t="n"/>
      <c r="X221" t="inlineStr">
        <is>
          <t>Khớp</t>
        </is>
      </c>
    </row>
    <row r="222" ht="15" customHeight="1" s="87">
      <c r="A222" s="65" t="n">
        <v>213</v>
      </c>
      <c r="B222" s="65" t="inlineStr">
        <is>
          <t>25807900051</t>
        </is>
      </c>
      <c r="C222" s="65" t="inlineStr">
        <is>
          <t>Trần Chí</t>
        </is>
      </c>
      <c r="D222" s="65" t="inlineStr">
        <is>
          <t>Thiện</t>
        </is>
      </c>
      <c r="E222" s="65" t="inlineStr">
        <is>
          <t>01/01/2007</t>
        </is>
      </c>
      <c r="F222" s="66" t="inlineStr">
        <is>
          <t>LNH0925ND01</t>
        </is>
      </c>
      <c r="G222" s="90">
        <f>2100000+2600000</f>
        <v/>
      </c>
      <c r="H222" s="65">
        <f>VLOOKUP(B222,'[1]TONG HOP'!B$5:G$624,6,0)</f>
        <v/>
      </c>
      <c r="I222" s="65" t="n">
        <v>2100000</v>
      </c>
      <c r="J222" s="65" t="n"/>
      <c r="K222" s="65" t="n"/>
      <c r="L222" s="65" t="n"/>
      <c r="M222" s="65" t="n"/>
      <c r="N222" s="65" t="n"/>
      <c r="O222" s="65" t="n"/>
      <c r="P222" s="65">
        <f>VLOOKUP(B222,'[3]TONG HOP '!B$5:O$666,14,0)</f>
        <v/>
      </c>
      <c r="Q222" s="65" t="n">
        <v>2600000</v>
      </c>
      <c r="R222" s="65" t="n"/>
      <c r="S222" s="92">
        <f>G222-I222-R222-K222-M222-O222-Q222</f>
        <v/>
      </c>
      <c r="T222" s="92" t="inlineStr">
        <is>
          <t>LNH0526NQ20</t>
        </is>
      </c>
      <c r="U222" s="92" t="n">
        <v>2470000</v>
      </c>
      <c r="V222" s="69">
        <f>G222-SUM(I222,K222,M222,O222,Q222,U222)</f>
        <v/>
      </c>
      <c r="W222" s="65" t="inlineStr">
        <is>
          <t>Đóng BS ngày 04/12/2025: 2tr6</t>
        </is>
      </c>
      <c r="X222" t="inlineStr">
        <is>
          <t>Khớp</t>
        </is>
      </c>
      <c r="Y222" t="inlineStr">
        <is>
          <t>TRAN HONG SON ABBank 0521043748045 TRAN CHI THIEN 25807900051 - LNH1125NE01- 0865411 575 TAI Agribank_x0002_</t>
        </is>
      </c>
    </row>
    <row r="223">
      <c r="A223" s="65" t="n">
        <v>214</v>
      </c>
      <c r="B223" s="65" t="inlineStr">
        <is>
          <t>25808200109</t>
        </is>
      </c>
      <c r="C223" s="65" t="inlineStr">
        <is>
          <t>Phạm Hoàng</t>
        </is>
      </c>
      <c r="D223" s="65" t="inlineStr">
        <is>
          <t>Sơn</t>
        </is>
      </c>
      <c r="E223" s="65" t="inlineStr">
        <is>
          <t>01/06/2007</t>
        </is>
      </c>
      <c r="F223" s="66" t="inlineStr">
        <is>
          <t>LNH0925ND01</t>
        </is>
      </c>
      <c r="G223" s="90" t="n">
        <v>2100000</v>
      </c>
      <c r="H223" s="65">
        <f>VLOOKUP(B223,'[1]TONG HOP'!B$5:G$624,6,0)</f>
        <v/>
      </c>
      <c r="I223" s="65" t="n">
        <v>2100000</v>
      </c>
      <c r="J223" s="65" t="n"/>
      <c r="K223" s="65" t="n"/>
      <c r="L223" s="65" t="n"/>
      <c r="M223" s="65" t="n"/>
      <c r="N223" s="65" t="n"/>
      <c r="O223" s="65" t="n"/>
      <c r="P223" s="65" t="n"/>
      <c r="Q223" s="65" t="n"/>
      <c r="R223" s="65" t="n"/>
      <c r="S223" s="92">
        <f>G223-I223-R223-K223-M223-O223-Q223</f>
        <v/>
      </c>
      <c r="T223" s="92" t="inlineStr"/>
      <c r="U223" s="92" t="inlineStr"/>
      <c r="V223" s="69">
        <f>G223-SUM(I223,K223,M223,O223,Q223,U223)</f>
        <v/>
      </c>
      <c r="W223" s="65" t="n"/>
      <c r="X223" t="inlineStr">
        <is>
          <t>Khớp</t>
        </is>
      </c>
    </row>
    <row r="224">
      <c r="A224" s="65" t="n">
        <v>215</v>
      </c>
      <c r="B224" s="65" t="inlineStr">
        <is>
          <t>25802800122</t>
        </is>
      </c>
      <c r="C224" s="65" t="inlineStr">
        <is>
          <t>Nguyễn Tuấn</t>
        </is>
      </c>
      <c r="D224" s="65" t="inlineStr">
        <is>
          <t>Kiệt</t>
        </is>
      </c>
      <c r="E224" s="65" t="inlineStr">
        <is>
          <t>25/06/2007</t>
        </is>
      </c>
      <c r="F224" s="66" t="inlineStr">
        <is>
          <t>LNH0925ND01</t>
        </is>
      </c>
      <c r="G224" s="90" t="n">
        <v>2100000</v>
      </c>
      <c r="H224" s="65">
        <f>VLOOKUP(B224,'[1]TONG HOP'!B$5:G$624,6,0)</f>
        <v/>
      </c>
      <c r="I224" s="65" t="n">
        <v>2100000</v>
      </c>
      <c r="J224" s="65" t="n"/>
      <c r="K224" s="65" t="n"/>
      <c r="L224" s="65" t="n"/>
      <c r="M224" s="65" t="n"/>
      <c r="N224" s="65" t="n"/>
      <c r="O224" s="65" t="n"/>
      <c r="P224" s="65" t="n"/>
      <c r="Q224" s="65" t="n"/>
      <c r="R224" s="65" t="n"/>
      <c r="S224" s="92">
        <f>G224-I224-R224-K224-M224-O224-Q224</f>
        <v/>
      </c>
      <c r="T224" s="92" t="inlineStr"/>
      <c r="U224" s="92" t="inlineStr"/>
      <c r="V224" s="69">
        <f>G224-SUM(I224,K224,M224,O224,Q224,U224)</f>
        <v/>
      </c>
      <c r="W224" s="65" t="n"/>
      <c r="X224" t="inlineStr">
        <is>
          <t>Khớp</t>
        </is>
      </c>
    </row>
    <row r="225">
      <c r="A225" s="65" t="n">
        <v>216</v>
      </c>
      <c r="B225" s="65" t="inlineStr">
        <is>
          <t>25808200082</t>
        </is>
      </c>
      <c r="C225" s="65" t="inlineStr">
        <is>
          <t>Nguyễn Trung</t>
        </is>
      </c>
      <c r="D225" s="65" t="inlineStr">
        <is>
          <t>Luân</t>
        </is>
      </c>
      <c r="E225" s="65" t="inlineStr">
        <is>
          <t>10/10/2007</t>
        </is>
      </c>
      <c r="F225" s="66" t="inlineStr">
        <is>
          <t>LNH0925ND01</t>
        </is>
      </c>
      <c r="G225" s="90" t="n">
        <v>2100000</v>
      </c>
      <c r="H225" s="65">
        <f>VLOOKUP(B225,'[1]TONG HOP'!B$5:G$624,6,0)</f>
        <v/>
      </c>
      <c r="I225" s="65" t="n">
        <v>2100000</v>
      </c>
      <c r="J225" s="65" t="n"/>
      <c r="K225" s="65" t="n"/>
      <c r="L225" s="65" t="n"/>
      <c r="M225" s="65" t="n"/>
      <c r="N225" s="65" t="n"/>
      <c r="O225" s="65" t="n"/>
      <c r="P225" s="65" t="n"/>
      <c r="Q225" s="65" t="n"/>
      <c r="R225" s="65" t="n"/>
      <c r="S225" s="92">
        <f>G225-I225-R225-K225-M225-O225-Q225</f>
        <v/>
      </c>
      <c r="T225" s="92" t="inlineStr"/>
      <c r="U225" s="92" t="inlineStr"/>
      <c r="V225" s="69">
        <f>G225-SUM(I225,K225,M225,O225,Q225,U225)</f>
        <v/>
      </c>
      <c r="W225" s="65" t="n"/>
      <c r="X225" t="inlineStr">
        <is>
          <t>Khớp</t>
        </is>
      </c>
    </row>
    <row r="226">
      <c r="A226" s="65" t="n">
        <v>217</v>
      </c>
      <c r="B226" s="65" t="inlineStr">
        <is>
          <t>25806800029</t>
        </is>
      </c>
      <c r="C226" s="65" t="inlineStr">
        <is>
          <t>Kiều Anh</t>
        </is>
      </c>
      <c r="D226" s="65" t="inlineStr">
        <is>
          <t>Khôi</t>
        </is>
      </c>
      <c r="E226" s="65" t="inlineStr">
        <is>
          <t>16/07/2007</t>
        </is>
      </c>
      <c r="F226" s="66" t="inlineStr">
        <is>
          <t>LNH0925ND01</t>
        </is>
      </c>
      <c r="G226" s="90" t="n">
        <v>2100000</v>
      </c>
      <c r="H226" s="65" t="n"/>
      <c r="I226" s="65" t="n"/>
      <c r="J226" s="65" t="n"/>
      <c r="K226" s="65" t="n"/>
      <c r="L226" s="65" t="n"/>
      <c r="M226" s="65" t="n"/>
      <c r="N226" s="65" t="n"/>
      <c r="O226" s="65" t="n"/>
      <c r="P226" s="65" t="n"/>
      <c r="Q226" s="65" t="n"/>
      <c r="R226" s="65" t="n"/>
      <c r="S226" s="92">
        <f>G226-I226-R226-K226-M226-O226-Q226</f>
        <v/>
      </c>
      <c r="T226" s="92" t="inlineStr"/>
      <c r="U226" s="92" t="inlineStr"/>
      <c r="V226" s="69">
        <f>G226-SUM(I226,K226,M226,O226,Q226,U226)</f>
        <v/>
      </c>
      <c r="W226" s="65" t="n"/>
      <c r="X226" t="inlineStr">
        <is>
          <t>Khớp</t>
        </is>
      </c>
    </row>
    <row r="227">
      <c r="A227" s="65" t="n">
        <v>218</v>
      </c>
      <c r="B227" s="65" t="inlineStr">
        <is>
          <t>25800500072</t>
        </is>
      </c>
      <c r="C227" s="65" t="inlineStr">
        <is>
          <t>Nguyễn</t>
        </is>
      </c>
      <c r="D227" s="65" t="inlineStr">
        <is>
          <t>Hưng</t>
        </is>
      </c>
      <c r="E227" s="65" t="inlineStr">
        <is>
          <t>11/06/2007</t>
        </is>
      </c>
      <c r="F227" s="66" t="inlineStr">
        <is>
          <t>LNH0925ND01</t>
        </is>
      </c>
      <c r="G227" s="90" t="n">
        <v>2600000</v>
      </c>
      <c r="H227" s="65" t="n"/>
      <c r="I227" s="65" t="n"/>
      <c r="J227" s="65" t="n"/>
      <c r="K227" s="65" t="n"/>
      <c r="L227" s="65" t="n"/>
      <c r="M227" s="65" t="n"/>
      <c r="N227" s="65" t="n"/>
      <c r="O227" s="65" t="n"/>
      <c r="P227" s="65">
        <f>VLOOKUP(B227,'[3]TONG HOP '!B$5:O$666,14,0)</f>
        <v/>
      </c>
      <c r="Q227" s="65" t="n">
        <v>2600000</v>
      </c>
      <c r="R227" s="65" t="n"/>
      <c r="S227" s="92">
        <f>G227-I227-R227-K227-M227-O227-Q227</f>
        <v/>
      </c>
      <c r="T227" s="92" t="inlineStr"/>
      <c r="U227" s="92" t="inlineStr"/>
      <c r="V227" s="69">
        <f>G227-SUM(I227,K227,M227,O227,Q227,U227)</f>
        <v/>
      </c>
      <c r="W227" s="65" t="n"/>
      <c r="X227" t="inlineStr">
        <is>
          <t>Khớp</t>
        </is>
      </c>
    </row>
    <row r="228">
      <c r="A228" s="65" t="n">
        <v>219</v>
      </c>
      <c r="B228" s="65" t="inlineStr">
        <is>
          <t>25801900288</t>
        </is>
      </c>
      <c r="C228" s="65" t="inlineStr">
        <is>
          <t>Bùi Anh</t>
        </is>
      </c>
      <c r="D228" s="65" t="inlineStr">
        <is>
          <t>Thư</t>
        </is>
      </c>
      <c r="E228" s="65" t="inlineStr">
        <is>
          <t>09/01/2007</t>
        </is>
      </c>
      <c r="F228" s="66" t="inlineStr">
        <is>
          <t>LNH0925ND01</t>
        </is>
      </c>
      <c r="G228" s="90" t="n">
        <v>8415000</v>
      </c>
      <c r="H228" s="65">
        <f>VLOOKUP(B228,'[1]TONG HOP'!B$5:G$624,6,0)</f>
        <v/>
      </c>
      <c r="I228" s="65" t="n">
        <v>2103750</v>
      </c>
      <c r="J228" s="65" t="n"/>
      <c r="K228" s="65" t="n"/>
      <c r="L228" s="65">
        <f>VLOOKUP(B228,'[2]DS THANG 11'!A$3:E$616,5,0)</f>
        <v/>
      </c>
      <c r="M228" s="65" t="n">
        <v>2103750</v>
      </c>
      <c r="N228" s="65" t="n"/>
      <c r="O228" s="65" t="n"/>
      <c r="P228" s="65">
        <f>VLOOKUP(B228,'[3]TONG HOP '!B$5:O$666,14,0)</f>
        <v/>
      </c>
      <c r="Q228" s="65" t="n">
        <v>2103750</v>
      </c>
      <c r="R228" s="65" t="n"/>
      <c r="S228" s="92">
        <f>G228-I228-R228-K228-M228-O228-Q228</f>
        <v/>
      </c>
      <c r="T228" s="92" t="inlineStr">
        <is>
          <t>LNH0526NQ01</t>
        </is>
      </c>
      <c r="U228" s="92" t="n">
        <v>2103750</v>
      </c>
      <c r="V228" s="69">
        <f>G228-SUM(I228,K228,M228,O228,Q228,U228)</f>
        <v/>
      </c>
      <c r="W228" s="65" t="n"/>
      <c r="X228" t="inlineStr">
        <is>
          <t>Khớp</t>
        </is>
      </c>
    </row>
    <row r="229">
      <c r="A229" s="65" t="n">
        <v>220</v>
      </c>
      <c r="B229" s="65" t="inlineStr">
        <is>
          <t>25808200221</t>
        </is>
      </c>
      <c r="C229" s="65" t="inlineStr">
        <is>
          <t>Bùi Đặng Quang</t>
        </is>
      </c>
      <c r="D229" s="65" t="inlineStr">
        <is>
          <t>Minh</t>
        </is>
      </c>
      <c r="E229" s="65" t="inlineStr">
        <is>
          <t>16/01/2007</t>
        </is>
      </c>
      <c r="F229" s="66" t="inlineStr">
        <is>
          <t>LNH0925ND01</t>
        </is>
      </c>
      <c r="G229" s="90" t="n">
        <v>4000000</v>
      </c>
      <c r="H229" s="65" t="n"/>
      <c r="I229" s="65" t="n"/>
      <c r="J229" s="65" t="n"/>
      <c r="K229" s="65" t="n"/>
      <c r="L229" s="65">
        <f>VLOOKUP(B229,'[2]DS THANG 11'!A$3:E$616,5,0)</f>
        <v/>
      </c>
      <c r="M229" s="65" t="n">
        <v>2100000</v>
      </c>
      <c r="N229" s="65" t="n"/>
      <c r="O229" s="65" t="n"/>
      <c r="P229" s="65" t="n"/>
      <c r="Q229" s="65" t="n"/>
      <c r="R229" s="65" t="n"/>
      <c r="S229" s="92">
        <f>G229-I229-R229-K229-M229-O229-Q229</f>
        <v/>
      </c>
      <c r="T229" s="92" t="inlineStr"/>
      <c r="U229" s="92" t="inlineStr"/>
      <c r="V229" s="69">
        <f>G229-SUM(I229,K229,M229,O229,Q229,U229)</f>
        <v/>
      </c>
      <c r="W229" s="65" t="n"/>
      <c r="X229" t="inlineStr">
        <is>
          <t>Khớp</t>
        </is>
      </c>
    </row>
    <row r="230">
      <c r="A230" s="65" t="n">
        <v>221</v>
      </c>
      <c r="B230" s="65" t="inlineStr">
        <is>
          <t>25800400020</t>
        </is>
      </c>
      <c r="C230" s="65" t="inlineStr">
        <is>
          <t>Lô Khánh</t>
        </is>
      </c>
      <c r="D230" s="65" t="inlineStr">
        <is>
          <t>Chương</t>
        </is>
      </c>
      <c r="E230" s="65" t="inlineStr">
        <is>
          <t>23/11/2007</t>
        </is>
      </c>
      <c r="F230" s="66" t="inlineStr">
        <is>
          <t>LNH0925ND01</t>
        </is>
      </c>
      <c r="G230" s="90" t="n">
        <v>4465000</v>
      </c>
      <c r="H230" s="65">
        <f>VLOOKUP(B230,'[1]TONG HOP'!B$5:G$624,6,0)</f>
        <v/>
      </c>
      <c r="I230" s="65" t="n">
        <v>2232500</v>
      </c>
      <c r="J230" s="65" t="n"/>
      <c r="K230" s="65" t="n"/>
      <c r="L230" s="65">
        <f>VLOOKUP(B230,'[2]DS THANG 11'!A$3:E$616,5,0)</f>
        <v/>
      </c>
      <c r="M230" s="65" t="n">
        <v>2232500</v>
      </c>
      <c r="N230" s="65" t="n"/>
      <c r="O230" s="65" t="n"/>
      <c r="P230" s="65" t="n"/>
      <c r="Q230" s="65" t="n"/>
      <c r="R230" s="65" t="n"/>
      <c r="S230" s="92">
        <f>G230-I230-R230-K230-M230-O230-Q230</f>
        <v/>
      </c>
      <c r="T230" s="92" t="inlineStr">
        <is>
          <t>LNH0526NQ20</t>
        </is>
      </c>
      <c r="U230" s="92" t="n">
        <v>2470000</v>
      </c>
      <c r="V230" s="69">
        <f>G230-SUM(I230,K230,M230,O230,Q230,U230)</f>
        <v/>
      </c>
      <c r="W230" s="65" t="n"/>
      <c r="X230" t="inlineStr">
        <is>
          <t>Khớp</t>
        </is>
      </c>
    </row>
    <row r="231">
      <c r="A231" s="65" t="n">
        <v>222</v>
      </c>
      <c r="B231" s="65" t="inlineStr">
        <is>
          <t>25806000044</t>
        </is>
      </c>
      <c r="C231" s="65" t="inlineStr">
        <is>
          <t>Mai Lan</t>
        </is>
      </c>
      <c r="D231" s="65" t="inlineStr">
        <is>
          <t>Vy</t>
        </is>
      </c>
      <c r="E231" s="65" t="inlineStr">
        <is>
          <t>21/02/2007</t>
        </is>
      </c>
      <c r="F231" s="66" t="inlineStr">
        <is>
          <t>LNH0925ND01</t>
        </is>
      </c>
      <c r="G231" s="90" t="n">
        <v>4465000</v>
      </c>
      <c r="H231" s="65">
        <f>VLOOKUP(B231,'[1]TONG HOP'!B$5:G$624,6,0)</f>
        <v/>
      </c>
      <c r="I231" s="65" t="n">
        <v>2232500</v>
      </c>
      <c r="J231" s="65" t="n"/>
      <c r="K231" s="65" t="n"/>
      <c r="L231" s="65">
        <f>VLOOKUP(B231,'[2]DS THANG 11'!A$3:E$616,5,0)</f>
        <v/>
      </c>
      <c r="M231" s="65" t="n">
        <v>2232500</v>
      </c>
      <c r="N231" s="65" t="n"/>
      <c r="O231" s="65" t="n"/>
      <c r="P231" s="65" t="n"/>
      <c r="Q231" s="65" t="n"/>
      <c r="R231" s="65" t="n"/>
      <c r="S231" s="92">
        <f>G231-I231-R231-K231-M231-O231-Q231</f>
        <v/>
      </c>
      <c r="T231" s="92" t="inlineStr"/>
      <c r="U231" s="92" t="inlineStr"/>
      <c r="V231" s="69">
        <f>G231-SUM(I231,K231,M231,O231,Q231,U231)</f>
        <v/>
      </c>
      <c r="W231" s="65" t="n"/>
      <c r="X231" t="inlineStr">
        <is>
          <t>Khớp</t>
        </is>
      </c>
    </row>
    <row r="232">
      <c r="A232" s="65" t="n">
        <v>223</v>
      </c>
      <c r="B232" s="65" t="inlineStr">
        <is>
          <t>25803000403</t>
        </is>
      </c>
      <c r="C232" s="65" t="inlineStr">
        <is>
          <t>Nguyễn Ngọc Mẩn</t>
        </is>
      </c>
      <c r="D232" s="65" t="inlineStr">
        <is>
          <t>Nghi</t>
        </is>
      </c>
      <c r="E232" s="65" t="inlineStr">
        <is>
          <t>19/03/2007</t>
        </is>
      </c>
      <c r="F232" s="66" t="inlineStr">
        <is>
          <t>LNH0925ND01</t>
        </is>
      </c>
      <c r="G232" s="90" t="n">
        <v>4465000</v>
      </c>
      <c r="H232" s="65">
        <f>VLOOKUP(B232,'[1]TONG HOP'!B$5:G$624,6,0)</f>
        <v/>
      </c>
      <c r="I232" s="65" t="n">
        <v>2232500</v>
      </c>
      <c r="J232" s="65" t="n"/>
      <c r="K232" s="65" t="n"/>
      <c r="L232" s="65">
        <f>VLOOKUP(B232,'[2]DS THANG 11'!A$3:E$616,5,0)</f>
        <v/>
      </c>
      <c r="M232" s="65" t="n">
        <v>2232500</v>
      </c>
      <c r="N232" s="65" t="n"/>
      <c r="O232" s="65" t="n"/>
      <c r="P232" s="65" t="n"/>
      <c r="Q232" s="65" t="n"/>
      <c r="R232" s="65" t="n"/>
      <c r="S232" s="92">
        <f>G232-I232-R232-K232-M232-O232-Q232</f>
        <v/>
      </c>
      <c r="T232" s="92" t="inlineStr"/>
      <c r="U232" s="92" t="inlineStr"/>
      <c r="V232" s="69">
        <f>G232-SUM(I232,K232,M232,O232,Q232,U232)</f>
        <v/>
      </c>
      <c r="W232" s="65" t="n"/>
      <c r="X232" t="inlineStr">
        <is>
          <t>Khớp</t>
        </is>
      </c>
    </row>
    <row r="233">
      <c r="A233" s="65" t="n">
        <v>224</v>
      </c>
      <c r="B233" s="65" t="inlineStr">
        <is>
          <t>25806000082</t>
        </is>
      </c>
      <c r="C233" s="65" t="inlineStr">
        <is>
          <t>Nguyễn Tú</t>
        </is>
      </c>
      <c r="D233" s="65" t="inlineStr">
        <is>
          <t>Trinh</t>
        </is>
      </c>
      <c r="E233" s="65" t="inlineStr">
        <is>
          <t>18/02/2007</t>
        </is>
      </c>
      <c r="F233" s="66" t="inlineStr">
        <is>
          <t>LNH0925ND01</t>
        </is>
      </c>
      <c r="G233" s="90" t="n">
        <v>4465000</v>
      </c>
      <c r="H233" s="65" t="n"/>
      <c r="I233" s="65" t="n"/>
      <c r="J233" s="65" t="n"/>
      <c r="K233" s="65" t="n"/>
      <c r="L233" s="65" t="n"/>
      <c r="M233" s="65" t="n"/>
      <c r="N233" s="65" t="n"/>
      <c r="O233" s="65" t="n"/>
      <c r="P233" s="65" t="n"/>
      <c r="Q233" s="65" t="n"/>
      <c r="R233" s="65" t="n"/>
      <c r="S233" s="92">
        <f>G233-I233-R233-K233-M233-O233-Q233</f>
        <v/>
      </c>
      <c r="T233" s="92" t="inlineStr"/>
      <c r="U233" s="92" t="inlineStr"/>
      <c r="V233" s="69">
        <f>G233-SUM(I233,K233,M233,O233,Q233,U233)</f>
        <v/>
      </c>
      <c r="W233" s="65" t="n"/>
      <c r="X233" t="inlineStr">
        <is>
          <t>Khớp</t>
        </is>
      </c>
    </row>
    <row r="234">
      <c r="A234" s="65" t="n">
        <v>225</v>
      </c>
      <c r="B234" s="65" t="inlineStr">
        <is>
          <t>25805900032</t>
        </is>
      </c>
      <c r="C234" s="65" t="inlineStr">
        <is>
          <t>Nguyễn Lê</t>
        </is>
      </c>
      <c r="D234" s="65" t="inlineStr">
        <is>
          <t>Phát</t>
        </is>
      </c>
      <c r="E234" s="65" t="inlineStr">
        <is>
          <t>27/06/2007</t>
        </is>
      </c>
      <c r="F234" s="66" t="inlineStr">
        <is>
          <t>LNH0925ND01</t>
        </is>
      </c>
      <c r="G234" s="90" t="n">
        <v>4465000</v>
      </c>
      <c r="H234" s="65">
        <f>VLOOKUP(B234,'[1]TONG HOP'!B$5:G$624,6,0)</f>
        <v/>
      </c>
      <c r="I234" s="65" t="n">
        <v>2232500</v>
      </c>
      <c r="J234" s="65" t="n"/>
      <c r="K234" s="65" t="n"/>
      <c r="L234" s="65">
        <f>VLOOKUP(B234,'[2]DS THANG 11'!A$3:E$616,5,0)</f>
        <v/>
      </c>
      <c r="M234" s="65" t="n">
        <v>2232500</v>
      </c>
      <c r="N234" s="65" t="n"/>
      <c r="O234" s="65" t="n"/>
      <c r="P234" s="65" t="n"/>
      <c r="Q234" s="65" t="n"/>
      <c r="R234" s="65" t="n"/>
      <c r="S234" s="92">
        <f>G234-I234-R234-K234-M234-O234-Q234</f>
        <v/>
      </c>
      <c r="T234" s="92" t="inlineStr"/>
      <c r="U234" s="92" t="inlineStr"/>
      <c r="V234" s="69">
        <f>G234-SUM(I234,K234,M234,O234,Q234,U234)</f>
        <v/>
      </c>
      <c r="W234" s="65" t="n"/>
      <c r="X234" t="inlineStr">
        <is>
          <t>Khớp</t>
        </is>
      </c>
    </row>
    <row r="235">
      <c r="A235" s="65" t="n">
        <v>226</v>
      </c>
      <c r="B235" s="65" t="inlineStr">
        <is>
          <t>25808900095</t>
        </is>
      </c>
      <c r="C235" s="65" t="inlineStr">
        <is>
          <t>Nguyễn Hữu</t>
        </is>
      </c>
      <c r="D235" s="65" t="inlineStr">
        <is>
          <t>Phát</t>
        </is>
      </c>
      <c r="E235" s="65" t="inlineStr">
        <is>
          <t>28/11/2006</t>
        </is>
      </c>
      <c r="F235" s="66" t="inlineStr">
        <is>
          <t>LNH0925ND01</t>
        </is>
      </c>
      <c r="G235" s="90" t="n">
        <v>4465000</v>
      </c>
      <c r="H235" s="65">
        <f>VLOOKUP(B235,'[1]TONG HOP'!B$5:G$624,6,0)</f>
        <v/>
      </c>
      <c r="I235" s="65" t="n">
        <v>2232500</v>
      </c>
      <c r="J235" s="65" t="n"/>
      <c r="K235" s="65" t="n"/>
      <c r="L235" s="65">
        <f>VLOOKUP(B235,'[2]DS THANG 11'!A$3:E$616,5,0)</f>
        <v/>
      </c>
      <c r="M235" s="65" t="n">
        <v>2232500</v>
      </c>
      <c r="N235" s="65" t="n"/>
      <c r="O235" s="65" t="n"/>
      <c r="P235" s="65" t="n"/>
      <c r="Q235" s="65" t="n"/>
      <c r="R235" s="65" t="n"/>
      <c r="S235" s="92">
        <f>G235-I235-R235-K235-M235-O235-Q235</f>
        <v/>
      </c>
      <c r="T235" s="92" t="inlineStr">
        <is>
          <t>LNH0526NQ07</t>
        </is>
      </c>
      <c r="U235" s="92" t="n">
        <v>2470000</v>
      </c>
      <c r="V235" s="69">
        <f>G235-SUM(I235,K235,M235,O235,Q235,U235)</f>
        <v/>
      </c>
      <c r="W235" s="65" t="n"/>
      <c r="X235" t="inlineStr">
        <is>
          <t>Khớp</t>
        </is>
      </c>
    </row>
    <row r="236">
      <c r="A236" s="65" t="n">
        <v>227</v>
      </c>
      <c r="B236" s="65" t="inlineStr">
        <is>
          <t>25807800199</t>
        </is>
      </c>
      <c r="C236" s="65" t="inlineStr">
        <is>
          <t>Trần Vĩnh</t>
        </is>
      </c>
      <c r="D236" s="65" t="inlineStr">
        <is>
          <t>Phúc</t>
        </is>
      </c>
      <c r="E236" s="65" t="inlineStr">
        <is>
          <t>28/09/2007</t>
        </is>
      </c>
      <c r="F236" s="66" t="inlineStr">
        <is>
          <t>LNH0925ND01</t>
        </is>
      </c>
      <c r="G236" s="90" t="n">
        <v>4465000</v>
      </c>
      <c r="H236" s="65">
        <f>VLOOKUP(B236,'[1]TONG HOP'!B$5:G$624,6,0)</f>
        <v/>
      </c>
      <c r="I236" s="65" t="n">
        <v>2232500</v>
      </c>
      <c r="J236" s="65" t="n"/>
      <c r="K236" s="65" t="n"/>
      <c r="L236" s="65">
        <f>VLOOKUP(B236,'[2]DS THANG 11'!A$3:E$616,5,0)</f>
        <v/>
      </c>
      <c r="M236" s="65" t="n">
        <v>2232500</v>
      </c>
      <c r="N236" s="65" t="n"/>
      <c r="O236" s="65" t="n"/>
      <c r="P236" s="65" t="n"/>
      <c r="Q236" s="65" t="n"/>
      <c r="R236" s="65" t="n"/>
      <c r="S236" s="92">
        <f>G236-I236-R236-K236-M236-O236-Q236</f>
        <v/>
      </c>
      <c r="T236" s="92" t="inlineStr"/>
      <c r="U236" s="92" t="inlineStr"/>
      <c r="V236" s="69">
        <f>G236-SUM(I236,K236,M236,O236,Q236,U236)</f>
        <v/>
      </c>
      <c r="W236" s="65" t="n"/>
      <c r="X236" t="inlineStr">
        <is>
          <t>Khớp</t>
        </is>
      </c>
    </row>
    <row r="237">
      <c r="A237" s="65" t="n">
        <v>228</v>
      </c>
      <c r="B237" s="65" t="inlineStr">
        <is>
          <t>25820500007</t>
        </is>
      </c>
      <c r="C237" s="65" t="inlineStr">
        <is>
          <t>Trần Vũ Anh</t>
        </is>
      </c>
      <c r="D237" s="65" t="inlineStr">
        <is>
          <t>Kiệt</t>
        </is>
      </c>
      <c r="E237" s="65" t="inlineStr">
        <is>
          <t>15/09/2007</t>
        </is>
      </c>
      <c r="F237" s="66" t="inlineStr">
        <is>
          <t>LNH0925ND01</t>
        </is>
      </c>
      <c r="G237" s="90" t="n">
        <v>4465000</v>
      </c>
      <c r="H237" s="65">
        <f>VLOOKUP(B237,'[1]TONG HOP'!B$5:G$624,6,0)</f>
        <v/>
      </c>
      <c r="I237" s="65" t="n">
        <v>2232500</v>
      </c>
      <c r="J237" s="65" t="n"/>
      <c r="K237" s="65" t="n"/>
      <c r="L237" s="65">
        <f>VLOOKUP(B237,'[2]DS THANG 11'!A$3:E$616,5,0)</f>
        <v/>
      </c>
      <c r="M237" s="65" t="n">
        <v>2232500</v>
      </c>
      <c r="N237" s="65" t="n"/>
      <c r="O237" s="65" t="n"/>
      <c r="P237" s="65" t="n"/>
      <c r="Q237" s="65" t="n"/>
      <c r="R237" s="65" t="n"/>
      <c r="S237" s="92">
        <f>G237-I237-R237-K237-M237-O237-Q237</f>
        <v/>
      </c>
      <c r="T237" s="92" t="inlineStr"/>
      <c r="U237" s="92" t="inlineStr"/>
      <c r="V237" s="69">
        <f>G237-SUM(I237,K237,M237,O237,Q237,U237)</f>
        <v/>
      </c>
      <c r="W237" s="65" t="n"/>
      <c r="X237" t="inlineStr">
        <is>
          <t>Khớp</t>
        </is>
      </c>
    </row>
    <row r="238">
      <c r="A238" s="65" t="n">
        <v>229</v>
      </c>
      <c r="B238" s="65" t="inlineStr">
        <is>
          <t>25801100105</t>
        </is>
      </c>
      <c r="C238" s="65" t="inlineStr">
        <is>
          <t>Võ Anh</t>
        </is>
      </c>
      <c r="D238" s="65" t="inlineStr">
        <is>
          <t>Tuấn</t>
        </is>
      </c>
      <c r="E238" s="65" t="inlineStr">
        <is>
          <t>17/07/2007</t>
        </is>
      </c>
      <c r="F238" s="66" t="inlineStr">
        <is>
          <t>LNH0925ND01</t>
        </is>
      </c>
      <c r="G238" s="90" t="n">
        <v>4465000</v>
      </c>
      <c r="H238" s="65">
        <f>VLOOKUP(B238,'[1]TONG HOP'!B$5:G$624,6,0)</f>
        <v/>
      </c>
      <c r="I238" s="65" t="n">
        <v>2232500</v>
      </c>
      <c r="J238" s="65" t="n"/>
      <c r="K238" s="65" t="n"/>
      <c r="L238" s="65">
        <f>VLOOKUP(B238,'[2]DS THANG 11'!A$3:E$616,5,0)</f>
        <v/>
      </c>
      <c r="M238" s="65" t="n">
        <v>2232500</v>
      </c>
      <c r="N238" s="65" t="n"/>
      <c r="O238" s="65" t="n"/>
      <c r="P238" s="65" t="n"/>
      <c r="Q238" s="65" t="n"/>
      <c r="R238" s="65" t="n"/>
      <c r="S238" s="92">
        <f>G238-I238-R238-K238-M238-O238-Q238</f>
        <v/>
      </c>
      <c r="T238" s="92" t="inlineStr"/>
      <c r="U238" s="92" t="inlineStr"/>
      <c r="V238" s="69">
        <f>G238-SUM(I238,K238,M238,O238,Q238,U238)</f>
        <v/>
      </c>
      <c r="W238" s="65" t="n"/>
      <c r="X238" t="inlineStr">
        <is>
          <t>Khớp</t>
        </is>
      </c>
    </row>
    <row r="239">
      <c r="A239" s="65" t="n">
        <v>230</v>
      </c>
      <c r="B239" s="65" t="inlineStr">
        <is>
          <t>25808900055</t>
        </is>
      </c>
      <c r="C239" s="65" t="inlineStr">
        <is>
          <t>Huỳnh Ngọc Nguyên</t>
        </is>
      </c>
      <c r="D239" s="65" t="inlineStr">
        <is>
          <t>Khanh</t>
        </is>
      </c>
      <c r="E239" s="65" t="inlineStr">
        <is>
          <t>02/01/2007</t>
        </is>
      </c>
      <c r="F239" s="66" t="inlineStr">
        <is>
          <t>LNH0925ND01</t>
        </is>
      </c>
      <c r="G239" s="90" t="n">
        <v>4465000</v>
      </c>
      <c r="H239" s="65">
        <f>VLOOKUP(B239,'[1]TONG HOP'!B$5:G$624,6,0)</f>
        <v/>
      </c>
      <c r="I239" s="65" t="n">
        <v>2232500</v>
      </c>
      <c r="J239" s="65" t="n"/>
      <c r="K239" s="65" t="n"/>
      <c r="L239" s="65">
        <f>VLOOKUP(B239,'[2]DS THANG 11'!A$3:E$616,5,0)</f>
        <v/>
      </c>
      <c r="M239" s="65" t="n">
        <v>2232500</v>
      </c>
      <c r="N239" s="65" t="n"/>
      <c r="O239" s="65" t="n"/>
      <c r="P239" s="65" t="n"/>
      <c r="Q239" s="65" t="n"/>
      <c r="R239" s="65" t="n"/>
      <c r="S239" s="92">
        <f>G239-I239-R239-K239-M239-O239-Q239</f>
        <v/>
      </c>
      <c r="T239" s="92" t="inlineStr">
        <is>
          <t>LNH0526NQ05</t>
        </is>
      </c>
      <c r="U239" s="92" t="n">
        <v>2600000</v>
      </c>
      <c r="V239" s="69">
        <f>G239-SUM(I239,K239,M239,O239,Q239,U239)</f>
        <v/>
      </c>
      <c r="W239" s="65" t="n"/>
      <c r="X239" t="inlineStr">
        <is>
          <t>Khớp</t>
        </is>
      </c>
    </row>
    <row r="240">
      <c r="A240" s="65" t="n">
        <v>231</v>
      </c>
      <c r="B240" s="65" t="inlineStr">
        <is>
          <t>25808600139</t>
        </is>
      </c>
      <c r="C240" s="65" t="inlineStr">
        <is>
          <t>Nguyễn Thanh</t>
        </is>
      </c>
      <c r="D240" s="65" t="inlineStr">
        <is>
          <t>Trúc</t>
        </is>
      </c>
      <c r="E240" s="65" t="inlineStr">
        <is>
          <t>25/05/2007</t>
        </is>
      </c>
      <c r="F240" s="66" t="inlineStr">
        <is>
          <t>LNH0925ND01</t>
        </is>
      </c>
      <c r="G240" s="90" t="n">
        <v>4465000</v>
      </c>
      <c r="H240" s="65">
        <f>VLOOKUP(B240,'[1]TONG HOP'!B$5:G$624,6,0)</f>
        <v/>
      </c>
      <c r="I240" s="65" t="n">
        <v>2232500</v>
      </c>
      <c r="J240" s="65" t="n"/>
      <c r="K240" s="65" t="n"/>
      <c r="L240" s="65">
        <f>VLOOKUP(B240,'[2]DS THANG 11'!A$3:E$616,5,0)</f>
        <v/>
      </c>
      <c r="M240" s="65" t="n">
        <v>2232500</v>
      </c>
      <c r="N240" s="65" t="n"/>
      <c r="O240" s="65" t="n"/>
      <c r="P240" s="65" t="n"/>
      <c r="Q240" s="65" t="n"/>
      <c r="R240" s="65" t="n"/>
      <c r="S240" s="92">
        <f>G240-I240-R240-K240-M240-O240-Q240</f>
        <v/>
      </c>
      <c r="T240" s="92" t="inlineStr"/>
      <c r="U240" s="92" t="inlineStr"/>
      <c r="V240" s="69">
        <f>G240-SUM(I240,K240,M240,O240,Q240,U240)</f>
        <v/>
      </c>
      <c r="W240" s="65" t="n"/>
      <c r="X240" t="inlineStr">
        <is>
          <t>Khớp</t>
        </is>
      </c>
    </row>
    <row r="241">
      <c r="A241" s="65" t="n">
        <v>232</v>
      </c>
      <c r="B241" s="65" t="inlineStr">
        <is>
          <t>25800400145</t>
        </is>
      </c>
      <c r="C241" s="65" t="inlineStr">
        <is>
          <t>Lê Đăng</t>
        </is>
      </c>
      <c r="D241" s="65" t="inlineStr">
        <is>
          <t>Thiên</t>
        </is>
      </c>
      <c r="E241" s="65" t="inlineStr">
        <is>
          <t>10/10/2007</t>
        </is>
      </c>
      <c r="F241" s="66" t="inlineStr">
        <is>
          <t>LNH0925ND01</t>
        </is>
      </c>
      <c r="G241" s="90" t="n">
        <v>4465000</v>
      </c>
      <c r="H241" s="65">
        <f>VLOOKUP(B241,'[1]TONG HOP'!B$5:G$624,6,0)</f>
        <v/>
      </c>
      <c r="I241" s="65" t="n">
        <v>2232500</v>
      </c>
      <c r="J241" s="65" t="n"/>
      <c r="K241" s="65" t="n"/>
      <c r="L241" s="65" t="n"/>
      <c r="M241" s="65" t="n"/>
      <c r="N241" s="65" t="n"/>
      <c r="O241" s="65" t="n"/>
      <c r="P241" s="65" t="n"/>
      <c r="Q241" s="65" t="n"/>
      <c r="R241" s="65" t="n"/>
      <c r="S241" s="92">
        <f>G241-I241-R241-K241-M241-O241-Q241</f>
        <v/>
      </c>
      <c r="T241" s="92" t="inlineStr"/>
      <c r="U241" s="92" t="inlineStr"/>
      <c r="V241" s="69">
        <f>G241-SUM(I241,K241,M241,O241,Q241,U241)</f>
        <v/>
      </c>
      <c r="W241" s="65" t="n"/>
      <c r="X241" t="inlineStr">
        <is>
          <t>Không tồn tại trong K.Hiền</t>
        </is>
      </c>
    </row>
    <row r="242">
      <c r="A242" s="65" t="n">
        <v>233</v>
      </c>
      <c r="B242" s="65" t="inlineStr">
        <is>
          <t>25801000013</t>
        </is>
      </c>
      <c r="C242" s="65" t="inlineStr">
        <is>
          <t>Trần Đặng Kim</t>
        </is>
      </c>
      <c r="D242" s="65" t="inlineStr">
        <is>
          <t>Ngân</t>
        </is>
      </c>
      <c r="E242" s="65" t="inlineStr">
        <is>
          <t>17/10/2007</t>
        </is>
      </c>
      <c r="F242" s="66" t="inlineStr">
        <is>
          <t>LNH0925ND01</t>
        </is>
      </c>
      <c r="G242" s="90" t="n">
        <v>4465000</v>
      </c>
      <c r="H242" s="65">
        <f>VLOOKUP(B242,'[1]TONG HOP'!B$5:G$624,6,0)</f>
        <v/>
      </c>
      <c r="I242" s="65" t="n">
        <v>2232500</v>
      </c>
      <c r="J242" s="65" t="n"/>
      <c r="K242" s="65" t="n"/>
      <c r="L242" s="65">
        <f>VLOOKUP(B242,'[2]DS THANG 11'!A$3:E$616,5,0)</f>
        <v/>
      </c>
      <c r="M242" s="65" t="n">
        <v>2232500</v>
      </c>
      <c r="N242" s="65" t="n"/>
      <c r="O242" s="65" t="n"/>
      <c r="P242" s="65" t="n"/>
      <c r="Q242" s="65" t="n"/>
      <c r="R242" s="65" t="n"/>
      <c r="S242" s="92">
        <f>G242-I242-R242-K242-M242-O242-Q242</f>
        <v/>
      </c>
      <c r="T242" s="92" t="inlineStr">
        <is>
          <t>LNH0526NQ15</t>
        </is>
      </c>
      <c r="U242" s="92" t="n">
        <v>2470000</v>
      </c>
      <c r="V242" s="69">
        <f>G242-SUM(I242,K242,M242,O242,Q242,U242)</f>
        <v/>
      </c>
      <c r="W242" s="65" t="n"/>
      <c r="X242" t="inlineStr">
        <is>
          <t>Khớp</t>
        </is>
      </c>
    </row>
    <row r="243">
      <c r="A243" s="65" t="n">
        <v>234</v>
      </c>
      <c r="B243" s="65" t="inlineStr">
        <is>
          <t>25801600005</t>
        </is>
      </c>
      <c r="C243" s="65" t="inlineStr">
        <is>
          <t>Ngô Khắc Vân</t>
        </is>
      </c>
      <c r="D243" s="65" t="inlineStr">
        <is>
          <t>Anh</t>
        </is>
      </c>
      <c r="E243" s="65" t="inlineStr">
        <is>
          <t>18/03/2007</t>
        </is>
      </c>
      <c r="F243" s="66" t="inlineStr">
        <is>
          <t>LNH0925ND01</t>
        </is>
      </c>
      <c r="G243" s="90" t="n">
        <v>4465000</v>
      </c>
      <c r="H243" s="65">
        <f>VLOOKUP(B243,'[1]TONG HOP'!B$5:G$624,6,0)</f>
        <v/>
      </c>
      <c r="I243" s="65" t="n">
        <v>2232500</v>
      </c>
      <c r="J243" s="65" t="n"/>
      <c r="K243" s="65" t="n"/>
      <c r="L243" s="65">
        <f>VLOOKUP(B243,'[2]DS THANG 11'!A$3:E$616,5,0)</f>
        <v/>
      </c>
      <c r="M243" s="65" t="n">
        <v>2232500</v>
      </c>
      <c r="N243" s="65" t="n"/>
      <c r="O243" s="65" t="n"/>
      <c r="P243" s="65" t="n"/>
      <c r="Q243" s="65" t="n"/>
      <c r="R243" s="65" t="n"/>
      <c r="S243" s="92">
        <f>G243-I243-R243-K243-M243-O243-Q243</f>
        <v/>
      </c>
      <c r="T243" s="92" t="inlineStr"/>
      <c r="U243" s="92" t="inlineStr"/>
      <c r="V243" s="69">
        <f>G243-SUM(I243,K243,M243,O243,Q243,U243)</f>
        <v/>
      </c>
      <c r="W243" s="65" t="n"/>
      <c r="X243" t="inlineStr">
        <is>
          <t>Khớp</t>
        </is>
      </c>
    </row>
    <row r="244">
      <c r="A244" s="65" t="n">
        <v>235</v>
      </c>
      <c r="B244" s="65" t="inlineStr">
        <is>
          <t>25801800033</t>
        </is>
      </c>
      <c r="C244" s="65" t="inlineStr">
        <is>
          <t>Đoàn Đắc</t>
        </is>
      </c>
      <c r="D244" s="65" t="inlineStr">
        <is>
          <t>Mạnh</t>
        </is>
      </c>
      <c r="E244" s="65" t="inlineStr">
        <is>
          <t>24/09/2007</t>
        </is>
      </c>
      <c r="F244" s="66" t="inlineStr">
        <is>
          <t>LNH0925ND01</t>
        </is>
      </c>
      <c r="G244" s="90" t="n">
        <v>4465000</v>
      </c>
      <c r="H244" s="65" t="n"/>
      <c r="I244" s="65" t="n"/>
      <c r="J244" s="65" t="n"/>
      <c r="K244" s="65" t="n"/>
      <c r="L244" s="65">
        <f>VLOOKUP(B244,'[2]DS THANG 11'!A$3:E$616,5,0)</f>
        <v/>
      </c>
      <c r="M244" s="65" t="n">
        <v>2232500</v>
      </c>
      <c r="N244" s="65" t="n"/>
      <c r="O244" s="65" t="n"/>
      <c r="P244" s="65">
        <f>VLOOKUP(B244,'[3]TONG HOP '!B$5:O$666,14,0)</f>
        <v/>
      </c>
      <c r="Q244" s="65" t="n">
        <v>2232500</v>
      </c>
      <c r="R244" s="65" t="n"/>
      <c r="S244" s="92">
        <f>G244-I244-R244-K244-M244-O244-Q244</f>
        <v/>
      </c>
      <c r="T244" s="92" t="inlineStr"/>
      <c r="U244" s="92" t="inlineStr"/>
      <c r="V244" s="69">
        <f>G244-SUM(I244,K244,M244,O244,Q244,U244)</f>
        <v/>
      </c>
      <c r="W244" s="65" t="n"/>
      <c r="X244" t="inlineStr">
        <is>
          <t>Khớp</t>
        </is>
      </c>
    </row>
    <row r="245">
      <c r="A245" s="65" t="n">
        <v>236</v>
      </c>
      <c r="B245" s="65" t="inlineStr">
        <is>
          <t>25806800008</t>
        </is>
      </c>
      <c r="C245" s="65" t="inlineStr">
        <is>
          <t>Bàng Thanh</t>
        </is>
      </c>
      <c r="D245" s="65" t="inlineStr">
        <is>
          <t>Bảo</t>
        </is>
      </c>
      <c r="E245" s="65" t="inlineStr">
        <is>
          <t>06/02/2007</t>
        </is>
      </c>
      <c r="F245" s="66" t="inlineStr">
        <is>
          <t>LNH0925ND01</t>
        </is>
      </c>
      <c r="G245" s="90" t="n">
        <v>4465000</v>
      </c>
      <c r="H245" s="65">
        <f>VLOOKUP(B245,'[1]TONG HOP'!B$5:G$624,6,0)</f>
        <v/>
      </c>
      <c r="I245" s="65" t="n">
        <v>2232500</v>
      </c>
      <c r="J245" s="65" t="n"/>
      <c r="K245" s="65" t="n"/>
      <c r="L245" s="65">
        <f>VLOOKUP(B245,'[2]DS THANG 11'!A$3:E$616,5,0)</f>
        <v/>
      </c>
      <c r="M245" s="65" t="n">
        <v>2232500</v>
      </c>
      <c r="N245" s="65" t="n"/>
      <c r="O245" s="65" t="n"/>
      <c r="P245" s="65" t="n"/>
      <c r="Q245" s="65" t="n"/>
      <c r="R245" s="65" t="n"/>
      <c r="S245" s="92">
        <f>G245-I245-R245-K245-M245-O245-Q245</f>
        <v/>
      </c>
      <c r="T245" s="92" t="inlineStr">
        <is>
          <t>LNH0526NQ06</t>
        </is>
      </c>
      <c r="U245" s="92" t="n">
        <v>2470000</v>
      </c>
      <c r="V245" s="69">
        <f>G245-SUM(I245,K245,M245,O245,Q245,U245)</f>
        <v/>
      </c>
      <c r="W245" s="65" t="n"/>
      <c r="X245" t="inlineStr">
        <is>
          <t>Khớp</t>
        </is>
      </c>
    </row>
    <row r="246">
      <c r="A246" s="65" t="n">
        <v>237</v>
      </c>
      <c r="B246" s="65" t="inlineStr">
        <is>
          <t>25808200180</t>
        </is>
      </c>
      <c r="C246" s="65" t="inlineStr">
        <is>
          <t>Trần Phước</t>
        </is>
      </c>
      <c r="D246" s="65" t="inlineStr">
        <is>
          <t>Đạt</t>
        </is>
      </c>
      <c r="E246" s="65" t="inlineStr">
        <is>
          <t>03/01/2007</t>
        </is>
      </c>
      <c r="F246" s="66" t="inlineStr">
        <is>
          <t>LNH0925ND01</t>
        </is>
      </c>
      <c r="G246" s="90" t="n">
        <v>4465000</v>
      </c>
      <c r="H246" s="65">
        <f>VLOOKUP(B246,'[1]TONG HOP'!B$5:G$624,6,0)</f>
        <v/>
      </c>
      <c r="I246" s="65" t="n">
        <v>2232500</v>
      </c>
      <c r="J246" s="65" t="n"/>
      <c r="K246" s="65" t="n"/>
      <c r="L246" s="65">
        <f>VLOOKUP(B246,'[2]DS THANG 11'!A$3:E$616,5,0)</f>
        <v/>
      </c>
      <c r="M246" s="65" t="n">
        <v>2232500</v>
      </c>
      <c r="N246" s="65" t="n"/>
      <c r="O246" s="65" t="n"/>
      <c r="P246" s="65" t="n"/>
      <c r="Q246" s="65" t="n"/>
      <c r="R246" s="65" t="n"/>
      <c r="S246" s="92">
        <f>G246-I246-R246-K246-M246-O246-Q246</f>
        <v/>
      </c>
      <c r="T246" s="92" t="inlineStr"/>
      <c r="U246" s="92" t="inlineStr"/>
      <c r="V246" s="69">
        <f>G246-SUM(I246,K246,M246,O246,Q246,U246)</f>
        <v/>
      </c>
      <c r="W246" s="65" t="n"/>
      <c r="X246" t="inlineStr">
        <is>
          <t>Khớp</t>
        </is>
      </c>
    </row>
    <row r="247">
      <c r="A247" s="65" t="n">
        <v>238</v>
      </c>
      <c r="B247" s="65" t="inlineStr">
        <is>
          <t>25800400130</t>
        </is>
      </c>
      <c r="C247" s="65" t="inlineStr">
        <is>
          <t>Nguyễn Lưu Đông</t>
        </is>
      </c>
      <c r="D247" s="65" t="inlineStr">
        <is>
          <t>Quân</t>
        </is>
      </c>
      <c r="E247" s="65" t="inlineStr">
        <is>
          <t>27/06/2007</t>
        </is>
      </c>
      <c r="F247" s="66" t="inlineStr">
        <is>
          <t>LNH0925ND01</t>
        </is>
      </c>
      <c r="G247" s="90" t="n">
        <v>4465000</v>
      </c>
      <c r="H247" s="65">
        <f>VLOOKUP(B247,'[1]TONG HOP'!B$5:G$624,6,0)</f>
        <v/>
      </c>
      <c r="I247" s="65" t="n">
        <v>2232500</v>
      </c>
      <c r="J247" s="65" t="n"/>
      <c r="K247" s="65" t="n"/>
      <c r="L247" s="65">
        <f>VLOOKUP(B247,'[2]DS THANG 11'!A$3:E$616,5,0)</f>
        <v/>
      </c>
      <c r="M247" s="65" t="n">
        <v>2232500</v>
      </c>
      <c r="N247" s="65" t="n"/>
      <c r="O247" s="65" t="n"/>
      <c r="P247" s="65" t="n"/>
      <c r="Q247" s="65" t="n"/>
      <c r="R247" s="65" t="n"/>
      <c r="S247" s="92">
        <f>G247-I247-R247-K247-M247-O247-Q247</f>
        <v/>
      </c>
      <c r="T247" s="92" t="inlineStr"/>
      <c r="U247" s="92" t="inlineStr"/>
      <c r="V247" s="69">
        <f>G247-SUM(I247,K247,M247,O247,Q247,U247)</f>
        <v/>
      </c>
      <c r="W247" s="65" t="n"/>
      <c r="X247" t="inlineStr">
        <is>
          <t>Khớp</t>
        </is>
      </c>
    </row>
    <row r="248">
      <c r="A248" s="65" t="n">
        <v>239</v>
      </c>
      <c r="B248" s="65" t="inlineStr">
        <is>
          <t>25802800014</t>
        </is>
      </c>
      <c r="C248" s="65" t="inlineStr">
        <is>
          <t>Bùi Võ Thiên</t>
        </is>
      </c>
      <c r="D248" s="65" t="inlineStr">
        <is>
          <t>Ân</t>
        </is>
      </c>
      <c r="E248" s="65" t="inlineStr">
        <is>
          <t>01/01/2007</t>
        </is>
      </c>
      <c r="F248" s="66" t="inlineStr">
        <is>
          <t>LNH0925ND01</t>
        </is>
      </c>
      <c r="G248" s="90" t="n">
        <v>4465000</v>
      </c>
      <c r="H248" s="65">
        <f>VLOOKUP(B248,'[1]TONG HOP'!B$5:G$624,6,0)</f>
        <v/>
      </c>
      <c r="I248" s="65" t="n">
        <v>2232500</v>
      </c>
      <c r="J248" s="65" t="n"/>
      <c r="K248" s="65" t="n"/>
      <c r="L248" s="65">
        <f>VLOOKUP(B248,'[2]DS THANG 11'!A$3:E$616,5,0)</f>
        <v/>
      </c>
      <c r="M248" s="65" t="n">
        <v>2232500</v>
      </c>
      <c r="N248" s="65" t="n"/>
      <c r="O248" s="65" t="n"/>
      <c r="P248" s="65" t="n"/>
      <c r="Q248" s="65" t="n"/>
      <c r="R248" s="65" t="n"/>
      <c r="S248" s="92">
        <f>G248-I248-R248-K248-M248-O248-Q248</f>
        <v/>
      </c>
      <c r="T248" s="92" t="inlineStr"/>
      <c r="U248" s="92" t="inlineStr"/>
      <c r="V248" s="69">
        <f>G248-SUM(I248,K248,M248,O248,Q248,U248)</f>
        <v/>
      </c>
      <c r="W248" s="65" t="n"/>
      <c r="X248" t="inlineStr">
        <is>
          <t>Khớp</t>
        </is>
      </c>
    </row>
    <row r="249">
      <c r="A249" s="65" t="n">
        <v>240</v>
      </c>
      <c r="B249" s="65" t="inlineStr">
        <is>
          <t>25808200061</t>
        </is>
      </c>
      <c r="C249" s="65" t="inlineStr">
        <is>
          <t>Nguyễn Huy</t>
        </is>
      </c>
      <c r="D249" s="65" t="inlineStr">
        <is>
          <t>Kha</t>
        </is>
      </c>
      <c r="E249" s="65" t="inlineStr">
        <is>
          <t>01/01/2007</t>
        </is>
      </c>
      <c r="F249" s="66" t="inlineStr">
        <is>
          <t>LNH0925ND01</t>
        </is>
      </c>
      <c r="G249" s="90" t="n">
        <v>4940000</v>
      </c>
      <c r="H249" s="65" t="n"/>
      <c r="I249" s="65" t="n"/>
      <c r="J249" s="65" t="n"/>
      <c r="K249" s="65" t="n"/>
      <c r="L249" s="65" t="n"/>
      <c r="M249" s="65" t="n"/>
      <c r="N249" s="65" t="n"/>
      <c r="O249" s="65" t="n"/>
      <c r="P249" s="65">
        <f>VLOOKUP(B249,'[3]TONG HOP '!B$5:O$666,14,0)</f>
        <v/>
      </c>
      <c r="Q249" s="65" t="n">
        <v>2470000</v>
      </c>
      <c r="R249" s="65" t="n"/>
      <c r="S249" s="92">
        <f>G249-I249-R249-K249-M249-O249-Q249</f>
        <v/>
      </c>
      <c r="T249" s="92" t="inlineStr">
        <is>
          <t>LNH0526NQ18</t>
        </is>
      </c>
      <c r="U249" s="92" t="n">
        <v>2470000</v>
      </c>
      <c r="V249" s="69">
        <f>G249-SUM(I249,K249,M249,O249,Q249,U249)</f>
        <v/>
      </c>
      <c r="W249" s="65" t="n"/>
      <c r="X249" t="inlineStr">
        <is>
          <t>Khớp</t>
        </is>
      </c>
    </row>
    <row r="250">
      <c r="A250" s="65" t="n">
        <v>241</v>
      </c>
      <c r="B250" s="65" t="inlineStr">
        <is>
          <t>25808200014</t>
        </is>
      </c>
      <c r="C250" s="65" t="inlineStr">
        <is>
          <t>Đinh Đăng</t>
        </is>
      </c>
      <c r="D250" s="65" t="inlineStr">
        <is>
          <t>Bảo</t>
        </is>
      </c>
      <c r="E250" s="65" t="inlineStr">
        <is>
          <t>23/06/2007</t>
        </is>
      </c>
      <c r="F250" s="66" t="inlineStr">
        <is>
          <t>LNH0925ND01</t>
        </is>
      </c>
      <c r="G250" s="90" t="n">
        <v>4940000</v>
      </c>
      <c r="H250" s="65" t="n"/>
      <c r="I250" s="65" t="n"/>
      <c r="J250" s="65" t="n"/>
      <c r="K250" s="65" t="n"/>
      <c r="L250" s="65" t="n"/>
      <c r="M250" s="65" t="n"/>
      <c r="N250" s="65" t="n"/>
      <c r="O250" s="65" t="n"/>
      <c r="P250" s="65">
        <f>VLOOKUP(B250,'[3]TONG HOP '!B$5:O$666,14,0)</f>
        <v/>
      </c>
      <c r="Q250" s="65" t="n">
        <v>2470000</v>
      </c>
      <c r="R250" s="65" t="n"/>
      <c r="S250" s="92">
        <f>G250-I250-R250-K250-M250-O250-Q250</f>
        <v/>
      </c>
      <c r="T250" s="92" t="inlineStr">
        <is>
          <t>LNH0526NQ15</t>
        </is>
      </c>
      <c r="U250" s="92" t="n">
        <v>2470000</v>
      </c>
      <c r="V250" s="69">
        <f>G250-SUM(I250,K250,M250,O250,Q250,U250)</f>
        <v/>
      </c>
      <c r="W250" s="65" t="n"/>
      <c r="X250" t="inlineStr">
        <is>
          <t>Khớp</t>
        </is>
      </c>
    </row>
    <row r="251">
      <c r="A251" s="65" t="n">
        <v>242</v>
      </c>
      <c r="B251" s="65" t="inlineStr">
        <is>
          <t>25806300036</t>
        </is>
      </c>
      <c r="C251" s="65" t="inlineStr">
        <is>
          <t>Huỳnh Minh</t>
        </is>
      </c>
      <c r="D251" s="65" t="inlineStr">
        <is>
          <t>Trí</t>
        </is>
      </c>
      <c r="E251" s="65" t="inlineStr">
        <is>
          <t>01/10/2007</t>
        </is>
      </c>
      <c r="F251" s="66" t="inlineStr">
        <is>
          <t>LNH0925ND01</t>
        </is>
      </c>
      <c r="G251" s="90" t="n">
        <v>4940000</v>
      </c>
      <c r="H251" s="65" t="n"/>
      <c r="I251" s="65" t="n"/>
      <c r="J251" s="65" t="n"/>
      <c r="K251" s="65" t="n"/>
      <c r="L251" s="65" t="n"/>
      <c r="M251" s="65" t="n"/>
      <c r="N251" s="65" t="n"/>
      <c r="O251" s="65" t="n"/>
      <c r="P251" s="65">
        <f>VLOOKUP(B251,'[3]TONG HOP '!B$5:O$666,14,0)</f>
        <v/>
      </c>
      <c r="Q251" s="65" t="n">
        <v>2470000</v>
      </c>
      <c r="R251" s="65" t="n"/>
      <c r="S251" s="92">
        <f>G251-I251-R251-K251-M251-O251-Q251</f>
        <v/>
      </c>
      <c r="T251" s="92" t="inlineStr"/>
      <c r="U251" s="92" t="inlineStr"/>
      <c r="V251" s="69">
        <f>G251-SUM(I251,K251,M251,O251,Q251,U251)</f>
        <v/>
      </c>
      <c r="W251" s="65" t="n"/>
      <c r="X251" t="inlineStr">
        <is>
          <t>Khớp</t>
        </is>
      </c>
    </row>
    <row r="252">
      <c r="A252" s="65" t="n">
        <v>243</v>
      </c>
      <c r="B252" s="65" t="inlineStr">
        <is>
          <t>25802800041</t>
        </is>
      </c>
      <c r="C252" s="65" t="inlineStr">
        <is>
          <t>Nguyễn Quốc</t>
        </is>
      </c>
      <c r="D252" s="65" t="inlineStr">
        <is>
          <t>Đạt</t>
        </is>
      </c>
      <c r="E252" s="65" t="inlineStr">
        <is>
          <t>02/02/2006</t>
        </is>
      </c>
      <c r="F252" s="66" t="inlineStr">
        <is>
          <t>LNH0925ND01</t>
        </is>
      </c>
      <c r="G252" s="90" t="n">
        <v>8415000</v>
      </c>
      <c r="H252" s="65">
        <f>VLOOKUP(B252,'[1]TONG HOP'!B$5:G$624,6,0)</f>
        <v/>
      </c>
      <c r="I252" s="65" t="n">
        <v>2103750</v>
      </c>
      <c r="J252" s="65" t="n"/>
      <c r="K252" s="65" t="n"/>
      <c r="L252" s="65">
        <f>VLOOKUP(B252,'[2]DS THANG 11'!A$3:E$616,5,0)</f>
        <v/>
      </c>
      <c r="M252" s="65" t="n">
        <v>2103750</v>
      </c>
      <c r="N252" s="65" t="n"/>
      <c r="O252" s="65" t="n"/>
      <c r="P252" s="65">
        <f>VLOOKUP(B252,'[3]TONG HOP '!B$5:O$666,14,0)</f>
        <v/>
      </c>
      <c r="Q252" s="65" t="n">
        <v>1530000</v>
      </c>
      <c r="R252" s="65" t="n"/>
      <c r="S252" s="92">
        <f>G252-I252-R252-K252-M252-O252-Q252</f>
        <v/>
      </c>
      <c r="T252" s="92" t="inlineStr"/>
      <c r="U252" s="92" t="inlineStr"/>
      <c r="V252" s="69">
        <f>G252-SUM(I252,K252,M252,O252,Q252,U252)</f>
        <v/>
      </c>
      <c r="W252" s="65" t="n"/>
      <c r="X252" t="inlineStr">
        <is>
          <t>Khớp</t>
        </is>
      </c>
    </row>
    <row r="253">
      <c r="A253" s="65" t="n">
        <v>244</v>
      </c>
      <c r="B253" s="65" t="inlineStr">
        <is>
          <t>25808200072</t>
        </is>
      </c>
      <c r="C253" s="65" t="inlineStr">
        <is>
          <t>Hồng Văn</t>
        </is>
      </c>
      <c r="D253" s="65" t="inlineStr">
        <is>
          <t>Kiên</t>
        </is>
      </c>
      <c r="E253" s="65" t="inlineStr">
        <is>
          <t>10/11/2007</t>
        </is>
      </c>
      <c r="F253" s="66" t="inlineStr">
        <is>
          <t>LNH0925ND01</t>
        </is>
      </c>
      <c r="G253" s="90" t="n">
        <v>5000000</v>
      </c>
      <c r="H253" s="65">
        <f>VLOOKUP(B253,'[1]TONG HOP'!B$5:G$624,6,0)</f>
        <v/>
      </c>
      <c r="I253" s="65" t="n">
        <v>2232500</v>
      </c>
      <c r="J253" s="65" t="n"/>
      <c r="K253" s="65" t="n"/>
      <c r="L253" s="65">
        <f>VLOOKUP(B253,'[2]DS THANG 11'!A$3:E$616,5,0)</f>
        <v/>
      </c>
      <c r="M253" s="65" t="n">
        <v>2232500</v>
      </c>
      <c r="N253" s="65" t="n"/>
      <c r="O253" s="65" t="n"/>
      <c r="P253" s="65">
        <f>VLOOKUP(B253,'[3]TONG HOP '!B$5:O$666,14,0)</f>
        <v/>
      </c>
      <c r="Q253" s="65" t="n">
        <v>535000</v>
      </c>
      <c r="R253" s="65" t="n"/>
      <c r="S253" s="92">
        <f>G253-I253-R253-K253-M253-O253-Q253</f>
        <v/>
      </c>
      <c r="T253" s="92" t="inlineStr">
        <is>
          <t>LNH0526NQ19</t>
        </is>
      </c>
      <c r="U253" s="92" t="n">
        <v>2600000</v>
      </c>
      <c r="V253" s="69">
        <f>G253-SUM(I253,K253,M253,O253,Q253,U253)</f>
        <v/>
      </c>
      <c r="W253" s="65" t="n"/>
      <c r="X253" t="inlineStr">
        <is>
          <t>Khớp</t>
        </is>
      </c>
    </row>
    <row r="254">
      <c r="A254" s="65" t="n">
        <v>245</v>
      </c>
      <c r="B254" s="65" t="inlineStr">
        <is>
          <t>25807900003</t>
        </is>
      </c>
      <c r="C254" s="65" t="inlineStr">
        <is>
          <t>Lê Gia</t>
        </is>
      </c>
      <c r="D254" s="65" t="inlineStr">
        <is>
          <t>Bảo</t>
        </is>
      </c>
      <c r="E254" s="65" t="inlineStr">
        <is>
          <t>16/02/2007</t>
        </is>
      </c>
      <c r="F254" s="66" t="inlineStr">
        <is>
          <t>LNH0925ND01</t>
        </is>
      </c>
      <c r="G254" s="90" t="n">
        <v>8415000</v>
      </c>
      <c r="H254" s="65">
        <f>VLOOKUP(B254,'[1]TONG HOP'!B$5:G$624,6,0)</f>
        <v/>
      </c>
      <c r="I254" s="65" t="n">
        <v>2103750</v>
      </c>
      <c r="J254" s="65" t="n"/>
      <c r="K254" s="65" t="n"/>
      <c r="L254" s="65">
        <f>VLOOKUP(B254,'[2]DS THANG 11'!A$3:E$616,5,0)</f>
        <v/>
      </c>
      <c r="M254" s="65" t="n">
        <v>2103750</v>
      </c>
      <c r="N254" s="65" t="n"/>
      <c r="O254" s="65" t="n"/>
      <c r="P254" s="65">
        <f>VLOOKUP(B254,'[3]TONG HOP '!B$5:O$666,14,0)</f>
        <v/>
      </c>
      <c r="Q254" s="65" t="n">
        <v>2103750</v>
      </c>
      <c r="R254" s="65" t="n"/>
      <c r="S254" s="92">
        <f>G254-I254-R254-K254-M254-O254-Q254</f>
        <v/>
      </c>
      <c r="T254" s="92" t="inlineStr">
        <is>
          <t>LNH0526NQ12</t>
        </is>
      </c>
      <c r="U254" s="92" t="n">
        <v>2103750</v>
      </c>
      <c r="V254" s="69">
        <f>G254-SUM(I254,K254,M254,O254,Q254,U254)</f>
        <v/>
      </c>
      <c r="W254" s="65" t="n"/>
      <c r="X254" t="inlineStr">
        <is>
          <t>Khớp</t>
        </is>
      </c>
    </row>
    <row r="255">
      <c r="A255" s="65" t="n">
        <v>246</v>
      </c>
      <c r="B255" s="65" t="inlineStr">
        <is>
          <t>25808700011</t>
        </is>
      </c>
      <c r="C255" s="65" t="inlineStr">
        <is>
          <t>Lâm Ngọc Thùy</t>
        </is>
      </c>
      <c r="D255" s="65" t="inlineStr">
        <is>
          <t>Dương</t>
        </is>
      </c>
      <c r="E255" s="65" t="inlineStr">
        <is>
          <t>03/07/2007</t>
        </is>
      </c>
      <c r="F255" s="66" t="inlineStr">
        <is>
          <t>LNH0925ND01</t>
        </is>
      </c>
      <c r="G255" s="90" t="n">
        <v>8415000</v>
      </c>
      <c r="H255" s="65">
        <f>VLOOKUP(B255,'[1]TONG HOP'!B$5:G$624,6,0)</f>
        <v/>
      </c>
      <c r="I255" s="65" t="n">
        <v>2103750</v>
      </c>
      <c r="J255" s="65" t="n"/>
      <c r="K255" s="65" t="n"/>
      <c r="L255" s="65">
        <f>VLOOKUP(B255,'[2]DS THANG 11'!A$3:E$616,5,0)</f>
        <v/>
      </c>
      <c r="M255" s="65" t="n">
        <v>2103750</v>
      </c>
      <c r="N255" s="65" t="n"/>
      <c r="O255" s="65" t="n"/>
      <c r="P255" s="65">
        <f>VLOOKUP(B255,'[3]TONG HOP '!B$5:O$666,14,0)</f>
        <v/>
      </c>
      <c r="Q255" s="65" t="n">
        <v>2103750</v>
      </c>
      <c r="R255" s="65" t="n"/>
      <c r="S255" s="92">
        <f>G255-I255-R255-K255-M255-O255-Q255</f>
        <v/>
      </c>
      <c r="T255" s="92" t="inlineStr">
        <is>
          <t>LNH0526NQ06</t>
        </is>
      </c>
      <c r="U255" s="92" t="n">
        <v>2103750</v>
      </c>
      <c r="V255" s="69">
        <f>G255-SUM(I255,K255,M255,O255,Q255,U255)</f>
        <v/>
      </c>
      <c r="W255" s="65" t="n"/>
      <c r="X255" t="inlineStr">
        <is>
          <t>Khớp</t>
        </is>
      </c>
    </row>
    <row r="256">
      <c r="A256" s="65" t="n">
        <v>247</v>
      </c>
      <c r="B256" s="65" t="inlineStr">
        <is>
          <t>25803800021</t>
        </is>
      </c>
      <c r="C256" s="65" t="inlineStr">
        <is>
          <t>Đỗ Quốc</t>
        </is>
      </c>
      <c r="D256" s="65" t="inlineStr">
        <is>
          <t>Khánh</t>
        </is>
      </c>
      <c r="E256" s="65" t="inlineStr">
        <is>
          <t>20/05/2007</t>
        </is>
      </c>
      <c r="F256" s="66" t="inlineStr">
        <is>
          <t>LNH0925ND01</t>
        </is>
      </c>
      <c r="G256" s="90" t="n">
        <v>8415000</v>
      </c>
      <c r="H256" s="65">
        <f>VLOOKUP(B256,'[1]TONG HOP'!B$5:G$624,6,0)</f>
        <v/>
      </c>
      <c r="I256" s="65" t="n">
        <v>2103750</v>
      </c>
      <c r="J256" s="65" t="n"/>
      <c r="K256" s="65" t="n"/>
      <c r="L256" s="65">
        <f>VLOOKUP(B256,'[2]DS THANG 11'!A$3:E$616,5,0)</f>
        <v/>
      </c>
      <c r="M256" s="65" t="n">
        <v>2103750</v>
      </c>
      <c r="N256" s="65" t="n"/>
      <c r="O256" s="65" t="n"/>
      <c r="P256" s="65">
        <f>VLOOKUP(B256,'[3]TONG HOP '!B$5:O$666,14,0)</f>
        <v/>
      </c>
      <c r="Q256" s="65" t="n">
        <v>2103750</v>
      </c>
      <c r="R256" s="65" t="n"/>
      <c r="S256" s="92">
        <f>G256-I256-R256-K256-M256-O256-Q256</f>
        <v/>
      </c>
      <c r="T256" s="92" t="inlineStr">
        <is>
          <t>LNH0526NQ16</t>
        </is>
      </c>
      <c r="U256" s="92" t="n">
        <v>2103750</v>
      </c>
      <c r="V256" s="69">
        <f>G256-SUM(I256,K256,M256,O256,Q256,U256)</f>
        <v/>
      </c>
      <c r="W256" s="65" t="n"/>
      <c r="X256" t="inlineStr">
        <is>
          <t>Khớp</t>
        </is>
      </c>
    </row>
    <row r="257">
      <c r="A257" s="65" t="n">
        <v>248</v>
      </c>
      <c r="B257" s="65" t="inlineStr">
        <is>
          <t>25808200067</t>
        </is>
      </c>
      <c r="C257" s="65" t="inlineStr">
        <is>
          <t>Nguyễn Ngọc Đăng</t>
        </is>
      </c>
      <c r="D257" s="65" t="inlineStr">
        <is>
          <t>Khoa</t>
        </is>
      </c>
      <c r="E257" s="65" t="inlineStr">
        <is>
          <t>16/05/2007</t>
        </is>
      </c>
      <c r="F257" s="66" t="inlineStr">
        <is>
          <t>LNH0925ND01</t>
        </is>
      </c>
      <c r="G257" s="90" t="n">
        <v>8415000</v>
      </c>
      <c r="H257" s="65">
        <f>VLOOKUP(B257,'[1]TONG HOP'!B$5:G$624,6,0)</f>
        <v/>
      </c>
      <c r="I257" s="65" t="n">
        <v>2103750</v>
      </c>
      <c r="J257" s="65" t="n"/>
      <c r="K257" s="65" t="n"/>
      <c r="L257" s="65">
        <f>VLOOKUP(B257,'[2]DS THANG 11'!A$3:E$616,5,0)</f>
        <v/>
      </c>
      <c r="M257" s="65" t="n">
        <v>2103750</v>
      </c>
      <c r="N257" s="65" t="n"/>
      <c r="O257" s="65" t="n"/>
      <c r="P257" s="65">
        <f>VLOOKUP(B257,'[3]TONG HOP '!B$5:O$666,14,0)</f>
        <v/>
      </c>
      <c r="Q257" s="65" t="n">
        <v>2103750</v>
      </c>
      <c r="R257" s="65" t="n"/>
      <c r="S257" s="92">
        <f>G257-I257-R257-K257-M257-O257-Q257</f>
        <v/>
      </c>
      <c r="T257" s="92" t="inlineStr">
        <is>
          <t>LNH0526NQ18</t>
        </is>
      </c>
      <c r="U257" s="92" t="n">
        <v>2103750</v>
      </c>
      <c r="V257" s="69">
        <f>G257-SUM(I257,K257,M257,O257,Q257,U257)</f>
        <v/>
      </c>
      <c r="W257" s="65" t="n"/>
      <c r="X257" t="inlineStr">
        <is>
          <t>Khớp</t>
        </is>
      </c>
    </row>
    <row r="258">
      <c r="A258" s="65" t="n">
        <v>249</v>
      </c>
      <c r="B258" s="65" t="inlineStr">
        <is>
          <t>25820500009</t>
        </is>
      </c>
      <c r="C258" s="65" t="inlineStr">
        <is>
          <t>Huỳnh Uyển</t>
        </is>
      </c>
      <c r="D258" s="65" t="inlineStr">
        <is>
          <t>My</t>
        </is>
      </c>
      <c r="E258" s="65" t="inlineStr">
        <is>
          <t>08/04/2007</t>
        </is>
      </c>
      <c r="F258" s="66" t="inlineStr">
        <is>
          <t>LNH0925ND01</t>
        </is>
      </c>
      <c r="G258" s="90" t="n">
        <v>7540000</v>
      </c>
      <c r="H258" s="65" t="n"/>
      <c r="I258" s="65" t="n"/>
      <c r="J258" s="65" t="n"/>
      <c r="K258" s="65" t="n"/>
      <c r="L258" s="65">
        <f>VLOOKUP(B258,'[2]DS THANG 11'!A$3:E$616,5,0)</f>
        <v/>
      </c>
      <c r="M258" s="65" t="n">
        <v>2600000</v>
      </c>
      <c r="N258" s="65" t="n"/>
      <c r="O258" s="65" t="n"/>
      <c r="P258" s="65">
        <f>VLOOKUP(B258,'[3]TONG HOP '!B$5:O$666,14,0)</f>
        <v/>
      </c>
      <c r="Q258" s="65" t="n">
        <v>2470000</v>
      </c>
      <c r="R258" s="65" t="n"/>
      <c r="S258" s="92">
        <f>G258-I258-R258-K258-M258-O258-Q258</f>
        <v/>
      </c>
      <c r="T258" s="92" t="inlineStr">
        <is>
          <t>LNH0526NQ01</t>
        </is>
      </c>
      <c r="U258" s="92" t="n">
        <v>2470000</v>
      </c>
      <c r="V258" s="69">
        <f>G258-SUM(I258,K258,M258,O258,Q258,U258)</f>
        <v/>
      </c>
      <c r="W258" s="65" t="n"/>
      <c r="X258" t="inlineStr">
        <is>
          <t>Khớp</t>
        </is>
      </c>
    </row>
    <row r="259">
      <c r="A259" s="65" t="n">
        <v>250</v>
      </c>
      <c r="B259" s="65" t="inlineStr">
        <is>
          <t>25800400152</t>
        </is>
      </c>
      <c r="C259" s="65" t="inlineStr">
        <is>
          <t>Đào Quốc</t>
        </is>
      </c>
      <c r="D259" s="65" t="inlineStr">
        <is>
          <t>Thuận</t>
        </is>
      </c>
      <c r="E259" s="65" t="inlineStr">
        <is>
          <t>09/05/2007</t>
        </is>
      </c>
      <c r="F259" s="66" t="inlineStr">
        <is>
          <t>LNH0925ND01</t>
        </is>
      </c>
      <c r="G259" s="90" t="n">
        <v>8415000</v>
      </c>
      <c r="H259" s="65">
        <f>VLOOKUP(B259,'[1]TONG HOP'!B$5:G$624,6,0)</f>
        <v/>
      </c>
      <c r="I259" s="65" t="n">
        <v>2103750</v>
      </c>
      <c r="J259" s="65" t="n"/>
      <c r="K259" s="65" t="n"/>
      <c r="L259" s="65">
        <f>VLOOKUP(B259,'[2]DS THANG 11'!A$3:E$616,5,0)</f>
        <v/>
      </c>
      <c r="M259" s="65" t="n">
        <v>2103750</v>
      </c>
      <c r="N259" s="65" t="n"/>
      <c r="O259" s="65" t="n"/>
      <c r="P259" s="65">
        <f>VLOOKUP(B259,'[3]TONG HOP '!B$5:O$666,14,0)</f>
        <v/>
      </c>
      <c r="Q259" s="65" t="n">
        <v>2103750</v>
      </c>
      <c r="R259" s="65" t="n"/>
      <c r="S259" s="92">
        <f>G259-I259-R259-K259-M259-O259-Q259</f>
        <v/>
      </c>
      <c r="T259" s="92" t="inlineStr">
        <is>
          <t>LNH0526NQ17</t>
        </is>
      </c>
      <c r="U259" s="92" t="n">
        <v>2103750</v>
      </c>
      <c r="V259" s="69">
        <f>G259-SUM(I259,K259,M259,O259,Q259,U259)</f>
        <v/>
      </c>
      <c r="W259" s="65" t="n"/>
      <c r="X259" t="inlineStr">
        <is>
          <t>Khớp</t>
        </is>
      </c>
    </row>
    <row r="260">
      <c r="A260" s="65" t="n">
        <v>251</v>
      </c>
      <c r="B260" s="65" t="inlineStr">
        <is>
          <t>25801800082</t>
        </is>
      </c>
      <c r="C260" s="65" t="inlineStr">
        <is>
          <t>Nguyễn Anh</t>
        </is>
      </c>
      <c r="D260" s="65" t="inlineStr">
        <is>
          <t>Tuấn</t>
        </is>
      </c>
      <c r="E260" s="65" t="inlineStr">
        <is>
          <t>02/01/2007</t>
        </is>
      </c>
      <c r="F260" s="66" t="inlineStr">
        <is>
          <t>LNH0925ND01</t>
        </is>
      </c>
      <c r="G260" s="90" t="n">
        <v>8415000</v>
      </c>
      <c r="H260" s="65">
        <f>VLOOKUP(B260,'[1]TONG HOP'!B$5:G$624,6,0)</f>
        <v/>
      </c>
      <c r="I260" s="65" t="n">
        <v>2103750</v>
      </c>
      <c r="J260" s="65" t="n"/>
      <c r="K260" s="65" t="n"/>
      <c r="L260" s="65">
        <f>VLOOKUP(B260,'[2]DS THANG 11'!A$3:E$616,5,0)</f>
        <v/>
      </c>
      <c r="M260" s="65" t="n">
        <v>2103750</v>
      </c>
      <c r="N260" s="65" t="n"/>
      <c r="O260" s="65" t="n"/>
      <c r="P260" s="65">
        <f>VLOOKUP(B260,'[3]TONG HOP '!B$5:O$666,14,0)</f>
        <v/>
      </c>
      <c r="Q260" s="65" t="n">
        <v>2103750</v>
      </c>
      <c r="R260" s="65" t="n"/>
      <c r="S260" s="92">
        <f>G260-I260-R260-K260-M260-O260-Q260</f>
        <v/>
      </c>
      <c r="T260" s="92" t="inlineStr"/>
      <c r="U260" s="92" t="inlineStr"/>
      <c r="V260" s="69">
        <f>G260-SUM(I260,K260,M260,O260,Q260,U260)</f>
        <v/>
      </c>
      <c r="W260" s="65" t="n"/>
      <c r="X260" t="inlineStr">
        <is>
          <t>Khớp</t>
        </is>
      </c>
    </row>
    <row r="261">
      <c r="A261" s="65" t="n">
        <v>252</v>
      </c>
      <c r="B261" s="65" t="inlineStr">
        <is>
          <t>25802800087</t>
        </is>
      </c>
      <c r="C261" s="65" t="inlineStr">
        <is>
          <t>Hướng Huỳnh Gia</t>
        </is>
      </c>
      <c r="D261" s="65" t="inlineStr">
        <is>
          <t>Huy</t>
        </is>
      </c>
      <c r="E261" s="65" t="inlineStr">
        <is>
          <t>12/07/2007</t>
        </is>
      </c>
      <c r="F261" s="66" t="inlineStr">
        <is>
          <t>LNH0925ND01</t>
        </is>
      </c>
      <c r="G261" s="90" t="n">
        <v>8415000</v>
      </c>
      <c r="H261" s="65">
        <f>VLOOKUP(B261,'[1]TONG HOP'!B$5:G$624,6,0)</f>
        <v/>
      </c>
      <c r="I261" s="65" t="n">
        <v>2103750</v>
      </c>
      <c r="J261" s="65" t="n"/>
      <c r="K261" s="65" t="n"/>
      <c r="L261" s="65">
        <f>VLOOKUP(B261,'[2]DS THANG 11'!A$3:E$616,5,0)</f>
        <v/>
      </c>
      <c r="M261" s="65" t="n">
        <v>2103750</v>
      </c>
      <c r="N261" s="65" t="n"/>
      <c r="O261" s="65" t="n"/>
      <c r="P261" s="65">
        <f>VLOOKUP(B261,'[3]TONG HOP '!B$5:O$666,14,0)</f>
        <v/>
      </c>
      <c r="Q261" s="65" t="n">
        <v>2103750</v>
      </c>
      <c r="R261" s="65" t="n"/>
      <c r="S261" s="92">
        <f>G261-I261-R261-K261-M261-O261-Q261</f>
        <v/>
      </c>
      <c r="T261" s="92" t="inlineStr">
        <is>
          <t>LNH0526NQ09</t>
        </is>
      </c>
      <c r="U261" s="92" t="n">
        <v>2103750</v>
      </c>
      <c r="V261" s="69">
        <f>G261-SUM(I261,K261,M261,O261,Q261,U261)</f>
        <v/>
      </c>
      <c r="W261" s="65" t="n"/>
      <c r="X261" t="inlineStr">
        <is>
          <t>Khớp</t>
        </is>
      </c>
    </row>
    <row r="262">
      <c r="A262" s="65" t="n">
        <v>253</v>
      </c>
      <c r="B262" s="65" t="inlineStr">
        <is>
          <t>25808700099</t>
        </is>
      </c>
      <c r="C262" s="65" t="inlineStr">
        <is>
          <t>Lê Nguyễn Mỹ</t>
        </is>
      </c>
      <c r="D262" s="65" t="inlineStr">
        <is>
          <t>Thường</t>
        </is>
      </c>
      <c r="E262" s="65" t="inlineStr">
        <is>
          <t>24/03/2007</t>
        </is>
      </c>
      <c r="F262" s="66" t="inlineStr">
        <is>
          <t>LNH0925ND01</t>
        </is>
      </c>
      <c r="G262" s="90" t="n">
        <v>8415000</v>
      </c>
      <c r="H262" s="65">
        <f>VLOOKUP(B262,'[1]TONG HOP'!B$5:G$624,6,0)</f>
        <v/>
      </c>
      <c r="I262" s="65" t="n">
        <v>2103750</v>
      </c>
      <c r="J262" s="65" t="n"/>
      <c r="K262" s="65" t="n"/>
      <c r="L262" s="65">
        <f>VLOOKUP(B262,'[2]DS THANG 11'!A$3:E$616,5,0)</f>
        <v/>
      </c>
      <c r="M262" s="65" t="n">
        <v>2103750</v>
      </c>
      <c r="N262" s="65" t="n"/>
      <c r="O262" s="65" t="n"/>
      <c r="P262" s="65">
        <f>VLOOKUP(B262,'[3]TONG HOP '!B$5:O$666,14,0)</f>
        <v/>
      </c>
      <c r="Q262" s="65" t="n">
        <v>2103750</v>
      </c>
      <c r="R262" s="65" t="n"/>
      <c r="S262" s="92">
        <f>G262-I262-R262-K262-M262-O262-Q262</f>
        <v/>
      </c>
      <c r="T262" s="92" t="inlineStr"/>
      <c r="U262" s="92" t="inlineStr"/>
      <c r="V262" s="69">
        <f>G262-SUM(I262,K262,M262,O262,Q262,U262)</f>
        <v/>
      </c>
      <c r="W262" s="65" t="n"/>
      <c r="X262" t="inlineStr">
        <is>
          <t>Khớp</t>
        </is>
      </c>
    </row>
    <row r="263">
      <c r="A263" s="65" t="n">
        <v>254</v>
      </c>
      <c r="B263" s="65" t="inlineStr">
        <is>
          <t>25807500063</t>
        </is>
      </c>
      <c r="C263" s="65" t="inlineStr">
        <is>
          <t>Ngô Ngọc</t>
        </is>
      </c>
      <c r="D263" s="65" t="inlineStr">
        <is>
          <t>Long</t>
        </is>
      </c>
      <c r="E263" s="65" t="inlineStr">
        <is>
          <t>29/12/2007</t>
        </is>
      </c>
      <c r="F263" s="66" t="inlineStr">
        <is>
          <t>LNH0925ND01</t>
        </is>
      </c>
      <c r="G263" s="90" t="n">
        <v>8415000</v>
      </c>
      <c r="H263" s="65">
        <f>VLOOKUP(B263,'[1]TONG HOP'!B$5:G$624,6,0)</f>
        <v/>
      </c>
      <c r="I263" s="65" t="n">
        <v>2103750</v>
      </c>
      <c r="J263" s="65" t="n"/>
      <c r="K263" s="65" t="n"/>
      <c r="L263" s="65">
        <f>VLOOKUP(B263,'[2]DS THANG 11'!A$3:E$616,5,0)</f>
        <v/>
      </c>
      <c r="M263" s="65" t="n">
        <v>2103750</v>
      </c>
      <c r="N263" s="65" t="n"/>
      <c r="O263" s="65" t="n"/>
      <c r="P263" s="65">
        <f>VLOOKUP(B263,'[3]TONG HOP '!B$5:O$666,14,0)</f>
        <v/>
      </c>
      <c r="Q263" s="65" t="n">
        <v>2103750</v>
      </c>
      <c r="R263" s="65" t="n"/>
      <c r="S263" s="92">
        <f>G263-I263-R263-K263-M263-O263-Q263</f>
        <v/>
      </c>
      <c r="T263" s="92" t="inlineStr">
        <is>
          <t>LNH0526NQ13</t>
        </is>
      </c>
      <c r="U263" s="92" t="n">
        <v>2103750</v>
      </c>
      <c r="V263" s="69">
        <f>G263-SUM(I263,K263,M263,O263,Q263,U263)</f>
        <v/>
      </c>
      <c r="W263" s="65" t="n"/>
      <c r="X263" t="inlineStr">
        <is>
          <t>Khớp</t>
        </is>
      </c>
    </row>
    <row r="264">
      <c r="A264" s="65" t="n">
        <v>255</v>
      </c>
      <c r="B264" s="65" t="inlineStr">
        <is>
          <t>25808600160</t>
        </is>
      </c>
      <c r="C264" s="65" t="inlineStr">
        <is>
          <t>Nguyễn Thị Như</t>
        </is>
      </c>
      <c r="D264" s="65" t="inlineStr">
        <is>
          <t>Ý</t>
        </is>
      </c>
      <c r="E264" s="65" t="inlineStr">
        <is>
          <t>11/03/2007</t>
        </is>
      </c>
      <c r="F264" s="66" t="inlineStr">
        <is>
          <t>LNH0925ND01</t>
        </is>
      </c>
      <c r="G264" s="90" t="n">
        <v>8415000</v>
      </c>
      <c r="H264" s="65">
        <f>VLOOKUP(B264,'[1]TONG HOP'!B$5:G$624,6,0)</f>
        <v/>
      </c>
      <c r="I264" s="65" t="n">
        <v>2103750</v>
      </c>
      <c r="J264" s="65" t="n"/>
      <c r="K264" s="65" t="n"/>
      <c r="L264" s="65">
        <f>VLOOKUP(B264,'[2]DS THANG 11'!A$3:E$616,5,0)</f>
        <v/>
      </c>
      <c r="M264" s="65" t="n">
        <v>2103750</v>
      </c>
      <c r="N264" s="65" t="n"/>
      <c r="O264" s="65" t="n"/>
      <c r="P264" s="65">
        <f>VLOOKUP(B264,'[3]TONG HOP '!B$5:O$666,14,0)</f>
        <v/>
      </c>
      <c r="Q264" s="65" t="n">
        <v>2103750</v>
      </c>
      <c r="R264" s="65" t="n"/>
      <c r="S264" s="92">
        <f>G264-I264-R264-K264-M264-O264-Q264</f>
        <v/>
      </c>
      <c r="T264" s="92" t="inlineStr"/>
      <c r="U264" s="92" t="inlineStr"/>
      <c r="V264" s="69">
        <f>G264-SUM(I264,K264,M264,O264,Q264,U264)</f>
        <v/>
      </c>
      <c r="W264" s="65" t="n"/>
      <c r="X264" t="inlineStr">
        <is>
          <t>Khớp</t>
        </is>
      </c>
    </row>
    <row r="265">
      <c r="A265" s="65" t="n">
        <v>256</v>
      </c>
      <c r="B265" s="65" t="inlineStr">
        <is>
          <t>25808200139</t>
        </is>
      </c>
      <c r="C265" s="65" t="inlineStr">
        <is>
          <t>Lương Mạnh</t>
        </is>
      </c>
      <c r="D265" s="65" t="inlineStr">
        <is>
          <t>Tuấn</t>
        </is>
      </c>
      <c r="E265" s="65" t="inlineStr">
        <is>
          <t>18/10/2007</t>
        </is>
      </c>
      <c r="F265" s="66" t="inlineStr">
        <is>
          <t>LNH0925ND01</t>
        </is>
      </c>
      <c r="G265" s="90" t="n">
        <v>8415000</v>
      </c>
      <c r="H265" s="65">
        <f>VLOOKUP(B265,'[1]TONG HOP'!B$5:G$624,6,0)</f>
        <v/>
      </c>
      <c r="I265" s="65" t="n">
        <v>2103750</v>
      </c>
      <c r="J265" s="65" t="n"/>
      <c r="K265" s="65" t="n"/>
      <c r="L265" s="65">
        <f>VLOOKUP(B265,'[2]DS THANG 11'!A$3:E$616,5,0)</f>
        <v/>
      </c>
      <c r="M265" s="65" t="n">
        <v>2103750</v>
      </c>
      <c r="N265" s="65" t="n"/>
      <c r="O265" s="65" t="n"/>
      <c r="P265" s="65">
        <f>VLOOKUP(B265,'[3]TONG HOP '!B$5:O$666,14,0)</f>
        <v/>
      </c>
      <c r="Q265" s="65" t="n">
        <v>2103750</v>
      </c>
      <c r="R265" s="65" t="n"/>
      <c r="S265" s="92">
        <f>G265-I265-R265-K265-M265-O265-Q265</f>
        <v/>
      </c>
      <c r="T265" s="92" t="inlineStr"/>
      <c r="U265" s="92" t="inlineStr"/>
      <c r="V265" s="69">
        <f>G265-SUM(I265,K265,M265,O265,Q265,U265)</f>
        <v/>
      </c>
      <c r="W265" s="65" t="n"/>
      <c r="X265" t="inlineStr">
        <is>
          <t>Khớp</t>
        </is>
      </c>
    </row>
    <row r="266">
      <c r="A266" s="65" t="n">
        <v>257</v>
      </c>
      <c r="B266" s="65" t="inlineStr">
        <is>
          <t>25808700114</t>
        </is>
      </c>
      <c r="C266" s="65" t="inlineStr">
        <is>
          <t>Nguyễn Hữu</t>
        </is>
      </c>
      <c r="D266" s="65" t="inlineStr">
        <is>
          <t>Trường</t>
        </is>
      </c>
      <c r="E266" s="65" t="inlineStr">
        <is>
          <t>18/08/2007</t>
        </is>
      </c>
      <c r="F266" s="66" t="inlineStr">
        <is>
          <t>LNH0925ND01</t>
        </is>
      </c>
      <c r="G266" s="90" t="n">
        <v>8415000</v>
      </c>
      <c r="H266" s="65">
        <f>VLOOKUP(B266,'[1]TONG HOP'!B$5:G$624,6,0)</f>
        <v/>
      </c>
      <c r="I266" s="65" t="n">
        <v>2103750</v>
      </c>
      <c r="J266" s="65" t="n"/>
      <c r="K266" s="65" t="n"/>
      <c r="L266" s="65">
        <f>VLOOKUP(B266,'[2]DS THANG 11'!A$3:E$616,5,0)</f>
        <v/>
      </c>
      <c r="M266" s="65" t="n">
        <v>2103750</v>
      </c>
      <c r="N266" s="65" t="n"/>
      <c r="O266" s="65" t="n"/>
      <c r="P266" s="65">
        <f>VLOOKUP(B266,'[3]TONG HOP '!B$5:O$666,14,0)</f>
        <v/>
      </c>
      <c r="Q266" s="65" t="n">
        <v>2103750</v>
      </c>
      <c r="R266" s="65" t="n"/>
      <c r="S266" s="92">
        <f>G266-I266-R266-K266-M266-O266-Q266</f>
        <v/>
      </c>
      <c r="T266" s="92" t="inlineStr"/>
      <c r="U266" s="92" t="inlineStr"/>
      <c r="V266" s="69">
        <f>G266-SUM(I266,K266,M266,O266,Q266,U266)</f>
        <v/>
      </c>
      <c r="W266" s="65" t="n"/>
      <c r="X266" t="inlineStr">
        <is>
          <t>Khớp</t>
        </is>
      </c>
    </row>
    <row r="267">
      <c r="A267" s="65" t="n">
        <v>258</v>
      </c>
      <c r="B267" s="65" t="inlineStr">
        <is>
          <t>25808200051</t>
        </is>
      </c>
      <c r="C267" s="65" t="inlineStr">
        <is>
          <t>Lư Gia</t>
        </is>
      </c>
      <c r="D267" s="65" t="inlineStr">
        <is>
          <t>Huy</t>
        </is>
      </c>
      <c r="E267" s="65" t="inlineStr">
        <is>
          <t>16/11/2007</t>
        </is>
      </c>
      <c r="F267" s="66" t="inlineStr">
        <is>
          <t>LNH0925ND01</t>
        </is>
      </c>
      <c r="G267" s="90" t="n">
        <v>8415000</v>
      </c>
      <c r="H267" s="65">
        <f>VLOOKUP(B267,'[1]TONG HOP'!B$5:G$624,6,0)</f>
        <v/>
      </c>
      <c r="I267" s="65" t="n">
        <v>2103750</v>
      </c>
      <c r="J267" s="65" t="n"/>
      <c r="K267" s="65" t="n"/>
      <c r="L267" s="65">
        <f>VLOOKUP(B267,'[2]DS THANG 11'!A$3:E$616,5,0)</f>
        <v/>
      </c>
      <c r="M267" s="65" t="n">
        <v>2103750</v>
      </c>
      <c r="N267" s="65" t="n"/>
      <c r="O267" s="65" t="n"/>
      <c r="P267" s="65">
        <f>VLOOKUP(B267,'[3]TONG HOP '!B$5:O$666,14,0)</f>
        <v/>
      </c>
      <c r="Q267" s="65" t="n">
        <v>2103750</v>
      </c>
      <c r="R267" s="65" t="n"/>
      <c r="S267" s="92">
        <f>G267-I267-R267-K267-M267-O267-Q267</f>
        <v/>
      </c>
      <c r="T267" s="92" t="inlineStr">
        <is>
          <t>LNH0526NQ18</t>
        </is>
      </c>
      <c r="U267" s="92" t="n">
        <v>2103750</v>
      </c>
      <c r="V267" s="69">
        <f>G267-SUM(I267,K267,M267,O267,Q267,U267)</f>
        <v/>
      </c>
      <c r="W267" s="65" t="n"/>
      <c r="X267" t="inlineStr">
        <is>
          <t>Khớp</t>
        </is>
      </c>
    </row>
    <row r="268">
      <c r="A268" s="65" t="n">
        <v>259</v>
      </c>
      <c r="B268" s="65" t="inlineStr">
        <is>
          <t>25800500135</t>
        </is>
      </c>
      <c r="C268" s="65" t="inlineStr">
        <is>
          <t>Lê Thanh</t>
        </is>
      </c>
      <c r="D268" s="65" t="inlineStr">
        <is>
          <t>Phong</t>
        </is>
      </c>
      <c r="E268" s="65" t="inlineStr">
        <is>
          <t>23/11/2007</t>
        </is>
      </c>
      <c r="F268" s="66" t="inlineStr">
        <is>
          <t>LNH0925ND01</t>
        </is>
      </c>
      <c r="G268" s="90" t="n">
        <v>8415000</v>
      </c>
      <c r="H268" s="65" t="n"/>
      <c r="I268" s="65" t="n"/>
      <c r="J268" s="65" t="n"/>
      <c r="K268" s="65" t="n"/>
      <c r="L268" s="65">
        <f>VLOOKUP(B268,'[2]DS THANG 11'!A$3:E$616,5,0)</f>
        <v/>
      </c>
      <c r="M268" s="65" t="n">
        <v>2103750</v>
      </c>
      <c r="N268" s="65" t="n"/>
      <c r="O268" s="65" t="n"/>
      <c r="P268" s="65">
        <f>VLOOKUP(B268,'[3]TONG HOP '!B$5:O$666,14,0)</f>
        <v/>
      </c>
      <c r="Q268" s="65" t="n">
        <v>2103750</v>
      </c>
      <c r="R268" s="65" t="n"/>
      <c r="S268" s="92">
        <f>G268-I268-R268-K268-M268-O268-Q268</f>
        <v/>
      </c>
      <c r="T268" s="92" t="inlineStr"/>
      <c r="U268" s="92" t="inlineStr"/>
      <c r="V268" s="69">
        <f>G268-SUM(I268,K268,M268,O268,Q268,U268)</f>
        <v/>
      </c>
      <c r="W268" s="65" t="n"/>
      <c r="X268" t="inlineStr">
        <is>
          <t>Khớp</t>
        </is>
      </c>
    </row>
    <row r="269">
      <c r="A269" s="65" t="n">
        <v>260</v>
      </c>
      <c r="B269" s="65" t="inlineStr">
        <is>
          <t>25807500032</t>
        </is>
      </c>
      <c r="C269" s="65" t="inlineStr">
        <is>
          <t>Trần Ngọc</t>
        </is>
      </c>
      <c r="D269" s="65" t="inlineStr">
        <is>
          <t>Hiếu</t>
        </is>
      </c>
      <c r="E269" s="65" t="inlineStr">
        <is>
          <t>05/12/2007</t>
        </is>
      </c>
      <c r="F269" s="66" t="inlineStr">
        <is>
          <t>LNH0925ND01</t>
        </is>
      </c>
      <c r="G269" s="90" t="n">
        <v>8415000</v>
      </c>
      <c r="H269" s="65">
        <f>VLOOKUP(B269,'[1]TONG HOP'!B$5:G$624,6,0)</f>
        <v/>
      </c>
      <c r="I269" s="65" t="n">
        <v>2103750</v>
      </c>
      <c r="J269" s="65" t="n"/>
      <c r="K269" s="65" t="n"/>
      <c r="L269" s="65">
        <f>VLOOKUP(B269,'[2]DS THANG 11'!A$3:E$616,5,0)</f>
        <v/>
      </c>
      <c r="M269" s="65" t="n">
        <v>2103750</v>
      </c>
      <c r="N269" s="65" t="n"/>
      <c r="O269" s="65" t="n"/>
      <c r="P269" s="65">
        <f>VLOOKUP(B269,'[3]TONG HOP '!B$5:O$666,14,0)</f>
        <v/>
      </c>
      <c r="Q269" s="65" t="n">
        <v>2103750</v>
      </c>
      <c r="R269" s="65" t="n"/>
      <c r="S269" s="92">
        <f>G269-I269-R269-K269-M269-O269-Q269</f>
        <v/>
      </c>
      <c r="T269" s="92" t="inlineStr">
        <is>
          <t>LNH0526NQ17</t>
        </is>
      </c>
      <c r="U269" s="92" t="n">
        <v>2103750</v>
      </c>
      <c r="V269" s="69">
        <f>G269-SUM(I269,K269,M269,O269,Q269,U269)</f>
        <v/>
      </c>
      <c r="W269" s="65" t="n"/>
      <c r="X269" t="inlineStr">
        <is>
          <t>Khớp</t>
        </is>
      </c>
    </row>
    <row r="270">
      <c r="A270" s="65" t="n">
        <v>261</v>
      </c>
      <c r="B270" s="65" t="inlineStr">
        <is>
          <t>25820300043</t>
        </is>
      </c>
      <c r="C270" s="65" t="inlineStr">
        <is>
          <t>Trần Tấn</t>
        </is>
      </c>
      <c r="D270" s="65" t="inlineStr">
        <is>
          <t>Phát</t>
        </is>
      </c>
      <c r="E270" s="65" t="inlineStr">
        <is>
          <t>09/03/2007</t>
        </is>
      </c>
      <c r="F270" s="66" t="inlineStr">
        <is>
          <t>LNH0925ND01</t>
        </is>
      </c>
      <c r="G270" s="90" t="n">
        <v>8415000</v>
      </c>
      <c r="H270" s="65">
        <f>VLOOKUP(B270,'[1]TONG HOP'!B$5:G$624,6,0)</f>
        <v/>
      </c>
      <c r="I270" s="65" t="n">
        <v>2103750</v>
      </c>
      <c r="J270" s="65" t="n"/>
      <c r="K270" s="65" t="n"/>
      <c r="L270" s="65">
        <f>VLOOKUP(B270,'[2]DS THANG 11'!A$3:E$616,5,0)</f>
        <v/>
      </c>
      <c r="M270" s="65" t="n">
        <v>2103750</v>
      </c>
      <c r="N270" s="65" t="n"/>
      <c r="O270" s="65" t="n"/>
      <c r="P270" s="65">
        <f>VLOOKUP(B270,'[3]TONG HOP '!B$5:O$666,14,0)</f>
        <v/>
      </c>
      <c r="Q270" s="65" t="n">
        <v>2103750</v>
      </c>
      <c r="R270" s="65" t="n"/>
      <c r="S270" s="92">
        <f>G270-I270-R270-K270-M270-O270-Q270</f>
        <v/>
      </c>
      <c r="T270" s="92" t="inlineStr"/>
      <c r="U270" s="92" t="inlineStr"/>
      <c r="V270" s="69">
        <f>G270-SUM(I270,K270,M270,O270,Q270,U270)</f>
        <v/>
      </c>
      <c r="W270" s="65" t="n"/>
      <c r="X270" t="inlineStr">
        <is>
          <t>Khớp</t>
        </is>
      </c>
    </row>
    <row r="271">
      <c r="A271" s="65" t="n">
        <v>262</v>
      </c>
      <c r="B271" s="65" t="inlineStr">
        <is>
          <t>25820100030</t>
        </is>
      </c>
      <c r="C271" s="65" t="inlineStr">
        <is>
          <t>Phan Vũ Gia</t>
        </is>
      </c>
      <c r="D271" s="65" t="inlineStr">
        <is>
          <t>Minh</t>
        </is>
      </c>
      <c r="E271" s="65" t="inlineStr">
        <is>
          <t>12/01/2007</t>
        </is>
      </c>
      <c r="F271" s="66" t="inlineStr">
        <is>
          <t>LNH0925ND01</t>
        </is>
      </c>
      <c r="G271" s="90" t="n">
        <v>8415000</v>
      </c>
      <c r="H271" s="65">
        <f>VLOOKUP(B271,'[1]TONG HOP'!B$5:G$624,6,0)</f>
        <v/>
      </c>
      <c r="I271" s="65" t="n">
        <v>2103750</v>
      </c>
      <c r="J271" s="65" t="n"/>
      <c r="K271" s="65" t="n"/>
      <c r="L271" s="65">
        <f>VLOOKUP(B271,'[2]DS THANG 11'!A$3:E$616,5,0)</f>
        <v/>
      </c>
      <c r="M271" s="65" t="n">
        <v>2103750</v>
      </c>
      <c r="N271" s="65" t="n"/>
      <c r="O271" s="65" t="n"/>
      <c r="P271" s="65">
        <f>VLOOKUP(B271,'[3]TONG HOP '!B$5:O$666,14,0)</f>
        <v/>
      </c>
      <c r="Q271" s="65" t="n">
        <v>2103750</v>
      </c>
      <c r="R271" s="65" t="n"/>
      <c r="S271" s="92">
        <f>G271-I271-R271-K271-M271-O271-Q271</f>
        <v/>
      </c>
      <c r="T271" s="92" t="inlineStr">
        <is>
          <t>LNH0526NQ15</t>
        </is>
      </c>
      <c r="U271" s="92" t="n">
        <v>2103750</v>
      </c>
      <c r="V271" s="69">
        <f>G271-SUM(I271,K271,M271,O271,Q271,U271)</f>
        <v/>
      </c>
      <c r="W271" s="65" t="n"/>
      <c r="X271" t="inlineStr">
        <is>
          <t>Khớp</t>
        </is>
      </c>
    </row>
    <row r="272">
      <c r="A272" s="65" t="n">
        <v>263</v>
      </c>
      <c r="B272" s="65" t="inlineStr">
        <is>
          <t>25800500155</t>
        </is>
      </c>
      <c r="C272" s="65" t="inlineStr">
        <is>
          <t>Phạm Duy</t>
        </is>
      </c>
      <c r="D272" s="65" t="inlineStr">
        <is>
          <t>Tân</t>
        </is>
      </c>
      <c r="E272" s="65" t="inlineStr">
        <is>
          <t>06/05/2007</t>
        </is>
      </c>
      <c r="F272" s="66" t="inlineStr">
        <is>
          <t>LNH0925ND01</t>
        </is>
      </c>
      <c r="G272" s="90" t="n">
        <v>8415000</v>
      </c>
      <c r="H272" s="65">
        <f>VLOOKUP(B272,'[1]TONG HOP'!B$5:G$624,6,0)</f>
        <v/>
      </c>
      <c r="I272" s="65" t="n">
        <v>2103750</v>
      </c>
      <c r="J272" s="65" t="n"/>
      <c r="K272" s="65" t="n"/>
      <c r="L272" s="65">
        <f>VLOOKUP(B272,'[2]DS THANG 11'!A$3:E$616,5,0)</f>
        <v/>
      </c>
      <c r="M272" s="65" t="n">
        <v>2103750</v>
      </c>
      <c r="N272" s="65" t="n"/>
      <c r="O272" s="65" t="n"/>
      <c r="P272" s="65" t="n"/>
      <c r="Q272" s="65" t="n"/>
      <c r="R272" s="65" t="n"/>
      <c r="S272" s="92">
        <f>G272-I272-R272-K272-M272-O272-Q272</f>
        <v/>
      </c>
      <c r="T272" s="92" t="inlineStr"/>
      <c r="U272" s="92" t="inlineStr"/>
      <c r="V272" s="69">
        <f>G272-SUM(I272,K272,M272,O272,Q272,U272)</f>
        <v/>
      </c>
      <c r="W272" s="65" t="n"/>
      <c r="X272" t="inlineStr">
        <is>
          <t>Khớp</t>
        </is>
      </c>
    </row>
    <row r="273">
      <c r="A273" s="65" t="n">
        <v>264</v>
      </c>
      <c r="B273" s="65" t="inlineStr">
        <is>
          <t>25802800157</t>
        </is>
      </c>
      <c r="C273" s="65" t="inlineStr">
        <is>
          <t>Nguyễn Tấn</t>
        </is>
      </c>
      <c r="D273" s="65" t="inlineStr">
        <is>
          <t>Nghĩa</t>
        </is>
      </c>
      <c r="E273" s="65" t="inlineStr">
        <is>
          <t>19/11/2006</t>
        </is>
      </c>
      <c r="F273" s="66" t="inlineStr">
        <is>
          <t>LNH0925ND01</t>
        </is>
      </c>
      <c r="G273" s="90" t="n">
        <v>8415000</v>
      </c>
      <c r="H273" s="65">
        <f>VLOOKUP(B273,'[1]TONG HOP'!B$5:G$624,6,0)</f>
        <v/>
      </c>
      <c r="I273" s="65" t="n">
        <v>2103750</v>
      </c>
      <c r="J273" s="65" t="n"/>
      <c r="K273" s="65" t="n"/>
      <c r="L273" s="65" t="n"/>
      <c r="M273" s="65" t="n"/>
      <c r="N273" s="65" t="n"/>
      <c r="O273" s="65" t="n"/>
      <c r="P273" s="65" t="n"/>
      <c r="Q273" s="65" t="n"/>
      <c r="R273" s="65" t="n"/>
      <c r="S273" s="92">
        <f>G273-I273-R273-K273-M273-O273-Q273</f>
        <v/>
      </c>
      <c r="T273" s="92" t="inlineStr"/>
      <c r="U273" s="92" t="inlineStr"/>
      <c r="V273" s="69">
        <f>G273-SUM(I273,K273,M273,O273,Q273,U273)</f>
        <v/>
      </c>
      <c r="W273" s="65" t="n"/>
      <c r="X273" t="inlineStr">
        <is>
          <t>Không tồn tại trong K.Hiền</t>
        </is>
      </c>
    </row>
    <row r="274">
      <c r="A274" s="65" t="n">
        <v>265</v>
      </c>
      <c r="B274" s="65" t="inlineStr">
        <is>
          <t>25805900043</t>
        </is>
      </c>
      <c r="C274" s="65" t="inlineStr">
        <is>
          <t>Nguyễn Phương</t>
        </is>
      </c>
      <c r="D274" s="65" t="inlineStr">
        <is>
          <t>Thảo</t>
        </is>
      </c>
      <c r="E274" s="65" t="inlineStr">
        <is>
          <t>23/01/2007</t>
        </is>
      </c>
      <c r="F274" s="66" t="inlineStr">
        <is>
          <t>LNH0925ND01</t>
        </is>
      </c>
      <c r="G274" s="90" t="n">
        <v>8415000</v>
      </c>
      <c r="H274" s="65">
        <f>VLOOKUP(B274,'[1]TONG HOP'!B$5:G$624,6,0)</f>
        <v/>
      </c>
      <c r="I274" s="65" t="n">
        <v>2103750</v>
      </c>
      <c r="J274" s="65" t="n"/>
      <c r="K274" s="65" t="n"/>
      <c r="L274" s="65">
        <f>VLOOKUP(B274,'[2]DS THANG 11'!A$3:E$616,5,0)</f>
        <v/>
      </c>
      <c r="M274" s="65" t="n">
        <v>2103750</v>
      </c>
      <c r="N274" s="65" t="n"/>
      <c r="O274" s="65" t="n"/>
      <c r="P274" s="65">
        <f>VLOOKUP(B274,'[3]TONG HOP '!B$5:O$666,14,0)</f>
        <v/>
      </c>
      <c r="Q274" s="65" t="n">
        <v>2103750</v>
      </c>
      <c r="R274" s="65" t="n"/>
      <c r="S274" s="92">
        <f>G274-I274-R274-K274-M274-O274-Q274</f>
        <v/>
      </c>
      <c r="T274" s="92" t="inlineStr">
        <is>
          <t>LNH0526NQ01</t>
        </is>
      </c>
      <c r="U274" s="92" t="n">
        <v>2103750</v>
      </c>
      <c r="V274" s="69">
        <f>G274-SUM(I274,K274,M274,O274,Q274,U274)</f>
        <v/>
      </c>
      <c r="W274" s="65" t="n"/>
      <c r="X274" t="inlineStr">
        <is>
          <t>Khớp</t>
        </is>
      </c>
    </row>
    <row r="275">
      <c r="A275" s="65" t="n">
        <v>266</v>
      </c>
      <c r="B275" s="65" t="inlineStr">
        <is>
          <t>25807900073</t>
        </is>
      </c>
      <c r="C275" s="65" t="inlineStr">
        <is>
          <t>Trương Tấn</t>
        </is>
      </c>
      <c r="D275" s="65" t="inlineStr">
        <is>
          <t>Long</t>
        </is>
      </c>
      <c r="E275" s="65" t="inlineStr">
        <is>
          <t>20/10/2007</t>
        </is>
      </c>
      <c r="F275" s="66" t="inlineStr">
        <is>
          <t>LNH0925ND01</t>
        </is>
      </c>
      <c r="G275" s="90" t="n">
        <v>8415000</v>
      </c>
      <c r="H275" s="65">
        <f>VLOOKUP(B275,'[1]TONG HOP'!B$5:G$624,6,0)</f>
        <v/>
      </c>
      <c r="I275" s="65" t="n">
        <v>2103750</v>
      </c>
      <c r="J275" s="65" t="n"/>
      <c r="K275" s="65" t="n"/>
      <c r="L275" s="65">
        <f>VLOOKUP(B275,'[2]DS THANG 11'!A$3:E$616,5,0)</f>
        <v/>
      </c>
      <c r="M275" s="65" t="n">
        <v>2103750</v>
      </c>
      <c r="N275" s="65" t="n"/>
      <c r="O275" s="65" t="n"/>
      <c r="P275" s="65">
        <f>VLOOKUP(B275,'[3]TONG HOP '!B$5:O$666,14,0)</f>
        <v/>
      </c>
      <c r="Q275" s="65" t="n">
        <v>2103750</v>
      </c>
      <c r="R275" s="65" t="n"/>
      <c r="S275" s="92">
        <f>G275-I275-R275-K275-M275-O275-Q275</f>
        <v/>
      </c>
      <c r="T275" s="92" t="inlineStr">
        <is>
          <t>LNH0526NQ11</t>
        </is>
      </c>
      <c r="U275" s="92" t="n">
        <v>2103750</v>
      </c>
      <c r="V275" s="69">
        <f>G275-SUM(I275,K275,M275,O275,Q275,U275)</f>
        <v/>
      </c>
      <c r="W275" s="65" t="n"/>
      <c r="X275" t="inlineStr">
        <is>
          <t>Khớp</t>
        </is>
      </c>
    </row>
    <row r="276">
      <c r="A276" s="65" t="n">
        <v>267</v>
      </c>
      <c r="B276" s="65" t="inlineStr">
        <is>
          <t>25807400005</t>
        </is>
      </c>
      <c r="C276" s="65" t="inlineStr">
        <is>
          <t>Nguyễn Văn Huy</t>
        </is>
      </c>
      <c r="D276" s="65" t="inlineStr">
        <is>
          <t>Hoàng</t>
        </is>
      </c>
      <c r="E276" s="65" t="inlineStr">
        <is>
          <t>10/12/2007</t>
        </is>
      </c>
      <c r="F276" s="66" t="inlineStr">
        <is>
          <t>LNH0925ND01</t>
        </is>
      </c>
      <c r="G276" s="90" t="n">
        <v>8415000</v>
      </c>
      <c r="H276" s="65" t="n"/>
      <c r="I276" s="65" t="n"/>
      <c r="J276" s="65" t="n"/>
      <c r="K276" s="65" t="n"/>
      <c r="L276" s="65" t="n"/>
      <c r="M276" s="65" t="n"/>
      <c r="N276" s="65" t="n"/>
      <c r="O276" s="65" t="n"/>
      <c r="P276" s="65">
        <f>VLOOKUP(B276,'[3]TONG HOP '!B$5:O$666,14,0)</f>
        <v/>
      </c>
      <c r="Q276" s="65" t="n">
        <v>2103750</v>
      </c>
      <c r="R276" s="65" t="n"/>
      <c r="S276" s="92">
        <f>G276-I276-R276-K276-M276-O276-Q276</f>
        <v/>
      </c>
      <c r="T276" s="92" t="inlineStr">
        <is>
          <t>LNH0526NG01</t>
        </is>
      </c>
      <c r="U276" s="92" t="n">
        <v>2103750</v>
      </c>
      <c r="V276" s="69">
        <f>G276-SUM(I276,K276,M276,O276,Q276,U276)</f>
        <v/>
      </c>
      <c r="W276" s="65" t="n"/>
      <c r="X276" t="inlineStr">
        <is>
          <t>Khớp</t>
        </is>
      </c>
    </row>
    <row r="277">
      <c r="A277" s="65" t="n">
        <v>268</v>
      </c>
      <c r="B277" s="65" t="inlineStr">
        <is>
          <t>25820100028</t>
        </is>
      </c>
      <c r="C277" s="65" t="inlineStr">
        <is>
          <t>Trần Nguyễn Hoàng</t>
        </is>
      </c>
      <c r="D277" s="65" t="inlineStr">
        <is>
          <t>Long</t>
        </is>
      </c>
      <c r="E277" s="65" t="inlineStr">
        <is>
          <t>26/11/2007</t>
        </is>
      </c>
      <c r="F277" s="66" t="inlineStr">
        <is>
          <t>LNH0925ND01</t>
        </is>
      </c>
      <c r="G277" s="90" t="n">
        <v>8415000</v>
      </c>
      <c r="H277" s="65">
        <f>VLOOKUP(B277,'[1]TONG HOP'!B$5:G$624,6,0)</f>
        <v/>
      </c>
      <c r="I277" s="65" t="n">
        <v>2103750</v>
      </c>
      <c r="J277" s="65" t="n"/>
      <c r="K277" s="65" t="n"/>
      <c r="L277" s="65">
        <f>VLOOKUP(B277,'[2]DS THANG 11'!A$3:E$616,5,0)</f>
        <v/>
      </c>
      <c r="M277" s="65" t="n">
        <v>2103750</v>
      </c>
      <c r="N277" s="65" t="n"/>
      <c r="O277" s="65" t="n"/>
      <c r="P277" s="65">
        <f>VLOOKUP(B277,'[3]TONG HOP '!B$5:O$666,14,0)</f>
        <v/>
      </c>
      <c r="Q277" s="65" t="n">
        <v>2103750</v>
      </c>
      <c r="R277" s="65" t="n"/>
      <c r="S277" s="92">
        <f>G277-I277-R277-K277-M277-O277-Q277</f>
        <v/>
      </c>
      <c r="T277" s="92" t="inlineStr">
        <is>
          <t>LNH0526NQ17</t>
        </is>
      </c>
      <c r="U277" s="92" t="n">
        <v>2103750</v>
      </c>
      <c r="V277" s="69">
        <f>G277-SUM(I277,K277,M277,O277,Q277,U277)</f>
        <v/>
      </c>
      <c r="W277" s="65" t="n"/>
      <c r="X277" t="inlineStr">
        <is>
          <t>Khớp</t>
        </is>
      </c>
    </row>
    <row r="278">
      <c r="A278" s="65" t="n">
        <v>269</v>
      </c>
      <c r="B278" s="65" t="inlineStr">
        <is>
          <t>25820200112</t>
        </is>
      </c>
      <c r="C278" s="65" t="inlineStr">
        <is>
          <t>Bùi Quang</t>
        </is>
      </c>
      <c r="D278" s="65" t="inlineStr">
        <is>
          <t>Minh</t>
        </is>
      </c>
      <c r="E278" s="65" t="inlineStr">
        <is>
          <t>15/12/2007</t>
        </is>
      </c>
      <c r="F278" s="66" t="inlineStr">
        <is>
          <t>LNH0925ND01</t>
        </is>
      </c>
      <c r="G278" s="90" t="n">
        <v>8415000</v>
      </c>
      <c r="H278" s="65">
        <f>VLOOKUP(B278,'[1]TONG HOP'!B$5:G$624,6,0)</f>
        <v/>
      </c>
      <c r="I278" s="65" t="n">
        <v>2103750</v>
      </c>
      <c r="J278" s="65" t="n"/>
      <c r="K278" s="65" t="n"/>
      <c r="L278" s="65">
        <f>VLOOKUP(B278,'[2]DS THANG 11'!A$3:E$616,5,0)</f>
        <v/>
      </c>
      <c r="M278" s="65" t="n">
        <v>2103750</v>
      </c>
      <c r="N278" s="65" t="n"/>
      <c r="O278" s="65" t="n"/>
      <c r="P278" s="65">
        <f>VLOOKUP(B278,'[3]TONG HOP '!B$5:O$666,14,0)</f>
        <v/>
      </c>
      <c r="Q278" s="65" t="n">
        <v>2103750</v>
      </c>
      <c r="R278" s="65" t="n"/>
      <c r="S278" s="92">
        <f>G278-I278-R278-K278-M278-O278-Q278</f>
        <v/>
      </c>
      <c r="T278" s="92" t="inlineStr">
        <is>
          <t>LNH0526NQ19</t>
        </is>
      </c>
      <c r="U278" s="92" t="n">
        <v>2103750</v>
      </c>
      <c r="V278" s="69">
        <f>G278-SUM(I278,K278,M278,O278,Q278,U278)</f>
        <v/>
      </c>
      <c r="W278" s="65" t="n"/>
      <c r="X278" t="inlineStr">
        <is>
          <t>Khớp</t>
        </is>
      </c>
    </row>
    <row r="279">
      <c r="A279" s="65" t="n">
        <v>270</v>
      </c>
      <c r="B279" s="65" t="inlineStr">
        <is>
          <t>25803800007</t>
        </is>
      </c>
      <c r="C279" s="65" t="inlineStr">
        <is>
          <t>Nguyễn Lâm Thiên</t>
        </is>
      </c>
      <c r="D279" s="65" t="inlineStr">
        <is>
          <t>Bảo</t>
        </is>
      </c>
      <c r="E279" s="65" t="inlineStr">
        <is>
          <t>14/03/2007</t>
        </is>
      </c>
      <c r="F279" s="66" t="inlineStr">
        <is>
          <t>LNH0925ND01</t>
        </is>
      </c>
      <c r="G279" s="90" t="n">
        <v>8415000</v>
      </c>
      <c r="H279" s="65">
        <f>VLOOKUP(B279,'[1]TONG HOP'!B$5:G$624,6,0)</f>
        <v/>
      </c>
      <c r="I279" s="65" t="n">
        <v>2103750</v>
      </c>
      <c r="J279" s="65" t="n"/>
      <c r="K279" s="65" t="n"/>
      <c r="L279" s="65">
        <f>VLOOKUP(B279,'[2]DS THANG 11'!A$3:E$616,5,0)</f>
        <v/>
      </c>
      <c r="M279" s="65" t="n">
        <v>2103750</v>
      </c>
      <c r="N279" s="65" t="n"/>
      <c r="O279" s="65" t="n"/>
      <c r="P279" s="65">
        <f>VLOOKUP(B279,'[3]TONG HOP '!B$5:O$666,14,0)</f>
        <v/>
      </c>
      <c r="Q279" s="65" t="n">
        <v>2103750</v>
      </c>
      <c r="R279" s="65" t="n"/>
      <c r="S279" s="92">
        <f>G279-I279-R279-K279-M279-O279-Q279</f>
        <v/>
      </c>
      <c r="T279" s="92" t="inlineStr"/>
      <c r="U279" s="92" t="inlineStr"/>
      <c r="V279" s="69">
        <f>G279-SUM(I279,K279,M279,O279,Q279,U279)</f>
        <v/>
      </c>
      <c r="W279" s="65" t="n"/>
      <c r="X279" t="inlineStr">
        <is>
          <t>Khớp</t>
        </is>
      </c>
    </row>
    <row r="280">
      <c r="A280" s="65" t="n">
        <v>271</v>
      </c>
      <c r="B280" s="65" t="inlineStr">
        <is>
          <t>25802800145</t>
        </is>
      </c>
      <c r="C280" s="65" t="inlineStr">
        <is>
          <t>Kiều Công</t>
        </is>
      </c>
      <c r="D280" s="65" t="inlineStr">
        <is>
          <t>Minh</t>
        </is>
      </c>
      <c r="E280" s="65" t="inlineStr">
        <is>
          <t>12/10/2006</t>
        </is>
      </c>
      <c r="F280" s="66" t="inlineStr">
        <is>
          <t>LNH0925ND01</t>
        </is>
      </c>
      <c r="G280" s="90" t="n">
        <v>8415000</v>
      </c>
      <c r="H280" s="65">
        <f>VLOOKUP(B280,'[1]TONG HOP'!B$5:G$624,6,0)</f>
        <v/>
      </c>
      <c r="I280" s="65" t="n">
        <v>2103750</v>
      </c>
      <c r="J280" s="65" t="n"/>
      <c r="K280" s="65" t="n"/>
      <c r="L280" s="65">
        <f>VLOOKUP(B280,'[2]DS THANG 11'!A$3:E$616,5,0)</f>
        <v/>
      </c>
      <c r="M280" s="65" t="n">
        <v>2103750</v>
      </c>
      <c r="N280" s="65" t="n"/>
      <c r="O280" s="65" t="n"/>
      <c r="P280" s="65">
        <f>VLOOKUP(B280,'[3]TONG HOP '!B$5:O$666,14,0)</f>
        <v/>
      </c>
      <c r="Q280" s="65" t="n">
        <v>2103750</v>
      </c>
      <c r="R280" s="65" t="n"/>
      <c r="S280" s="92">
        <f>G280-I280-R280-K280-M280-O280-Q280</f>
        <v/>
      </c>
      <c r="T280" s="92" t="inlineStr">
        <is>
          <t>LNH0526NQ07</t>
        </is>
      </c>
      <c r="U280" s="92" t="n">
        <v>2103750</v>
      </c>
      <c r="V280" s="69">
        <f>G280-SUM(I280,K280,M280,O280,Q280,U280)</f>
        <v/>
      </c>
      <c r="W280" s="65" t="n"/>
      <c r="X280" t="inlineStr">
        <is>
          <t>Khớp</t>
        </is>
      </c>
    </row>
    <row r="281">
      <c r="A281" s="65" t="n">
        <v>272</v>
      </c>
      <c r="B281" s="65" t="inlineStr">
        <is>
          <t>25808600069</t>
        </is>
      </c>
      <c r="C281" s="65" t="inlineStr">
        <is>
          <t>Nguyễn Ngọc Thanh</t>
        </is>
      </c>
      <c r="D281" s="65" t="inlineStr">
        <is>
          <t>Ngân</t>
        </is>
      </c>
      <c r="E281" s="65" t="inlineStr">
        <is>
          <t>21/12/2007</t>
        </is>
      </c>
      <c r="F281" s="66" t="inlineStr">
        <is>
          <t>LNH0925ND01</t>
        </is>
      </c>
      <c r="G281" s="90" t="n">
        <v>8415000</v>
      </c>
      <c r="H281" s="65">
        <f>VLOOKUP(B281,'[1]TONG HOP'!B$5:G$624,6,0)</f>
        <v/>
      </c>
      <c r="I281" s="65" t="n">
        <v>2103750</v>
      </c>
      <c r="J281" s="65" t="n"/>
      <c r="K281" s="65" t="n"/>
      <c r="L281" s="65">
        <f>VLOOKUP(B281,'[2]DS THANG 11'!A$3:E$616,5,0)</f>
        <v/>
      </c>
      <c r="M281" s="65" t="n">
        <v>2103750</v>
      </c>
      <c r="N281" s="65" t="n"/>
      <c r="O281" s="65" t="n"/>
      <c r="P281" s="65">
        <f>VLOOKUP(B281,'[3]TONG HOP '!B$5:O$666,14,0)</f>
        <v/>
      </c>
      <c r="Q281" s="65" t="n">
        <v>2103750</v>
      </c>
      <c r="R281" s="65" t="n"/>
      <c r="S281" s="92">
        <f>G281-I281-R281-K281-M281-O281-Q281</f>
        <v/>
      </c>
      <c r="T281" s="92" t="inlineStr"/>
      <c r="U281" s="92" t="inlineStr"/>
      <c r="V281" s="69">
        <f>G281-SUM(I281,K281,M281,O281,Q281,U281)</f>
        <v/>
      </c>
      <c r="W281" s="65" t="n"/>
      <c r="X281" t="inlineStr">
        <is>
          <t>Khớp</t>
        </is>
      </c>
    </row>
    <row r="282">
      <c r="A282" s="65" t="n">
        <v>273</v>
      </c>
      <c r="B282" s="65" t="inlineStr">
        <is>
          <t>25805900008</t>
        </is>
      </c>
      <c r="C282" s="65" t="inlineStr">
        <is>
          <t>Huỳnh Tấn</t>
        </is>
      </c>
      <c r="D282" s="65" t="inlineStr">
        <is>
          <t>Dũng</t>
        </is>
      </c>
      <c r="E282" s="65" t="inlineStr">
        <is>
          <t>18/10/2007</t>
        </is>
      </c>
      <c r="F282" s="66" t="inlineStr">
        <is>
          <t>LNH0925ND01</t>
        </is>
      </c>
      <c r="G282" s="90" t="n">
        <v>8415000</v>
      </c>
      <c r="H282" s="65" t="n"/>
      <c r="I282" s="65" t="n"/>
      <c r="J282" s="65">
        <f>VLOOKUP(B282,[5]Sheet1!A$3:E$32,5,0)</f>
        <v/>
      </c>
      <c r="K282" s="65" t="n">
        <v>2103750</v>
      </c>
      <c r="L282" s="65">
        <f>VLOOKUP(B282,'[2]DS THANG 11'!A$3:E$616,5,0)</f>
        <v/>
      </c>
      <c r="M282" s="65" t="n">
        <v>2103750</v>
      </c>
      <c r="N282" s="65" t="n"/>
      <c r="O282" s="65" t="n"/>
      <c r="P282" s="65">
        <f>VLOOKUP(B282,'[3]TONG HOP '!B$5:O$666,14,0)</f>
        <v/>
      </c>
      <c r="Q282" s="65" t="n">
        <v>2103750</v>
      </c>
      <c r="R282" s="65" t="n"/>
      <c r="S282" s="92">
        <f>G282-I282-R282-K282-M282-O282-Q282</f>
        <v/>
      </c>
      <c r="T282" s="92" t="inlineStr">
        <is>
          <t>LNH0526NQ06</t>
        </is>
      </c>
      <c r="U282" s="92" t="n">
        <v>2103750</v>
      </c>
      <c r="V282" s="69">
        <f>G282-SUM(I282,K282,M282,O282,Q282,U282)</f>
        <v/>
      </c>
      <c r="W282" s="65" t="n"/>
      <c r="X282" t="inlineStr">
        <is>
          <t>Khớp</t>
        </is>
      </c>
    </row>
    <row r="283">
      <c r="A283" s="65" t="n">
        <v>274</v>
      </c>
      <c r="B283" s="65" t="inlineStr">
        <is>
          <t>25808900004</t>
        </is>
      </c>
      <c r="C283" s="65" t="inlineStr">
        <is>
          <t>Đào Duy</t>
        </is>
      </c>
      <c r="D283" s="65" t="inlineStr">
        <is>
          <t>Anh</t>
        </is>
      </c>
      <c r="E283" s="65" t="inlineStr">
        <is>
          <t>02/03/2007</t>
        </is>
      </c>
      <c r="F283" s="66" t="inlineStr">
        <is>
          <t>LNH0925ND01</t>
        </is>
      </c>
      <c r="G283" s="90" t="n">
        <v>8415000</v>
      </c>
      <c r="H283" s="65">
        <f>VLOOKUP(B283,'[1]TONG HOP'!B$5:G$624,6,0)</f>
        <v/>
      </c>
      <c r="I283" s="65" t="n">
        <v>2103750</v>
      </c>
      <c r="J283" s="65" t="n"/>
      <c r="K283" s="65" t="n"/>
      <c r="L283" s="65">
        <f>VLOOKUP(B283,'[2]DS THANG 11'!A$3:E$616,5,0)</f>
        <v/>
      </c>
      <c r="M283" s="65" t="n">
        <v>2103750</v>
      </c>
      <c r="N283" s="65" t="n"/>
      <c r="O283" s="65" t="n"/>
      <c r="P283" s="65">
        <f>VLOOKUP(B283,'[3]TONG HOP '!B$5:O$666,14,0)</f>
        <v/>
      </c>
      <c r="Q283" s="65" t="n">
        <v>2103750</v>
      </c>
      <c r="R283" s="65" t="n"/>
      <c r="S283" s="92">
        <f>G283-I283-R283-K283-M283-O283-Q283</f>
        <v/>
      </c>
      <c r="T283" s="92" t="inlineStr">
        <is>
          <t>LNH0526NQ08</t>
        </is>
      </c>
      <c r="U283" s="92" t="n">
        <v>2103750</v>
      </c>
      <c r="V283" s="69">
        <f>G283-SUM(I283,K283,M283,O283,Q283,U283)</f>
        <v/>
      </c>
      <c r="W283" s="65" t="n"/>
      <c r="X283" t="inlineStr">
        <is>
          <t>Khớp</t>
        </is>
      </c>
    </row>
    <row r="284">
      <c r="A284" s="65" t="n">
        <v>275</v>
      </c>
      <c r="B284" s="65" t="inlineStr">
        <is>
          <t>25801100118</t>
        </is>
      </c>
      <c r="C284" s="65" t="inlineStr">
        <is>
          <t>Thái Nguyễn Nam</t>
        </is>
      </c>
      <c r="D284" s="65" t="inlineStr">
        <is>
          <t>Khánh</t>
        </is>
      </c>
      <c r="E284" s="65" t="inlineStr">
        <is>
          <t>07/11/2007</t>
        </is>
      </c>
      <c r="F284" s="66" t="inlineStr">
        <is>
          <t>LNH0925ND01</t>
        </is>
      </c>
      <c r="G284" s="90" t="n">
        <v>8415000</v>
      </c>
      <c r="H284" s="65">
        <f>VLOOKUP(B284,'[1]TONG HOP'!B$5:G$624,6,0)</f>
        <v/>
      </c>
      <c r="I284" s="65" t="n">
        <v>2103750</v>
      </c>
      <c r="J284" s="65" t="n"/>
      <c r="K284" s="65" t="n"/>
      <c r="L284" s="65">
        <f>VLOOKUP(B284,'[2]DS THANG 11'!A$3:E$616,5,0)</f>
        <v/>
      </c>
      <c r="M284" s="65" t="n">
        <v>2103750</v>
      </c>
      <c r="N284" s="65" t="n"/>
      <c r="O284" s="65" t="n"/>
      <c r="P284" s="65">
        <f>VLOOKUP(B284,'[3]TONG HOP '!B$5:O$666,14,0)</f>
        <v/>
      </c>
      <c r="Q284" s="65" t="n">
        <v>2103750</v>
      </c>
      <c r="R284" s="65" t="n"/>
      <c r="S284" s="92">
        <f>G284-I284-R284-K284-M284-O284-Q284</f>
        <v/>
      </c>
      <c r="T284" s="92" t="inlineStr"/>
      <c r="U284" s="92" t="inlineStr"/>
      <c r="V284" s="69">
        <f>G284-SUM(I284,K284,M284,O284,Q284,U284)</f>
        <v/>
      </c>
      <c r="W284" s="65" t="n"/>
      <c r="X284" t="inlineStr">
        <is>
          <t>Khớp</t>
        </is>
      </c>
    </row>
    <row r="285">
      <c r="A285" s="65" t="n">
        <v>276</v>
      </c>
      <c r="B285" s="65" t="inlineStr">
        <is>
          <t>25808200223</t>
        </is>
      </c>
      <c r="C285" s="65" t="inlineStr">
        <is>
          <t>Nguyễn Thanh</t>
        </is>
      </c>
      <c r="D285" s="65" t="inlineStr">
        <is>
          <t>Phong</t>
        </is>
      </c>
      <c r="E285" s="65" t="inlineStr">
        <is>
          <t>20/10/2007</t>
        </is>
      </c>
      <c r="F285" s="66" t="inlineStr">
        <is>
          <t>LNH0925ND01</t>
        </is>
      </c>
      <c r="G285" s="90" t="n">
        <v>8415000</v>
      </c>
      <c r="H285" s="65">
        <f>VLOOKUP(B285,'[1]TONG HOP'!B$5:G$624,6,0)</f>
        <v/>
      </c>
      <c r="I285" s="65" t="n">
        <v>2103750</v>
      </c>
      <c r="J285" s="65" t="n"/>
      <c r="K285" s="65" t="n"/>
      <c r="L285" s="65">
        <f>VLOOKUP(B285,'[2]DS THANG 11'!A$3:E$616,5,0)</f>
        <v/>
      </c>
      <c r="M285" s="65" t="n">
        <v>2103750</v>
      </c>
      <c r="N285" s="65" t="n"/>
      <c r="O285" s="65" t="n"/>
      <c r="P285" s="65">
        <f>VLOOKUP(B285,'[3]TONG HOP '!B$5:O$666,14,0)</f>
        <v/>
      </c>
      <c r="Q285" s="65" t="n">
        <v>2103750</v>
      </c>
      <c r="R285" s="65" t="n"/>
      <c r="S285" s="92">
        <f>G285-I285-R285-K285-M285-O285-Q285</f>
        <v/>
      </c>
      <c r="T285" s="92" t="inlineStr">
        <is>
          <t>LNH0526NQ11</t>
        </is>
      </c>
      <c r="U285" s="92" t="n">
        <v>2103750</v>
      </c>
      <c r="V285" s="69">
        <f>G285-SUM(I285,K285,M285,O285,Q285,U285)</f>
        <v/>
      </c>
      <c r="W285" s="65" t="n"/>
      <c r="X285" t="inlineStr">
        <is>
          <t>Khớp</t>
        </is>
      </c>
    </row>
    <row r="286">
      <c r="A286" s="65" t="n">
        <v>277</v>
      </c>
      <c r="B286" s="65" t="inlineStr">
        <is>
          <t>25802800389</t>
        </is>
      </c>
      <c r="C286" s="65" t="inlineStr">
        <is>
          <t>Nguyễn Tuấn</t>
        </is>
      </c>
      <c r="D286" s="65" t="inlineStr">
        <is>
          <t>Khôi</t>
        </is>
      </c>
      <c r="E286" s="65" t="inlineStr">
        <is>
          <t>31/07/2007</t>
        </is>
      </c>
      <c r="F286" s="66" t="inlineStr">
        <is>
          <t>LNH0925ND01</t>
        </is>
      </c>
      <c r="G286" s="90" t="n">
        <v>8415000</v>
      </c>
      <c r="H286" s="65" t="n"/>
      <c r="I286" s="65" t="n"/>
      <c r="J286" s="65" t="n"/>
      <c r="K286" s="65" t="n"/>
      <c r="L286" s="65">
        <f>VLOOKUP(B286,'[2]DS THANG 11'!A$3:E$616,5,0)</f>
        <v/>
      </c>
      <c r="M286" s="65" t="n">
        <v>2103750</v>
      </c>
      <c r="N286" s="65" t="n"/>
      <c r="O286" s="65" t="n"/>
      <c r="P286" s="65">
        <f>VLOOKUP(B286,'[3]TONG HOP '!B$5:O$666,14,0)</f>
        <v/>
      </c>
      <c r="Q286" s="65" t="n">
        <v>2103750</v>
      </c>
      <c r="R286" s="65" t="n"/>
      <c r="S286" s="92">
        <f>G286-I286-R286-K286-M286-O286-Q286</f>
        <v/>
      </c>
      <c r="T286" s="92" t="inlineStr"/>
      <c r="U286" s="92" t="inlineStr"/>
      <c r="V286" s="69">
        <f>G286-SUM(I286,K286,M286,O286,Q286,U286)</f>
        <v/>
      </c>
      <c r="W286" s="65" t="n"/>
      <c r="X286" t="inlineStr">
        <is>
          <t>Khớp</t>
        </is>
      </c>
    </row>
    <row r="287">
      <c r="A287" s="65" t="n">
        <v>278</v>
      </c>
      <c r="B287" s="65" t="inlineStr">
        <is>
          <t>25820700063</t>
        </is>
      </c>
      <c r="C287" s="65" t="inlineStr">
        <is>
          <t>Nguyễn Thị Xuân</t>
        </is>
      </c>
      <c r="D287" s="65" t="inlineStr">
        <is>
          <t>Hồng</t>
        </is>
      </c>
      <c r="E287" s="65" t="inlineStr">
        <is>
          <t>19/03/2007</t>
        </is>
      </c>
      <c r="F287" s="66" t="inlineStr">
        <is>
          <t>LNH0925ND01</t>
        </is>
      </c>
      <c r="G287" s="90" t="n">
        <v>8415000</v>
      </c>
      <c r="H287" s="65">
        <f>VLOOKUP(B287,'[1]TONG HOP'!B$5:G$624,6,0)</f>
        <v/>
      </c>
      <c r="I287" s="65" t="n">
        <v>2103750</v>
      </c>
      <c r="J287" s="65" t="n"/>
      <c r="K287" s="65" t="n"/>
      <c r="L287" s="65">
        <f>VLOOKUP(B287,'[2]DS THANG 11'!A$3:E$616,5,0)</f>
        <v/>
      </c>
      <c r="M287" s="65" t="n">
        <v>2103750</v>
      </c>
      <c r="N287" s="65" t="n"/>
      <c r="O287" s="65" t="n"/>
      <c r="P287" s="65">
        <f>VLOOKUP(B287,'[3]TONG HOP '!B$5:O$666,14,0)</f>
        <v/>
      </c>
      <c r="Q287" s="65" t="n">
        <v>2103750</v>
      </c>
      <c r="R287" s="65" t="n"/>
      <c r="S287" s="92">
        <f>G287-I287-R287-K287-M287-O287-Q287</f>
        <v/>
      </c>
      <c r="T287" s="92" t="inlineStr">
        <is>
          <t>LNH0526NQ18</t>
        </is>
      </c>
      <c r="U287" s="92" t="n">
        <v>2103750</v>
      </c>
      <c r="V287" s="69">
        <f>G287-SUM(I287,K287,M287,O287,Q287,U287)</f>
        <v/>
      </c>
      <c r="W287" s="65" t="n"/>
      <c r="X287" t="inlineStr">
        <is>
          <t>Khớp</t>
        </is>
      </c>
    </row>
    <row r="288">
      <c r="A288" s="65" t="n">
        <v>279</v>
      </c>
      <c r="B288" s="65" t="inlineStr">
        <is>
          <t>25808600060</t>
        </is>
      </c>
      <c r="C288" s="65" t="inlineStr">
        <is>
          <t>Nguyễn Tấn</t>
        </is>
      </c>
      <c r="D288" s="65" t="inlineStr">
        <is>
          <t>Lộc</t>
        </is>
      </c>
      <c r="E288" s="65" t="inlineStr">
        <is>
          <t>27/06/2006</t>
        </is>
      </c>
      <c r="F288" s="66" t="inlineStr">
        <is>
          <t>LNH0925ND01</t>
        </is>
      </c>
      <c r="G288" s="90" t="n">
        <v>8415000</v>
      </c>
      <c r="H288" s="65" t="n"/>
      <c r="I288" s="65" t="n"/>
      <c r="J288" s="65" t="n"/>
      <c r="K288" s="65" t="n"/>
      <c r="L288" s="65" t="n"/>
      <c r="M288" s="65" t="n"/>
      <c r="N288" s="65" t="n"/>
      <c r="O288" s="65" t="n"/>
      <c r="P288" s="65" t="n"/>
      <c r="Q288" s="65" t="n"/>
      <c r="R288" s="65" t="n"/>
      <c r="S288" s="92">
        <f>G288-I288-R288-K288-M288-O288-Q288</f>
        <v/>
      </c>
      <c r="T288" s="92" t="inlineStr"/>
      <c r="U288" s="92" t="inlineStr"/>
      <c r="V288" s="69">
        <f>G288-SUM(I288,K288,M288,O288,Q288,U288)</f>
        <v/>
      </c>
      <c r="W288" s="65" t="n"/>
      <c r="X288" t="inlineStr">
        <is>
          <t>Khớp</t>
        </is>
      </c>
    </row>
    <row r="289">
      <c r="A289" s="65" t="n">
        <v>280</v>
      </c>
      <c r="B289" s="65" t="inlineStr">
        <is>
          <t>25802800392</t>
        </is>
      </c>
      <c r="C289" s="65" t="inlineStr">
        <is>
          <t>Nguyễn Chí</t>
        </is>
      </c>
      <c r="D289" s="65" t="inlineStr">
        <is>
          <t>Thành</t>
        </is>
      </c>
      <c r="E289" s="65" t="inlineStr">
        <is>
          <t>12/07/2007</t>
        </is>
      </c>
      <c r="F289" s="66" t="inlineStr">
        <is>
          <t>LNH0925ND01</t>
        </is>
      </c>
      <c r="G289" s="90" t="n">
        <v>8415000</v>
      </c>
      <c r="H289" s="65">
        <f>VLOOKUP(B289,'[1]TONG HOP'!B$5:G$624,6,0)</f>
        <v/>
      </c>
      <c r="I289" s="65" t="n">
        <v>2103750</v>
      </c>
      <c r="J289" s="65" t="n"/>
      <c r="K289" s="65" t="n"/>
      <c r="L289" s="65">
        <f>VLOOKUP(B289,'[2]DS THANG 11'!A$3:E$616,5,0)</f>
        <v/>
      </c>
      <c r="M289" s="65" t="n">
        <v>2103750</v>
      </c>
      <c r="N289" s="65" t="n"/>
      <c r="O289" s="65" t="n"/>
      <c r="P289" s="65">
        <f>VLOOKUP(B289,'[3]TONG HOP '!B$5:O$666,14,0)</f>
        <v/>
      </c>
      <c r="Q289" s="65" t="n">
        <v>2103750</v>
      </c>
      <c r="R289" s="65" t="n"/>
      <c r="S289" s="92">
        <f>G289-I289-R289-K289-M289-O289-Q289</f>
        <v/>
      </c>
      <c r="T289" s="92" t="inlineStr">
        <is>
          <t>LNH0526NQ02</t>
        </is>
      </c>
      <c r="U289" s="92" t="n">
        <v>2103750</v>
      </c>
      <c r="V289" s="69">
        <f>G289-SUM(I289,K289,M289,O289,Q289,U289)</f>
        <v/>
      </c>
      <c r="W289" s="65" t="n"/>
      <c r="X289" t="inlineStr">
        <is>
          <t>Khớp</t>
        </is>
      </c>
    </row>
    <row r="290">
      <c r="A290" s="65" t="n">
        <v>281</v>
      </c>
      <c r="B290" s="65" t="inlineStr">
        <is>
          <t>25801800161</t>
        </is>
      </c>
      <c r="C290" s="65" t="inlineStr">
        <is>
          <t>Nguyễn Thị Kiều</t>
        </is>
      </c>
      <c r="D290" s="65" t="inlineStr">
        <is>
          <t>Vy</t>
        </is>
      </c>
      <c r="E290" s="65" t="inlineStr">
        <is>
          <t>14/10/2007</t>
        </is>
      </c>
      <c r="F290" s="66" t="inlineStr">
        <is>
          <t>LNH0925ND01</t>
        </is>
      </c>
      <c r="G290" s="90" t="n">
        <v>8415000</v>
      </c>
      <c r="H290" s="65">
        <f>VLOOKUP(B290,'[1]TONG HOP'!B$5:G$624,6,0)</f>
        <v/>
      </c>
      <c r="I290" s="65" t="n">
        <v>2103750</v>
      </c>
      <c r="J290" s="65" t="n"/>
      <c r="K290" s="65" t="n"/>
      <c r="L290" s="65">
        <f>VLOOKUP(B290,'[2]DS THANG 11'!A$3:E$616,5,0)</f>
        <v/>
      </c>
      <c r="M290" s="65" t="n">
        <v>2103750</v>
      </c>
      <c r="N290" s="65" t="n"/>
      <c r="O290" s="65" t="n"/>
      <c r="P290" s="65">
        <f>VLOOKUP(B290,'[3]TONG HOP '!B$5:O$666,14,0)</f>
        <v/>
      </c>
      <c r="Q290" s="65" t="n">
        <v>2103750</v>
      </c>
      <c r="R290" s="65" t="n"/>
      <c r="S290" s="92">
        <f>G290-I290-R290-K290-M290-O290-Q290</f>
        <v/>
      </c>
      <c r="T290" s="92" t="inlineStr"/>
      <c r="U290" s="92" t="inlineStr"/>
      <c r="V290" s="69">
        <f>G290-SUM(I290,K290,M290,O290,Q290,U290)</f>
        <v/>
      </c>
      <c r="W290" s="65" t="n"/>
      <c r="X290" t="inlineStr">
        <is>
          <t>Khớp</t>
        </is>
      </c>
    </row>
    <row r="291">
      <c r="A291" s="65" t="n">
        <v>282</v>
      </c>
      <c r="B291" s="65" t="inlineStr">
        <is>
          <t>25806000015</t>
        </is>
      </c>
      <c r="C291" s="65" t="inlineStr">
        <is>
          <t>Đỗ Ngọc Thảo</t>
        </is>
      </c>
      <c r="D291" s="65" t="inlineStr">
        <is>
          <t>Linh</t>
        </is>
      </c>
      <c r="E291" s="65" t="inlineStr">
        <is>
          <t>09/04/2007</t>
        </is>
      </c>
      <c r="F291" s="66" t="inlineStr">
        <is>
          <t>LNH0925ND01</t>
        </is>
      </c>
      <c r="G291" s="90" t="n">
        <v>8415000</v>
      </c>
      <c r="H291" s="65">
        <f>VLOOKUP(B291,'[1]TONG HOP'!B$5:G$624,6,0)</f>
        <v/>
      </c>
      <c r="I291" s="65" t="n">
        <v>2103750</v>
      </c>
      <c r="J291" s="65" t="n"/>
      <c r="K291" s="65" t="n"/>
      <c r="L291" s="65">
        <f>VLOOKUP(B291,'[2]DS THANG 11'!A$3:E$616,5,0)</f>
        <v/>
      </c>
      <c r="M291" s="65" t="n">
        <v>2103750</v>
      </c>
      <c r="N291" s="65" t="n"/>
      <c r="O291" s="65" t="n"/>
      <c r="P291" s="65">
        <f>VLOOKUP(B291,'[3]TONG HOP '!B$5:O$666,14,0)</f>
        <v/>
      </c>
      <c r="Q291" s="65" t="n">
        <v>2103750</v>
      </c>
      <c r="R291" s="65" t="n"/>
      <c r="S291" s="92">
        <f>G291-I291-R291-K291-M291-O291-Q291</f>
        <v/>
      </c>
      <c r="T291" s="92" t="inlineStr">
        <is>
          <t>LNH0526NQ04</t>
        </is>
      </c>
      <c r="U291" s="92" t="n">
        <v>2103750</v>
      </c>
      <c r="V291" s="69">
        <f>G291-SUM(I291,K291,M291,O291,Q291,U291)</f>
        <v/>
      </c>
      <c r="W291" s="65" t="n"/>
      <c r="X291" t="inlineStr">
        <is>
          <t>Khớp</t>
        </is>
      </c>
    </row>
    <row r="292">
      <c r="A292" s="65" t="n">
        <v>283</v>
      </c>
      <c r="B292" s="65" t="inlineStr">
        <is>
          <t>25808700038</t>
        </is>
      </c>
      <c r="C292" s="65" t="inlineStr">
        <is>
          <t>Lê Minh</t>
        </is>
      </c>
      <c r="D292" s="65" t="inlineStr">
        <is>
          <t>Khôi</t>
        </is>
      </c>
      <c r="E292" s="65" t="inlineStr">
        <is>
          <t>15/12/2007</t>
        </is>
      </c>
      <c r="F292" s="66" t="inlineStr">
        <is>
          <t>LNH0925ND01</t>
        </is>
      </c>
      <c r="G292" s="90" t="n">
        <v>8415000</v>
      </c>
      <c r="H292" s="65" t="n"/>
      <c r="I292" s="65" t="n"/>
      <c r="J292" s="65" t="n"/>
      <c r="K292" s="65" t="n"/>
      <c r="L292" s="65" t="n"/>
      <c r="M292" s="65" t="n"/>
      <c r="N292" s="65" t="n"/>
      <c r="O292" s="65" t="n"/>
      <c r="P292" s="65" t="n"/>
      <c r="Q292" s="65" t="n"/>
      <c r="R292" s="65" t="n"/>
      <c r="S292" s="92">
        <f>G292-I292-R292-K292-M292-O292-Q292</f>
        <v/>
      </c>
      <c r="T292" s="92" t="inlineStr"/>
      <c r="U292" s="92" t="inlineStr"/>
      <c r="V292" s="69">
        <f>G292-SUM(I292,K292,M292,O292,Q292,U292)</f>
        <v/>
      </c>
      <c r="W292" s="65" t="n"/>
      <c r="X292" t="inlineStr">
        <is>
          <t>Khớp</t>
        </is>
      </c>
    </row>
    <row r="293">
      <c r="A293" s="65" t="n">
        <v>284</v>
      </c>
      <c r="B293" s="65" t="inlineStr">
        <is>
          <t>25801700029</t>
        </is>
      </c>
      <c r="C293" s="65" t="inlineStr">
        <is>
          <t>Tân Vĩnh Bảo</t>
        </is>
      </c>
      <c r="D293" s="65" t="inlineStr">
        <is>
          <t>Long</t>
        </is>
      </c>
      <c r="E293" s="65" t="inlineStr">
        <is>
          <t>01/01/2007</t>
        </is>
      </c>
      <c r="F293" s="66" t="inlineStr">
        <is>
          <t>LNH0925ND01</t>
        </is>
      </c>
      <c r="G293" s="90" t="n">
        <v>8415000</v>
      </c>
      <c r="H293" s="65">
        <f>VLOOKUP(B293,'[1]TONG HOP'!B$5:G$624,6,0)</f>
        <v/>
      </c>
      <c r="I293" s="65" t="n">
        <v>2103750</v>
      </c>
      <c r="J293" s="65" t="n"/>
      <c r="K293" s="65" t="n"/>
      <c r="L293" s="65">
        <f>VLOOKUP(B293,'[2]DS THANG 11'!A$3:E$616,5,0)</f>
        <v/>
      </c>
      <c r="M293" s="65" t="n">
        <v>2103750</v>
      </c>
      <c r="N293" s="65" t="n"/>
      <c r="O293" s="65" t="n"/>
      <c r="P293" s="65">
        <f>VLOOKUP(B293,'[3]TONG HOP '!B$5:O$666,14,0)</f>
        <v/>
      </c>
      <c r="Q293" s="65" t="n">
        <v>2103750</v>
      </c>
      <c r="R293" s="65" t="n"/>
      <c r="S293" s="92">
        <f>G293-I293-R293-K293-M293-O293-Q293</f>
        <v/>
      </c>
      <c r="T293" s="92" t="inlineStr">
        <is>
          <t>LNH0526NQ06</t>
        </is>
      </c>
      <c r="U293" s="92" t="n">
        <v>2103750</v>
      </c>
      <c r="V293" s="69">
        <f>G293-SUM(I293,K293,M293,O293,Q293,U293)</f>
        <v/>
      </c>
      <c r="W293" s="65" t="n"/>
      <c r="X293" t="inlineStr">
        <is>
          <t>Khớp</t>
        </is>
      </c>
    </row>
    <row r="294">
      <c r="A294" s="65" t="n">
        <v>285</v>
      </c>
      <c r="B294" s="65" t="inlineStr">
        <is>
          <t>25807800070</t>
        </is>
      </c>
      <c r="C294" s="65" t="inlineStr">
        <is>
          <t>Lê Hữu</t>
        </is>
      </c>
      <c r="D294" s="65" t="inlineStr">
        <is>
          <t>Kiệt</t>
        </is>
      </c>
      <c r="E294" s="65" t="inlineStr">
        <is>
          <t>16/10/2007</t>
        </is>
      </c>
      <c r="F294" s="66" t="inlineStr">
        <is>
          <t>LNH0925ND01</t>
        </is>
      </c>
      <c r="G294" s="90" t="n">
        <v>8415000</v>
      </c>
      <c r="H294" s="65">
        <f>VLOOKUP(B294,'[1]TONG HOP'!B$5:G$624,6,0)</f>
        <v/>
      </c>
      <c r="I294" s="65" t="n">
        <v>2103750</v>
      </c>
      <c r="J294" s="65" t="n"/>
      <c r="K294" s="65" t="n"/>
      <c r="L294" s="65">
        <f>VLOOKUP(B294,'[2]DS THANG 11'!A$3:E$616,5,0)</f>
        <v/>
      </c>
      <c r="M294" s="65" t="n">
        <v>2103750</v>
      </c>
      <c r="N294" s="65" t="n"/>
      <c r="O294" s="65" t="n"/>
      <c r="P294" s="65">
        <f>VLOOKUP(B294,'[3]TONG HOP '!B$5:O$666,14,0)</f>
        <v/>
      </c>
      <c r="Q294" s="65" t="n">
        <v>2103750</v>
      </c>
      <c r="R294" s="65" t="n"/>
      <c r="S294" s="92">
        <f>G294-I294-R294-K294-M294-O294-Q294</f>
        <v/>
      </c>
      <c r="T294" s="92" t="inlineStr">
        <is>
          <t>LNH0526NQ13</t>
        </is>
      </c>
      <c r="U294" s="92" t="n">
        <v>2103750</v>
      </c>
      <c r="V294" s="69">
        <f>G294-SUM(I294,K294,M294,O294,Q294,U294)</f>
        <v/>
      </c>
      <c r="W294" s="65" t="n"/>
      <c r="X294" t="inlineStr">
        <is>
          <t>Khớp</t>
        </is>
      </c>
    </row>
    <row r="295">
      <c r="A295" s="65" t="n">
        <v>286</v>
      </c>
      <c r="B295" s="65" t="inlineStr">
        <is>
          <t>25808700068</t>
        </is>
      </c>
      <c r="C295" s="65" t="inlineStr">
        <is>
          <t>Trần Thị Ngọc</t>
        </is>
      </c>
      <c r="D295" s="65" t="inlineStr">
        <is>
          <t>Nhi</t>
        </is>
      </c>
      <c r="E295" s="65" t="inlineStr">
        <is>
          <t>09/01/2007</t>
        </is>
      </c>
      <c r="F295" s="66" t="inlineStr">
        <is>
          <t>LNH0925ND01</t>
        </is>
      </c>
      <c r="G295" s="90" t="n">
        <v>8415000</v>
      </c>
      <c r="H295" s="65">
        <f>VLOOKUP(B295,'[1]TONG HOP'!B$5:G$624,6,0)</f>
        <v/>
      </c>
      <c r="I295" s="65" t="n">
        <v>2103750</v>
      </c>
      <c r="J295" s="65" t="n"/>
      <c r="K295" s="65" t="n"/>
      <c r="L295" s="65">
        <f>VLOOKUP(B295,'[2]DS THANG 11'!A$3:E$616,5,0)</f>
        <v/>
      </c>
      <c r="M295" s="65" t="n">
        <v>2103750</v>
      </c>
      <c r="N295" s="65" t="n"/>
      <c r="O295" s="65" t="n"/>
      <c r="P295" s="65">
        <f>VLOOKUP(B295,'[3]TONG HOP '!B$5:O$666,14,0)</f>
        <v/>
      </c>
      <c r="Q295" s="65" t="n">
        <v>2103750</v>
      </c>
      <c r="R295" s="65" t="n"/>
      <c r="S295" s="92">
        <f>G295-I295-R295-K295-M295-O295-Q295</f>
        <v/>
      </c>
      <c r="T295" s="92" t="inlineStr"/>
      <c r="U295" s="92" t="inlineStr"/>
      <c r="V295" s="69">
        <f>G295-SUM(I295,K295,M295,O295,Q295,U295)</f>
        <v/>
      </c>
      <c r="W295" s="65" t="n"/>
      <c r="X295" t="inlineStr">
        <is>
          <t>Khớp</t>
        </is>
      </c>
    </row>
    <row r="296">
      <c r="A296" s="65" t="n">
        <v>287</v>
      </c>
      <c r="B296" s="65" t="inlineStr">
        <is>
          <t>25802100043</t>
        </is>
      </c>
      <c r="C296" s="65" t="inlineStr">
        <is>
          <t>Nguyễn Trung</t>
        </is>
      </c>
      <c r="D296" s="65" t="inlineStr">
        <is>
          <t>Văn</t>
        </is>
      </c>
      <c r="E296" s="65" t="inlineStr">
        <is>
          <t>15/05/2007</t>
        </is>
      </c>
      <c r="F296" s="66" t="inlineStr">
        <is>
          <t>LNH0925ND01</t>
        </is>
      </c>
      <c r="G296" s="90" t="n">
        <v>8415000</v>
      </c>
      <c r="H296" s="65">
        <f>VLOOKUP(B296,'[1]TONG HOP'!B$5:G$624,6,0)</f>
        <v/>
      </c>
      <c r="I296" s="65" t="n">
        <v>2103750</v>
      </c>
      <c r="J296" s="65" t="n"/>
      <c r="K296" s="65" t="n"/>
      <c r="L296" s="65" t="n"/>
      <c r="M296" s="65" t="n"/>
      <c r="N296" s="65" t="n"/>
      <c r="O296" s="65" t="n"/>
      <c r="P296" s="65" t="n"/>
      <c r="Q296" s="65" t="n"/>
      <c r="R296" s="65" t="n"/>
      <c r="S296" s="92">
        <f>G296-I296-R296-K296-M296-O296-Q296</f>
        <v/>
      </c>
      <c r="T296" s="92" t="inlineStr"/>
      <c r="U296" s="92" t="inlineStr"/>
      <c r="V296" s="69">
        <f>G296-SUM(I296,K296,M296,O296,Q296,U296)</f>
        <v/>
      </c>
      <c r="W296" s="65" t="n"/>
      <c r="X296" t="inlineStr">
        <is>
          <t>Khớp</t>
        </is>
      </c>
    </row>
    <row r="297">
      <c r="A297" s="65" t="n">
        <v>288</v>
      </c>
      <c r="B297" s="65" t="inlineStr">
        <is>
          <t>25806500014</t>
        </is>
      </c>
      <c r="C297" s="65" t="inlineStr">
        <is>
          <t>Nguyễn Thanh Ngọc</t>
        </is>
      </c>
      <c r="D297" s="65" t="inlineStr">
        <is>
          <t>Thảo</t>
        </is>
      </c>
      <c r="E297" s="65" t="inlineStr">
        <is>
          <t>14/01/2007</t>
        </is>
      </c>
      <c r="F297" s="66" t="inlineStr">
        <is>
          <t>LNH0925ND01</t>
        </is>
      </c>
      <c r="G297" s="90" t="n">
        <v>8415000</v>
      </c>
      <c r="H297" s="65">
        <f>VLOOKUP(B297,'[1]TONG HOP'!B$5:G$624,6,0)</f>
        <v/>
      </c>
      <c r="I297" s="65" t="n">
        <v>2103750</v>
      </c>
      <c r="J297" s="65" t="n"/>
      <c r="K297" s="65" t="n"/>
      <c r="L297" s="65">
        <f>VLOOKUP(B297,'[2]DS THANG 11'!A$3:E$616,5,0)</f>
        <v/>
      </c>
      <c r="M297" s="65" t="n">
        <v>2103750</v>
      </c>
      <c r="N297" s="65" t="n"/>
      <c r="O297" s="65" t="n"/>
      <c r="P297" s="65">
        <f>VLOOKUP(B297,'[3]TONG HOP '!B$5:O$666,14,0)</f>
        <v/>
      </c>
      <c r="Q297" s="65" t="n">
        <v>2103750</v>
      </c>
      <c r="R297" s="65" t="n"/>
      <c r="S297" s="92">
        <f>G297-I297-R297-K297-M297-O297-Q297</f>
        <v/>
      </c>
      <c r="T297" s="92" t="inlineStr">
        <is>
          <t>LNH0526NQ10</t>
        </is>
      </c>
      <c r="U297" s="92" t="n">
        <v>2103750</v>
      </c>
      <c r="V297" s="69">
        <f>G297-SUM(I297,K297,M297,O297,Q297,U297)</f>
        <v/>
      </c>
      <c r="W297" s="65" t="n"/>
      <c r="X297" t="inlineStr">
        <is>
          <t>Khớp</t>
        </is>
      </c>
    </row>
    <row r="298">
      <c r="A298" s="65" t="n">
        <v>289</v>
      </c>
      <c r="B298" s="65" t="inlineStr">
        <is>
          <t>25801100123</t>
        </is>
      </c>
      <c r="C298" s="65" t="inlineStr">
        <is>
          <t>Nguyễn Ngọc Anh</t>
        </is>
      </c>
      <c r="D298" s="65" t="inlineStr">
        <is>
          <t>Huy</t>
        </is>
      </c>
      <c r="E298" s="65" t="inlineStr">
        <is>
          <t>21/04/2007</t>
        </is>
      </c>
      <c r="F298" s="66" t="inlineStr">
        <is>
          <t>LNH0925ND01</t>
        </is>
      </c>
      <c r="G298" s="90" t="n">
        <v>8415000</v>
      </c>
      <c r="H298" s="65">
        <f>VLOOKUP(B298,'[1]TONG HOP'!B$5:G$624,6,0)</f>
        <v/>
      </c>
      <c r="I298" s="65" t="n">
        <v>2103750</v>
      </c>
      <c r="J298" s="65" t="n"/>
      <c r="K298" s="65" t="n"/>
      <c r="L298" s="65">
        <f>VLOOKUP(B298,'[2]DS THANG 11'!A$3:E$616,5,0)</f>
        <v/>
      </c>
      <c r="M298" s="65" t="n">
        <v>2103750</v>
      </c>
      <c r="N298" s="65" t="n"/>
      <c r="O298" s="65" t="n"/>
      <c r="P298" s="65">
        <f>VLOOKUP(B298,'[3]TONG HOP '!B$5:O$666,14,0)</f>
        <v/>
      </c>
      <c r="Q298" s="65" t="n">
        <v>2103750</v>
      </c>
      <c r="R298" s="65" t="n"/>
      <c r="S298" s="92">
        <f>G298-I298-R298-K298-M298-O298-Q298</f>
        <v/>
      </c>
      <c r="T298" s="92" t="inlineStr">
        <is>
          <t>LNH0526NQ10</t>
        </is>
      </c>
      <c r="U298" s="92" t="n">
        <v>2103750</v>
      </c>
      <c r="V298" s="69">
        <f>G298-SUM(I298,K298,M298,O298,Q298,U298)</f>
        <v/>
      </c>
      <c r="W298" s="65" t="n"/>
      <c r="X298" t="inlineStr">
        <is>
          <t>Khớp</t>
        </is>
      </c>
    </row>
    <row r="299">
      <c r="A299" s="65" t="n">
        <v>290</v>
      </c>
      <c r="B299" s="65" t="inlineStr">
        <is>
          <t>25805800025</t>
        </is>
      </c>
      <c r="C299" s="65" t="inlineStr">
        <is>
          <t>Thái Gia</t>
        </is>
      </c>
      <c r="D299" s="65" t="inlineStr">
        <is>
          <t>Phú</t>
        </is>
      </c>
      <c r="E299" s="65" t="inlineStr">
        <is>
          <t>28/04/2007</t>
        </is>
      </c>
      <c r="F299" s="66" t="inlineStr">
        <is>
          <t>LNH0925ND01</t>
        </is>
      </c>
      <c r="G299" s="90" t="n">
        <v>8415000</v>
      </c>
      <c r="H299" s="65">
        <f>VLOOKUP(B299,'[1]TONG HOP'!B$5:G$624,6,0)</f>
        <v/>
      </c>
      <c r="I299" s="65" t="n">
        <v>2103750</v>
      </c>
      <c r="J299" s="65" t="n"/>
      <c r="K299" s="65" t="n"/>
      <c r="L299" s="65" t="n"/>
      <c r="M299" s="65" t="n"/>
      <c r="N299" s="65" t="n"/>
      <c r="O299" s="65" t="n"/>
      <c r="P299" s="65">
        <f>VLOOKUP(B299,'[3]TONG HOP '!B$5:O$666,14,0)</f>
        <v/>
      </c>
      <c r="Q299" s="65" t="n">
        <v>2103750</v>
      </c>
      <c r="R299" s="65" t="n">
        <v>1005000</v>
      </c>
      <c r="S299" s="92">
        <f>G299-I299-R299-K299-M299-O299-Q299</f>
        <v/>
      </c>
      <c r="T299" s="92" t="inlineStr">
        <is>
          <t>LNH0526NQ02</t>
        </is>
      </c>
      <c r="U299" s="92" t="n">
        <v>2103750</v>
      </c>
      <c r="V299" s="69">
        <f>G299-SUM(I299,K299,M299,O299,Q299,U299)</f>
        <v/>
      </c>
      <c r="W299" s="65" t="inlineStr">
        <is>
          <t>Chuyển sang EDU - Đạt HB theo tờ trình 462 ngày 11/11/25 - giảm HB Level 1 - 2.1tr</t>
        </is>
      </c>
      <c r="X299" t="inlineStr">
        <is>
          <t>Khớp</t>
        </is>
      </c>
    </row>
    <row r="300">
      <c r="A300" s="65" t="n">
        <v>291</v>
      </c>
      <c r="B300" s="65" t="inlineStr">
        <is>
          <t>25801200035</t>
        </is>
      </c>
      <c r="C300" s="65" t="inlineStr">
        <is>
          <t>Trần Quốc</t>
        </is>
      </c>
      <c r="D300" s="65" t="inlineStr">
        <is>
          <t>Toàn</t>
        </is>
      </c>
      <c r="E300" s="65" t="inlineStr">
        <is>
          <t>28/02/2007</t>
        </is>
      </c>
      <c r="F300" s="66" t="inlineStr">
        <is>
          <t>LNH0925ND01</t>
        </is>
      </c>
      <c r="G300" s="90" t="n">
        <v>8415000</v>
      </c>
      <c r="H300" s="65">
        <f>VLOOKUP(B300,'[1]TONG HOP'!B$5:G$624,6,0)</f>
        <v/>
      </c>
      <c r="I300" s="65" t="n">
        <v>2103750</v>
      </c>
      <c r="J300" s="65" t="n"/>
      <c r="K300" s="65" t="n"/>
      <c r="L300" s="65">
        <f>VLOOKUP(B300,'[2]DS THANG 11'!A$3:E$616,5,0)</f>
        <v/>
      </c>
      <c r="M300" s="65" t="n">
        <v>2103750</v>
      </c>
      <c r="N300" s="65" t="n"/>
      <c r="O300" s="65" t="n"/>
      <c r="P300" s="65">
        <f>VLOOKUP(B300,'[3]TONG HOP '!B$5:O$666,14,0)</f>
        <v/>
      </c>
      <c r="Q300" s="65" t="n">
        <v>2103750</v>
      </c>
      <c r="R300" s="65" t="n"/>
      <c r="S300" s="92">
        <f>G300-I300-R300-K300-M300-O300-Q300</f>
        <v/>
      </c>
      <c r="T300" s="92" t="inlineStr"/>
      <c r="U300" s="92" t="inlineStr"/>
      <c r="V300" s="69">
        <f>G300-SUM(I300,K300,M300,O300,Q300,U300)</f>
        <v/>
      </c>
      <c r="W300" s="65" t="n"/>
      <c r="X300" t="inlineStr">
        <is>
          <t>Khớp</t>
        </is>
      </c>
    </row>
    <row r="301">
      <c r="A301" s="65" t="n">
        <v>292</v>
      </c>
      <c r="B301" s="65" t="inlineStr">
        <is>
          <t>25802400025</t>
        </is>
      </c>
      <c r="C301" s="65" t="inlineStr">
        <is>
          <t>Ngô Bùi Nhật</t>
        </is>
      </c>
      <c r="D301" s="65" t="inlineStr">
        <is>
          <t>Tâm</t>
        </is>
      </c>
      <c r="E301" s="65" t="inlineStr">
        <is>
          <t>24/10/2007</t>
        </is>
      </c>
      <c r="F301" s="66" t="inlineStr">
        <is>
          <t>LNH0925ND01</t>
        </is>
      </c>
      <c r="G301" s="90" t="n">
        <v>8415000</v>
      </c>
      <c r="H301" s="65">
        <f>VLOOKUP(B301,'[1]TONG HOP'!B$5:G$624,6,0)</f>
        <v/>
      </c>
      <c r="I301" s="65" t="n">
        <v>2103750</v>
      </c>
      <c r="J301" s="65" t="n"/>
      <c r="K301" s="65" t="n"/>
      <c r="L301" s="65">
        <f>VLOOKUP(B301,'[2]DS THANG 11'!A$3:E$616,5,0)</f>
        <v/>
      </c>
      <c r="M301" s="65" t="n">
        <v>2103750</v>
      </c>
      <c r="N301" s="65" t="n"/>
      <c r="O301" s="65" t="n"/>
      <c r="P301" s="65">
        <f>VLOOKUP(B301,'[3]TONG HOP '!B$5:O$666,14,0)</f>
        <v/>
      </c>
      <c r="Q301" s="65" t="n">
        <v>2103750</v>
      </c>
      <c r="R301" s="65" t="n"/>
      <c r="S301" s="92">
        <f>G301-I301-R301-K301-M301-O301-Q301</f>
        <v/>
      </c>
      <c r="T301" s="92" t="inlineStr">
        <is>
          <t>LNH0526NQ08</t>
        </is>
      </c>
      <c r="U301" s="92" t="n">
        <v>2103750</v>
      </c>
      <c r="V301" s="69">
        <f>G301-SUM(I301,K301,M301,O301,Q301,U301)</f>
        <v/>
      </c>
      <c r="W301" s="65" t="n"/>
      <c r="X301" t="inlineStr">
        <is>
          <t>Khớp</t>
        </is>
      </c>
    </row>
    <row r="302">
      <c r="A302" s="65" t="n">
        <v>293</v>
      </c>
      <c r="B302" s="65" t="inlineStr">
        <is>
          <t>25808900096</t>
        </is>
      </c>
      <c r="C302" s="65" t="inlineStr">
        <is>
          <t>Đinh Cao</t>
        </is>
      </c>
      <c r="D302" s="65" t="inlineStr">
        <is>
          <t>Phong</t>
        </is>
      </c>
      <c r="E302" s="65" t="inlineStr">
        <is>
          <t>24/10/2007</t>
        </is>
      </c>
      <c r="F302" s="66" t="inlineStr">
        <is>
          <t>LNH0925ND01</t>
        </is>
      </c>
      <c r="G302" s="90" t="n">
        <v>4465000</v>
      </c>
      <c r="H302" s="65" t="n"/>
      <c r="I302" s="65" t="n"/>
      <c r="J302" s="65" t="n"/>
      <c r="K302" s="65" t="n"/>
      <c r="L302" s="65" t="n"/>
      <c r="M302" s="65" t="n"/>
      <c r="N302" s="65" t="n"/>
      <c r="O302" s="65" t="n"/>
      <c r="P302" s="65" t="n"/>
      <c r="Q302" s="65" t="n"/>
      <c r="R302" s="65" t="n"/>
      <c r="S302" s="92">
        <f>G302-I302-R302-K302-M302-O302-Q302</f>
        <v/>
      </c>
      <c r="T302" s="92" t="inlineStr"/>
      <c r="U302" s="92" t="inlineStr"/>
      <c r="V302" s="69">
        <f>G302-SUM(I302,K302,M302,O302,Q302,U302)</f>
        <v/>
      </c>
      <c r="W302" s="65" t="n"/>
      <c r="X302" t="inlineStr">
        <is>
          <t>Khớp</t>
        </is>
      </c>
    </row>
    <row r="303">
      <c r="A303" s="65" t="n">
        <v>294</v>
      </c>
      <c r="B303" s="65" t="inlineStr">
        <is>
          <t>25800500043</t>
        </is>
      </c>
      <c r="C303" s="65" t="inlineStr">
        <is>
          <t>Nguyễn Trường</t>
        </is>
      </c>
      <c r="D303" s="65" t="inlineStr">
        <is>
          <t>Hải</t>
        </is>
      </c>
      <c r="E303" s="65" t="inlineStr">
        <is>
          <t>17/04/2007</t>
        </is>
      </c>
      <c r="F303" s="66" t="inlineStr">
        <is>
          <t>LNH0925ND01</t>
        </is>
      </c>
      <c r="G303" s="90" t="n">
        <v>1000000</v>
      </c>
      <c r="H303" s="65" t="n"/>
      <c r="I303" s="65" t="n"/>
      <c r="J303" s="65" t="n"/>
      <c r="K303" s="65" t="n"/>
      <c r="L303" s="65" t="n"/>
      <c r="M303" s="65" t="n"/>
      <c r="N303" s="65" t="n"/>
      <c r="O303" s="65" t="n"/>
      <c r="P303" s="65" t="n"/>
      <c r="Q303" s="65" t="n"/>
      <c r="R303" s="65" t="n"/>
      <c r="S303" s="92">
        <f>G303-I303-R303-K303-M303-O303-Q303</f>
        <v/>
      </c>
      <c r="T303" s="92" t="inlineStr"/>
      <c r="U303" s="92" t="inlineStr"/>
      <c r="V303" s="69">
        <f>G303-SUM(I303,K303,M303,O303,Q303,U303)</f>
        <v/>
      </c>
      <c r="W303" s="65" t="n"/>
      <c r="X303" t="inlineStr">
        <is>
          <t>Khớp</t>
        </is>
      </c>
    </row>
    <row r="304">
      <c r="A304" s="65" t="n">
        <v>295</v>
      </c>
      <c r="B304" s="65" t="inlineStr">
        <is>
          <t>25801800014</t>
        </is>
      </c>
      <c r="C304" s="65" t="inlineStr">
        <is>
          <t>Nguyễn Thị Thu</t>
        </is>
      </c>
      <c r="D304" s="65" t="inlineStr">
        <is>
          <t>Hằng</t>
        </is>
      </c>
      <c r="E304" s="65" t="inlineStr">
        <is>
          <t>22/11/2007</t>
        </is>
      </c>
      <c r="F304" s="66" t="inlineStr">
        <is>
          <t>LNH0925ND01</t>
        </is>
      </c>
      <c r="G304" s="90" t="n">
        <v>8415000</v>
      </c>
      <c r="H304" s="65">
        <f>VLOOKUP(B304,'[1]TONG HOP'!B$5:G$624,6,0)</f>
        <v/>
      </c>
      <c r="I304" s="65" t="n">
        <v>2103750</v>
      </c>
      <c r="J304" s="65" t="n"/>
      <c r="K304" s="65" t="n"/>
      <c r="L304" s="65">
        <f>VLOOKUP(B304,'[2]DS THANG 11'!A$3:E$616,5,0)</f>
        <v/>
      </c>
      <c r="M304" s="65" t="n">
        <v>2103750</v>
      </c>
      <c r="N304" s="65" t="n"/>
      <c r="O304" s="65" t="n"/>
      <c r="P304" s="65">
        <f>VLOOKUP(B304,'[3]TONG HOP '!B$5:O$666,14,0)</f>
        <v/>
      </c>
      <c r="Q304" s="65" t="n">
        <v>2103750</v>
      </c>
      <c r="R304" s="65" t="n"/>
      <c r="S304" s="92">
        <f>G304-I304-R304-K304-M304-O304-Q304</f>
        <v/>
      </c>
      <c r="T304" s="92" t="inlineStr"/>
      <c r="U304" s="92" t="inlineStr"/>
      <c r="V304" s="69">
        <f>G304-SUM(I304,K304,M304,O304,Q304,U304)</f>
        <v/>
      </c>
      <c r="W304" s="65" t="n"/>
      <c r="X304" t="inlineStr">
        <is>
          <t>Khớp</t>
        </is>
      </c>
    </row>
    <row r="305">
      <c r="A305" s="65" t="n">
        <v>296</v>
      </c>
      <c r="B305" s="65" t="inlineStr">
        <is>
          <t>25809600077</t>
        </is>
      </c>
      <c r="C305" s="65" t="inlineStr">
        <is>
          <t>Lê Thành</t>
        </is>
      </c>
      <c r="D305" s="65" t="inlineStr">
        <is>
          <t>Việt</t>
        </is>
      </c>
      <c r="E305" s="65" t="inlineStr">
        <is>
          <t>18/11/2007</t>
        </is>
      </c>
      <c r="F305" s="66" t="inlineStr">
        <is>
          <t>LNH0925ND01</t>
        </is>
      </c>
      <c r="G305" s="90" t="n">
        <v>5000000</v>
      </c>
      <c r="H305" s="65">
        <f>VLOOKUP(B305,'[1]TONG HOP'!B$5:G$624,6,0)</f>
        <v/>
      </c>
      <c r="I305" s="65" t="n">
        <v>2232500</v>
      </c>
      <c r="J305" s="65" t="n"/>
      <c r="K305" s="65" t="n"/>
      <c r="L305" s="65">
        <f>VLOOKUP(B305,'[2]DS THANG 11'!A$3:E$616,5,0)</f>
        <v/>
      </c>
      <c r="M305" s="65" t="n">
        <v>2232500</v>
      </c>
      <c r="N305" s="65" t="n"/>
      <c r="O305" s="65" t="n"/>
      <c r="P305" s="65" t="n"/>
      <c r="Q305" s="65" t="n"/>
      <c r="R305" s="65" t="n"/>
      <c r="S305" s="92">
        <f>G305-I305-R305-K305-M305-O305-Q305</f>
        <v/>
      </c>
      <c r="T305" s="92" t="inlineStr"/>
      <c r="U305" s="92" t="inlineStr"/>
      <c r="V305" s="69">
        <f>G305-SUM(I305,K305,M305,O305,Q305,U305)</f>
        <v/>
      </c>
      <c r="W305" s="65" t="n"/>
      <c r="X305" t="inlineStr">
        <is>
          <t>Khớp</t>
        </is>
      </c>
    </row>
    <row r="306">
      <c r="A306" s="65" t="n">
        <v>297</v>
      </c>
      <c r="B306" s="65" t="inlineStr">
        <is>
          <t>25807800143</t>
        </is>
      </c>
      <c r="C306" s="65" t="inlineStr">
        <is>
          <t>Phạm Nguyễn Minh</t>
        </is>
      </c>
      <c r="D306" s="65" t="inlineStr">
        <is>
          <t>Tiến</t>
        </is>
      </c>
      <c r="E306" s="65" t="inlineStr">
        <is>
          <t>26/04/2006</t>
        </is>
      </c>
      <c r="F306" s="66" t="inlineStr">
        <is>
          <t>LNH0925ND01</t>
        </is>
      </c>
      <c r="G306" s="90" t="n">
        <v>8415000</v>
      </c>
      <c r="H306" s="65">
        <f>VLOOKUP(B306,'[1]TONG HOP'!B$5:G$624,6,0)</f>
        <v/>
      </c>
      <c r="I306" s="65" t="n">
        <v>2103750</v>
      </c>
      <c r="J306" s="65" t="n"/>
      <c r="K306" s="65" t="n"/>
      <c r="L306" s="65">
        <f>VLOOKUP(B306,'[2]DS THANG 11'!A$3:E$616,5,0)</f>
        <v/>
      </c>
      <c r="M306" s="65" t="n">
        <v>2103750</v>
      </c>
      <c r="N306" s="65" t="n"/>
      <c r="O306" s="65" t="n"/>
      <c r="P306" s="65">
        <f>VLOOKUP(B306,'[3]TONG HOP '!B$5:O$666,14,0)</f>
        <v/>
      </c>
      <c r="Q306" s="65" t="n">
        <v>2103750</v>
      </c>
      <c r="R306" s="65" t="n"/>
      <c r="S306" s="92">
        <f>G306-I306-R306-K306-M306-O306-Q306</f>
        <v/>
      </c>
      <c r="T306" s="92" t="inlineStr"/>
      <c r="U306" s="92" t="inlineStr"/>
      <c r="V306" s="69">
        <f>G306-SUM(I306,K306,M306,O306,Q306,U306)</f>
        <v/>
      </c>
      <c r="W306" s="65" t="n"/>
      <c r="X306" t="inlineStr">
        <is>
          <t>Khớp</t>
        </is>
      </c>
    </row>
    <row r="307">
      <c r="A307" s="65" t="n">
        <v>298</v>
      </c>
      <c r="B307" s="65" t="inlineStr">
        <is>
          <t>25805800015</t>
        </is>
      </c>
      <c r="C307" s="65" t="inlineStr">
        <is>
          <t>Lương Tấn</t>
        </is>
      </c>
      <c r="D307" s="65" t="inlineStr">
        <is>
          <t>Khoa</t>
        </is>
      </c>
      <c r="E307" s="65" t="inlineStr">
        <is>
          <t>27/10/2007</t>
        </is>
      </c>
      <c r="F307" s="66" t="inlineStr">
        <is>
          <t>LNH0925ND01</t>
        </is>
      </c>
      <c r="G307" s="90" t="n">
        <v>8415000</v>
      </c>
      <c r="H307" s="65">
        <f>VLOOKUP(B307,'[1]TONG HOP'!B$5:G$624,6,0)</f>
        <v/>
      </c>
      <c r="I307" s="65" t="n">
        <v>2103750</v>
      </c>
      <c r="J307" s="65" t="n"/>
      <c r="K307" s="65" t="n"/>
      <c r="L307" s="65">
        <f>VLOOKUP(B307,'[2]DS THANG 11'!A$3:E$616,5,0)</f>
        <v/>
      </c>
      <c r="M307" s="65" t="n">
        <v>2103750</v>
      </c>
      <c r="N307" s="65" t="n"/>
      <c r="O307" s="65" t="n"/>
      <c r="P307" s="65">
        <f>VLOOKUP(B307,'[3]TONG HOP '!B$5:O$666,14,0)</f>
        <v/>
      </c>
      <c r="Q307" s="65" t="n">
        <v>2103750</v>
      </c>
      <c r="R307" s="65" t="n"/>
      <c r="S307" s="92">
        <f>G307-I307-R307-K307-M307-O307-Q307</f>
        <v/>
      </c>
      <c r="T307" s="92" t="inlineStr">
        <is>
          <t>LNH0526NQ06</t>
        </is>
      </c>
      <c r="U307" s="92" t="n">
        <v>2103750</v>
      </c>
      <c r="V307" s="69">
        <f>G307-SUM(I307,K307,M307,O307,Q307,U307)</f>
        <v/>
      </c>
      <c r="W307" s="65" t="n"/>
      <c r="X307" t="inlineStr">
        <is>
          <t>Khớp</t>
        </is>
      </c>
    </row>
    <row r="308">
      <c r="A308" s="65" t="n">
        <v>299</v>
      </c>
      <c r="B308" s="65" t="inlineStr">
        <is>
          <t>25802800073</t>
        </is>
      </c>
      <c r="C308" s="65" t="inlineStr">
        <is>
          <t>Lê Thị Thanh</t>
        </is>
      </c>
      <c r="D308" s="65" t="inlineStr">
        <is>
          <t>Hoa</t>
        </is>
      </c>
      <c r="E308" s="65" t="inlineStr">
        <is>
          <t>21/09/2006</t>
        </is>
      </c>
      <c r="F308" s="66" t="inlineStr">
        <is>
          <t>LNH0925ND01</t>
        </is>
      </c>
      <c r="G308" s="90" t="n">
        <v>1000000</v>
      </c>
      <c r="H308" s="65" t="n"/>
      <c r="I308" s="65" t="n"/>
      <c r="J308" s="65" t="n"/>
      <c r="K308" s="65" t="n"/>
      <c r="L308" s="65" t="n"/>
      <c r="M308" s="65" t="n"/>
      <c r="N308" s="65" t="n"/>
      <c r="O308" s="65" t="n"/>
      <c r="P308" s="65" t="n"/>
      <c r="Q308" s="65" t="n"/>
      <c r="R308" s="65" t="n"/>
      <c r="S308" s="92">
        <f>G308-I308-R308-K308-M308-O308-Q308</f>
        <v/>
      </c>
      <c r="T308" s="92" t="inlineStr"/>
      <c r="U308" s="92" t="inlineStr"/>
      <c r="V308" s="69">
        <f>G308-SUM(I308,K308,M308,O308,Q308,U308)</f>
        <v/>
      </c>
      <c r="W308" s="65" t="n"/>
      <c r="X308" t="inlineStr">
        <is>
          <t>Khớp</t>
        </is>
      </c>
    </row>
    <row r="309">
      <c r="A309" s="65" t="n">
        <v>300</v>
      </c>
      <c r="B309" s="65" t="inlineStr">
        <is>
          <t>25805900012</t>
        </is>
      </c>
      <c r="C309" s="65" t="inlineStr">
        <is>
          <t>Trịnh Thị Diệu</t>
        </is>
      </c>
      <c r="D309" s="65" t="inlineStr">
        <is>
          <t>Hằng</t>
        </is>
      </c>
      <c r="E309" s="65" t="inlineStr">
        <is>
          <t>20/10/2007</t>
        </is>
      </c>
      <c r="F309" s="66" t="inlineStr">
        <is>
          <t>LNH0925ND01</t>
        </is>
      </c>
      <c r="G309" s="90" t="n">
        <v>8415000</v>
      </c>
      <c r="H309" s="65">
        <f>VLOOKUP(B309,'[1]TONG HOP'!B$5:G$624,6,0)</f>
        <v/>
      </c>
      <c r="I309" s="65" t="n">
        <v>2103750</v>
      </c>
      <c r="J309" s="65" t="n"/>
      <c r="K309" s="65" t="n"/>
      <c r="L309" s="65">
        <f>VLOOKUP(B309,'[2]DS THANG 11'!A$3:E$616,5,0)</f>
        <v/>
      </c>
      <c r="M309" s="65" t="n">
        <v>2103750</v>
      </c>
      <c r="N309" s="65" t="n"/>
      <c r="O309" s="65" t="n"/>
      <c r="P309" s="65">
        <f>VLOOKUP(B309,'[3]TONG HOP '!B$5:O$666,14,0)</f>
        <v/>
      </c>
      <c r="Q309" s="65" t="n">
        <v>2103750</v>
      </c>
      <c r="R309" s="65" t="n"/>
      <c r="S309" s="92">
        <f>G309-I309-R309-K309-M309-O309-Q309</f>
        <v/>
      </c>
      <c r="T309" s="92" t="inlineStr">
        <is>
          <t>LNH0526NQ11</t>
        </is>
      </c>
      <c r="U309" s="92" t="n">
        <v>2103750</v>
      </c>
      <c r="V309" s="69">
        <f>G309-SUM(I309,K309,M309,O309,Q309,U309)</f>
        <v/>
      </c>
      <c r="W309" s="65" t="n"/>
      <c r="X309" t="inlineStr">
        <is>
          <t>Khớp</t>
        </is>
      </c>
    </row>
    <row r="310">
      <c r="A310" s="65" t="n">
        <v>301</v>
      </c>
      <c r="B310" s="65" t="inlineStr">
        <is>
          <t>25807800212</t>
        </is>
      </c>
      <c r="C310" s="65" t="inlineStr">
        <is>
          <t>Nguyễn Gia</t>
        </is>
      </c>
      <c r="D310" s="65" t="inlineStr">
        <is>
          <t>Khương</t>
        </is>
      </c>
      <c r="E310" s="65" t="inlineStr">
        <is>
          <t>26/02/2007</t>
        </is>
      </c>
      <c r="F310" s="66" t="inlineStr">
        <is>
          <t>LNH0925ND01</t>
        </is>
      </c>
      <c r="G310" s="90" t="n">
        <v>8415000</v>
      </c>
      <c r="H310" s="65">
        <f>VLOOKUP(B310,'[1]TONG HOP'!B$5:G$624,6,0)</f>
        <v/>
      </c>
      <c r="I310" s="65" t="n">
        <v>2103750</v>
      </c>
      <c r="J310" s="65" t="n"/>
      <c r="K310" s="65" t="n"/>
      <c r="L310" s="65">
        <f>VLOOKUP(B310,'[2]DS THANG 11'!A$3:E$616,5,0)</f>
        <v/>
      </c>
      <c r="M310" s="65" t="n">
        <v>2103750</v>
      </c>
      <c r="N310" s="65" t="n"/>
      <c r="O310" s="65" t="n"/>
      <c r="P310" s="65">
        <f>VLOOKUP(B310,'[3]TONG HOP '!B$5:O$666,14,0)</f>
        <v/>
      </c>
      <c r="Q310" s="65" t="n">
        <v>2103750</v>
      </c>
      <c r="R310" s="65" t="n"/>
      <c r="S310" s="92">
        <f>G310-I310-R310-K310-M310-O310-Q310</f>
        <v/>
      </c>
      <c r="T310" s="92" t="inlineStr"/>
      <c r="U310" s="92" t="inlineStr"/>
      <c r="V310" s="69">
        <f>G310-SUM(I310,K310,M310,O310,Q310,U310)</f>
        <v/>
      </c>
      <c r="W310" s="65" t="n"/>
      <c r="X310" t="inlineStr">
        <is>
          <t>Khớp</t>
        </is>
      </c>
    </row>
    <row r="311">
      <c r="A311" s="65" t="n">
        <v>302</v>
      </c>
      <c r="B311" s="65" t="inlineStr">
        <is>
          <t>25808700009</t>
        </is>
      </c>
      <c r="C311" s="65" t="inlineStr">
        <is>
          <t>Nguyễn Ngọc</t>
        </is>
      </c>
      <c r="D311" s="65" t="inlineStr">
        <is>
          <t>Diệp</t>
        </is>
      </c>
      <c r="E311" s="65" t="inlineStr">
        <is>
          <t>22/09/2007</t>
        </is>
      </c>
      <c r="F311" s="66" t="inlineStr">
        <is>
          <t>LNH0925ND01</t>
        </is>
      </c>
      <c r="G311" s="90" t="n">
        <v>8415000</v>
      </c>
      <c r="H311" s="65">
        <f>VLOOKUP(B311,'[1]TONG HOP'!B$5:G$624,6,0)</f>
        <v/>
      </c>
      <c r="I311" s="65" t="n">
        <v>2103750</v>
      </c>
      <c r="J311" s="65" t="n"/>
      <c r="K311" s="65" t="n"/>
      <c r="L311" s="65">
        <f>VLOOKUP(B311,'[2]DS THANG 11'!A$3:E$616,5,0)</f>
        <v/>
      </c>
      <c r="M311" s="65" t="n">
        <v>2103750</v>
      </c>
      <c r="N311" s="65" t="n"/>
      <c r="O311" s="65" t="n"/>
      <c r="P311" s="65">
        <f>VLOOKUP(B311,'[3]TONG HOP '!B$5:O$666,14,0)</f>
        <v/>
      </c>
      <c r="Q311" s="65" t="n">
        <v>2103750</v>
      </c>
      <c r="R311" s="65" t="n"/>
      <c r="S311" s="92">
        <f>G311-I311-R311-K311-M311-O311-Q311</f>
        <v/>
      </c>
      <c r="T311" s="92" t="inlineStr"/>
      <c r="U311" s="92" t="inlineStr"/>
      <c r="V311" s="69">
        <f>G311-SUM(I311,K311,M311,O311,Q311,U311)</f>
        <v/>
      </c>
      <c r="W311" s="65" t="n"/>
      <c r="X311" t="inlineStr">
        <is>
          <t>Khớp</t>
        </is>
      </c>
    </row>
    <row r="312">
      <c r="A312" s="65" t="n">
        <v>303</v>
      </c>
      <c r="B312" s="65" t="inlineStr">
        <is>
          <t>25807700087</t>
        </is>
      </c>
      <c r="C312" s="65" t="inlineStr">
        <is>
          <t>Lê Thành</t>
        </is>
      </c>
      <c r="D312" s="65" t="inlineStr">
        <is>
          <t>Đạt</t>
        </is>
      </c>
      <c r="E312" s="65" t="inlineStr">
        <is>
          <t>01/10/2007</t>
        </is>
      </c>
      <c r="F312" s="66" t="inlineStr">
        <is>
          <t>LNH0925ND01</t>
        </is>
      </c>
      <c r="G312" s="90" t="n">
        <v>8415000</v>
      </c>
      <c r="H312" s="65">
        <f>VLOOKUP(B312,'[1]TONG HOP'!B$5:G$624,6,0)</f>
        <v/>
      </c>
      <c r="I312" s="65" t="n">
        <v>2103750</v>
      </c>
      <c r="J312" s="65" t="n"/>
      <c r="K312" s="65" t="n"/>
      <c r="L312" s="65" t="n"/>
      <c r="M312" s="65" t="n"/>
      <c r="N312" s="65" t="n"/>
      <c r="O312" s="65" t="n"/>
      <c r="P312" s="65" t="n"/>
      <c r="Q312" s="65" t="n"/>
      <c r="R312" s="65" t="n"/>
      <c r="S312" s="92">
        <f>G312-I312-R312-K312-M312-O312-Q312</f>
        <v/>
      </c>
      <c r="T312" s="92" t="inlineStr"/>
      <c r="U312" s="92" t="inlineStr"/>
      <c r="V312" s="69">
        <f>G312-SUM(I312,K312,M312,O312,Q312,U312)</f>
        <v/>
      </c>
      <c r="W312" s="65" t="n"/>
      <c r="X312" t="inlineStr">
        <is>
          <t>Khớp</t>
        </is>
      </c>
    </row>
    <row r="313">
      <c r="A313" s="65" t="n">
        <v>304</v>
      </c>
      <c r="B313" s="65" t="inlineStr">
        <is>
          <t>25801700102</t>
        </is>
      </c>
      <c r="C313" s="65" t="inlineStr">
        <is>
          <t>Trần Ngọc</t>
        </is>
      </c>
      <c r="D313" s="65" t="inlineStr">
        <is>
          <t>Linh</t>
        </is>
      </c>
      <c r="E313" s="65" t="inlineStr">
        <is>
          <t>14/02/2007</t>
        </is>
      </c>
      <c r="F313" s="66" t="inlineStr">
        <is>
          <t>LNH0925ND01</t>
        </is>
      </c>
      <c r="G313" s="90" t="n">
        <v>8415000</v>
      </c>
      <c r="H313" s="65">
        <f>VLOOKUP(B313,'[1]TONG HOP'!B$5:G$624,6,0)</f>
        <v/>
      </c>
      <c r="I313" s="65" t="n">
        <v>2103750</v>
      </c>
      <c r="J313" s="65" t="n"/>
      <c r="K313" s="65" t="n"/>
      <c r="L313" s="65">
        <f>VLOOKUP(B313,'[2]DS THANG 11'!A$3:E$616,5,0)</f>
        <v/>
      </c>
      <c r="M313" s="65" t="n">
        <v>2103750</v>
      </c>
      <c r="N313" s="65" t="n"/>
      <c r="O313" s="65" t="n"/>
      <c r="P313" s="65">
        <f>VLOOKUP(B313,'[3]TONG HOP '!B$5:O$666,14,0)</f>
        <v/>
      </c>
      <c r="Q313" s="65" t="n">
        <v>2103750</v>
      </c>
      <c r="R313" s="65" t="n"/>
      <c r="S313" s="92">
        <f>G313-I313-R313-K313-M313-O313-Q313</f>
        <v/>
      </c>
      <c r="T313" s="92" t="inlineStr">
        <is>
          <t>LNH0526NQ02</t>
        </is>
      </c>
      <c r="U313" s="92" t="n">
        <v>2103750</v>
      </c>
      <c r="V313" s="69">
        <f>G313-SUM(I313,K313,M313,O313,Q313,U313)</f>
        <v/>
      </c>
      <c r="W313" s="65" t="n"/>
      <c r="X313" t="inlineStr">
        <is>
          <t>Khớp</t>
        </is>
      </c>
    </row>
    <row r="314">
      <c r="A314" s="65" t="n">
        <v>305</v>
      </c>
      <c r="B314" s="65" t="inlineStr">
        <is>
          <t>25802800133</t>
        </is>
      </c>
      <c r="C314" s="65" t="inlineStr">
        <is>
          <t>Đỗ Lê Thanh</t>
        </is>
      </c>
      <c r="D314" s="65" t="inlineStr">
        <is>
          <t>Loan</t>
        </is>
      </c>
      <c r="E314" s="65" t="inlineStr">
        <is>
          <t>30/03/2007</t>
        </is>
      </c>
      <c r="F314" s="66" t="inlineStr">
        <is>
          <t>LNH0925ND01</t>
        </is>
      </c>
      <c r="G314" s="90" t="n">
        <v>8415000</v>
      </c>
      <c r="H314" s="65">
        <f>VLOOKUP(B314,'[1]TONG HOP'!B$5:G$624,6,0)</f>
        <v/>
      </c>
      <c r="I314" s="65" t="n">
        <v>2103750</v>
      </c>
      <c r="J314" s="65" t="n"/>
      <c r="K314" s="65" t="n"/>
      <c r="L314" s="65">
        <f>VLOOKUP(B314,'[2]DS THANG 11'!A$3:E$616,5,0)</f>
        <v/>
      </c>
      <c r="M314" s="65" t="n">
        <v>2103750</v>
      </c>
      <c r="N314" s="65" t="n"/>
      <c r="O314" s="65" t="n"/>
      <c r="P314" s="65">
        <f>VLOOKUP(B314,'[3]TONG HOP '!B$5:O$666,14,0)</f>
        <v/>
      </c>
      <c r="Q314" s="65" t="n">
        <v>2103750</v>
      </c>
      <c r="R314" s="65" t="n"/>
      <c r="S314" s="92">
        <f>G314-I314-R314-K314-M314-O314-Q314</f>
        <v/>
      </c>
      <c r="T314" s="92" t="inlineStr">
        <is>
          <t>LNH0526NQ01</t>
        </is>
      </c>
      <c r="U314" s="92" t="n">
        <v>2103750</v>
      </c>
      <c r="V314" s="69">
        <f>G314-SUM(I314,K314,M314,O314,Q314,U314)</f>
        <v/>
      </c>
      <c r="W314" s="65" t="n"/>
      <c r="X314" t="inlineStr">
        <is>
          <t>Khớp</t>
        </is>
      </c>
    </row>
    <row r="315">
      <c r="A315" s="65" t="n">
        <v>306</v>
      </c>
      <c r="B315" s="65" t="inlineStr">
        <is>
          <t>25807900054</t>
        </is>
      </c>
      <c r="C315" s="65" t="inlineStr">
        <is>
          <t>Mai Thanh</t>
        </is>
      </c>
      <c r="D315" s="65" t="inlineStr">
        <is>
          <t>Thơm</t>
        </is>
      </c>
      <c r="E315" s="65" t="inlineStr">
        <is>
          <t>02/04/2007</t>
        </is>
      </c>
      <c r="F315" s="66" t="inlineStr">
        <is>
          <t>LNH0925ND01</t>
        </is>
      </c>
      <c r="G315" s="90" t="n">
        <v>8415000</v>
      </c>
      <c r="H315" s="65">
        <f>VLOOKUP(B315,'[1]TONG HOP'!B$5:G$624,6,0)</f>
        <v/>
      </c>
      <c r="I315" s="65" t="n">
        <v>2103750</v>
      </c>
      <c r="J315" s="65" t="n"/>
      <c r="K315" s="65" t="n"/>
      <c r="L315" s="65">
        <f>VLOOKUP(B315,'[2]DS THANG 11'!A$3:E$616,5,0)</f>
        <v/>
      </c>
      <c r="M315" s="65" t="n">
        <v>2103750</v>
      </c>
      <c r="N315" s="65" t="n"/>
      <c r="O315" s="65" t="n"/>
      <c r="P315" s="65">
        <f>VLOOKUP(B315,'[3]TONG HOP '!B$5:O$666,14,0)</f>
        <v/>
      </c>
      <c r="Q315" s="65" t="n">
        <v>2103750</v>
      </c>
      <c r="R315" s="65" t="n"/>
      <c r="S315" s="92">
        <f>G315-I315-R315-K315-M315-O315-Q315</f>
        <v/>
      </c>
      <c r="T315" s="92" t="inlineStr">
        <is>
          <t>LNH0526NQ14</t>
        </is>
      </c>
      <c r="U315" s="92" t="n">
        <v>2103750</v>
      </c>
      <c r="V315" s="69">
        <f>G315-SUM(I315,K315,M315,O315,Q315,U315)</f>
        <v/>
      </c>
      <c r="W315" s="65" t="n"/>
      <c r="X315" t="inlineStr">
        <is>
          <t>Khớp</t>
        </is>
      </c>
    </row>
    <row r="316">
      <c r="A316" s="65" t="n">
        <v>307</v>
      </c>
      <c r="B316" s="65" t="inlineStr">
        <is>
          <t>25801100080</t>
        </is>
      </c>
      <c r="C316" s="65" t="inlineStr">
        <is>
          <t>Trương Quang</t>
        </is>
      </c>
      <c r="D316" s="65" t="inlineStr">
        <is>
          <t>Vinh</t>
        </is>
      </c>
      <c r="E316" s="65" t="inlineStr">
        <is>
          <t>05/10/2007</t>
        </is>
      </c>
      <c r="F316" s="66" t="inlineStr">
        <is>
          <t>LNH0925ND01</t>
        </is>
      </c>
      <c r="G316" s="90" t="n">
        <v>4465000</v>
      </c>
      <c r="H316" s="65" t="n"/>
      <c r="I316" s="65" t="n"/>
      <c r="J316" s="65">
        <f>VLOOKUP(B316,[5]Sheet1!A$3:E$32,5,0)</f>
        <v/>
      </c>
      <c r="K316" s="65" t="n">
        <v>2232500</v>
      </c>
      <c r="L316" s="65">
        <f>VLOOKUP(B316,'[2]DS THANG 11'!A$3:E$616,5,0)</f>
        <v/>
      </c>
      <c r="M316" s="65" t="n">
        <v>2232500</v>
      </c>
      <c r="N316" s="65" t="n"/>
      <c r="O316" s="65" t="n"/>
      <c r="P316" s="65" t="n"/>
      <c r="Q316" s="65" t="n"/>
      <c r="R316" s="65" t="n"/>
      <c r="S316" s="92">
        <f>G316-I316-R316-K316-M316-O316-Q316</f>
        <v/>
      </c>
      <c r="T316" s="92" t="inlineStr"/>
      <c r="U316" s="92" t="inlineStr"/>
      <c r="V316" s="69">
        <f>G316-SUM(I316,K316,M316,O316,Q316,U316)</f>
        <v/>
      </c>
      <c r="W316" s="65" t="n"/>
      <c r="X316" t="inlineStr">
        <is>
          <t>Khớp</t>
        </is>
      </c>
    </row>
    <row r="317">
      <c r="A317" s="65" t="n">
        <v>308</v>
      </c>
      <c r="B317" s="65" t="inlineStr">
        <is>
          <t>25802600104</t>
        </is>
      </c>
      <c r="C317" s="65" t="inlineStr">
        <is>
          <t>Trần Khánh</t>
        </is>
      </c>
      <c r="D317" s="65" t="inlineStr">
        <is>
          <t>Quỳnh</t>
        </is>
      </c>
      <c r="E317" s="65" t="inlineStr">
        <is>
          <t>23/01/2007</t>
        </is>
      </c>
      <c r="F317" s="66" t="inlineStr">
        <is>
          <t>LNH0925ND01</t>
        </is>
      </c>
      <c r="G317" s="90" t="n">
        <v>1000000</v>
      </c>
      <c r="H317" s="65" t="n"/>
      <c r="I317" s="65" t="n"/>
      <c r="J317" s="65" t="n"/>
      <c r="K317" s="65" t="n"/>
      <c r="L317" s="65" t="n"/>
      <c r="M317" s="65" t="n"/>
      <c r="N317" s="65" t="n"/>
      <c r="O317" s="65" t="n"/>
      <c r="P317" s="65" t="n"/>
      <c r="Q317" s="65" t="n"/>
      <c r="R317" s="65" t="n"/>
      <c r="S317" s="92">
        <f>G317-I317-R317-K317-M317-O317-Q317</f>
        <v/>
      </c>
      <c r="T317" s="92" t="inlineStr"/>
      <c r="U317" s="92" t="inlineStr"/>
      <c r="V317" s="69">
        <f>G317-SUM(I317,K317,M317,O317,Q317,U317)</f>
        <v/>
      </c>
      <c r="W317" s="65" t="n"/>
      <c r="X317" t="inlineStr">
        <is>
          <t>Khớp</t>
        </is>
      </c>
    </row>
    <row r="318">
      <c r="A318" s="65" t="n">
        <v>309</v>
      </c>
      <c r="B318" s="65" t="inlineStr">
        <is>
          <t>25807800099</t>
        </is>
      </c>
      <c r="C318" s="65" t="inlineStr">
        <is>
          <t>Đỗ Lê Hoàng</t>
        </is>
      </c>
      <c r="D318" s="65" t="inlineStr">
        <is>
          <t>Nhân</t>
        </is>
      </c>
      <c r="E318" s="65" t="inlineStr">
        <is>
          <t>12/12/2007</t>
        </is>
      </c>
      <c r="F318" s="66" t="inlineStr">
        <is>
          <t>LNH0925ND01</t>
        </is>
      </c>
      <c r="G318" s="90" t="n">
        <v>8415000</v>
      </c>
      <c r="H318" s="65">
        <f>VLOOKUP(B318,'[1]TONG HOP'!B$5:G$624,6,0)</f>
        <v/>
      </c>
      <c r="I318" s="65" t="n">
        <v>2103750</v>
      </c>
      <c r="J318" s="65" t="n"/>
      <c r="K318" s="65" t="n"/>
      <c r="L318" s="65" t="n"/>
      <c r="M318" s="65" t="n"/>
      <c r="N318" s="65" t="n"/>
      <c r="O318" s="65" t="n"/>
      <c r="P318" s="65">
        <f>VLOOKUP(B318,'[3]TONG HOP '!B$5:O$666,14,0)</f>
        <v/>
      </c>
      <c r="Q318" s="65" t="n">
        <v>2103750</v>
      </c>
      <c r="R318" s="65" t="n"/>
      <c r="S318" s="92">
        <f>G318-I318-R318-K318-M318-O318-Q318</f>
        <v/>
      </c>
      <c r="T318" s="92" t="inlineStr">
        <is>
          <t>LNH0526NQ13</t>
        </is>
      </c>
      <c r="U318" s="92" t="n">
        <v>2103750</v>
      </c>
      <c r="V318" s="69">
        <f>G318-SUM(I318,K318,M318,O318,Q318,U318)</f>
        <v/>
      </c>
      <c r="W318" s="65" t="n"/>
      <c r="X318" t="inlineStr">
        <is>
          <t>Khớp</t>
        </is>
      </c>
    </row>
    <row r="319">
      <c r="A319" s="65" t="n">
        <v>310</v>
      </c>
      <c r="B319" s="65" t="inlineStr">
        <is>
          <t>25801200039</t>
        </is>
      </c>
      <c r="C319" s="65" t="inlineStr">
        <is>
          <t>Huỳnh Trần Thảo</t>
        </is>
      </c>
      <c r="D319" s="65" t="inlineStr">
        <is>
          <t>Vy</t>
        </is>
      </c>
      <c r="E319" s="65" t="inlineStr">
        <is>
          <t>28/03/2007</t>
        </is>
      </c>
      <c r="F319" s="66" t="inlineStr">
        <is>
          <t>LNH0925ND01</t>
        </is>
      </c>
      <c r="G319" s="90" t="n">
        <v>8415000</v>
      </c>
      <c r="H319" s="65">
        <f>VLOOKUP(B319,'[1]TONG HOP'!B$5:G$624,6,0)</f>
        <v/>
      </c>
      <c r="I319" s="65" t="n">
        <v>2103750</v>
      </c>
      <c r="J319" s="65" t="n"/>
      <c r="K319" s="65" t="n"/>
      <c r="L319" s="65">
        <f>VLOOKUP(B319,'[2]DS THANG 11'!A$3:E$616,5,0)</f>
        <v/>
      </c>
      <c r="M319" s="65" t="n">
        <v>2103750</v>
      </c>
      <c r="N319" s="65" t="n"/>
      <c r="O319" s="65" t="n"/>
      <c r="P319" s="65">
        <f>VLOOKUP(B319,'[3]TONG HOP '!B$5:O$666,14,0)</f>
        <v/>
      </c>
      <c r="Q319" s="65" t="n">
        <v>2103750</v>
      </c>
      <c r="R319" s="65" t="n"/>
      <c r="S319" s="92">
        <f>G319-I319-R319-K319-M319-O319-Q319</f>
        <v/>
      </c>
      <c r="T319" s="92" t="inlineStr"/>
      <c r="U319" s="92" t="inlineStr"/>
      <c r="V319" s="69">
        <f>G319-SUM(I319,K319,M319,O319,Q319,U319)</f>
        <v/>
      </c>
      <c r="W319" s="65" t="n"/>
      <c r="X319" t="inlineStr">
        <is>
          <t>Khớp</t>
        </is>
      </c>
    </row>
    <row r="320">
      <c r="A320" s="65" t="n">
        <v>311</v>
      </c>
      <c r="B320" s="65" t="inlineStr">
        <is>
          <t>25808600134</t>
        </is>
      </c>
      <c r="C320" s="65" t="inlineStr">
        <is>
          <t>Phạm Nguyễn Huyền</t>
        </is>
      </c>
      <c r="D320" s="65" t="inlineStr">
        <is>
          <t>Trân</t>
        </is>
      </c>
      <c r="E320" s="65" t="inlineStr">
        <is>
          <t>02/01/2007</t>
        </is>
      </c>
      <c r="F320" s="66" t="inlineStr">
        <is>
          <t>LNH0925ND01</t>
        </is>
      </c>
      <c r="G320" s="90" t="n">
        <v>8415000</v>
      </c>
      <c r="H320" s="65">
        <f>VLOOKUP(B320,'[1]TONG HOP'!B$5:G$624,6,0)</f>
        <v/>
      </c>
      <c r="I320" s="65" t="n">
        <v>2103750</v>
      </c>
      <c r="J320" s="65" t="n"/>
      <c r="K320" s="65" t="n"/>
      <c r="L320" s="65">
        <f>VLOOKUP(B320,'[2]DS THANG 11'!A$3:E$616,5,0)</f>
        <v/>
      </c>
      <c r="M320" s="65" t="n">
        <v>2103750</v>
      </c>
      <c r="N320" s="65" t="n"/>
      <c r="O320" s="65" t="n"/>
      <c r="P320" s="65">
        <f>VLOOKUP(B320,'[3]TONG HOP '!B$5:O$666,14,0)</f>
        <v/>
      </c>
      <c r="Q320" s="65" t="n">
        <v>2103750</v>
      </c>
      <c r="R320" s="65" t="n"/>
      <c r="S320" s="92">
        <f>G320-I320-R320-K320-M320-O320-Q320</f>
        <v/>
      </c>
      <c r="T320" s="92" t="inlineStr"/>
      <c r="U320" s="92" t="inlineStr"/>
      <c r="V320" s="69">
        <f>G320-SUM(I320,K320,M320,O320,Q320,U320)</f>
        <v/>
      </c>
      <c r="W320" s="65" t="n"/>
      <c r="X320" t="inlineStr">
        <is>
          <t>Khớp</t>
        </is>
      </c>
    </row>
    <row r="321">
      <c r="A321" s="65" t="n">
        <v>312</v>
      </c>
      <c r="B321" s="65" t="inlineStr">
        <is>
          <t>25806800053</t>
        </is>
      </c>
      <c r="C321" s="65" t="inlineStr">
        <is>
          <t>Đoàn Ngọc Yến</t>
        </is>
      </c>
      <c r="D321" s="65" t="inlineStr">
        <is>
          <t>Nhi</t>
        </is>
      </c>
      <c r="E321" s="65" t="inlineStr">
        <is>
          <t>07/05/2007</t>
        </is>
      </c>
      <c r="F321" s="66" t="inlineStr">
        <is>
          <t>LNH0925ND01</t>
        </is>
      </c>
      <c r="G321" s="90" t="n">
        <v>8415000</v>
      </c>
      <c r="H321" s="65">
        <f>VLOOKUP(B321,'[1]TONG HOP'!B$5:G$624,6,0)</f>
        <v/>
      </c>
      <c r="I321" s="65" t="n">
        <v>2103750</v>
      </c>
      <c r="J321" s="65" t="n"/>
      <c r="K321" s="65" t="n"/>
      <c r="L321" s="65">
        <f>VLOOKUP(B321,'[2]DS THANG 11'!A$3:E$616,5,0)</f>
        <v/>
      </c>
      <c r="M321" s="65" t="n">
        <v>2103750</v>
      </c>
      <c r="N321" s="65" t="n"/>
      <c r="O321" s="65" t="n"/>
      <c r="P321" s="65" t="n"/>
      <c r="Q321" s="65" t="n"/>
      <c r="R321" s="65" t="n"/>
      <c r="S321" s="92">
        <f>G321-I321-R321-K321-M321-O321-Q321</f>
        <v/>
      </c>
      <c r="T321" s="92" t="inlineStr"/>
      <c r="U321" s="92" t="inlineStr"/>
      <c r="V321" s="69">
        <f>G321-SUM(I321,K321,M321,O321,Q321,U321)</f>
        <v/>
      </c>
      <c r="W321" s="65" t="n"/>
      <c r="X321" t="inlineStr">
        <is>
          <t>Khớp</t>
        </is>
      </c>
    </row>
    <row r="322">
      <c r="A322" s="65" t="n">
        <v>313</v>
      </c>
      <c r="B322" s="65" t="inlineStr">
        <is>
          <t>25802100030</t>
        </is>
      </c>
      <c r="C322" s="65" t="inlineStr">
        <is>
          <t>Châu Lê Thuận</t>
        </is>
      </c>
      <c r="D322" s="65" t="inlineStr">
        <is>
          <t>Phát</t>
        </is>
      </c>
      <c r="E322" s="65" t="inlineStr">
        <is>
          <t>03/04/2007</t>
        </is>
      </c>
      <c r="F322" s="66" t="inlineStr">
        <is>
          <t>LNH0925ND01</t>
        </is>
      </c>
      <c r="G322" s="90" t="n">
        <v>8415000</v>
      </c>
      <c r="H322" s="65">
        <f>VLOOKUP(B322,'[1]TONG HOP'!B$5:G$624,6,0)</f>
        <v/>
      </c>
      <c r="I322" s="65" t="n">
        <v>2103750</v>
      </c>
      <c r="J322" s="65" t="n"/>
      <c r="K322" s="65" t="n"/>
      <c r="L322" s="65">
        <f>VLOOKUP(B322,'[2]DS THANG 11'!A$3:E$616,5,0)</f>
        <v/>
      </c>
      <c r="M322" s="65" t="n">
        <v>2103750</v>
      </c>
      <c r="N322" s="65" t="n"/>
      <c r="O322" s="65" t="n"/>
      <c r="P322" s="65">
        <f>VLOOKUP(B322,'[3]TONG HOP '!B$5:O$666,14,0)</f>
        <v/>
      </c>
      <c r="Q322" s="65" t="n">
        <v>2103750</v>
      </c>
      <c r="R322" s="65" t="n"/>
      <c r="S322" s="92">
        <f>G322-I322-R322-K322-M322-O322-Q322</f>
        <v/>
      </c>
      <c r="T322" s="92" t="inlineStr">
        <is>
          <t>LNH0526NQ04</t>
        </is>
      </c>
      <c r="U322" s="92" t="n">
        <v>2103750</v>
      </c>
      <c r="V322" s="69">
        <f>G322-SUM(I322,K322,M322,O322,Q322,U322)</f>
        <v/>
      </c>
      <c r="W322" s="65" t="n"/>
      <c r="X322" t="inlineStr">
        <is>
          <t>Khớp</t>
        </is>
      </c>
    </row>
    <row r="323">
      <c r="A323" s="65" t="n">
        <v>314</v>
      </c>
      <c r="B323" s="65" t="inlineStr">
        <is>
          <t>25820100031</t>
        </is>
      </c>
      <c r="C323" s="65" t="inlineStr">
        <is>
          <t>Đặng Trần Hải</t>
        </is>
      </c>
      <c r="D323" s="65" t="inlineStr">
        <is>
          <t>Nam</t>
        </is>
      </c>
      <c r="E323" s="65" t="inlineStr">
        <is>
          <t>08/11/2007</t>
        </is>
      </c>
      <c r="F323" s="66" t="inlineStr">
        <is>
          <t>LNH0925ND01</t>
        </is>
      </c>
      <c r="G323" s="90" t="n">
        <v>8415000</v>
      </c>
      <c r="H323" s="65">
        <f>VLOOKUP(B323,'[1]TONG HOP'!B$5:G$624,6,0)</f>
        <v/>
      </c>
      <c r="I323" s="65" t="n">
        <v>2103750</v>
      </c>
      <c r="J323" s="65" t="n"/>
      <c r="K323" s="65" t="n"/>
      <c r="L323" s="65" t="n"/>
      <c r="M323" s="65" t="n"/>
      <c r="N323" s="65" t="n"/>
      <c r="O323" s="65" t="n"/>
      <c r="P323" s="65" t="n"/>
      <c r="Q323" s="65" t="n"/>
      <c r="R323" s="65" t="n"/>
      <c r="S323" s="92">
        <f>G323-I323-R323-K323-M323-O323-Q323</f>
        <v/>
      </c>
      <c r="T323" s="92" t="inlineStr"/>
      <c r="U323" s="92" t="inlineStr"/>
      <c r="V323" s="69">
        <f>G323-SUM(I323,K323,M323,O323,Q323,U323)</f>
        <v/>
      </c>
      <c r="W323" s="65" t="n"/>
      <c r="X323" t="inlineStr">
        <is>
          <t>Khớp</t>
        </is>
      </c>
    </row>
    <row r="324">
      <c r="A324" s="65" t="n">
        <v>315</v>
      </c>
      <c r="B324" s="65" t="inlineStr">
        <is>
          <t>25802800300</t>
        </is>
      </c>
      <c r="C324" s="65" t="inlineStr">
        <is>
          <t>Trần Nguyễn Phương</t>
        </is>
      </c>
      <c r="D324" s="65" t="inlineStr">
        <is>
          <t>Vy</t>
        </is>
      </c>
      <c r="E324" s="65" t="inlineStr">
        <is>
          <t>24/05/2007</t>
        </is>
      </c>
      <c r="F324" s="66" t="inlineStr">
        <is>
          <t>LNH0925ND01</t>
        </is>
      </c>
      <c r="G324" s="90" t="n">
        <v>8415000</v>
      </c>
      <c r="H324" s="65">
        <f>VLOOKUP(B324,'[1]TONG HOP'!B$5:G$624,6,0)</f>
        <v/>
      </c>
      <c r="I324" s="65" t="n">
        <v>2103750</v>
      </c>
      <c r="J324" s="65" t="n"/>
      <c r="K324" s="65" t="n"/>
      <c r="L324" s="65">
        <f>VLOOKUP(B324,'[2]DS THANG 11'!A$3:E$616,5,0)</f>
        <v/>
      </c>
      <c r="M324" s="65" t="n">
        <v>2103750</v>
      </c>
      <c r="N324" s="65" t="n"/>
      <c r="O324" s="65" t="n"/>
      <c r="P324" s="65">
        <f>VLOOKUP(B324,'[3]TONG HOP '!B$5:O$666,14,0)</f>
        <v/>
      </c>
      <c r="Q324" s="65" t="n">
        <v>2103750</v>
      </c>
      <c r="R324" s="65" t="n"/>
      <c r="S324" s="92">
        <f>G324-I324-R324-K324-M324-O324-Q324</f>
        <v/>
      </c>
      <c r="T324" s="92" t="inlineStr"/>
      <c r="U324" s="92" t="inlineStr"/>
      <c r="V324" s="69">
        <f>G324-SUM(I324,K324,M324,O324,Q324,U324)</f>
        <v/>
      </c>
      <c r="W324" s="65" t="n"/>
      <c r="X324" t="inlineStr">
        <is>
          <t>Khớp</t>
        </is>
      </c>
    </row>
    <row r="325">
      <c r="A325" s="65" t="n">
        <v>316</v>
      </c>
      <c r="B325" s="65" t="inlineStr">
        <is>
          <t>25807500132</t>
        </is>
      </c>
      <c r="C325" s="65" t="inlineStr">
        <is>
          <t>Trần Hoàng</t>
        </is>
      </c>
      <c r="D325" s="65" t="inlineStr">
        <is>
          <t>Tiến</t>
        </is>
      </c>
      <c r="E325" s="65" t="inlineStr">
        <is>
          <t>09/02/2007</t>
        </is>
      </c>
      <c r="F325" s="66" t="inlineStr">
        <is>
          <t>LNH0925ND01</t>
        </is>
      </c>
      <c r="G325" s="90" t="n">
        <v>8415000</v>
      </c>
      <c r="H325" s="65">
        <f>VLOOKUP(B325,'[1]TONG HOP'!B$5:G$624,6,0)</f>
        <v/>
      </c>
      <c r="I325" s="65" t="n">
        <v>2103750</v>
      </c>
      <c r="J325" s="65" t="n"/>
      <c r="K325" s="65" t="n"/>
      <c r="L325" s="65">
        <f>VLOOKUP(B325,'[2]DS THANG 11'!A$3:E$616,5,0)</f>
        <v/>
      </c>
      <c r="M325" s="65" t="n">
        <v>2103750</v>
      </c>
      <c r="N325" s="65" t="n"/>
      <c r="O325" s="65" t="n"/>
      <c r="P325" s="65">
        <f>VLOOKUP(B325,'[3]TONG HOP '!B$5:O$666,14,0)</f>
        <v/>
      </c>
      <c r="Q325" s="65" t="n">
        <v>2103750</v>
      </c>
      <c r="R325" s="65" t="n"/>
      <c r="S325" s="92">
        <f>G325-I325-R325-K325-M325-O325-Q325</f>
        <v/>
      </c>
      <c r="T325" s="92" t="inlineStr"/>
      <c r="U325" s="92" t="inlineStr"/>
      <c r="V325" s="69">
        <f>G325-SUM(I325,K325,M325,O325,Q325,U325)</f>
        <v/>
      </c>
      <c r="W325" s="65" t="n"/>
      <c r="X325" t="inlineStr">
        <is>
          <t>Khớp</t>
        </is>
      </c>
    </row>
    <row r="326">
      <c r="A326" s="65" t="n">
        <v>317</v>
      </c>
      <c r="B326" s="65" t="inlineStr">
        <is>
          <t>25809600004</t>
        </is>
      </c>
      <c r="C326" s="65" t="inlineStr">
        <is>
          <t>Trương Huỳnh Tuấn</t>
        </is>
      </c>
      <c r="D326" s="65" t="inlineStr">
        <is>
          <t>Anh</t>
        </is>
      </c>
      <c r="E326" s="65" t="inlineStr">
        <is>
          <t>27/07/2007</t>
        </is>
      </c>
      <c r="F326" s="66" t="inlineStr">
        <is>
          <t>LNH0925ND01</t>
        </is>
      </c>
      <c r="G326" s="90" t="n">
        <v>1000000</v>
      </c>
      <c r="H326" s="65" t="n"/>
      <c r="I326" s="65" t="n"/>
      <c r="J326" s="65" t="n"/>
      <c r="K326" s="65" t="n"/>
      <c r="L326" s="65" t="n"/>
      <c r="M326" s="65" t="n"/>
      <c r="N326" s="65" t="n"/>
      <c r="O326" s="65" t="n"/>
      <c r="P326" s="65" t="n"/>
      <c r="Q326" s="65" t="n"/>
      <c r="R326" s="65" t="n"/>
      <c r="S326" s="92">
        <f>G326-I326-R326-K326-M326-O326-Q326</f>
        <v/>
      </c>
      <c r="T326" s="92" t="inlineStr"/>
      <c r="U326" s="92" t="inlineStr"/>
      <c r="V326" s="69">
        <f>G326-SUM(I326,K326,M326,O326,Q326,U326)</f>
        <v/>
      </c>
      <c r="W326" s="65" t="n"/>
      <c r="X326" t="inlineStr">
        <is>
          <t>Khớp</t>
        </is>
      </c>
    </row>
    <row r="327">
      <c r="A327" s="65" t="n">
        <v>318</v>
      </c>
      <c r="B327" s="65" t="inlineStr">
        <is>
          <t>25808200147</t>
        </is>
      </c>
      <c r="C327" s="65" t="inlineStr">
        <is>
          <t>Nguyễn Anh</t>
        </is>
      </c>
      <c r="D327" s="65" t="inlineStr">
        <is>
          <t>Vũ</t>
        </is>
      </c>
      <c r="E327" s="65" t="inlineStr">
        <is>
          <t>22/11/2007</t>
        </is>
      </c>
      <c r="F327" s="66" t="inlineStr">
        <is>
          <t>LNH0925ND01</t>
        </is>
      </c>
      <c r="G327" s="90" t="n">
        <v>8415000</v>
      </c>
      <c r="H327" s="65">
        <f>VLOOKUP(B327,'[1]TONG HOP'!B$5:G$624,6,0)</f>
        <v/>
      </c>
      <c r="I327" s="65" t="n">
        <v>2103750</v>
      </c>
      <c r="J327" s="65" t="n"/>
      <c r="K327" s="65" t="n"/>
      <c r="L327" s="65">
        <f>VLOOKUP(B327,'[2]DS THANG 11'!A$3:E$616,5,0)</f>
        <v/>
      </c>
      <c r="M327" s="65" t="n">
        <v>2103750</v>
      </c>
      <c r="N327" s="65" t="n"/>
      <c r="O327" s="65" t="n"/>
      <c r="P327" s="65">
        <f>VLOOKUP(B327,'[3]TONG HOP '!B$5:O$666,14,0)</f>
        <v/>
      </c>
      <c r="Q327" s="65" t="n">
        <v>2103750</v>
      </c>
      <c r="R327" s="65" t="n"/>
      <c r="S327" s="92">
        <f>G327-I327-R327-K327-M327-O327-Q327</f>
        <v/>
      </c>
      <c r="T327" s="92" t="inlineStr"/>
      <c r="U327" s="92" t="inlineStr"/>
      <c r="V327" s="69">
        <f>G327-SUM(I327,K327,M327,O327,Q327,U327)</f>
        <v/>
      </c>
      <c r="W327" s="65" t="n"/>
      <c r="X327" t="inlineStr">
        <is>
          <t>Khớp</t>
        </is>
      </c>
    </row>
    <row r="328">
      <c r="A328" s="65" t="n">
        <v>319</v>
      </c>
      <c r="B328" s="65" t="inlineStr">
        <is>
          <t>25802600171</t>
        </is>
      </c>
      <c r="C328" s="65" t="inlineStr">
        <is>
          <t>Bùi Ngọc Hải</t>
        </is>
      </c>
      <c r="D328" s="65" t="inlineStr">
        <is>
          <t>Linh</t>
        </is>
      </c>
      <c r="E328" s="65" t="inlineStr">
        <is>
          <t>28/11/2007</t>
        </is>
      </c>
      <c r="F328" s="66" t="inlineStr">
        <is>
          <t>LNH0925ND01</t>
        </is>
      </c>
      <c r="G328" s="90" t="n">
        <v>8415000</v>
      </c>
      <c r="H328" s="65">
        <f>VLOOKUP(B328,'[1]TONG HOP'!B$5:G$624,6,0)</f>
        <v/>
      </c>
      <c r="I328" s="65" t="n">
        <v>2103750</v>
      </c>
      <c r="J328" s="65" t="n"/>
      <c r="K328" s="65" t="n"/>
      <c r="L328" s="65">
        <f>VLOOKUP(B328,'[2]DS THANG 11'!A$3:E$616,5,0)</f>
        <v/>
      </c>
      <c r="M328" s="65" t="n">
        <v>2103750</v>
      </c>
      <c r="N328" s="65" t="n"/>
      <c r="O328" s="65" t="n"/>
      <c r="P328" s="65">
        <f>VLOOKUP(B328,'[3]TONG HOP '!B$5:O$666,14,0)</f>
        <v/>
      </c>
      <c r="Q328" s="65" t="n">
        <v>2103750</v>
      </c>
      <c r="R328" s="65" t="n"/>
      <c r="S328" s="92">
        <f>G328-I328-R328-K328-M328-O328-Q328</f>
        <v/>
      </c>
      <c r="T328" s="92" t="inlineStr">
        <is>
          <t>LNH0526NQ13</t>
        </is>
      </c>
      <c r="U328" s="92" t="n">
        <v>2103750</v>
      </c>
      <c r="V328" s="69">
        <f>G328-SUM(I328,K328,M328,O328,Q328,U328)</f>
        <v/>
      </c>
      <c r="W328" s="65" t="n"/>
      <c r="X328" t="inlineStr">
        <is>
          <t>Khớp</t>
        </is>
      </c>
    </row>
    <row r="329">
      <c r="A329" s="65" t="n">
        <v>320</v>
      </c>
      <c r="B329" s="65" t="inlineStr">
        <is>
          <t>25820100017</t>
        </is>
      </c>
      <c r="C329" s="65" t="inlineStr">
        <is>
          <t>Trần Huỳnh Quang</t>
        </is>
      </c>
      <c r="D329" s="65" t="inlineStr">
        <is>
          <t>Huy</t>
        </is>
      </c>
      <c r="E329" s="65" t="inlineStr">
        <is>
          <t>13/10/2007</t>
        </is>
      </c>
      <c r="F329" s="66" t="inlineStr">
        <is>
          <t>LNH0925ND01</t>
        </is>
      </c>
      <c r="G329" s="90" t="n">
        <v>8415000</v>
      </c>
      <c r="H329" s="65">
        <f>VLOOKUP(B329,'[1]TONG HOP'!B$5:G$624,6,0)</f>
        <v/>
      </c>
      <c r="I329" s="65" t="n">
        <v>2103750</v>
      </c>
      <c r="J329" s="65" t="n"/>
      <c r="K329" s="65" t="n"/>
      <c r="L329" s="65">
        <f>VLOOKUP(B329,'[2]DS THANG 11'!A$3:E$616,5,0)</f>
        <v/>
      </c>
      <c r="M329" s="65" t="n">
        <v>2103750</v>
      </c>
      <c r="N329" s="65" t="n"/>
      <c r="O329" s="65" t="n"/>
      <c r="P329" s="65">
        <f>VLOOKUP(B329,'[3]TONG HOP '!B$5:O$666,14,0)</f>
        <v/>
      </c>
      <c r="Q329" s="65" t="n">
        <v>2103750</v>
      </c>
      <c r="R329" s="65" t="n"/>
      <c r="S329" s="92">
        <f>G329-I329-R329-K329-M329-O329-Q329</f>
        <v/>
      </c>
      <c r="T329" s="92" t="inlineStr">
        <is>
          <t>LNH0526NQ17</t>
        </is>
      </c>
      <c r="U329" s="92" t="n">
        <v>2103750</v>
      </c>
      <c r="V329" s="69">
        <f>G329-SUM(I329,K329,M329,O329,Q329,U329)</f>
        <v/>
      </c>
      <c r="W329" s="65" t="n"/>
      <c r="X329" t="inlineStr">
        <is>
          <t>Khớp</t>
        </is>
      </c>
    </row>
    <row r="330">
      <c r="A330" s="65" t="n">
        <v>321</v>
      </c>
      <c r="B330" s="65" t="inlineStr">
        <is>
          <t>25807900030</t>
        </is>
      </c>
      <c r="C330" s="65" t="inlineStr">
        <is>
          <t>Trần Minh</t>
        </is>
      </c>
      <c r="D330" s="65" t="inlineStr">
        <is>
          <t>Khôi</t>
        </is>
      </c>
      <c r="E330" s="65" t="inlineStr">
        <is>
          <t>28/11/2007</t>
        </is>
      </c>
      <c r="F330" s="66" t="inlineStr">
        <is>
          <t>LNH0925ND01</t>
        </is>
      </c>
      <c r="G330" s="90" t="n">
        <v>1000000</v>
      </c>
      <c r="H330" s="65" t="n"/>
      <c r="I330" s="65" t="n"/>
      <c r="J330" s="65" t="n"/>
      <c r="K330" s="65" t="n"/>
      <c r="L330" s="65" t="n"/>
      <c r="M330" s="65" t="n"/>
      <c r="N330" s="65" t="n"/>
      <c r="O330" s="65" t="n"/>
      <c r="P330" s="65" t="n"/>
      <c r="Q330" s="65" t="n"/>
      <c r="R330" s="65" t="n"/>
      <c r="S330" s="92">
        <f>G330-I330-R330-K330-M330-O330-Q330</f>
        <v/>
      </c>
      <c r="T330" s="92" t="inlineStr"/>
      <c r="U330" s="92" t="inlineStr"/>
      <c r="V330" s="69">
        <f>G330-SUM(I330,K330,M330,O330,Q330,U330)</f>
        <v/>
      </c>
      <c r="W330" s="65" t="n"/>
      <c r="X330" t="inlineStr">
        <is>
          <t>Khớp</t>
        </is>
      </c>
    </row>
    <row r="331">
      <c r="A331" s="65" t="n">
        <v>322</v>
      </c>
      <c r="B331" s="65" t="inlineStr">
        <is>
          <t>25802800134</t>
        </is>
      </c>
      <c r="C331" s="65" t="inlineStr">
        <is>
          <t>Trần Văn Đặng</t>
        </is>
      </c>
      <c r="D331" s="65" t="inlineStr">
        <is>
          <t>Long</t>
        </is>
      </c>
      <c r="E331" s="65" t="inlineStr">
        <is>
          <t>24/10/2007</t>
        </is>
      </c>
      <c r="F331" s="66" t="inlineStr">
        <is>
          <t>LNH0925ND01</t>
        </is>
      </c>
      <c r="G331" s="90" t="n">
        <v>8415000</v>
      </c>
      <c r="H331" s="65">
        <f>VLOOKUP(B331,'[1]TONG HOP'!B$5:G$624,6,0)</f>
        <v/>
      </c>
      <c r="I331" s="65" t="n">
        <v>2103750</v>
      </c>
      <c r="J331" s="65" t="n"/>
      <c r="K331" s="65" t="n"/>
      <c r="L331" s="65">
        <f>VLOOKUP(B331,'[2]DS THANG 11'!A$3:E$616,5,0)</f>
        <v/>
      </c>
      <c r="M331" s="65" t="n">
        <v>2103750</v>
      </c>
      <c r="N331" s="65" t="n"/>
      <c r="O331" s="65" t="n"/>
      <c r="P331" s="65">
        <f>VLOOKUP(B331,'[3]TONG HOP '!B$5:O$666,14,0)</f>
        <v/>
      </c>
      <c r="Q331" s="65" t="n">
        <v>2103750</v>
      </c>
      <c r="R331" s="65" t="n"/>
      <c r="S331" s="92">
        <f>G331-I331-R331-K331-M331-O331-Q331</f>
        <v/>
      </c>
      <c r="T331" s="92" t="inlineStr"/>
      <c r="U331" s="92" t="inlineStr"/>
      <c r="V331" s="69">
        <f>G331-SUM(I331,K331,M331,O331,Q331,U331)</f>
        <v/>
      </c>
      <c r="W331" s="65" t="n"/>
      <c r="X331" t="inlineStr">
        <is>
          <t>Khớp</t>
        </is>
      </c>
    </row>
    <row r="332">
      <c r="A332" s="65" t="n">
        <v>323</v>
      </c>
      <c r="B332" s="65" t="inlineStr">
        <is>
          <t>25807500001</t>
        </is>
      </c>
      <c r="C332" s="65" t="inlineStr">
        <is>
          <t>Đoàn Ngọc Hoài</t>
        </is>
      </c>
      <c r="D332" s="65" t="inlineStr">
        <is>
          <t>An</t>
        </is>
      </c>
      <c r="E332" s="65" t="inlineStr">
        <is>
          <t>14/10/2007</t>
        </is>
      </c>
      <c r="F332" s="66" t="inlineStr">
        <is>
          <t>LNH0925ND01</t>
        </is>
      </c>
      <c r="G332" s="90" t="n">
        <v>8415000</v>
      </c>
      <c r="H332" s="65">
        <f>VLOOKUP(B332,'[1]TONG HOP'!B$5:G$624,6,0)</f>
        <v/>
      </c>
      <c r="I332" s="65" t="n">
        <v>2103750</v>
      </c>
      <c r="J332" s="65" t="n"/>
      <c r="K332" s="65" t="n"/>
      <c r="L332" s="65">
        <f>VLOOKUP(B332,'[2]DS THANG 11'!A$3:E$616,5,0)</f>
        <v/>
      </c>
      <c r="M332" s="65" t="n">
        <v>2103750</v>
      </c>
      <c r="N332" s="65" t="n"/>
      <c r="O332" s="65" t="n"/>
      <c r="P332" s="65">
        <f>VLOOKUP(B332,'[3]TONG HOP '!B$5:O$666,14,0)</f>
        <v/>
      </c>
      <c r="Q332" s="65" t="n">
        <v>2103750</v>
      </c>
      <c r="R332" s="65" t="n"/>
      <c r="S332" s="92">
        <f>G332-I332-R332-K332-M332-O332-Q332</f>
        <v/>
      </c>
      <c r="T332" s="92" t="inlineStr"/>
      <c r="U332" s="92" t="n">
        <v>2103750</v>
      </c>
      <c r="V332" s="69">
        <f>G332-SUM(I332,K332,M332,O332,Q332,U332)</f>
        <v/>
      </c>
      <c r="W332" s="65" t="n"/>
      <c r="X332" t="inlineStr">
        <is>
          <t>Khớp</t>
        </is>
      </c>
    </row>
    <row r="333">
      <c r="A333" s="65" t="n">
        <v>324</v>
      </c>
      <c r="B333" s="65" t="inlineStr">
        <is>
          <t>25808700161</t>
        </is>
      </c>
      <c r="C333" s="65" t="inlineStr">
        <is>
          <t>An Trang Vàng</t>
        </is>
      </c>
      <c r="D333" s="65" t="inlineStr">
        <is>
          <t>Anh</t>
        </is>
      </c>
      <c r="E333" s="65" t="inlineStr">
        <is>
          <t>15/11/2007</t>
        </is>
      </c>
      <c r="F333" s="66" t="inlineStr">
        <is>
          <t>LNH0925ND01</t>
        </is>
      </c>
      <c r="G333" s="90" t="n">
        <v>8415000</v>
      </c>
      <c r="H333" s="65">
        <f>VLOOKUP(B333,'[1]TONG HOP'!B$5:G$624,6,0)</f>
        <v/>
      </c>
      <c r="I333" s="65" t="n">
        <v>2103750</v>
      </c>
      <c r="J333" s="65" t="n"/>
      <c r="K333" s="65" t="n"/>
      <c r="L333" s="65">
        <f>VLOOKUP(B333,'[2]DS THANG 11'!A$3:E$616,5,0)</f>
        <v/>
      </c>
      <c r="M333" s="65" t="n">
        <v>2103750</v>
      </c>
      <c r="N333" s="65" t="n"/>
      <c r="O333" s="65" t="n"/>
      <c r="P333" s="65">
        <f>VLOOKUP(B333,'[3]TONG HOP '!B$5:O$666,14,0)</f>
        <v/>
      </c>
      <c r="Q333" s="65" t="n">
        <v>2103750</v>
      </c>
      <c r="R333" s="65" t="n"/>
      <c r="S333" s="92">
        <f>G333-I333-R333-K333-M333-O333-Q333</f>
        <v/>
      </c>
      <c r="T333" s="92" t="inlineStr"/>
      <c r="U333" s="92" t="inlineStr"/>
      <c r="V333" s="69">
        <f>G333-SUM(I333,K333,M333,O333,Q333,U333)</f>
        <v/>
      </c>
      <c r="W333" s="65" t="n"/>
      <c r="X333" t="inlineStr">
        <is>
          <t>Khớp</t>
        </is>
      </c>
    </row>
    <row r="334">
      <c r="A334" s="65" t="n">
        <v>325</v>
      </c>
      <c r="B334" s="65" t="inlineStr">
        <is>
          <t>25802700022</t>
        </is>
      </c>
      <c r="C334" s="65" t="inlineStr">
        <is>
          <t>Nguyễn Phạm Ngọc</t>
        </is>
      </c>
      <c r="D334" s="65" t="inlineStr">
        <is>
          <t>Hân</t>
        </is>
      </c>
      <c r="E334" s="65" t="inlineStr">
        <is>
          <t>24/12/2006</t>
        </is>
      </c>
      <c r="F334" s="66" t="inlineStr">
        <is>
          <t>LNH0925ND01</t>
        </is>
      </c>
      <c r="G334" s="90" t="n">
        <v>8415000</v>
      </c>
      <c r="H334" s="65">
        <f>VLOOKUP(B334,'[1]TONG HOP'!B$5:G$624,6,0)</f>
        <v/>
      </c>
      <c r="I334" s="65" t="n">
        <v>2103750</v>
      </c>
      <c r="J334" s="65" t="n"/>
      <c r="K334" s="65" t="n"/>
      <c r="L334" s="65">
        <f>VLOOKUP(B334,'[2]DS THANG 11'!A$3:E$616,5,0)</f>
        <v/>
      </c>
      <c r="M334" s="65" t="n">
        <v>2103750</v>
      </c>
      <c r="N334" s="65" t="n"/>
      <c r="O334" s="65" t="n"/>
      <c r="P334" s="65">
        <f>VLOOKUP(B334,'[3]TONG HOP '!B$5:O$666,14,0)</f>
        <v/>
      </c>
      <c r="Q334" s="65" t="n">
        <v>2103750</v>
      </c>
      <c r="R334" s="65" t="n"/>
      <c r="S334" s="92">
        <f>G334-I334-R334-K334-M334-O334-Q334</f>
        <v/>
      </c>
      <c r="T334" s="92" t="inlineStr">
        <is>
          <t>LNH0526NQ11</t>
        </is>
      </c>
      <c r="U334" s="92" t="n">
        <v>2103750</v>
      </c>
      <c r="V334" s="69">
        <f>G334-SUM(I334,K334,M334,O334,Q334,U334)</f>
        <v/>
      </c>
      <c r="W334" s="65" t="n"/>
      <c r="X334" t="inlineStr">
        <is>
          <t>Khớp</t>
        </is>
      </c>
    </row>
    <row r="335">
      <c r="A335" s="65" t="n">
        <v>326</v>
      </c>
      <c r="B335" s="65" t="inlineStr">
        <is>
          <t>25820200041</t>
        </is>
      </c>
      <c r="C335" s="65" t="inlineStr">
        <is>
          <t>Tsìn Huỳnh Phúc</t>
        </is>
      </c>
      <c r="D335" s="65" t="inlineStr">
        <is>
          <t>Nguyên</t>
        </is>
      </c>
      <c r="E335" s="65" t="inlineStr">
        <is>
          <t>10/09/2007</t>
        </is>
      </c>
      <c r="F335" s="66" t="inlineStr">
        <is>
          <t>LNH0925ND01</t>
        </is>
      </c>
      <c r="G335" s="90" t="n">
        <v>8415000</v>
      </c>
      <c r="H335" s="65">
        <f>VLOOKUP(B335,'[1]TONG HOP'!B$5:G$624,6,0)</f>
        <v/>
      </c>
      <c r="I335" s="65" t="n">
        <v>2103750</v>
      </c>
      <c r="J335" s="65" t="n"/>
      <c r="K335" s="65" t="n"/>
      <c r="L335" s="65" t="n"/>
      <c r="M335" s="65" t="n"/>
      <c r="N335" s="65" t="n"/>
      <c r="O335" s="65" t="n"/>
      <c r="P335" s="65" t="n"/>
      <c r="Q335" s="65" t="n"/>
      <c r="R335" s="65" t="n"/>
      <c r="S335" s="92">
        <f>G335-I335-R335-K335-M335-O335-Q335</f>
        <v/>
      </c>
      <c r="T335" s="92" t="inlineStr"/>
      <c r="U335" s="92" t="inlineStr"/>
      <c r="V335" s="69">
        <f>G335-SUM(I335,K335,M335,O335,Q335,U335)</f>
        <v/>
      </c>
      <c r="W335" s="65" t="n"/>
      <c r="X335" t="inlineStr">
        <is>
          <t>Khớp</t>
        </is>
      </c>
    </row>
    <row r="336">
      <c r="A336" s="65" t="n">
        <v>327</v>
      </c>
      <c r="B336" s="65" t="inlineStr">
        <is>
          <t>25807000021</t>
        </is>
      </c>
      <c r="C336" s="65" t="inlineStr">
        <is>
          <t>Bùi Tiến</t>
        </is>
      </c>
      <c r="D336" s="65" t="inlineStr">
        <is>
          <t>Phát</t>
        </is>
      </c>
      <c r="E336" s="65" t="inlineStr">
        <is>
          <t>06/02/2007</t>
        </is>
      </c>
      <c r="F336" s="66" t="inlineStr">
        <is>
          <t>LNH0925ND01</t>
        </is>
      </c>
      <c r="G336" s="90" t="n">
        <v>8415000</v>
      </c>
      <c r="H336" s="65">
        <f>VLOOKUP(B336,'[1]TONG HOP'!B$5:G$624,6,0)</f>
        <v/>
      </c>
      <c r="I336" s="65" t="n">
        <v>2103750</v>
      </c>
      <c r="J336" s="65" t="n"/>
      <c r="K336" s="65" t="n"/>
      <c r="L336" s="65">
        <f>VLOOKUP(B336,'[2]DS THANG 11'!A$3:E$616,5,0)</f>
        <v/>
      </c>
      <c r="M336" s="65" t="n">
        <v>2103750</v>
      </c>
      <c r="N336" s="65" t="n"/>
      <c r="O336" s="65" t="n"/>
      <c r="P336" s="65">
        <f>VLOOKUP(B336,'[3]TONG HOP '!B$5:O$666,14,0)</f>
        <v/>
      </c>
      <c r="Q336" s="65" t="n">
        <v>2103750</v>
      </c>
      <c r="R336" s="65" t="n"/>
      <c r="S336" s="92">
        <f>G336-I336-R336-K336-M336-O336-Q336</f>
        <v/>
      </c>
      <c r="T336" s="92" t="inlineStr">
        <is>
          <t>LNH0526NQ06</t>
        </is>
      </c>
      <c r="U336" s="92" t="n">
        <v>2103750</v>
      </c>
      <c r="V336" s="69">
        <f>G336-SUM(I336,K336,M336,O336,Q336,U336)</f>
        <v/>
      </c>
      <c r="W336" s="65" t="n"/>
      <c r="X336" t="inlineStr">
        <is>
          <t>Khớp</t>
        </is>
      </c>
    </row>
    <row r="337">
      <c r="A337" s="65" t="n">
        <v>328</v>
      </c>
      <c r="B337" s="65" t="inlineStr">
        <is>
          <t>25801200021</t>
        </is>
      </c>
      <c r="C337" s="65" t="inlineStr">
        <is>
          <t>Trần Quang</t>
        </is>
      </c>
      <c r="D337" s="65" t="inlineStr">
        <is>
          <t>Minh</t>
        </is>
      </c>
      <c r="E337" s="65" t="inlineStr">
        <is>
          <t>08/05/2007</t>
        </is>
      </c>
      <c r="F337" s="66" t="inlineStr">
        <is>
          <t>LNH0925ND01</t>
        </is>
      </c>
      <c r="G337" s="90" t="n">
        <v>8415000</v>
      </c>
      <c r="H337" s="65">
        <f>VLOOKUP(B337,'[1]TONG HOP'!B$5:G$624,6,0)</f>
        <v/>
      </c>
      <c r="I337" s="65" t="n">
        <v>2103750</v>
      </c>
      <c r="J337" s="65" t="n"/>
      <c r="K337" s="65" t="n"/>
      <c r="L337" s="65">
        <f>VLOOKUP(B337,'[2]DS THANG 11'!A$3:E$616,5,0)</f>
        <v/>
      </c>
      <c r="M337" s="65" t="n">
        <v>2103750</v>
      </c>
      <c r="N337" s="65" t="n"/>
      <c r="O337" s="65" t="n"/>
      <c r="P337" s="65">
        <f>VLOOKUP(B337,'[3]TONG HOP '!B$5:O$666,14,0)</f>
        <v/>
      </c>
      <c r="Q337" s="65" t="n">
        <v>2103750</v>
      </c>
      <c r="R337" s="65" t="n"/>
      <c r="S337" s="92">
        <f>G337-I337-R337-K337-M337-O337-Q337</f>
        <v/>
      </c>
      <c r="T337" s="92" t="inlineStr">
        <is>
          <t>LNH0526NQ06</t>
        </is>
      </c>
      <c r="U337" s="92" t="n">
        <v>2103750</v>
      </c>
      <c r="V337" s="69">
        <f>G337-SUM(I337,K337,M337,O337,Q337,U337)</f>
        <v/>
      </c>
      <c r="W337" s="65" t="n"/>
      <c r="X337" t="inlineStr">
        <is>
          <t>Khớp</t>
        </is>
      </c>
    </row>
    <row r="338">
      <c r="A338" s="65" t="n">
        <v>329</v>
      </c>
      <c r="B338" s="65" t="inlineStr">
        <is>
          <t>25801700103</t>
        </is>
      </c>
      <c r="C338" s="65" t="inlineStr">
        <is>
          <t>Phạm Trung</t>
        </is>
      </c>
      <c r="D338" s="65" t="inlineStr">
        <is>
          <t>Nghĩa</t>
        </is>
      </c>
      <c r="E338" s="65" t="inlineStr">
        <is>
          <t>12/06/2007</t>
        </is>
      </c>
      <c r="F338" s="66" t="inlineStr">
        <is>
          <t>LNH0925ND01</t>
        </is>
      </c>
      <c r="G338" s="90" t="n">
        <v>4500000</v>
      </c>
      <c r="H338" s="65">
        <f>VLOOKUP(B338,'[1]TONG HOP'!B$5:G$624,6,0)</f>
        <v/>
      </c>
      <c r="I338" s="65" t="n">
        <v>2232500</v>
      </c>
      <c r="J338" s="65" t="n"/>
      <c r="K338" s="65" t="n"/>
      <c r="L338" s="65">
        <f>VLOOKUP(B338,'[2]DS THANG 11'!A$3:E$616,5,0)</f>
        <v/>
      </c>
      <c r="M338" s="65" t="n">
        <v>2232500</v>
      </c>
      <c r="N338" s="65" t="n"/>
      <c r="O338" s="65" t="n"/>
      <c r="P338" s="65">
        <f>VLOOKUP(B338,'[3]TONG HOP '!B$5:O$666,14,0)</f>
        <v/>
      </c>
      <c r="Q338" s="65" t="n">
        <v>35000</v>
      </c>
      <c r="R338" s="65" t="n"/>
      <c r="S338" s="92">
        <f>G338-I338-R338-K338-M338-O338-Q338</f>
        <v/>
      </c>
      <c r="T338" s="92" t="inlineStr"/>
      <c r="U338" s="92" t="inlineStr"/>
      <c r="V338" s="69">
        <f>G338-SUM(I338,K338,M338,O338,Q338,U338)</f>
        <v/>
      </c>
      <c r="W338" s="65" t="n"/>
      <c r="X338" t="inlineStr">
        <is>
          <t>Khớp</t>
        </is>
      </c>
    </row>
    <row r="339">
      <c r="A339" s="65" t="n">
        <v>330</v>
      </c>
      <c r="B339" s="65" t="inlineStr">
        <is>
          <t>25802600097</t>
        </is>
      </c>
      <c r="C339" s="65" t="inlineStr">
        <is>
          <t>Phạm Cao Thái An</t>
        </is>
      </c>
      <c r="D339" s="65" t="inlineStr">
        <is>
          <t>Nhiên</t>
        </is>
      </c>
      <c r="E339" s="65" t="inlineStr">
        <is>
          <t>15/04/2007</t>
        </is>
      </c>
      <c r="F339" s="66" t="inlineStr">
        <is>
          <t>LNH0925ND01</t>
        </is>
      </c>
      <c r="G339" s="90" t="n">
        <v>8415000</v>
      </c>
      <c r="H339" s="65">
        <f>VLOOKUP(B339,'[1]TONG HOP'!B$5:G$624,6,0)</f>
        <v/>
      </c>
      <c r="I339" s="65" t="n">
        <v>2103750</v>
      </c>
      <c r="J339" s="65" t="n"/>
      <c r="K339" s="65" t="n"/>
      <c r="L339" s="65" t="n"/>
      <c r="M339" s="65" t="n"/>
      <c r="N339" s="65" t="n"/>
      <c r="O339" s="65" t="n"/>
      <c r="P339" s="65">
        <f>VLOOKUP(B339,'[3]TONG HOP '!B$5:O$666,14,0)</f>
        <v/>
      </c>
      <c r="Q339" s="65" t="n">
        <v>2103750</v>
      </c>
      <c r="R339" s="65" t="n">
        <v>1005000</v>
      </c>
      <c r="S339" s="92">
        <f>G339-I339-R339-K339-M339-O339-Q339</f>
        <v/>
      </c>
      <c r="T339" s="92" t="inlineStr">
        <is>
          <t>LNH0526NQ14</t>
        </is>
      </c>
      <c r="U339" s="92" t="n">
        <v>2103750</v>
      </c>
      <c r="V339" s="69">
        <f>G339-SUM(I339,K339,M339,O339,Q339,U339)</f>
        <v/>
      </c>
      <c r="W339" s="65" t="inlineStr">
        <is>
          <t>Chuyển sang EDU - Đạt HB theo tờ trình 462 ngày 11/11/25 - giảm HB Level 1 - 2.1tr</t>
        </is>
      </c>
      <c r="X339" t="inlineStr">
        <is>
          <t>Khớp</t>
        </is>
      </c>
      <c r="AB339" s="92" t="n"/>
    </row>
    <row r="340">
      <c r="A340" s="65" t="n">
        <v>331</v>
      </c>
      <c r="B340" s="65" t="inlineStr">
        <is>
          <t>25807500082</t>
        </is>
      </c>
      <c r="C340" s="65" t="inlineStr">
        <is>
          <t>Nguyễn Hữu</t>
        </is>
      </c>
      <c r="D340" s="65" t="inlineStr">
        <is>
          <t>Nhân</t>
        </is>
      </c>
      <c r="E340" s="65" t="inlineStr">
        <is>
          <t>31/12/2007</t>
        </is>
      </c>
      <c r="F340" s="66" t="inlineStr">
        <is>
          <t>LNH0925ND01</t>
        </is>
      </c>
      <c r="G340" s="90" t="n">
        <v>1000000</v>
      </c>
      <c r="H340" s="65" t="n"/>
      <c r="I340" s="65" t="n"/>
      <c r="J340" s="65" t="n"/>
      <c r="K340" s="65" t="n"/>
      <c r="L340" s="65" t="n"/>
      <c r="M340" s="65" t="n"/>
      <c r="N340" s="65" t="n"/>
      <c r="O340" s="65" t="n"/>
      <c r="P340" s="65" t="n"/>
      <c r="Q340" s="65" t="n"/>
      <c r="R340" s="65" t="n"/>
      <c r="S340" s="92">
        <f>G340-I340-R340-K340-M340-O340-Q340</f>
        <v/>
      </c>
      <c r="T340" s="92" t="inlineStr"/>
      <c r="U340" s="92" t="inlineStr"/>
      <c r="V340" s="69">
        <f>G340-SUM(I340,K340,M340,O340,Q340,U340)</f>
        <v/>
      </c>
      <c r="W340" s="65" t="n"/>
      <c r="X340" t="inlineStr">
        <is>
          <t>Khớp</t>
        </is>
      </c>
    </row>
    <row r="341">
      <c r="A341" s="65" t="n">
        <v>332</v>
      </c>
      <c r="B341" s="65" t="inlineStr">
        <is>
          <t>25808700072</t>
        </is>
      </c>
      <c r="C341" s="65" t="inlineStr">
        <is>
          <t>Nguyễn Hoàng</t>
        </is>
      </c>
      <c r="D341" s="65" t="inlineStr">
        <is>
          <t>Nhựt</t>
        </is>
      </c>
      <c r="E341" s="65" t="inlineStr">
        <is>
          <t>11/10/2007</t>
        </is>
      </c>
      <c r="F341" s="66" t="inlineStr">
        <is>
          <t>LNH0925ND01</t>
        </is>
      </c>
      <c r="G341" s="90" t="n">
        <v>8415000</v>
      </c>
      <c r="H341" s="65">
        <f>VLOOKUP(B341,'[1]TONG HOP'!B$5:G$624,6,0)</f>
        <v/>
      </c>
      <c r="I341" s="65" t="n">
        <v>2103750</v>
      </c>
      <c r="J341" s="65" t="n"/>
      <c r="K341" s="65" t="n"/>
      <c r="L341" s="65">
        <f>VLOOKUP(B341,'[2]DS THANG 11'!A$3:E$616,5,0)</f>
        <v/>
      </c>
      <c r="M341" s="65" t="n">
        <v>2103750</v>
      </c>
      <c r="N341" s="65" t="n"/>
      <c r="O341" s="65" t="n"/>
      <c r="P341" s="65" t="n"/>
      <c r="Q341" s="65" t="n"/>
      <c r="R341" s="65" t="n"/>
      <c r="S341" s="92">
        <f>G341-I341-R341-K341-M341-O341-Q341</f>
        <v/>
      </c>
      <c r="T341" s="92" t="inlineStr"/>
      <c r="U341" s="92" t="inlineStr"/>
      <c r="V341" s="69">
        <f>G341-SUM(I341,K341,M341,O341,Q341,U341)</f>
        <v/>
      </c>
      <c r="W341" s="65" t="n"/>
      <c r="X341" t="inlineStr">
        <is>
          <t>Khớp</t>
        </is>
      </c>
    </row>
    <row r="342">
      <c r="A342" s="65" t="n">
        <v>333</v>
      </c>
      <c r="B342" s="65" t="inlineStr">
        <is>
          <t>25802800258</t>
        </is>
      </c>
      <c r="C342" s="65" t="inlineStr">
        <is>
          <t>Nguyễn Công</t>
        </is>
      </c>
      <c r="D342" s="65" t="inlineStr">
        <is>
          <t>Thường</t>
        </is>
      </c>
      <c r="E342" s="65" t="inlineStr">
        <is>
          <t>15/01/2007</t>
        </is>
      </c>
      <c r="F342" s="66" t="inlineStr">
        <is>
          <t>LNH0925ND01</t>
        </is>
      </c>
      <c r="G342" s="90" t="n">
        <v>8415000</v>
      </c>
      <c r="H342" s="65">
        <f>VLOOKUP(B342,'[1]TONG HOP'!B$5:G$624,6,0)</f>
        <v/>
      </c>
      <c r="I342" s="65" t="n">
        <v>2103750</v>
      </c>
      <c r="J342" s="65" t="n"/>
      <c r="K342" s="65" t="n"/>
      <c r="L342" s="65">
        <f>VLOOKUP(B342,'[2]DS THANG 11'!A$3:E$616,5,0)</f>
        <v/>
      </c>
      <c r="M342" s="65" t="n">
        <v>2103750</v>
      </c>
      <c r="N342" s="65" t="n"/>
      <c r="O342" s="65" t="n"/>
      <c r="P342" s="65">
        <f>VLOOKUP(B342,'[3]TONG HOP '!B$5:O$666,14,0)</f>
        <v/>
      </c>
      <c r="Q342" s="65" t="n">
        <v>2103750</v>
      </c>
      <c r="R342" s="65" t="n"/>
      <c r="S342" s="92">
        <f>G342-I342-R342-K342-M342-O342-Q342</f>
        <v/>
      </c>
      <c r="T342" s="92" t="inlineStr">
        <is>
          <t>LNH0526NQ04</t>
        </is>
      </c>
      <c r="U342" s="92" t="n">
        <v>2103750</v>
      </c>
      <c r="V342" s="69">
        <f>G342-SUM(I342,K342,M342,O342,Q342,U342)</f>
        <v/>
      </c>
      <c r="W342" s="65" t="n"/>
      <c r="X342" t="inlineStr">
        <is>
          <t>Khớp</t>
        </is>
      </c>
    </row>
    <row r="343">
      <c r="A343" s="65" t="n">
        <v>334</v>
      </c>
      <c r="B343" s="65" t="inlineStr">
        <is>
          <t>25805800048</t>
        </is>
      </c>
      <c r="C343" s="65" t="inlineStr">
        <is>
          <t>Trần Chí</t>
        </is>
      </c>
      <c r="D343" s="65" t="inlineStr">
        <is>
          <t>Huy</t>
        </is>
      </c>
      <c r="E343" s="65" t="inlineStr">
        <is>
          <t>09/10/2007</t>
        </is>
      </c>
      <c r="F343" s="66" t="inlineStr">
        <is>
          <t>LNH0925ND01</t>
        </is>
      </c>
      <c r="G343" s="90" t="n">
        <v>8415000</v>
      </c>
      <c r="H343" s="65">
        <f>VLOOKUP(B343,'[1]TONG HOP'!B$5:G$624,6,0)</f>
        <v/>
      </c>
      <c r="I343" s="65" t="n">
        <v>2103750</v>
      </c>
      <c r="J343" s="65" t="n"/>
      <c r="K343" s="65" t="n"/>
      <c r="L343" s="65">
        <f>VLOOKUP(B343,'[2]DS THANG 11'!A$3:E$616,5,0)</f>
        <v/>
      </c>
      <c r="M343" s="65" t="n">
        <v>2103750</v>
      </c>
      <c r="N343" s="65" t="n"/>
      <c r="O343" s="65" t="n"/>
      <c r="P343" s="65">
        <f>VLOOKUP(B343,'[3]TONG HOP '!B$5:O$666,14,0)</f>
        <v/>
      </c>
      <c r="Q343" s="65" t="n">
        <v>2103750</v>
      </c>
      <c r="R343" s="65" t="n"/>
      <c r="S343" s="92">
        <f>G343-I343-R343-K343-M343-O343-Q343</f>
        <v/>
      </c>
      <c r="T343" s="92" t="inlineStr">
        <is>
          <t>LNH0526NQ10</t>
        </is>
      </c>
      <c r="U343" s="92" t="n">
        <v>2103750</v>
      </c>
      <c r="V343" s="69">
        <f>G343-SUM(I343,K343,M343,O343,Q343,U343)</f>
        <v/>
      </c>
      <c r="W343" s="65" t="n"/>
      <c r="X343" t="inlineStr">
        <is>
          <t>Khớp</t>
        </is>
      </c>
    </row>
    <row r="344">
      <c r="A344" s="65" t="n">
        <v>335</v>
      </c>
      <c r="B344" s="65" t="inlineStr">
        <is>
          <t>25820300093</t>
        </is>
      </c>
      <c r="C344" s="65" t="inlineStr">
        <is>
          <t>Nguyễn Thanh</t>
        </is>
      </c>
      <c r="D344" s="65" t="inlineStr">
        <is>
          <t>Phú</t>
        </is>
      </c>
      <c r="E344" s="65" t="inlineStr">
        <is>
          <t>19/12/2007</t>
        </is>
      </c>
      <c r="F344" s="66" t="inlineStr">
        <is>
          <t>LNH0925ND01</t>
        </is>
      </c>
      <c r="G344" s="90" t="n">
        <v>8415000</v>
      </c>
      <c r="H344" s="65">
        <f>VLOOKUP(B344,'[1]TONG HOP'!B$5:G$624,6,0)</f>
        <v/>
      </c>
      <c r="I344" s="65" t="n">
        <v>2103750</v>
      </c>
      <c r="J344" s="65" t="n"/>
      <c r="K344" s="65" t="n"/>
      <c r="L344" s="65">
        <f>VLOOKUP(B344,'[2]DS THANG 11'!A$3:E$616,5,0)</f>
        <v/>
      </c>
      <c r="M344" s="65" t="n">
        <v>2103750</v>
      </c>
      <c r="N344" s="65" t="n"/>
      <c r="O344" s="65" t="n"/>
      <c r="P344" s="65">
        <f>VLOOKUP(B344,'[3]TONG HOP '!B$5:O$666,14,0)</f>
        <v/>
      </c>
      <c r="Q344" s="65" t="n">
        <v>2103750</v>
      </c>
      <c r="R344" s="65" t="n"/>
      <c r="S344" s="92">
        <f>G344-I344-R344-K344-M344-O344-Q344</f>
        <v/>
      </c>
      <c r="T344" s="92" t="inlineStr">
        <is>
          <t>LNH0526NQ14</t>
        </is>
      </c>
      <c r="U344" s="92" t="n">
        <v>2103750</v>
      </c>
      <c r="V344" s="69">
        <f>G344-SUM(I344,K344,M344,O344,Q344,U344)</f>
        <v/>
      </c>
      <c r="W344" s="65" t="n"/>
      <c r="X344" t="inlineStr">
        <is>
          <t>Khớp</t>
        </is>
      </c>
    </row>
    <row r="345">
      <c r="A345" s="65" t="n">
        <v>336</v>
      </c>
      <c r="B345" s="65" t="inlineStr">
        <is>
          <t>25801000025</t>
        </is>
      </c>
      <c r="C345" s="65" t="inlineStr">
        <is>
          <t>Nguyễn Nhật</t>
        </is>
      </c>
      <c r="D345" s="65" t="inlineStr">
        <is>
          <t>Duy</t>
        </is>
      </c>
      <c r="E345" s="65" t="inlineStr">
        <is>
          <t>08/08/2007</t>
        </is>
      </c>
      <c r="F345" s="66" t="inlineStr">
        <is>
          <t>LNH0925ND01</t>
        </is>
      </c>
      <c r="G345" s="90" t="n">
        <v>1000000</v>
      </c>
      <c r="H345" s="65" t="n"/>
      <c r="I345" s="65" t="n"/>
      <c r="J345" s="65" t="n"/>
      <c r="K345" s="65" t="n"/>
      <c r="L345" s="65" t="n"/>
      <c r="M345" s="65" t="n"/>
      <c r="N345" s="65" t="n"/>
      <c r="O345" s="65" t="n"/>
      <c r="P345" s="65" t="n"/>
      <c r="Q345" s="65" t="n"/>
      <c r="R345" s="65" t="n"/>
      <c r="S345" s="92">
        <f>G345-I345-R345-K345-M345-O345-Q345</f>
        <v/>
      </c>
      <c r="T345" s="92" t="inlineStr"/>
      <c r="U345" s="92" t="inlineStr"/>
      <c r="V345" s="69">
        <f>G345-SUM(I345,K345,M345,O345,Q345,U345)</f>
        <v/>
      </c>
      <c r="W345" s="65" t="n"/>
      <c r="X345" t="inlineStr">
        <is>
          <t>Không tồn tại trong K.Hiền</t>
        </is>
      </c>
    </row>
    <row r="346">
      <c r="A346" s="65" t="n">
        <v>337</v>
      </c>
      <c r="B346" s="65" t="inlineStr">
        <is>
          <t>25808200010</t>
        </is>
      </c>
      <c r="C346" s="65" t="inlineStr">
        <is>
          <t>Thượng Hoài</t>
        </is>
      </c>
      <c r="D346" s="65" t="inlineStr">
        <is>
          <t>Ân</t>
        </is>
      </c>
      <c r="E346" s="65" t="inlineStr">
        <is>
          <t>02/11/2007</t>
        </is>
      </c>
      <c r="F346" s="66" t="inlineStr">
        <is>
          <t>LNH0925ND01</t>
        </is>
      </c>
      <c r="G346" s="90" t="n">
        <v>8415000</v>
      </c>
      <c r="H346" s="65">
        <f>VLOOKUP(B346,'[1]TONG HOP'!B$5:G$624,6,0)</f>
        <v/>
      </c>
      <c r="I346" s="65" t="n">
        <v>2103750</v>
      </c>
      <c r="J346" s="65" t="n"/>
      <c r="K346" s="65" t="n"/>
      <c r="L346" s="65" t="n"/>
      <c r="M346" s="65" t="n"/>
      <c r="N346" s="65" t="n"/>
      <c r="O346" s="65" t="n"/>
      <c r="P346" s="65" t="n"/>
      <c r="Q346" s="65" t="n"/>
      <c r="R346" s="65" t="n"/>
      <c r="S346" s="92">
        <f>G346-I346-R346-K346-M346-O346-Q346</f>
        <v/>
      </c>
      <c r="T346" s="92" t="inlineStr"/>
      <c r="U346" s="92" t="inlineStr"/>
      <c r="V346" s="69">
        <f>G346-SUM(I346,K346,M346,O346,Q346,U346)</f>
        <v/>
      </c>
      <c r="W346" s="65" t="n"/>
      <c r="X346" t="inlineStr">
        <is>
          <t>Khớp</t>
        </is>
      </c>
    </row>
    <row r="347">
      <c r="A347" s="65" t="n">
        <v>338</v>
      </c>
      <c r="B347" s="65" t="inlineStr">
        <is>
          <t>25802700081</t>
        </is>
      </c>
      <c r="C347" s="65" t="inlineStr">
        <is>
          <t>Dương Nguyễn Ngọc</t>
        </is>
      </c>
      <c r="D347" s="65" t="inlineStr">
        <is>
          <t>Thắng</t>
        </is>
      </c>
      <c r="E347" s="65" t="inlineStr">
        <is>
          <t>21/05/2007</t>
        </is>
      </c>
      <c r="F347" s="66" t="inlineStr">
        <is>
          <t>LNH0925ND01</t>
        </is>
      </c>
      <c r="G347" s="90" t="n">
        <v>8415000</v>
      </c>
      <c r="H347" s="65">
        <f>VLOOKUP(B347,'[1]TONG HOP'!B$5:G$624,6,0)</f>
        <v/>
      </c>
      <c r="I347" s="65" t="n">
        <v>2103750</v>
      </c>
      <c r="J347" s="65" t="n"/>
      <c r="K347" s="65" t="n"/>
      <c r="L347" s="65">
        <f>VLOOKUP(B347,'[2]DS THANG 11'!A$3:E$616,5,0)</f>
        <v/>
      </c>
      <c r="M347" s="65" t="n">
        <v>2103750</v>
      </c>
      <c r="N347" s="65" t="n"/>
      <c r="O347" s="65" t="n"/>
      <c r="P347" s="65">
        <f>VLOOKUP(B347,'[3]TONG HOP '!B$5:O$666,14,0)</f>
        <v/>
      </c>
      <c r="Q347" s="65" t="n">
        <v>2103750</v>
      </c>
      <c r="R347" s="65" t="n"/>
      <c r="S347" s="92">
        <f>G347-I347-R347-K347-M347-O347-Q347</f>
        <v/>
      </c>
      <c r="T347" s="92" t="inlineStr">
        <is>
          <t>LNH0526NQ16</t>
        </is>
      </c>
      <c r="U347" s="92" t="n">
        <v>2103750</v>
      </c>
      <c r="V347" s="69">
        <f>G347-SUM(I347,K347,M347,O347,Q347,U347)</f>
        <v/>
      </c>
      <c r="W347" s="65" t="n"/>
      <c r="X347" t="inlineStr">
        <is>
          <t>Khớp</t>
        </is>
      </c>
    </row>
    <row r="348">
      <c r="A348" s="65" t="n">
        <v>339</v>
      </c>
      <c r="B348" s="65" t="inlineStr">
        <is>
          <t>25808700190</t>
        </is>
      </c>
      <c r="C348" s="65" t="inlineStr">
        <is>
          <t>Lê Minh</t>
        </is>
      </c>
      <c r="D348" s="65" t="inlineStr">
        <is>
          <t>Long</t>
        </is>
      </c>
      <c r="E348" s="65" t="inlineStr">
        <is>
          <t>28/03/2007</t>
        </is>
      </c>
      <c r="F348" s="66" t="inlineStr">
        <is>
          <t>LNH0925ND01</t>
        </is>
      </c>
      <c r="G348" s="90">
        <f>1000000+7415000</f>
        <v/>
      </c>
      <c r="H348" s="65" t="n"/>
      <c r="I348" s="65" t="n"/>
      <c r="J348" s="65" t="n"/>
      <c r="K348" s="65" t="n"/>
      <c r="L348" s="65">
        <f>VLOOKUP(B348,'[2]DS THANG 11'!A$3:E$616,5,0)</f>
        <v/>
      </c>
      <c r="M348" s="65" t="n">
        <v>2103750</v>
      </c>
      <c r="N348" s="65" t="n"/>
      <c r="O348" s="65" t="n"/>
      <c r="P348" s="65">
        <f>VLOOKUP(B348,'[3]TONG HOP '!B$5:O$666,14,0)</f>
        <v/>
      </c>
      <c r="Q348" s="65" t="n">
        <v>2103750</v>
      </c>
      <c r="R348" s="65" t="n"/>
      <c r="S348" s="92">
        <f>G348-I348-R348-K348-M348-O348-Q348</f>
        <v/>
      </c>
      <c r="T348" s="92" t="inlineStr"/>
      <c r="U348" s="92" t="inlineStr"/>
      <c r="V348" s="69">
        <f>G348-SUM(I348,K348,M348,O348,Q348,U348)</f>
        <v/>
      </c>
      <c r="W348" s="65" t="n"/>
      <c r="X348" t="inlineStr">
        <is>
          <t>Khớp</t>
        </is>
      </c>
    </row>
    <row r="349">
      <c r="A349" s="65" t="n">
        <v>340</v>
      </c>
      <c r="B349" s="65" t="inlineStr">
        <is>
          <t>25808700110</t>
        </is>
      </c>
      <c r="C349" s="65" t="inlineStr">
        <is>
          <t>Trần Bảo</t>
        </is>
      </c>
      <c r="D349" s="65" t="inlineStr">
        <is>
          <t>Trân</t>
        </is>
      </c>
      <c r="E349" s="65" t="inlineStr">
        <is>
          <t>07/12/2007</t>
        </is>
      </c>
      <c r="F349" s="66" t="inlineStr">
        <is>
          <t>LNH0925ND01</t>
        </is>
      </c>
      <c r="G349" s="90" t="n">
        <v>8415000</v>
      </c>
      <c r="H349" s="65">
        <f>VLOOKUP(B349,'[1]TONG HOP'!B$5:G$624,6,0)</f>
        <v/>
      </c>
      <c r="I349" s="65" t="n">
        <v>2103750</v>
      </c>
      <c r="J349" s="65" t="n"/>
      <c r="K349" s="65" t="n"/>
      <c r="L349" s="65">
        <f>VLOOKUP(B349,'[2]DS THANG 11'!A$3:E$616,5,0)</f>
        <v/>
      </c>
      <c r="M349" s="65" t="n">
        <v>2103750</v>
      </c>
      <c r="N349" s="65" t="n"/>
      <c r="O349" s="65" t="n"/>
      <c r="P349" s="65" t="n"/>
      <c r="Q349" s="65" t="n"/>
      <c r="R349" s="65" t="n"/>
      <c r="S349" s="92">
        <f>G349-I349-R349-K349-M349-O349-Q349</f>
        <v/>
      </c>
      <c r="T349" s="92" t="inlineStr"/>
      <c r="U349" s="92" t="inlineStr"/>
      <c r="V349" s="69">
        <f>G349-SUM(I349,K349,M349,O349,Q349,U349)</f>
        <v/>
      </c>
      <c r="W349" s="65" t="n"/>
      <c r="X349" t="inlineStr">
        <is>
          <t>Khớp</t>
        </is>
      </c>
    </row>
    <row r="350">
      <c r="A350" s="65" t="n">
        <v>341</v>
      </c>
      <c r="B350" s="65" t="inlineStr">
        <is>
          <t>25802700054</t>
        </is>
      </c>
      <c r="C350" s="65" t="inlineStr">
        <is>
          <t>Lê Thị Tuyết</t>
        </is>
      </c>
      <c r="D350" s="65" t="inlineStr">
        <is>
          <t>Ngân</t>
        </is>
      </c>
      <c r="E350" s="65" t="inlineStr">
        <is>
          <t>22/07/2007</t>
        </is>
      </c>
      <c r="F350" s="66" t="inlineStr">
        <is>
          <t>LNH0925ND01</t>
        </is>
      </c>
      <c r="G350" s="90" t="n">
        <v>4465000</v>
      </c>
      <c r="H350" s="65">
        <f>VLOOKUP(B350,'[1]TONG HOP'!B$5:G$624,6,0)</f>
        <v/>
      </c>
      <c r="I350" s="65" t="n">
        <v>2232500</v>
      </c>
      <c r="J350" s="65" t="n"/>
      <c r="K350" s="65" t="n"/>
      <c r="L350" s="65">
        <f>VLOOKUP(B350,'[2]DS THANG 11'!A$3:E$616,5,0)</f>
        <v/>
      </c>
      <c r="M350" s="65" t="n">
        <v>2232500</v>
      </c>
      <c r="N350" s="65" t="n"/>
      <c r="O350" s="65" t="n"/>
      <c r="P350" s="65" t="n"/>
      <c r="Q350" s="65" t="n"/>
      <c r="R350" s="65" t="n"/>
      <c r="S350" s="92">
        <f>G350-I350-R350-K350-M350-O350-Q350</f>
        <v/>
      </c>
      <c r="T350" s="92" t="inlineStr">
        <is>
          <t>LNH0526NQ11</t>
        </is>
      </c>
      <c r="U350" s="92" t="n">
        <v>2470000</v>
      </c>
      <c r="V350" s="69">
        <f>G350-SUM(I350,K350,M350,O350,Q350,U350)</f>
        <v/>
      </c>
      <c r="W350" s="65" t="n"/>
      <c r="X350" t="inlineStr">
        <is>
          <t>Khớp</t>
        </is>
      </c>
    </row>
    <row r="351">
      <c r="A351" s="65" t="n">
        <v>342</v>
      </c>
      <c r="B351" s="65" t="inlineStr">
        <is>
          <t>25801800072</t>
        </is>
      </c>
      <c r="C351" s="65" t="inlineStr">
        <is>
          <t>Nguyễn Ngọc Bảo</t>
        </is>
      </c>
      <c r="D351" s="65" t="inlineStr">
        <is>
          <t>Thy</t>
        </is>
      </c>
      <c r="E351" s="65" t="inlineStr">
        <is>
          <t>20/01/2007</t>
        </is>
      </c>
      <c r="F351" s="66" t="inlineStr">
        <is>
          <t>LNH0925ND01</t>
        </is>
      </c>
      <c r="G351" s="90" t="n">
        <v>4465000</v>
      </c>
      <c r="H351" s="65">
        <f>VLOOKUP(B351,'[1]TONG HOP'!B$5:G$624,6,0)</f>
        <v/>
      </c>
      <c r="I351" s="65" t="n">
        <v>2232500</v>
      </c>
      <c r="J351" s="65" t="n"/>
      <c r="K351" s="65" t="n"/>
      <c r="L351" s="65">
        <f>VLOOKUP(B351,'[2]DS THANG 11'!A$3:E$616,5,0)</f>
        <v/>
      </c>
      <c r="M351" s="65" t="n">
        <v>2232500</v>
      </c>
      <c r="N351" s="65" t="n"/>
      <c r="O351" s="65" t="n"/>
      <c r="P351" s="65" t="n"/>
      <c r="Q351" s="65" t="n"/>
      <c r="R351" s="65" t="n"/>
      <c r="S351" s="92">
        <f>G351-I351-R351-K351-M351-O351-Q351</f>
        <v/>
      </c>
      <c r="T351" s="92" t="inlineStr"/>
      <c r="U351" s="92" t="inlineStr"/>
      <c r="V351" s="69">
        <f>G351-SUM(I351,K351,M351,O351,Q351,U351)</f>
        <v/>
      </c>
      <c r="W351" s="65" t="n"/>
      <c r="X351" t="inlineStr">
        <is>
          <t>Khớp</t>
        </is>
      </c>
    </row>
    <row r="352">
      <c r="A352" s="65" t="n">
        <v>343</v>
      </c>
      <c r="B352" s="65" t="inlineStr">
        <is>
          <t>25800601138</t>
        </is>
      </c>
      <c r="C352" s="65" t="inlineStr">
        <is>
          <t>Nguyễn Văn</t>
        </is>
      </c>
      <c r="D352" s="65" t="inlineStr">
        <is>
          <t>Lợi</t>
        </is>
      </c>
      <c r="E352" s="65" t="inlineStr">
        <is>
          <t>18/02/2007</t>
        </is>
      </c>
      <c r="F352" s="66" t="inlineStr">
        <is>
          <t>LNH0925ND01</t>
        </is>
      </c>
      <c r="G352" s="90" t="n">
        <v>8415000</v>
      </c>
      <c r="H352" s="65">
        <f>VLOOKUP(B352,'[1]TONG HOP'!B$5:G$624,6,0)</f>
        <v/>
      </c>
      <c r="I352" s="65" t="n">
        <v>2103750</v>
      </c>
      <c r="J352" s="65" t="n"/>
      <c r="K352" s="65" t="n"/>
      <c r="L352" s="65">
        <f>VLOOKUP(B352,'[2]DS THANG 11'!A$3:E$616,5,0)</f>
        <v/>
      </c>
      <c r="M352" s="65" t="n">
        <v>2103750</v>
      </c>
      <c r="N352" s="65" t="n"/>
      <c r="O352" s="65" t="n"/>
      <c r="P352" s="65">
        <f>VLOOKUP(B352,'[3]TONG HOP '!B$5:O$666,14,0)</f>
        <v/>
      </c>
      <c r="Q352" s="65" t="n">
        <v>2103750</v>
      </c>
      <c r="R352" s="65" t="n"/>
      <c r="S352" s="92">
        <f>G352-I352-R352-K352-M352-O352-Q352</f>
        <v/>
      </c>
      <c r="T352" s="92" t="inlineStr"/>
      <c r="U352" s="92" t="inlineStr"/>
      <c r="V352" s="69">
        <f>G352-SUM(I352,K352,M352,O352,Q352,U352)</f>
        <v/>
      </c>
      <c r="W352" s="65" t="n"/>
      <c r="X352" t="inlineStr">
        <is>
          <t>Khớp</t>
        </is>
      </c>
    </row>
    <row r="353">
      <c r="A353" s="65" t="n">
        <v>344</v>
      </c>
      <c r="B353" s="65" t="inlineStr">
        <is>
          <t>25802800047</t>
        </is>
      </c>
      <c r="C353" s="65" t="inlineStr">
        <is>
          <t>Nguyễn Hải</t>
        </is>
      </c>
      <c r="D353" s="65" t="inlineStr">
        <is>
          <t>Đăng</t>
        </is>
      </c>
      <c r="E353" s="65" t="inlineStr">
        <is>
          <t>01/01/2007</t>
        </is>
      </c>
      <c r="F353" s="66" t="inlineStr">
        <is>
          <t>LNH0925ND01</t>
        </is>
      </c>
      <c r="G353" s="90" t="n">
        <v>9415000</v>
      </c>
      <c r="H353" s="65" t="n"/>
      <c r="I353" s="65" t="n"/>
      <c r="J353" s="65">
        <f>VLOOKUP(B353,[5]Sheet1!A$3:E$32,5,0)</f>
        <v/>
      </c>
      <c r="K353" s="65" t="n">
        <v>2103750</v>
      </c>
      <c r="L353" s="65">
        <f>VLOOKUP(B353,'[2]DS THANG 11'!A$3:E$616,5,0)</f>
        <v/>
      </c>
      <c r="M353" s="65" t="n">
        <v>2103750</v>
      </c>
      <c r="N353" s="65" t="n"/>
      <c r="O353" s="65" t="n"/>
      <c r="P353" s="65" t="n"/>
      <c r="Q353" s="65" t="n"/>
      <c r="R353" s="65" t="n"/>
      <c r="S353" s="92">
        <f>G353-I353-R353-K353-M353-O353-Q353</f>
        <v/>
      </c>
      <c r="T353" s="92" t="inlineStr"/>
      <c r="U353" s="92" t="inlineStr"/>
      <c r="V353" s="69">
        <f>G353-SUM(I353,K353,M353,O353,Q353,U353)</f>
        <v/>
      </c>
      <c r="W353" s="65" t="n"/>
      <c r="X353" t="inlineStr">
        <is>
          <t>Khớp</t>
        </is>
      </c>
    </row>
    <row r="354">
      <c r="A354" s="65" t="n">
        <v>345</v>
      </c>
      <c r="B354" s="65" t="inlineStr">
        <is>
          <t>25806800059</t>
        </is>
      </c>
      <c r="C354" s="65" t="inlineStr">
        <is>
          <t>Nguyễn</t>
        </is>
      </c>
      <c r="D354" s="65" t="inlineStr">
        <is>
          <t>Phong</t>
        </is>
      </c>
      <c r="E354" s="65" t="inlineStr">
        <is>
          <t>22/10/2007</t>
        </is>
      </c>
      <c r="F354" s="66" t="inlineStr">
        <is>
          <t>LNH0925ND01</t>
        </is>
      </c>
      <c r="G354" s="90" t="n">
        <v>1000000</v>
      </c>
      <c r="H354" s="65" t="n"/>
      <c r="I354" s="65" t="n"/>
      <c r="J354" s="65" t="n"/>
      <c r="K354" s="65" t="n"/>
      <c r="L354" s="65" t="n"/>
      <c r="M354" s="65" t="n"/>
      <c r="N354" s="65" t="n"/>
      <c r="O354" s="65" t="n"/>
      <c r="P354" s="65" t="n"/>
      <c r="Q354" s="65" t="n"/>
      <c r="R354" s="65" t="n"/>
      <c r="S354" s="92">
        <f>G354-I354-R354-K354-M354-O354-Q354</f>
        <v/>
      </c>
      <c r="T354" s="92" t="inlineStr"/>
      <c r="U354" s="92" t="inlineStr"/>
      <c r="V354" s="69">
        <f>G354-SUM(I354,K354,M354,O354,Q354,U354)</f>
        <v/>
      </c>
      <c r="W354" s="65" t="n"/>
      <c r="X354" t="inlineStr">
        <is>
          <t>Khớp</t>
        </is>
      </c>
    </row>
    <row r="355">
      <c r="A355" s="65" t="n">
        <v>346</v>
      </c>
      <c r="B355" s="65" t="inlineStr">
        <is>
          <t>25801100007</t>
        </is>
      </c>
      <c r="C355" s="65" t="inlineStr">
        <is>
          <t>Phan Minh</t>
        </is>
      </c>
      <c r="D355" s="65" t="inlineStr">
        <is>
          <t>Chiến</t>
        </is>
      </c>
      <c r="E355" s="65" t="inlineStr">
        <is>
          <t>17/01/2007</t>
        </is>
      </c>
      <c r="F355" s="66" t="inlineStr">
        <is>
          <t>LNH0925ND01</t>
        </is>
      </c>
      <c r="G355" s="90" t="n">
        <v>8415000</v>
      </c>
      <c r="H355" s="65">
        <f>VLOOKUP(B355,'[1]TONG HOP'!B$5:G$624,6,0)</f>
        <v/>
      </c>
      <c r="I355" s="65" t="n">
        <v>2103750</v>
      </c>
      <c r="J355" s="65" t="n"/>
      <c r="K355" s="65" t="n"/>
      <c r="L355" s="65">
        <f>VLOOKUP(B355,'[2]DS THANG 11'!A$3:E$616,5,0)</f>
        <v/>
      </c>
      <c r="M355" s="65" t="n">
        <v>2103750</v>
      </c>
      <c r="N355" s="65" t="n"/>
      <c r="O355" s="65" t="n"/>
      <c r="P355" s="65">
        <f>VLOOKUP(B355,'[3]TONG HOP '!B$5:O$666,14,0)</f>
        <v/>
      </c>
      <c r="Q355" s="65" t="n">
        <v>2103750</v>
      </c>
      <c r="R355" s="65" t="n"/>
      <c r="S355" s="92">
        <f>G355-I355-R355-K355-M355-O355-Q355</f>
        <v/>
      </c>
      <c r="T355" s="92" t="inlineStr">
        <is>
          <t>LNH0526NQ16</t>
        </is>
      </c>
      <c r="U355" s="92" t="n">
        <v>2103750</v>
      </c>
      <c r="V355" s="69">
        <f>G355-SUM(I355,K355,M355,O355,Q355,U355)</f>
        <v/>
      </c>
      <c r="W355" s="65" t="n"/>
      <c r="X355" t="inlineStr">
        <is>
          <t>Khớp</t>
        </is>
      </c>
    </row>
    <row r="356">
      <c r="A356" s="65" t="n">
        <v>347</v>
      </c>
      <c r="B356" s="65" t="inlineStr">
        <is>
          <t>25800400273</t>
        </is>
      </c>
      <c r="C356" s="65" t="inlineStr">
        <is>
          <t>Nguyễn Duy</t>
        </is>
      </c>
      <c r="D356" s="65" t="inlineStr">
        <is>
          <t>An</t>
        </is>
      </c>
      <c r="E356" s="65" t="inlineStr">
        <is>
          <t>22/03/2007</t>
        </is>
      </c>
      <c r="F356" s="66" t="inlineStr">
        <is>
          <t>LNH0925ND01</t>
        </is>
      </c>
      <c r="G356" s="90" t="n">
        <v>4465000</v>
      </c>
      <c r="H356" s="65">
        <f>VLOOKUP(B356,'[1]TONG HOP'!B$5:G$624,6,0)</f>
        <v/>
      </c>
      <c r="I356" s="65" t="n">
        <v>2232500</v>
      </c>
      <c r="J356" s="65" t="n"/>
      <c r="K356" s="65" t="n"/>
      <c r="L356" s="65">
        <f>VLOOKUP(B356,'[2]DS THANG 11'!A$3:E$616,5,0)</f>
        <v/>
      </c>
      <c r="M356" s="65" t="n">
        <v>2232500</v>
      </c>
      <c r="N356" s="65" t="n"/>
      <c r="O356" s="65" t="n"/>
      <c r="P356" s="65" t="n"/>
      <c r="Q356" s="65" t="n"/>
      <c r="R356" s="65" t="n"/>
      <c r="S356" s="92">
        <f>G356-I356-R356-K356-M356-O356-Q356</f>
        <v/>
      </c>
      <c r="T356" s="92" t="inlineStr"/>
      <c r="U356" s="92" t="inlineStr"/>
      <c r="V356" s="69">
        <f>G356-SUM(I356,K356,M356,O356,Q356,U356)</f>
        <v/>
      </c>
      <c r="W356" s="65" t="n"/>
      <c r="X356" t="inlineStr">
        <is>
          <t>Khớp</t>
        </is>
      </c>
    </row>
    <row r="357">
      <c r="A357" s="65" t="n">
        <v>348</v>
      </c>
      <c r="B357" s="65" t="inlineStr">
        <is>
          <t>25820300019</t>
        </is>
      </c>
      <c r="C357" s="65" t="inlineStr">
        <is>
          <t>Trần Quốc</t>
        </is>
      </c>
      <c r="D357" s="65" t="inlineStr">
        <is>
          <t>Huy</t>
        </is>
      </c>
      <c r="E357" s="65" t="inlineStr">
        <is>
          <t>16/03/2007</t>
        </is>
      </c>
      <c r="F357" s="66" t="inlineStr">
        <is>
          <t>LNH0925ND01</t>
        </is>
      </c>
      <c r="G357" s="90" t="n">
        <v>8415000</v>
      </c>
      <c r="H357" s="65">
        <f>VLOOKUP(B357,'[1]TONG HOP'!B$5:G$624,6,0)</f>
        <v/>
      </c>
      <c r="I357" s="65" t="n">
        <v>2103750</v>
      </c>
      <c r="J357" s="65" t="n"/>
      <c r="K357" s="65" t="n"/>
      <c r="L357" s="65">
        <f>VLOOKUP(B357,'[2]DS THANG 11'!A$3:E$616,5,0)</f>
        <v/>
      </c>
      <c r="M357" s="65" t="n">
        <v>2103750</v>
      </c>
      <c r="N357" s="65" t="n"/>
      <c r="O357" s="65" t="n"/>
      <c r="P357" s="65">
        <f>VLOOKUP(B357,'[3]TONG HOP '!B$5:O$666,14,0)</f>
        <v/>
      </c>
      <c r="Q357" s="65" t="n">
        <v>2103750</v>
      </c>
      <c r="R357" s="65" t="n"/>
      <c r="S357" s="92">
        <f>G357-I357-R357-K357-M357-O357-Q357</f>
        <v/>
      </c>
      <c r="T357" s="92" t="inlineStr"/>
      <c r="U357" s="92" t="inlineStr"/>
      <c r="V357" s="69">
        <f>G357-SUM(I357,K357,M357,O357,Q357,U357)</f>
        <v/>
      </c>
      <c r="W357" s="65" t="n"/>
      <c r="X357" t="inlineStr">
        <is>
          <t>Khớp</t>
        </is>
      </c>
    </row>
    <row r="358">
      <c r="A358" s="65" t="n">
        <v>349</v>
      </c>
      <c r="B358" s="65" t="inlineStr">
        <is>
          <t>25801100076</t>
        </is>
      </c>
      <c r="C358" s="65" t="inlineStr">
        <is>
          <t>Trần Huỳnh Vạn</t>
        </is>
      </c>
      <c r="D358" s="65" t="inlineStr">
        <is>
          <t>Trí</t>
        </is>
      </c>
      <c r="E358" s="65" t="inlineStr">
        <is>
          <t>10/10/2007</t>
        </is>
      </c>
      <c r="F358" s="66" t="inlineStr">
        <is>
          <t>LNH0925ND01</t>
        </is>
      </c>
      <c r="G358" s="90" t="n">
        <v>8415000</v>
      </c>
      <c r="H358" s="65">
        <f>VLOOKUP(B358,'[1]TONG HOP'!B$5:G$624,6,0)</f>
        <v/>
      </c>
      <c r="I358" s="65" t="n">
        <v>2103750</v>
      </c>
      <c r="J358" s="65" t="n"/>
      <c r="K358" s="65" t="n"/>
      <c r="L358" s="65">
        <f>VLOOKUP(B358,'[2]DS THANG 11'!A$3:E$616,5,0)</f>
        <v/>
      </c>
      <c r="M358" s="65" t="n">
        <v>2103750</v>
      </c>
      <c r="N358" s="65" t="n"/>
      <c r="O358" s="65" t="n"/>
      <c r="P358" s="65">
        <f>VLOOKUP(B358,'[3]TONG HOP '!B$5:O$666,14,0)</f>
        <v/>
      </c>
      <c r="Q358" s="65" t="n">
        <v>2103750</v>
      </c>
      <c r="R358" s="65" t="n"/>
      <c r="S358" s="92">
        <f>G358-I358-R358-K358-M358-O358-Q358</f>
        <v/>
      </c>
      <c r="T358" s="92" t="inlineStr"/>
      <c r="U358" s="92" t="inlineStr"/>
      <c r="V358" s="69">
        <f>G358-SUM(I358,K358,M358,O358,Q358,U358)</f>
        <v/>
      </c>
      <c r="W358" s="65" t="n"/>
      <c r="X358" t="inlineStr">
        <is>
          <t>Khớp</t>
        </is>
      </c>
    </row>
    <row r="359">
      <c r="A359" s="65" t="n">
        <v>350</v>
      </c>
      <c r="B359" s="65" t="inlineStr">
        <is>
          <t>25807500017</t>
        </is>
      </c>
      <c r="C359" s="65" t="inlineStr">
        <is>
          <t>Đỗ Tiến</t>
        </is>
      </c>
      <c r="D359" s="65" t="inlineStr">
        <is>
          <t>Dương</t>
        </is>
      </c>
      <c r="E359" s="65" t="inlineStr">
        <is>
          <t>20/07/2007</t>
        </is>
      </c>
      <c r="F359" s="66" t="inlineStr">
        <is>
          <t>LNH0925ND01</t>
        </is>
      </c>
      <c r="G359" s="90" t="n">
        <v>8415000</v>
      </c>
      <c r="H359" s="65">
        <f>VLOOKUP(B359,'[1]TONG HOP'!B$5:G$624,6,0)</f>
        <v/>
      </c>
      <c r="I359" s="65" t="n">
        <v>2103750</v>
      </c>
      <c r="J359" s="65" t="n"/>
      <c r="K359" s="65" t="n"/>
      <c r="L359" s="65">
        <f>VLOOKUP(B359,'[2]DS THANG 11'!A$3:E$616,5,0)</f>
        <v/>
      </c>
      <c r="M359" s="65" t="n">
        <v>2103750</v>
      </c>
      <c r="N359" s="65" t="n"/>
      <c r="O359" s="65" t="n"/>
      <c r="P359" s="65">
        <f>VLOOKUP(B359,'[3]TONG HOP '!B$5:O$666,14,0)</f>
        <v/>
      </c>
      <c r="Q359" s="65" t="n">
        <v>2103750</v>
      </c>
      <c r="R359" s="65" t="n"/>
      <c r="S359" s="92">
        <f>G359-I359-R359-K359-M359-O359-Q359</f>
        <v/>
      </c>
      <c r="T359" s="92" t="inlineStr">
        <is>
          <t>LNH0526NQ20</t>
        </is>
      </c>
      <c r="U359" s="92" t="n">
        <v>2103750</v>
      </c>
      <c r="V359" s="69">
        <f>G359-SUM(I359,K359,M359,O359,Q359,U359)</f>
        <v/>
      </c>
      <c r="W359" s="65" t="n"/>
      <c r="X359" t="inlineStr">
        <is>
          <t>Khớp</t>
        </is>
      </c>
    </row>
    <row r="360">
      <c r="A360" s="65" t="n">
        <v>351</v>
      </c>
      <c r="B360" s="65" t="inlineStr">
        <is>
          <t>25808200141</t>
        </is>
      </c>
      <c r="C360" s="65" t="inlineStr">
        <is>
          <t>Nguyễn Thái</t>
        </is>
      </c>
      <c r="D360" s="65" t="inlineStr">
        <is>
          <t>Tuấn</t>
        </is>
      </c>
      <c r="E360" s="65" t="inlineStr">
        <is>
          <t>27/01/2007</t>
        </is>
      </c>
      <c r="F360" s="66" t="inlineStr">
        <is>
          <t>LNH0925ND01</t>
        </is>
      </c>
      <c r="G360" s="90" t="n">
        <v>2100000</v>
      </c>
      <c r="H360" s="65" t="n"/>
      <c r="I360" s="65" t="n"/>
      <c r="J360" s="65" t="n"/>
      <c r="K360" s="65" t="n"/>
      <c r="L360" s="65">
        <f>VLOOKUP(B360,'[2]DS THANG 11'!A$3:E$616,5,0)</f>
        <v/>
      </c>
      <c r="M360" s="65" t="n">
        <v>2100000</v>
      </c>
      <c r="N360" s="65" t="n"/>
      <c r="O360" s="65" t="n"/>
      <c r="P360" s="65" t="n"/>
      <c r="Q360" s="65" t="n"/>
      <c r="R360" s="65" t="n"/>
      <c r="S360" s="92">
        <f>G360-I360-R360-K360-M360-O360-Q360</f>
        <v/>
      </c>
      <c r="T360" s="92" t="inlineStr"/>
      <c r="U360" s="92" t="inlineStr"/>
      <c r="V360" s="69">
        <f>G360-SUM(I360,K360,M360,O360,Q360,U360)</f>
        <v/>
      </c>
      <c r="W360" s="65" t="n"/>
      <c r="X360" t="inlineStr">
        <is>
          <t>Khớp</t>
        </is>
      </c>
    </row>
    <row r="361">
      <c r="A361" s="65" t="n">
        <v>352</v>
      </c>
      <c r="B361" s="65" t="inlineStr">
        <is>
          <t>25807500033</t>
        </is>
      </c>
      <c r="C361" s="65" t="inlineStr">
        <is>
          <t>Phạm Minh</t>
        </is>
      </c>
      <c r="D361" s="65" t="inlineStr">
        <is>
          <t>Hòa</t>
        </is>
      </c>
      <c r="E361" s="65" t="inlineStr">
        <is>
          <t>21/11/2007</t>
        </is>
      </c>
      <c r="F361" s="66" t="inlineStr">
        <is>
          <t>LNH0925ND01</t>
        </is>
      </c>
      <c r="G361" s="90" t="n">
        <v>8415000</v>
      </c>
      <c r="H361" s="65">
        <f>VLOOKUP(B361,'[1]TONG HOP'!B$5:G$624,6,0)</f>
        <v/>
      </c>
      <c r="I361" s="65" t="n">
        <v>2103750</v>
      </c>
      <c r="J361" s="65" t="n"/>
      <c r="K361" s="65" t="n"/>
      <c r="L361" s="65">
        <f>VLOOKUP(B361,'[2]DS THANG 11'!A$3:E$616,5,0)</f>
        <v/>
      </c>
      <c r="M361" s="65" t="n">
        <v>2103750</v>
      </c>
      <c r="N361" s="65" t="n"/>
      <c r="O361" s="65" t="n"/>
      <c r="P361" s="65">
        <f>VLOOKUP(B361,'[3]TONG HOP '!B$5:O$666,14,0)</f>
        <v/>
      </c>
      <c r="Q361" s="65" t="n">
        <v>2103750</v>
      </c>
      <c r="R361" s="65" t="n"/>
      <c r="S361" s="92">
        <f>G361-I361-R361-K361-M361-O361-Q361</f>
        <v/>
      </c>
      <c r="T361" s="92" t="inlineStr">
        <is>
          <t>LNH0526NQ16</t>
        </is>
      </c>
      <c r="U361" s="92" t="n">
        <v>2103750</v>
      </c>
      <c r="V361" s="69">
        <f>G361-SUM(I361,K361,M361,O361,Q361,U361)</f>
        <v/>
      </c>
      <c r="W361" s="65" t="n"/>
      <c r="X361" t="inlineStr">
        <is>
          <t>Khớp</t>
        </is>
      </c>
    </row>
    <row r="362">
      <c r="A362" s="65" t="n">
        <v>353</v>
      </c>
      <c r="B362" s="65" t="inlineStr">
        <is>
          <t>25802700094</t>
        </is>
      </c>
      <c r="C362" s="65" t="inlineStr">
        <is>
          <t>Bùi Thị Ngọc</t>
        </is>
      </c>
      <c r="D362" s="65" t="inlineStr">
        <is>
          <t>Trâm</t>
        </is>
      </c>
      <c r="E362" s="65" t="inlineStr">
        <is>
          <t>19/12/2007</t>
        </is>
      </c>
      <c r="F362" s="66" t="inlineStr">
        <is>
          <t>LNH0925ND01</t>
        </is>
      </c>
      <c r="G362" s="90" t="n">
        <v>4465000</v>
      </c>
      <c r="H362" s="65">
        <f>VLOOKUP(B362,'[1]TONG HOP'!B$5:G$624,6,0)</f>
        <v/>
      </c>
      <c r="I362" s="65" t="n">
        <v>2232500</v>
      </c>
      <c r="J362" s="65" t="n"/>
      <c r="K362" s="65" t="n"/>
      <c r="L362" s="65">
        <f>VLOOKUP(B362,'[2]DS THANG 11'!A$3:E$616,5,0)</f>
        <v/>
      </c>
      <c r="M362" s="65" t="n">
        <v>2232500</v>
      </c>
      <c r="N362" s="65" t="n"/>
      <c r="O362" s="65" t="n"/>
      <c r="P362" s="65" t="n"/>
      <c r="Q362" s="65" t="n"/>
      <c r="R362" s="65" t="n"/>
      <c r="S362" s="92">
        <f>G362-I362-R362-K362-M362-O362-Q362</f>
        <v/>
      </c>
      <c r="T362" s="92" t="inlineStr"/>
      <c r="U362" s="92" t="inlineStr"/>
      <c r="V362" s="69">
        <f>G362-SUM(I362,K362,M362,O362,Q362,U362)</f>
        <v/>
      </c>
      <c r="W362" s="65" t="n"/>
      <c r="X362" t="inlineStr">
        <is>
          <t>Khớp</t>
        </is>
      </c>
    </row>
    <row r="363">
      <c r="A363" s="65" t="n">
        <v>354</v>
      </c>
      <c r="B363" s="65" t="inlineStr">
        <is>
          <t>25807500151</t>
        </is>
      </c>
      <c r="C363" s="65" t="inlineStr">
        <is>
          <t>Nguyễn Phạm Hoàng</t>
        </is>
      </c>
      <c r="D363" s="65" t="inlineStr">
        <is>
          <t>Trung</t>
        </is>
      </c>
      <c r="E363" s="65" t="inlineStr">
        <is>
          <t>22/01/2007</t>
        </is>
      </c>
      <c r="F363" s="66" t="inlineStr">
        <is>
          <t>LNH0925ND01</t>
        </is>
      </c>
      <c r="G363" s="90" t="n">
        <v>8415000</v>
      </c>
      <c r="H363" s="65">
        <f>VLOOKUP(B363,'[1]TONG HOP'!B$5:G$624,6,0)</f>
        <v/>
      </c>
      <c r="I363" s="65" t="n">
        <v>2103750</v>
      </c>
      <c r="J363" s="65" t="n"/>
      <c r="K363" s="65" t="n"/>
      <c r="L363" s="65">
        <f>VLOOKUP(B363,'[2]DS THANG 11'!A$3:E$616,5,0)</f>
        <v/>
      </c>
      <c r="M363" s="65" t="n">
        <v>2103750</v>
      </c>
      <c r="N363" s="65" t="n"/>
      <c r="O363" s="65" t="n"/>
      <c r="P363" s="65">
        <f>VLOOKUP(B363,'[3]TONG HOP '!B$5:O$666,14,0)</f>
        <v/>
      </c>
      <c r="Q363" s="65" t="n">
        <v>2103750</v>
      </c>
      <c r="R363" s="65" t="n"/>
      <c r="S363" s="92">
        <f>G363-I363-R363-K363-M363-O363-Q363</f>
        <v/>
      </c>
      <c r="T363" s="92" t="inlineStr"/>
      <c r="U363" s="92" t="inlineStr"/>
      <c r="V363" s="69">
        <f>G363-SUM(I363,K363,M363,O363,Q363,U363)</f>
        <v/>
      </c>
      <c r="W363" s="65" t="n"/>
      <c r="X363" t="inlineStr">
        <is>
          <t>Khớp</t>
        </is>
      </c>
    </row>
    <row r="364">
      <c r="A364" s="65" t="n">
        <v>355</v>
      </c>
      <c r="B364" s="65" t="inlineStr">
        <is>
          <t>25820200008</t>
        </is>
      </c>
      <c r="C364" s="65" t="inlineStr">
        <is>
          <t>Huỳnh Phú</t>
        </is>
      </c>
      <c r="D364" s="65" t="inlineStr">
        <is>
          <t>Cường</t>
        </is>
      </c>
      <c r="E364" s="65" t="inlineStr">
        <is>
          <t>06/12/2007</t>
        </is>
      </c>
      <c r="F364" s="66" t="inlineStr">
        <is>
          <t>LNH0925ND01</t>
        </is>
      </c>
      <c r="G364" s="90" t="n">
        <v>8415000</v>
      </c>
      <c r="H364" s="65">
        <f>VLOOKUP(B364,'[1]TONG HOP'!B$5:G$624,6,0)</f>
        <v/>
      </c>
      <c r="I364" s="65" t="n">
        <v>2103750</v>
      </c>
      <c r="J364" s="65" t="n"/>
      <c r="K364" s="65" t="n"/>
      <c r="L364" s="65">
        <f>VLOOKUP(B364,'[2]DS THANG 11'!A$3:E$616,5,0)</f>
        <v/>
      </c>
      <c r="M364" s="65" t="n">
        <v>2103750</v>
      </c>
      <c r="N364" s="65" t="n"/>
      <c r="O364" s="65" t="n"/>
      <c r="P364" s="65">
        <f>VLOOKUP(B364,'[3]TONG HOP '!B$5:O$666,14,0)</f>
        <v/>
      </c>
      <c r="Q364" s="65" t="n">
        <v>2103750</v>
      </c>
      <c r="R364" s="65" t="n"/>
      <c r="S364" s="92">
        <f>G364-I364-R364-K364-M364-O364-Q364</f>
        <v/>
      </c>
      <c r="T364" s="92" t="inlineStr">
        <is>
          <t>LNH0526NQ05</t>
        </is>
      </c>
      <c r="U364" s="92" t="n">
        <v>2103750</v>
      </c>
      <c r="V364" s="69">
        <f>G364-SUM(I364,K364,M364,O364,Q364,U364)</f>
        <v/>
      </c>
      <c r="W364" s="65" t="n"/>
      <c r="X364" t="inlineStr">
        <is>
          <t>Khớp</t>
        </is>
      </c>
    </row>
    <row r="365">
      <c r="A365" s="65" t="n">
        <v>356</v>
      </c>
      <c r="B365" s="65" t="inlineStr">
        <is>
          <t>25820200126</t>
        </is>
      </c>
      <c r="C365" s="65" t="inlineStr">
        <is>
          <t>Vũ Đình Hoàng</t>
        </is>
      </c>
      <c r="D365" s="65" t="inlineStr">
        <is>
          <t>Khang</t>
        </is>
      </c>
      <c r="E365" s="65" t="inlineStr">
        <is>
          <t>31/08/2007</t>
        </is>
      </c>
      <c r="F365" s="66" t="inlineStr">
        <is>
          <t>LNH0925ND01</t>
        </is>
      </c>
      <c r="G365" s="90" t="n">
        <v>1000000</v>
      </c>
      <c r="H365" s="65" t="n"/>
      <c r="I365" s="65" t="n"/>
      <c r="J365" s="65" t="n"/>
      <c r="K365" s="65" t="n"/>
      <c r="L365" s="65" t="n"/>
      <c r="M365" s="65" t="n"/>
      <c r="N365" s="65" t="n"/>
      <c r="O365" s="65" t="n"/>
      <c r="P365" s="65" t="n"/>
      <c r="Q365" s="65" t="n"/>
      <c r="R365" s="65" t="n"/>
      <c r="S365" s="92">
        <f>G365-I365-R365-K365-M365-O365-Q365</f>
        <v/>
      </c>
      <c r="T365" s="92" t="inlineStr"/>
      <c r="U365" s="92" t="inlineStr"/>
      <c r="V365" s="69">
        <f>G365-SUM(I365,K365,M365,O365,Q365,U365)</f>
        <v/>
      </c>
      <c r="W365" s="65" t="n"/>
      <c r="X365" t="inlineStr">
        <is>
          <t>Khớp</t>
        </is>
      </c>
    </row>
    <row r="366">
      <c r="A366" s="65" t="n">
        <v>357</v>
      </c>
      <c r="B366" s="65" t="inlineStr">
        <is>
          <t>25807500227</t>
        </is>
      </c>
      <c r="C366" s="65" t="inlineStr">
        <is>
          <t>Nguyễn Ngọc Phương</t>
        </is>
      </c>
      <c r="D366" s="65" t="inlineStr">
        <is>
          <t>Trân</t>
        </is>
      </c>
      <c r="E366" s="65" t="inlineStr">
        <is>
          <t>17/11/2007</t>
        </is>
      </c>
      <c r="F366" s="66" t="inlineStr">
        <is>
          <t>LNH0925ND01</t>
        </is>
      </c>
      <c r="G366" s="90" t="n">
        <v>8415000</v>
      </c>
      <c r="H366" s="65">
        <f>VLOOKUP(B366,'[1]TONG HOP'!B$5:G$624,6,0)</f>
        <v/>
      </c>
      <c r="I366" s="65" t="n">
        <v>2103750</v>
      </c>
      <c r="J366" s="65" t="n"/>
      <c r="K366" s="65" t="n"/>
      <c r="L366" s="65">
        <f>VLOOKUP(B366,'[2]DS THANG 11'!A$3:E$616,5,0)</f>
        <v/>
      </c>
      <c r="M366" s="65" t="n">
        <v>2103750</v>
      </c>
      <c r="N366" s="65" t="n"/>
      <c r="O366" s="65" t="n"/>
      <c r="P366" s="65">
        <f>VLOOKUP(B366,'[3]TONG HOP '!B$5:O$666,14,0)</f>
        <v/>
      </c>
      <c r="Q366" s="65" t="n">
        <v>2103750</v>
      </c>
      <c r="R366" s="65" t="n"/>
      <c r="S366" s="92">
        <f>G366-I366-R366-K366-M366-O366-Q366</f>
        <v/>
      </c>
      <c r="T366" s="92" t="inlineStr"/>
      <c r="U366" s="92" t="inlineStr"/>
      <c r="V366" s="69">
        <f>G366-SUM(I366,K366,M366,O366,Q366,U366)</f>
        <v/>
      </c>
      <c r="W366" s="65" t="n"/>
      <c r="X366" t="inlineStr">
        <is>
          <t>Khớp</t>
        </is>
      </c>
    </row>
    <row r="367">
      <c r="A367" s="65" t="n">
        <v>358</v>
      </c>
      <c r="B367" s="65" t="inlineStr">
        <is>
          <t>25805800021</t>
        </is>
      </c>
      <c r="C367" s="65" t="inlineStr">
        <is>
          <t>Đinh Ngọc Phương</t>
        </is>
      </c>
      <c r="D367" s="65" t="inlineStr">
        <is>
          <t>Ngân</t>
        </is>
      </c>
      <c r="E367" s="65" t="inlineStr">
        <is>
          <t>21/11/2007</t>
        </is>
      </c>
      <c r="F367" s="66" t="inlineStr">
        <is>
          <t>LNH0925ND01</t>
        </is>
      </c>
      <c r="G367" s="90" t="n">
        <v>8415000</v>
      </c>
      <c r="H367" s="65" t="n"/>
      <c r="I367" s="65" t="n"/>
      <c r="J367" s="65" t="n"/>
      <c r="K367" s="65" t="n"/>
      <c r="L367" s="65">
        <f>VLOOKUP(B367,'[2]DS THANG 11'!A$3:E$616,5,0)</f>
        <v/>
      </c>
      <c r="M367" s="65" t="n">
        <v>2103750</v>
      </c>
      <c r="N367" s="65" t="n"/>
      <c r="O367" s="65" t="n"/>
      <c r="P367" s="65">
        <f>VLOOKUP(B367,'[3]TONG HOP '!B$5:O$666,14,0)</f>
        <v/>
      </c>
      <c r="Q367" s="65" t="n">
        <v>2103750</v>
      </c>
      <c r="R367" s="65" t="n"/>
      <c r="S367" s="92">
        <f>G367-I367-R367-K367-M367-O367-Q367</f>
        <v/>
      </c>
      <c r="T367" s="92" t="inlineStr"/>
      <c r="U367" s="92" t="inlineStr"/>
      <c r="V367" s="69">
        <f>G367-SUM(I367,K367,M367,O367,Q367,U367)</f>
        <v/>
      </c>
      <c r="W367" s="65" t="n"/>
      <c r="X367" t="inlineStr">
        <is>
          <t>Khớp</t>
        </is>
      </c>
    </row>
    <row r="368">
      <c r="A368" s="65" t="n">
        <v>359</v>
      </c>
      <c r="B368" s="65" t="inlineStr">
        <is>
          <t>25801300018</t>
        </is>
      </c>
      <c r="C368" s="65" t="inlineStr">
        <is>
          <t>Nguyễn Hoàng</t>
        </is>
      </c>
      <c r="D368" s="65" t="inlineStr">
        <is>
          <t>Nam</t>
        </is>
      </c>
      <c r="E368" s="65" t="inlineStr">
        <is>
          <t>17/07/2007</t>
        </is>
      </c>
      <c r="F368" s="66" t="inlineStr">
        <is>
          <t>LNH0925ND01</t>
        </is>
      </c>
      <c r="G368" s="90" t="n">
        <v>1000000</v>
      </c>
      <c r="H368" s="65" t="n"/>
      <c r="I368" s="65" t="n"/>
      <c r="J368" s="65" t="n"/>
      <c r="K368" s="65" t="n"/>
      <c r="L368" s="65" t="n"/>
      <c r="M368" s="65" t="n"/>
      <c r="N368" s="65" t="n"/>
      <c r="O368" s="65" t="n"/>
      <c r="P368" s="65" t="n"/>
      <c r="Q368" s="65" t="n"/>
      <c r="R368" s="65" t="n"/>
      <c r="S368" s="92">
        <f>G368-I368-R368-K368-M368-O368-Q368</f>
        <v/>
      </c>
      <c r="T368" s="92" t="inlineStr"/>
      <c r="U368" s="92" t="inlineStr"/>
      <c r="V368" s="69">
        <f>G368-SUM(I368,K368,M368,O368,Q368,U368)</f>
        <v/>
      </c>
      <c r="W368" s="65" t="n"/>
      <c r="X368" t="inlineStr">
        <is>
          <t>Khớp</t>
        </is>
      </c>
    </row>
    <row r="369">
      <c r="A369" s="65" t="n">
        <v>360</v>
      </c>
      <c r="B369" s="65" t="inlineStr">
        <is>
          <t>25801900115</t>
        </is>
      </c>
      <c r="C369" s="65" t="inlineStr">
        <is>
          <t>Lê Phú</t>
        </is>
      </c>
      <c r="D369" s="65" t="inlineStr">
        <is>
          <t>Phúc</t>
        </is>
      </c>
      <c r="E369" s="65" t="inlineStr">
        <is>
          <t>20/08/2005</t>
        </is>
      </c>
      <c r="F369" s="66" t="inlineStr">
        <is>
          <t>LNH0925ND01</t>
        </is>
      </c>
      <c r="G369" s="90" t="n">
        <v>8415000</v>
      </c>
      <c r="H369" s="65">
        <f>VLOOKUP(B369,'[1]TONG HOP'!B$5:G$624,6,0)</f>
        <v/>
      </c>
      <c r="I369" s="65" t="n">
        <v>2103750</v>
      </c>
      <c r="J369" s="65" t="n"/>
      <c r="K369" s="65" t="n"/>
      <c r="L369" s="65">
        <f>VLOOKUP(B369,'[2]DS THANG 11'!A$3:E$616,5,0)</f>
        <v/>
      </c>
      <c r="M369" s="65" t="n">
        <v>2103750</v>
      </c>
      <c r="N369" s="65" t="n"/>
      <c r="O369" s="65" t="n"/>
      <c r="P369" s="65">
        <f>VLOOKUP(B369,'[3]TONG HOP '!B$5:O$666,14,0)</f>
        <v/>
      </c>
      <c r="Q369" s="65" t="n">
        <v>2103750</v>
      </c>
      <c r="R369" s="65" t="n"/>
      <c r="S369" s="92">
        <f>G369-I369-R369-K369-M369-O369-Q369</f>
        <v/>
      </c>
      <c r="T369" s="92" t="inlineStr">
        <is>
          <t>LNH0526NQ11</t>
        </is>
      </c>
      <c r="U369" s="92" t="n">
        <v>2103750</v>
      </c>
      <c r="V369" s="69">
        <f>G369-SUM(I369,K369,M369,O369,Q369,U369)</f>
        <v/>
      </c>
      <c r="W369" s="65" t="n"/>
      <c r="X369" t="inlineStr">
        <is>
          <t>Khớp</t>
        </is>
      </c>
    </row>
    <row r="370">
      <c r="A370" s="65" t="n">
        <v>361</v>
      </c>
      <c r="B370" s="65" t="inlineStr">
        <is>
          <t>25802400055</t>
        </is>
      </c>
      <c r="C370" s="65" t="inlineStr">
        <is>
          <t>Võ Minh</t>
        </is>
      </c>
      <c r="D370" s="65" t="inlineStr">
        <is>
          <t>Quân</t>
        </is>
      </c>
      <c r="E370" s="65" t="inlineStr">
        <is>
          <t>13/09/2002</t>
        </is>
      </c>
      <c r="F370" s="66" t="inlineStr">
        <is>
          <t>LNH0925ND01</t>
        </is>
      </c>
      <c r="G370" s="90" t="n">
        <v>1000000</v>
      </c>
      <c r="H370" s="65" t="n"/>
      <c r="I370" s="65" t="n"/>
      <c r="J370" s="65" t="n"/>
      <c r="K370" s="65" t="n"/>
      <c r="L370" s="65" t="n"/>
      <c r="M370" s="65" t="n"/>
      <c r="N370" s="65" t="n"/>
      <c r="O370" s="65" t="n"/>
      <c r="P370" s="65" t="n"/>
      <c r="Q370" s="65" t="n"/>
      <c r="R370" s="65" t="n"/>
      <c r="S370" s="92">
        <f>G370-I370-R370-K370-M370-O370-Q370</f>
        <v/>
      </c>
      <c r="T370" s="92" t="inlineStr"/>
      <c r="U370" s="92" t="inlineStr"/>
      <c r="V370" s="69">
        <f>G370-SUM(I370,K370,M370,O370,Q370,U370)</f>
        <v/>
      </c>
      <c r="W370" s="65" t="n"/>
      <c r="X370" t="inlineStr">
        <is>
          <t>Khớp</t>
        </is>
      </c>
    </row>
    <row r="371">
      <c r="A371" s="65" t="n">
        <v>362</v>
      </c>
      <c r="B371" s="65" t="inlineStr">
        <is>
          <t>25801300024</t>
        </is>
      </c>
      <c r="C371" s="65" t="inlineStr">
        <is>
          <t>Lê Huỳnh Khánh</t>
        </is>
      </c>
      <c r="D371" s="65" t="inlineStr">
        <is>
          <t>Nguyên</t>
        </is>
      </c>
      <c r="E371" s="65" t="inlineStr">
        <is>
          <t>10/07/2007</t>
        </is>
      </c>
      <c r="F371" s="66" t="inlineStr">
        <is>
          <t>LNH0925ND01</t>
        </is>
      </c>
      <c r="G371" s="90" t="n">
        <v>8415000</v>
      </c>
      <c r="H371" s="65">
        <f>VLOOKUP(B371,'[1]TONG HOP'!B$5:G$624,6,0)</f>
        <v/>
      </c>
      <c r="I371" s="65" t="n">
        <v>2103750</v>
      </c>
      <c r="J371" s="65" t="n"/>
      <c r="K371" s="65" t="n"/>
      <c r="L371" s="65">
        <f>VLOOKUP(B371,'[2]DS THANG 11'!A$3:E$616,5,0)</f>
        <v/>
      </c>
      <c r="M371" s="65" t="n">
        <v>2103750</v>
      </c>
      <c r="N371" s="65" t="n"/>
      <c r="O371" s="65" t="n"/>
      <c r="P371" s="65">
        <f>VLOOKUP(B371,'[3]TONG HOP '!B$5:O$666,14,0)</f>
        <v/>
      </c>
      <c r="Q371" s="65" t="n">
        <v>2103750</v>
      </c>
      <c r="R371" s="65" t="n"/>
      <c r="S371" s="92">
        <f>G371-I371-R371-K371-M371-O371-Q371</f>
        <v/>
      </c>
      <c r="T371" s="92" t="inlineStr"/>
      <c r="U371" s="92" t="inlineStr"/>
      <c r="V371" s="69">
        <f>G371-SUM(I371,K371,M371,O371,Q371,U371)</f>
        <v/>
      </c>
      <c r="W371" s="65" t="n"/>
      <c r="X371" t="inlineStr">
        <is>
          <t>Khớp</t>
        </is>
      </c>
    </row>
    <row r="372">
      <c r="A372" s="65" t="n">
        <v>363</v>
      </c>
      <c r="B372" s="65" t="inlineStr">
        <is>
          <t>25808200117</t>
        </is>
      </c>
      <c r="C372" s="65" t="inlineStr">
        <is>
          <t>Nguyễn Thuận</t>
        </is>
      </c>
      <c r="D372" s="65" t="inlineStr">
        <is>
          <t>Thanh</t>
        </is>
      </c>
      <c r="E372" s="65" t="inlineStr">
        <is>
          <t>10/02/2007</t>
        </is>
      </c>
      <c r="F372" s="66" t="inlineStr">
        <is>
          <t>LNH0925ND01</t>
        </is>
      </c>
      <c r="G372" s="90" t="n">
        <v>8415000</v>
      </c>
      <c r="H372" s="65">
        <f>VLOOKUP(B372,'[1]TONG HOP'!B$5:G$624,6,0)</f>
        <v/>
      </c>
      <c r="I372" s="65" t="n">
        <v>2103750</v>
      </c>
      <c r="J372" s="65" t="n"/>
      <c r="K372" s="65" t="n"/>
      <c r="L372" s="65">
        <f>VLOOKUP(B372,'[2]DS THANG 11'!A$3:E$616,5,0)</f>
        <v/>
      </c>
      <c r="M372" s="65" t="n">
        <v>2103750</v>
      </c>
      <c r="N372" s="65" t="n"/>
      <c r="O372" s="65" t="n"/>
      <c r="P372" s="65">
        <f>VLOOKUP(B372,'[3]TONG HOP '!B$5:O$666,14,0)</f>
        <v/>
      </c>
      <c r="Q372" s="65" t="n">
        <v>2103750</v>
      </c>
      <c r="R372" s="65" t="n"/>
      <c r="S372" s="92">
        <f>G372-I372-R372-K372-M372-O372-Q372</f>
        <v/>
      </c>
      <c r="T372" s="92" t="inlineStr">
        <is>
          <t>LNH0526NQ18</t>
        </is>
      </c>
      <c r="U372" s="92" t="n">
        <v>2103750</v>
      </c>
      <c r="V372" s="69">
        <f>G372-SUM(I372,K372,M372,O372,Q372,U372)</f>
        <v/>
      </c>
      <c r="W372" s="65" t="n"/>
      <c r="X372" t="inlineStr">
        <is>
          <t>Khớp</t>
        </is>
      </c>
    </row>
    <row r="373">
      <c r="A373" s="65" t="n">
        <v>364</v>
      </c>
      <c r="B373" s="65" t="inlineStr">
        <is>
          <t>25806300031</t>
        </is>
      </c>
      <c r="C373" s="65" t="inlineStr">
        <is>
          <t>Nguyễn Minh</t>
        </is>
      </c>
      <c r="D373" s="65" t="inlineStr">
        <is>
          <t>Nhật</t>
        </is>
      </c>
      <c r="E373" s="65" t="inlineStr">
        <is>
          <t>31/07/2007</t>
        </is>
      </c>
      <c r="F373" s="66" t="inlineStr">
        <is>
          <t>LNH0925ND01</t>
        </is>
      </c>
      <c r="G373" s="90" t="n">
        <v>8450000</v>
      </c>
      <c r="H373" s="65">
        <f>VLOOKUP(B373,'[1]TONG HOP'!B$5:G$624,6,0)</f>
        <v/>
      </c>
      <c r="I373" s="65" t="n">
        <v>2103750</v>
      </c>
      <c r="J373" s="65" t="n"/>
      <c r="K373" s="65" t="n"/>
      <c r="L373" s="65">
        <f>VLOOKUP(B373,'[2]DS THANG 11'!A$3:E$616,5,0)</f>
        <v/>
      </c>
      <c r="M373" s="65" t="n">
        <v>2103750</v>
      </c>
      <c r="N373" s="65" t="n"/>
      <c r="O373" s="65" t="n"/>
      <c r="P373" s="65">
        <f>VLOOKUP(B373,'[3]TONG HOP '!B$5:O$666,14,0)</f>
        <v/>
      </c>
      <c r="Q373" s="65" t="n">
        <v>2103750</v>
      </c>
      <c r="R373" s="65" t="n"/>
      <c r="S373" s="92">
        <f>G373-I373-R373-K373-M373-O373-Q373</f>
        <v/>
      </c>
      <c r="T373" s="92" t="inlineStr">
        <is>
          <t>LNH0526NQ18</t>
        </is>
      </c>
      <c r="U373" s="92" t="n">
        <v>2103750</v>
      </c>
      <c r="V373" s="69">
        <f>G373-SUM(I373,K373,M373,O373,Q373,U373)</f>
        <v/>
      </c>
      <c r="W373" s="65" t="n"/>
      <c r="X373" t="inlineStr">
        <is>
          <t>Khớp</t>
        </is>
      </c>
    </row>
    <row r="374">
      <c r="A374" s="65" t="n">
        <v>365</v>
      </c>
      <c r="B374" s="65" t="inlineStr">
        <is>
          <t>25807000017</t>
        </is>
      </c>
      <c r="C374" s="65" t="inlineStr">
        <is>
          <t>Nguyễn Thanh</t>
        </is>
      </c>
      <c r="D374" s="65" t="inlineStr">
        <is>
          <t>Ngân</t>
        </is>
      </c>
      <c r="E374" s="65" t="inlineStr">
        <is>
          <t>31/10/2006</t>
        </is>
      </c>
      <c r="F374" s="66" t="inlineStr">
        <is>
          <t>LNH0925ND01</t>
        </is>
      </c>
      <c r="G374" s="90" t="n">
        <v>8415000</v>
      </c>
      <c r="H374" s="65">
        <f>VLOOKUP(B374,'[1]TONG HOP'!B$5:G$624,6,0)</f>
        <v/>
      </c>
      <c r="I374" s="65" t="n">
        <v>2103750</v>
      </c>
      <c r="J374" s="65" t="n"/>
      <c r="K374" s="65" t="n"/>
      <c r="L374" s="65">
        <f>VLOOKUP(B374,'[2]DS THANG 11'!A$3:E$616,5,0)</f>
        <v/>
      </c>
      <c r="M374" s="65" t="n">
        <v>2103750</v>
      </c>
      <c r="N374" s="65" t="n"/>
      <c r="O374" s="65" t="n"/>
      <c r="P374" s="65">
        <f>VLOOKUP(B374,'[3]TONG HOP '!B$5:O$666,14,0)</f>
        <v/>
      </c>
      <c r="Q374" s="65" t="n">
        <v>2103750</v>
      </c>
      <c r="R374" s="65" t="n"/>
      <c r="S374" s="92">
        <f>G374-I374-R374-K374-M374-O374-Q374</f>
        <v/>
      </c>
      <c r="T374" s="92" t="inlineStr"/>
      <c r="U374" s="92" t="inlineStr"/>
      <c r="V374" s="69">
        <f>G374-SUM(I374,K374,M374,O374,Q374,U374)</f>
        <v/>
      </c>
      <c r="W374" s="65" t="n"/>
      <c r="X374" t="inlineStr">
        <is>
          <t>Khớp</t>
        </is>
      </c>
    </row>
    <row r="375">
      <c r="A375" s="65" t="n">
        <v>366</v>
      </c>
      <c r="B375" s="65" t="inlineStr">
        <is>
          <t>25802800021</t>
        </is>
      </c>
      <c r="C375" s="65" t="inlineStr">
        <is>
          <t>Trần Ngọc</t>
        </is>
      </c>
      <c r="D375" s="65" t="inlineStr">
        <is>
          <t>Bích</t>
        </is>
      </c>
      <c r="E375" s="65" t="inlineStr">
        <is>
          <t>23/10/2006</t>
        </is>
      </c>
      <c r="F375" s="66" t="inlineStr">
        <is>
          <t>LNH0925ND01</t>
        </is>
      </c>
      <c r="G375" s="90" t="n">
        <v>5000000</v>
      </c>
      <c r="H375" s="65">
        <f>VLOOKUP(B375,'[1]TONG HOP'!B$5:G$624,6,0)</f>
        <v/>
      </c>
      <c r="I375" s="65" t="n">
        <v>2232500</v>
      </c>
      <c r="J375" s="65" t="n"/>
      <c r="K375" s="65" t="n"/>
      <c r="L375" s="65">
        <f>VLOOKUP(B375,'[2]DS THANG 11'!A$3:E$616,5,0)</f>
        <v/>
      </c>
      <c r="M375" s="65" t="n">
        <v>2232500</v>
      </c>
      <c r="N375" s="65" t="n"/>
      <c r="O375" s="65" t="n"/>
      <c r="P375" s="65" t="n"/>
      <c r="Q375" s="65" t="n"/>
      <c r="R375" s="65" t="n"/>
      <c r="S375" s="92">
        <f>G375-I375-R375-K375-M375-O375-Q375</f>
        <v/>
      </c>
      <c r="T375" s="92" t="inlineStr"/>
      <c r="U375" s="92" t="inlineStr"/>
      <c r="V375" s="69">
        <f>G375-SUM(I375,K375,M375,O375,Q375,U375)</f>
        <v/>
      </c>
      <c r="W375" s="65" t="n"/>
      <c r="X375" t="inlineStr">
        <is>
          <t>Khớp</t>
        </is>
      </c>
    </row>
    <row r="376">
      <c r="A376" s="65" t="n">
        <v>367</v>
      </c>
      <c r="B376" s="65" t="inlineStr">
        <is>
          <t>25802800167</t>
        </is>
      </c>
      <c r="C376" s="65" t="inlineStr">
        <is>
          <t>Nguyễn Trần Phương</t>
        </is>
      </c>
      <c r="D376" s="65" t="inlineStr">
        <is>
          <t>Ngọc</t>
        </is>
      </c>
      <c r="E376" s="65" t="inlineStr">
        <is>
          <t>20/06/2007</t>
        </is>
      </c>
      <c r="F376" s="66" t="inlineStr">
        <is>
          <t>LNH0925ND01</t>
        </is>
      </c>
      <c r="G376" s="90" t="n">
        <v>4940000</v>
      </c>
      <c r="H376" s="65" t="n"/>
      <c r="I376" s="65" t="n"/>
      <c r="J376" s="65" t="n"/>
      <c r="K376" s="65" t="n"/>
      <c r="L376" s="65" t="n"/>
      <c r="M376" s="65" t="n"/>
      <c r="N376" s="65" t="n"/>
      <c r="O376" s="65" t="n"/>
      <c r="P376" s="65">
        <f>VLOOKUP(B376,'[3]TONG HOP '!B$5:O$666,14,0)</f>
        <v/>
      </c>
      <c r="Q376" s="65" t="n">
        <v>2470000</v>
      </c>
      <c r="R376" s="65" t="n"/>
      <c r="S376" s="92">
        <f>G376-I376-R376-K376-M376-O376-Q376</f>
        <v/>
      </c>
      <c r="T376" s="92" t="inlineStr">
        <is>
          <t>LNH0526NQ03</t>
        </is>
      </c>
      <c r="U376" s="92" t="n">
        <v>2470000</v>
      </c>
      <c r="V376" s="69">
        <f>G376-SUM(I376,K376,M376,O376,Q376,U376)</f>
        <v/>
      </c>
      <c r="W376" s="65" t="n"/>
      <c r="X376" t="inlineStr">
        <is>
          <t>Khớp</t>
        </is>
      </c>
    </row>
    <row r="377">
      <c r="A377" s="65" t="n">
        <v>368</v>
      </c>
      <c r="B377" s="65" t="inlineStr">
        <is>
          <t>25802800280</t>
        </is>
      </c>
      <c r="C377" s="65" t="inlineStr">
        <is>
          <t>Trần Cao</t>
        </is>
      </c>
      <c r="D377" s="65" t="inlineStr">
        <is>
          <t>Trọng</t>
        </is>
      </c>
      <c r="E377" s="65" t="inlineStr">
        <is>
          <t>27/07/2007</t>
        </is>
      </c>
      <c r="F377" s="66" t="inlineStr">
        <is>
          <t>LNH0925ND01</t>
        </is>
      </c>
      <c r="G377" s="90" t="n">
        <v>1000000</v>
      </c>
      <c r="H377" s="65" t="n"/>
      <c r="I377" s="65" t="n"/>
      <c r="J377" s="65" t="n"/>
      <c r="K377" s="65" t="n"/>
      <c r="L377" s="65" t="n"/>
      <c r="M377" s="65" t="n"/>
      <c r="N377" s="65" t="n"/>
      <c r="O377" s="65" t="n"/>
      <c r="P377" s="65" t="n"/>
      <c r="Q377" s="65" t="n"/>
      <c r="R377" s="65" t="n"/>
      <c r="S377" s="92">
        <f>G377-I377-R377-K377-M377-O377-Q377</f>
        <v/>
      </c>
      <c r="T377" s="92" t="inlineStr"/>
      <c r="U377" s="92" t="inlineStr"/>
      <c r="V377" s="69">
        <f>G377-SUM(I377,K377,M377,O377,Q377,U377)</f>
        <v/>
      </c>
      <c r="W377" s="65" t="n"/>
      <c r="X377" t="inlineStr">
        <is>
          <t>Khớp</t>
        </is>
      </c>
    </row>
    <row r="378">
      <c r="A378" s="65" t="n">
        <v>369</v>
      </c>
      <c r="B378" s="70" t="inlineStr">
        <is>
          <t>25800500311</t>
        </is>
      </c>
      <c r="C378" s="65" t="inlineStr">
        <is>
          <t>Triệu Gia</t>
        </is>
      </c>
      <c r="D378" s="65" t="inlineStr">
        <is>
          <t>Khang</t>
        </is>
      </c>
      <c r="E378" s="65" t="inlineStr">
        <is>
          <t>22/02/2007</t>
        </is>
      </c>
      <c r="F378" s="66" t="inlineStr">
        <is>
          <t>LNH0925NL01</t>
        </is>
      </c>
      <c r="G378" s="90" t="n">
        <v>8415000</v>
      </c>
      <c r="H378" s="70">
        <f>VLOOKUP(B378,'[1]TONG HOP'!B$5:G$624,6,0)</f>
        <v/>
      </c>
      <c r="I378" s="65" t="n">
        <v>1530000</v>
      </c>
      <c r="J378" s="65" t="n"/>
      <c r="K378" s="65" t="n"/>
      <c r="L378" s="65" t="n"/>
      <c r="M378" s="65" t="n"/>
      <c r="N378" s="65" t="n"/>
      <c r="O378" s="65" t="n"/>
      <c r="P378" s="65">
        <f>VLOOKUP(B378,'[3]TONG HOP '!B$5:O$666,14,0)</f>
        <v/>
      </c>
      <c r="Q378" s="65" t="n">
        <v>2103750</v>
      </c>
      <c r="R378" s="65" t="n"/>
      <c r="S378" s="92">
        <f>G378-I378-R378-K378-M378-O378-Q378</f>
        <v/>
      </c>
      <c r="T378" s="92" t="inlineStr">
        <is>
          <t>LNH0526NQ19</t>
        </is>
      </c>
      <c r="U378" s="92" t="n">
        <v>2103750</v>
      </c>
      <c r="V378" s="69">
        <f>G378-SUM(I378,K378,M378,O378,Q378,U378)</f>
        <v/>
      </c>
      <c r="W378" s="65" t="n"/>
      <c r="X378" t="inlineStr">
        <is>
          <t>Khớp</t>
        </is>
      </c>
    </row>
    <row r="379">
      <c r="A379" s="65" t="n">
        <v>370</v>
      </c>
      <c r="B379" s="65" t="inlineStr">
        <is>
          <t>25808200104</t>
        </is>
      </c>
      <c r="C379" s="65" t="inlineStr">
        <is>
          <t>Tôn Thất Dương</t>
        </is>
      </c>
      <c r="D379" s="65" t="inlineStr">
        <is>
          <t>Quang</t>
        </is>
      </c>
      <c r="E379" s="65" t="inlineStr">
        <is>
          <t>21/02/2007</t>
        </is>
      </c>
      <c r="F379" s="66" t="inlineStr">
        <is>
          <t>LNH0925ND01</t>
        </is>
      </c>
      <c r="G379" s="90" t="n">
        <v>8415000</v>
      </c>
      <c r="H379" s="65">
        <f>VLOOKUP(B379,'[1]TONG HOP'!B$5:G$624,6,0)</f>
        <v/>
      </c>
      <c r="I379" s="65" t="n">
        <v>2103750</v>
      </c>
      <c r="J379" s="65" t="n"/>
      <c r="K379" s="65" t="n"/>
      <c r="L379" s="65">
        <f>VLOOKUP(B379,'[2]DS THANG 11'!A$3:E$616,5,0)</f>
        <v/>
      </c>
      <c r="M379" s="65" t="n">
        <v>2103750</v>
      </c>
      <c r="N379" s="65" t="n"/>
      <c r="O379" s="65" t="n"/>
      <c r="P379" s="65" t="n"/>
      <c r="Q379" s="65" t="n"/>
      <c r="R379" s="65" t="n"/>
      <c r="S379" s="92">
        <f>G379-I379-R379-K379-M379-O379-Q379</f>
        <v/>
      </c>
      <c r="T379" s="92" t="inlineStr"/>
      <c r="U379" s="92" t="inlineStr"/>
      <c r="V379" s="69">
        <f>G379-SUM(I379,K379,M379,O379,Q379,U379)</f>
        <v/>
      </c>
      <c r="W379" s="65" t="n"/>
      <c r="X379" t="inlineStr">
        <is>
          <t>Khớp</t>
        </is>
      </c>
    </row>
    <row r="380">
      <c r="A380" s="65" t="n">
        <v>371</v>
      </c>
      <c r="B380" s="65" t="inlineStr">
        <is>
          <t>25800500149</t>
        </is>
      </c>
      <c r="C380" s="65" t="inlineStr">
        <is>
          <t>Nguyễn Ngọc Đức</t>
        </is>
      </c>
      <c r="D380" s="65" t="inlineStr">
        <is>
          <t>Tài</t>
        </is>
      </c>
      <c r="E380" s="65" t="inlineStr">
        <is>
          <t>11/09/2007</t>
        </is>
      </c>
      <c r="F380" s="66" t="inlineStr">
        <is>
          <t>LNH0925ND01</t>
        </is>
      </c>
      <c r="G380" s="90" t="n">
        <v>8415000</v>
      </c>
      <c r="H380" s="65">
        <f>VLOOKUP(B380,'[1]TONG HOP'!B$5:G$624,6,0)</f>
        <v/>
      </c>
      <c r="I380" s="65" t="n">
        <v>2103750</v>
      </c>
      <c r="J380" s="65" t="n"/>
      <c r="K380" s="65" t="n"/>
      <c r="L380" s="65">
        <f>VLOOKUP(B380,'[2]DS THANG 11'!A$3:E$616,5,0)</f>
        <v/>
      </c>
      <c r="M380" s="65" t="n">
        <v>2103750</v>
      </c>
      <c r="N380" s="65" t="n"/>
      <c r="O380" s="65" t="n"/>
      <c r="P380" s="65">
        <f>VLOOKUP(B380,'[3]TONG HOP '!B$5:O$666,14,0)</f>
        <v/>
      </c>
      <c r="Q380" s="65" t="n">
        <v>2103750</v>
      </c>
      <c r="R380" s="65" t="n"/>
      <c r="S380" s="92">
        <f>G380-I380-R380-K380-M380-O380-Q380</f>
        <v/>
      </c>
      <c r="T380" s="92" t="inlineStr">
        <is>
          <t>LNH0526NQ19</t>
        </is>
      </c>
      <c r="U380" s="92" t="n">
        <v>2103750</v>
      </c>
      <c r="V380" s="69">
        <f>G380-SUM(I380,K380,M380,O380,Q380,U380)</f>
        <v/>
      </c>
      <c r="W380" s="65" t="n"/>
      <c r="X380" t="inlineStr">
        <is>
          <t>Khớp</t>
        </is>
      </c>
    </row>
    <row r="381">
      <c r="A381" s="65" t="n">
        <v>372</v>
      </c>
      <c r="B381" s="65" t="inlineStr">
        <is>
          <t>25802800410</t>
        </is>
      </c>
      <c r="C381" s="65" t="inlineStr">
        <is>
          <t>Đỗ Chí</t>
        </is>
      </c>
      <c r="D381" s="65" t="inlineStr">
        <is>
          <t>Công</t>
        </is>
      </c>
      <c r="E381" s="65" t="inlineStr">
        <is>
          <t>03/11/2007</t>
        </is>
      </c>
      <c r="F381" s="66" t="inlineStr">
        <is>
          <t>LNH0925ND01</t>
        </is>
      </c>
      <c r="G381" s="90" t="n">
        <v>1000000</v>
      </c>
      <c r="H381" s="65" t="n"/>
      <c r="I381" s="65" t="n"/>
      <c r="J381" s="65" t="n"/>
      <c r="K381" s="65" t="n"/>
      <c r="L381" s="65" t="n"/>
      <c r="M381" s="65" t="n"/>
      <c r="N381" s="65" t="n"/>
      <c r="O381" s="65" t="n"/>
      <c r="P381" s="65" t="n"/>
      <c r="Q381" s="65" t="n"/>
      <c r="R381" s="65" t="n"/>
      <c r="S381" s="92">
        <f>G381-I381-R381-K381-M381-O381-Q381</f>
        <v/>
      </c>
      <c r="T381" s="92" t="inlineStr"/>
      <c r="U381" s="92" t="inlineStr"/>
      <c r="V381" s="69">
        <f>G381-SUM(I381,K381,M381,O381,Q381,U381)</f>
        <v/>
      </c>
      <c r="W381" s="65" t="n"/>
      <c r="X381" t="inlineStr">
        <is>
          <t>Khớp</t>
        </is>
      </c>
    </row>
    <row r="382">
      <c r="A382" s="65" t="n">
        <v>373</v>
      </c>
      <c r="B382" s="65" t="inlineStr">
        <is>
          <t>25802800055</t>
        </is>
      </c>
      <c r="C382" s="65" t="inlineStr">
        <is>
          <t>Nguyễn Xuân Hoàng</t>
        </is>
      </c>
      <c r="D382" s="65" t="inlineStr">
        <is>
          <t>Hà</t>
        </is>
      </c>
      <c r="E382" s="65" t="inlineStr">
        <is>
          <t>04/06/2007</t>
        </is>
      </c>
      <c r="F382" s="66" t="inlineStr">
        <is>
          <t>LNH0925ND01</t>
        </is>
      </c>
      <c r="G382" s="90" t="n">
        <v>8415000</v>
      </c>
      <c r="H382" s="65">
        <f>VLOOKUP(B382,'[1]TONG HOP'!B$5:G$624,6,0)</f>
        <v/>
      </c>
      <c r="I382" s="65" t="n">
        <v>2103750</v>
      </c>
      <c r="J382" s="65" t="n"/>
      <c r="K382" s="65" t="n"/>
      <c r="L382" s="65">
        <f>VLOOKUP(B382,'[2]DS THANG 11'!A$3:E$616,5,0)</f>
        <v/>
      </c>
      <c r="M382" s="65" t="n">
        <v>2103750</v>
      </c>
      <c r="N382" s="65" t="n"/>
      <c r="O382" s="65" t="n"/>
      <c r="P382" s="65">
        <f>VLOOKUP(B382,'[3]TONG HOP '!B$5:O$666,14,0)</f>
        <v/>
      </c>
      <c r="Q382" s="65" t="n">
        <v>2103750</v>
      </c>
      <c r="R382" s="65" t="n"/>
      <c r="S382" s="92">
        <f>G382-I382-R382-K382-M382-O382-Q382</f>
        <v/>
      </c>
      <c r="T382" s="92" t="inlineStr">
        <is>
          <t>LNH0526NQ01</t>
        </is>
      </c>
      <c r="U382" s="92" t="n">
        <v>2103750</v>
      </c>
      <c r="V382" s="69">
        <f>G382-SUM(I382,K382,M382,O382,Q382,U382)</f>
        <v/>
      </c>
      <c r="W382" s="65" t="n"/>
      <c r="X382" t="inlineStr">
        <is>
          <t>Khớp</t>
        </is>
      </c>
    </row>
    <row r="383">
      <c r="A383" s="65" t="n">
        <v>374</v>
      </c>
      <c r="B383" s="65" t="inlineStr">
        <is>
          <t>25809600068</t>
        </is>
      </c>
      <c r="C383" s="65" t="inlineStr">
        <is>
          <t>Võ Việt</t>
        </is>
      </c>
      <c r="D383" s="65" t="inlineStr">
        <is>
          <t>Trí</t>
        </is>
      </c>
      <c r="E383" s="65" t="inlineStr">
        <is>
          <t>03/01/2007</t>
        </is>
      </c>
      <c r="F383" s="66" t="inlineStr">
        <is>
          <t>LNH0925ND01</t>
        </is>
      </c>
      <c r="G383" s="90" t="n">
        <v>8415000</v>
      </c>
      <c r="H383" s="65">
        <f>VLOOKUP(B383,'[1]TONG HOP'!B$5:G$624,6,0)</f>
        <v/>
      </c>
      <c r="I383" s="65" t="n">
        <v>2103750</v>
      </c>
      <c r="J383" s="65" t="n"/>
      <c r="K383" s="65" t="n"/>
      <c r="L383" s="65">
        <f>VLOOKUP(B383,'[2]DS THANG 11'!A$3:E$616,5,0)</f>
        <v/>
      </c>
      <c r="M383" s="65" t="n">
        <v>2103750</v>
      </c>
      <c r="N383" s="65" t="n"/>
      <c r="O383" s="65" t="n"/>
      <c r="P383" s="65">
        <f>VLOOKUP(B383,'[3]TONG HOP '!B$5:O$666,14,0)</f>
        <v/>
      </c>
      <c r="Q383" s="65" t="n">
        <v>2103750</v>
      </c>
      <c r="R383" s="65" t="n"/>
      <c r="S383" s="92">
        <f>G383-I383-R383-K383-M383-O383-Q383</f>
        <v/>
      </c>
      <c r="T383" s="92" t="inlineStr"/>
      <c r="U383" s="92" t="inlineStr"/>
      <c r="V383" s="69">
        <f>G383-SUM(I383,K383,M383,O383,Q383,U383)</f>
        <v/>
      </c>
      <c r="W383" s="65" t="n"/>
      <c r="X383" t="inlineStr">
        <is>
          <t>Khớp</t>
        </is>
      </c>
    </row>
    <row r="384">
      <c r="A384" s="65" t="n">
        <v>375</v>
      </c>
      <c r="B384" s="65" t="inlineStr">
        <is>
          <t>25802100071</t>
        </is>
      </c>
      <c r="C384" s="65" t="inlineStr">
        <is>
          <t>Nguyễn Vinh</t>
        </is>
      </c>
      <c r="D384" s="65" t="inlineStr">
        <is>
          <t>Quang</t>
        </is>
      </c>
      <c r="E384" s="65" t="inlineStr">
        <is>
          <t>30/11/2007</t>
        </is>
      </c>
      <c r="F384" s="66" t="inlineStr">
        <is>
          <t>LNH0925ND01</t>
        </is>
      </c>
      <c r="G384" s="90" t="n">
        <v>8415000</v>
      </c>
      <c r="H384" s="65">
        <f>VLOOKUP(B384,'[1]TONG HOP'!B$5:G$624,6,0)</f>
        <v/>
      </c>
      <c r="I384" s="65" t="n">
        <v>2103750</v>
      </c>
      <c r="J384" s="65" t="n"/>
      <c r="K384" s="65" t="n"/>
      <c r="L384" s="65">
        <f>VLOOKUP(B384,'[2]DS THANG 11'!A$3:E$616,5,0)</f>
        <v/>
      </c>
      <c r="M384" s="65" t="n">
        <v>2103750</v>
      </c>
      <c r="N384" s="65" t="n"/>
      <c r="O384" s="65" t="n"/>
      <c r="P384" s="65">
        <f>VLOOKUP(B384,'[3]TONG HOP '!B$5:O$666,14,0)</f>
        <v/>
      </c>
      <c r="Q384" s="65" t="n">
        <v>2103750</v>
      </c>
      <c r="R384" s="65" t="n"/>
      <c r="S384" s="92">
        <f>G384-I384-R384-K384-M384-O384-Q384</f>
        <v/>
      </c>
      <c r="T384" s="92" t="inlineStr">
        <is>
          <t>LNH0526NQ16</t>
        </is>
      </c>
      <c r="U384" s="92" t="n">
        <v>2103750</v>
      </c>
      <c r="V384" s="69">
        <f>G384-SUM(I384,K384,M384,O384,Q384,U384)</f>
        <v/>
      </c>
      <c r="W384" s="65" t="n"/>
      <c r="X384" t="inlineStr">
        <is>
          <t>Khớp</t>
        </is>
      </c>
    </row>
    <row r="385">
      <c r="A385" s="65" t="n">
        <v>376</v>
      </c>
      <c r="B385" s="65" t="inlineStr">
        <is>
          <t>25808300046</t>
        </is>
      </c>
      <c r="C385" s="65" t="inlineStr">
        <is>
          <t>Lâm Thanh</t>
        </is>
      </c>
      <c r="D385" s="65" t="inlineStr">
        <is>
          <t>Thúy</t>
        </is>
      </c>
      <c r="E385" s="65" t="inlineStr">
        <is>
          <t>25/10/2007</t>
        </is>
      </c>
      <c r="F385" s="66" t="inlineStr">
        <is>
          <t>LNH0925ND01</t>
        </is>
      </c>
      <c r="G385" s="90" t="n">
        <v>2100000</v>
      </c>
      <c r="H385" s="65">
        <f>VLOOKUP(B385,'[1]TONG HOP'!B$5:G$624,6,0)</f>
        <v/>
      </c>
      <c r="I385" s="65" t="n">
        <v>2100000</v>
      </c>
      <c r="J385" s="65" t="n"/>
      <c r="K385" s="65" t="n"/>
      <c r="L385" s="65" t="n"/>
      <c r="M385" s="65" t="n"/>
      <c r="N385" s="65" t="n"/>
      <c r="O385" s="65" t="n"/>
      <c r="P385" s="65" t="n"/>
      <c r="Q385" s="65" t="n"/>
      <c r="R385" s="65" t="n"/>
      <c r="S385" s="92">
        <f>G385-I385-R385-K385-M385-O385-Q385</f>
        <v/>
      </c>
      <c r="T385" s="92" t="inlineStr"/>
      <c r="U385" s="92" t="inlineStr"/>
      <c r="V385" s="69">
        <f>G385-SUM(I385,K385,M385,O385,Q385,U385)</f>
        <v/>
      </c>
      <c r="W385" s="65" t="n"/>
      <c r="X385" t="inlineStr">
        <is>
          <t>Khớp</t>
        </is>
      </c>
    </row>
    <row r="386">
      <c r="A386" s="65" t="n">
        <v>377</v>
      </c>
      <c r="B386" s="65" t="inlineStr">
        <is>
          <t>25807900026</t>
        </is>
      </c>
      <c r="C386" s="65" t="inlineStr">
        <is>
          <t>Phan Tấn Gia</t>
        </is>
      </c>
      <c r="D386" s="65" t="inlineStr">
        <is>
          <t>Khang</t>
        </is>
      </c>
      <c r="E386" s="65" t="inlineStr">
        <is>
          <t>30/12/2007</t>
        </is>
      </c>
      <c r="F386" s="66" t="inlineStr">
        <is>
          <t>LNH0925ND01</t>
        </is>
      </c>
      <c r="G386" s="90" t="n">
        <v>2100000</v>
      </c>
      <c r="H386" s="65">
        <f>VLOOKUP(B386,'[1]TONG HOP'!B$5:G$624,6,0)</f>
        <v/>
      </c>
      <c r="I386" s="65" t="n">
        <v>2100000</v>
      </c>
      <c r="J386" s="65" t="n"/>
      <c r="K386" s="65" t="n"/>
      <c r="L386" s="65" t="n"/>
      <c r="M386" s="65" t="n"/>
      <c r="N386" s="65" t="n"/>
      <c r="O386" s="65" t="n"/>
      <c r="P386" s="65" t="n"/>
      <c r="Q386" s="65" t="n"/>
      <c r="R386" s="65" t="n"/>
      <c r="S386" s="92">
        <f>G386-I386-R386-K386-M386-O386-Q386</f>
        <v/>
      </c>
      <c r="T386" s="92" t="inlineStr"/>
      <c r="U386" s="92" t="inlineStr"/>
      <c r="V386" s="69">
        <f>G386-SUM(I386,K386,M386,O386,Q386,U386)</f>
        <v/>
      </c>
      <c r="W386" s="65" t="n"/>
      <c r="X386" t="inlineStr">
        <is>
          <t>Khớp</t>
        </is>
      </c>
    </row>
    <row r="387">
      <c r="A387" s="65" t="n">
        <v>378</v>
      </c>
      <c r="B387" s="65" t="inlineStr">
        <is>
          <t>25803000333</t>
        </is>
      </c>
      <c r="C387" s="65" t="inlineStr">
        <is>
          <t>Đặng Ngọc Quỳnh</t>
        </is>
      </c>
      <c r="D387" s="65" t="inlineStr">
        <is>
          <t>Mai</t>
        </is>
      </c>
      <c r="E387" s="65" t="inlineStr">
        <is>
          <t>09/01/2007</t>
        </is>
      </c>
      <c r="F387" s="66" t="inlineStr">
        <is>
          <t>LNH0925ND01</t>
        </is>
      </c>
      <c r="G387" s="90" t="n">
        <v>2100000</v>
      </c>
      <c r="H387" s="65" t="n"/>
      <c r="I387" s="65" t="n"/>
      <c r="J387" s="65" t="n"/>
      <c r="K387" s="65" t="n"/>
      <c r="L387" s="65" t="inlineStr">
        <is>
          <t>LNH1125ND02</t>
        </is>
      </c>
      <c r="M387" s="65" t="n">
        <v>2100000</v>
      </c>
      <c r="N387" s="65" t="n"/>
      <c r="O387" s="65" t="n"/>
      <c r="P387" s="65" t="n"/>
      <c r="Q387" s="65" t="n"/>
      <c r="R387" s="65" t="n"/>
      <c r="S387" s="92">
        <f>G387-I387-R387-K387-M387-O387-Q387</f>
        <v/>
      </c>
      <c r="T387" s="92" t="inlineStr"/>
      <c r="U387" s="92" t="inlineStr"/>
      <c r="V387" s="69">
        <f>G387-SUM(I387,K387,M387,O387,Q387,U387)</f>
        <v/>
      </c>
      <c r="W387" s="65" t="n"/>
      <c r="X387" t="inlineStr">
        <is>
          <t>Khớp</t>
        </is>
      </c>
    </row>
    <row r="388">
      <c r="A388" s="65" t="n">
        <v>379</v>
      </c>
      <c r="B388" s="65" t="inlineStr">
        <is>
          <t>25807900062</t>
        </is>
      </c>
      <c r="C388" s="65" t="inlineStr">
        <is>
          <t>Phạm Văn</t>
        </is>
      </c>
      <c r="D388" s="65" t="inlineStr">
        <is>
          <t>Vượng</t>
        </is>
      </c>
      <c r="E388" s="65" t="inlineStr">
        <is>
          <t>10/01/2007</t>
        </is>
      </c>
      <c r="F388" s="66" t="inlineStr">
        <is>
          <t>LNH0925ND01</t>
        </is>
      </c>
      <c r="G388" s="90" t="n">
        <v>2100000</v>
      </c>
      <c r="H388" s="65">
        <f>VLOOKUP(B388,'[1]TONG HOP'!B$5:G$624,6,0)</f>
        <v/>
      </c>
      <c r="I388" s="65" t="n">
        <v>2100000</v>
      </c>
      <c r="J388" s="65" t="n"/>
      <c r="K388" s="65" t="n"/>
      <c r="L388" s="65" t="n"/>
      <c r="M388" s="65" t="n"/>
      <c r="N388" s="65" t="n"/>
      <c r="O388" s="65" t="n"/>
      <c r="P388" s="65" t="n"/>
      <c r="Q388" s="65" t="n"/>
      <c r="R388" s="65" t="n"/>
      <c r="S388" s="92">
        <f>G388-I388-R388-K388-M388-O388-Q388</f>
        <v/>
      </c>
      <c r="T388" s="92" t="inlineStr"/>
      <c r="U388" s="92" t="inlineStr"/>
      <c r="V388" s="69">
        <f>G388-SUM(I388,K388,M388,O388,Q388,U388)</f>
        <v/>
      </c>
      <c r="W388" s="65" t="n"/>
      <c r="X388" t="inlineStr">
        <is>
          <t>Khớp</t>
        </is>
      </c>
    </row>
    <row r="389">
      <c r="A389" s="65" t="n">
        <v>380</v>
      </c>
      <c r="B389" s="65" t="inlineStr">
        <is>
          <t>25820200036</t>
        </is>
      </c>
      <c r="C389" s="65" t="inlineStr">
        <is>
          <t>Võ Hoàng Anh</t>
        </is>
      </c>
      <c r="D389" s="65" t="inlineStr">
        <is>
          <t>Kiệt</t>
        </is>
      </c>
      <c r="E389" s="65" t="inlineStr">
        <is>
          <t>15/05/2007</t>
        </is>
      </c>
      <c r="F389" s="66" t="inlineStr">
        <is>
          <t>LNH0925ND01</t>
        </is>
      </c>
      <c r="G389" s="90" t="n">
        <v>2100000</v>
      </c>
      <c r="H389" s="65">
        <f>VLOOKUP(B389,'[1]TONG HOP'!B$5:G$624,6,0)</f>
        <v/>
      </c>
      <c r="I389" s="65" t="n">
        <v>2100000</v>
      </c>
      <c r="J389" s="65" t="n"/>
      <c r="K389" s="65" t="n"/>
      <c r="L389" s="65" t="n"/>
      <c r="M389" s="65" t="n"/>
      <c r="N389" s="65" t="n"/>
      <c r="O389" s="65" t="n"/>
      <c r="P389" s="65" t="n"/>
      <c r="Q389" s="65" t="n"/>
      <c r="R389" s="65" t="n"/>
      <c r="S389" s="92">
        <f>G389-I389-R389-K389-M389-O389-Q389</f>
        <v/>
      </c>
      <c r="T389" s="92" t="inlineStr">
        <is>
          <t>LNH0526NQ16</t>
        </is>
      </c>
      <c r="U389" s="92" t="n">
        <v>2600000</v>
      </c>
      <c r="V389" s="69">
        <f>G389-SUM(I389,K389,M389,O389,Q389,U389)</f>
        <v/>
      </c>
      <c r="W389" s="65" t="n"/>
      <c r="X389" t="inlineStr">
        <is>
          <t>Khớp</t>
        </is>
      </c>
    </row>
    <row r="390">
      <c r="A390" s="65" t="n">
        <v>381</v>
      </c>
      <c r="B390" s="65" t="inlineStr">
        <is>
          <t>25806800024</t>
        </is>
      </c>
      <c r="C390" s="65" t="inlineStr">
        <is>
          <t>Phan Thị Kim</t>
        </is>
      </c>
      <c r="D390" s="65" t="inlineStr">
        <is>
          <t>Hiền</t>
        </is>
      </c>
      <c r="E390" s="65" t="inlineStr">
        <is>
          <t>11/07/2007</t>
        </is>
      </c>
      <c r="F390" s="66" t="inlineStr">
        <is>
          <t>LNH0925ND01</t>
        </is>
      </c>
      <c r="G390" s="90" t="n">
        <v>2100000</v>
      </c>
      <c r="H390" s="65">
        <f>VLOOKUP(B390,'[1]TONG HOP'!B$5:G$624,6,0)</f>
        <v/>
      </c>
      <c r="I390" s="65" t="n">
        <v>2100000</v>
      </c>
      <c r="J390" s="65" t="n"/>
      <c r="K390" s="65" t="n"/>
      <c r="L390" s="65" t="n"/>
      <c r="M390" s="65" t="n"/>
      <c r="N390" s="65" t="n"/>
      <c r="O390" s="65" t="n"/>
      <c r="P390" s="65" t="n"/>
      <c r="Q390" s="65" t="n"/>
      <c r="R390" s="65" t="n"/>
      <c r="S390" s="92">
        <f>G390-I390-R390-K390-M390-O390-Q390</f>
        <v/>
      </c>
      <c r="T390" s="92" t="inlineStr"/>
      <c r="U390" s="92" t="inlineStr"/>
      <c r="V390" s="69">
        <f>G390-SUM(I390,K390,M390,O390,Q390,U390)</f>
        <v/>
      </c>
      <c r="W390" s="65" t="n"/>
      <c r="X390" t="inlineStr">
        <is>
          <t>Khớp</t>
        </is>
      </c>
    </row>
    <row r="391">
      <c r="A391" s="65" t="n">
        <v>382</v>
      </c>
      <c r="B391" s="65" t="inlineStr">
        <is>
          <t>25802700084</t>
        </is>
      </c>
      <c r="C391" s="65" t="inlineStr">
        <is>
          <t>Võ Phước</t>
        </is>
      </c>
      <c r="D391" s="65" t="inlineStr">
        <is>
          <t>Thịnh</t>
        </is>
      </c>
      <c r="E391" s="65" t="inlineStr">
        <is>
          <t>08/03/2007</t>
        </is>
      </c>
      <c r="F391" s="66" t="inlineStr">
        <is>
          <t>LNH0925ND01</t>
        </is>
      </c>
      <c r="G391" s="90" t="n">
        <v>2100000</v>
      </c>
      <c r="H391" s="65">
        <f>VLOOKUP(B391,'[1]TONG HOP'!B$5:G$624,6,0)</f>
        <v/>
      </c>
      <c r="I391" s="65" t="n">
        <v>2100000</v>
      </c>
      <c r="J391" s="65" t="n"/>
      <c r="K391" s="65" t="n"/>
      <c r="L391" s="65" t="n"/>
      <c r="M391" s="65" t="n"/>
      <c r="N391" s="65" t="n"/>
      <c r="O391" s="65" t="n"/>
      <c r="P391" s="65" t="n"/>
      <c r="Q391" s="65" t="n"/>
      <c r="R391" s="65" t="n"/>
      <c r="S391" s="92">
        <f>G391-I391-R391-K391-M391-O391-Q391</f>
        <v/>
      </c>
      <c r="T391" s="92" t="inlineStr"/>
      <c r="U391" s="92" t="inlineStr"/>
      <c r="V391" s="69">
        <f>G391-SUM(I391,K391,M391,O391,Q391,U391)</f>
        <v/>
      </c>
      <c r="W391" s="65" t="n"/>
      <c r="X391" t="inlineStr">
        <is>
          <t>Khớp</t>
        </is>
      </c>
    </row>
    <row r="392">
      <c r="A392" s="65" t="n">
        <v>383</v>
      </c>
      <c r="B392" s="65" t="inlineStr">
        <is>
          <t>25806000099</t>
        </is>
      </c>
      <c r="C392" s="65" t="inlineStr">
        <is>
          <t>Huỳnh Thị Nhã</t>
        </is>
      </c>
      <c r="D392" s="65" t="inlineStr">
        <is>
          <t>Phương</t>
        </is>
      </c>
      <c r="E392" s="65" t="inlineStr">
        <is>
          <t>21/01/2007</t>
        </is>
      </c>
      <c r="F392" s="66" t="inlineStr">
        <is>
          <t>LNH0925ND01</t>
        </is>
      </c>
      <c r="G392" s="90" t="n">
        <v>8415000</v>
      </c>
      <c r="H392" s="65" t="n"/>
      <c r="I392" s="65" t="n"/>
      <c r="J392" s="65">
        <f>VLOOKUP(B392,[5]Sheet1!A$3:E$32,5,0)</f>
        <v/>
      </c>
      <c r="K392" s="65" t="n">
        <v>2103750</v>
      </c>
      <c r="L392" s="65">
        <f>VLOOKUP(B392,'[2]DS THANG 11'!A$3:E$616,5,0)</f>
        <v/>
      </c>
      <c r="M392" s="65" t="n">
        <v>2103750</v>
      </c>
      <c r="N392" s="65" t="n"/>
      <c r="O392" s="65" t="n"/>
      <c r="P392" s="65">
        <f>VLOOKUP(B392,'[3]TONG HOP '!B$5:O$666,14,0)</f>
        <v/>
      </c>
      <c r="Q392" s="65" t="n">
        <v>2103750</v>
      </c>
      <c r="R392" s="65" t="n"/>
      <c r="S392" s="92">
        <f>G392-I392-R392-K392-M392-O392-Q392</f>
        <v/>
      </c>
      <c r="T392" s="92" t="inlineStr">
        <is>
          <t>LNH0526NQ05</t>
        </is>
      </c>
      <c r="U392" s="92" t="n">
        <v>2103750</v>
      </c>
      <c r="V392" s="69">
        <f>G392-SUM(I392,K392,M392,O392,Q392,U392)</f>
        <v/>
      </c>
      <c r="W392" s="65" t="n"/>
      <c r="X392" t="inlineStr">
        <is>
          <t>Khớp</t>
        </is>
      </c>
    </row>
    <row r="393">
      <c r="A393" s="65" t="n">
        <v>384</v>
      </c>
      <c r="B393" s="65" t="inlineStr">
        <is>
          <t>25800500136</t>
        </is>
      </c>
      <c r="C393" s="65" t="inlineStr">
        <is>
          <t>Nguyễn Anh</t>
        </is>
      </c>
      <c r="D393" s="65" t="inlineStr">
        <is>
          <t>Phong</t>
        </is>
      </c>
      <c r="E393" s="65" t="inlineStr">
        <is>
          <t>30/08/2007</t>
        </is>
      </c>
      <c r="F393" s="66" t="inlineStr">
        <is>
          <t>LNH0925ND01</t>
        </is>
      </c>
      <c r="G393" s="90" t="n">
        <v>8415000</v>
      </c>
      <c r="H393" s="65">
        <f>VLOOKUP(B393,'[1]TONG HOP'!B$5:G$624,6,0)</f>
        <v/>
      </c>
      <c r="I393" s="65" t="n">
        <v>2103750</v>
      </c>
      <c r="J393" s="65" t="n"/>
      <c r="K393" s="65" t="n"/>
      <c r="L393" s="65">
        <f>VLOOKUP(B393,'[2]DS THANG 11'!A$3:E$616,5,0)</f>
        <v/>
      </c>
      <c r="M393" s="65" t="n">
        <v>2103750</v>
      </c>
      <c r="N393" s="65" t="n"/>
      <c r="O393" s="65" t="n"/>
      <c r="P393" s="65">
        <f>VLOOKUP(B393,'[3]TONG HOP '!B$5:O$666,14,0)</f>
        <v/>
      </c>
      <c r="Q393" s="65" t="n">
        <v>2103750</v>
      </c>
      <c r="R393" s="65" t="n"/>
      <c r="S393" s="92">
        <f>G393-I393-R393-K393-M393-O393-Q393</f>
        <v/>
      </c>
      <c r="T393" s="92" t="inlineStr">
        <is>
          <t>LNH0526NQ17</t>
        </is>
      </c>
      <c r="U393" s="92" t="n">
        <v>2103750</v>
      </c>
      <c r="V393" s="69">
        <f>G393-SUM(I393,K393,M393,O393,Q393,U393)</f>
        <v/>
      </c>
      <c r="W393" s="65" t="n"/>
      <c r="X393" t="inlineStr">
        <is>
          <t>Khớp</t>
        </is>
      </c>
    </row>
    <row r="394">
      <c r="A394" s="65" t="n">
        <v>385</v>
      </c>
      <c r="B394" s="65" t="inlineStr">
        <is>
          <t>25801800015</t>
        </is>
      </c>
      <c r="C394" s="65" t="inlineStr">
        <is>
          <t>Đặng Nguyễn Gia</t>
        </is>
      </c>
      <c r="D394" s="65" t="inlineStr">
        <is>
          <t>Hân</t>
        </is>
      </c>
      <c r="E394" s="65" t="inlineStr">
        <is>
          <t>31/07/2007</t>
        </is>
      </c>
      <c r="F394" s="66" t="inlineStr">
        <is>
          <t>LNH0925ND01</t>
        </is>
      </c>
      <c r="G394" s="90" t="n">
        <v>4465000</v>
      </c>
      <c r="H394" s="65">
        <f>VLOOKUP(B394,'[1]TONG HOP'!B$5:G$624,6,0)</f>
        <v/>
      </c>
      <c r="I394" s="65" t="n">
        <v>2232500</v>
      </c>
      <c r="J394" s="65" t="n"/>
      <c r="K394" s="65" t="n"/>
      <c r="L394" s="65">
        <f>VLOOKUP(B394,'[2]DS THANG 11'!A$3:E$616,5,0)</f>
        <v/>
      </c>
      <c r="M394" s="65" t="n">
        <v>2232500</v>
      </c>
      <c r="N394" s="65" t="n"/>
      <c r="O394" s="65" t="n"/>
      <c r="P394" s="65" t="n"/>
      <c r="Q394" s="65" t="n"/>
      <c r="R394" s="65" t="n"/>
      <c r="S394" s="92">
        <f>G394-I394-R394-K394-M394-O394-Q394</f>
        <v/>
      </c>
      <c r="T394" s="92" t="inlineStr"/>
      <c r="U394" s="92" t="inlineStr"/>
      <c r="V394" s="69">
        <f>G394-SUM(I394,K394,M394,O394,Q394,U394)</f>
        <v/>
      </c>
      <c r="W394" s="65" t="n"/>
      <c r="X394" t="inlineStr">
        <is>
          <t>Khớp</t>
        </is>
      </c>
    </row>
    <row r="395">
      <c r="A395" s="65" t="n">
        <v>386</v>
      </c>
      <c r="B395" s="65" t="inlineStr">
        <is>
          <t>25800500253</t>
        </is>
      </c>
      <c r="C395" s="65" t="inlineStr">
        <is>
          <t>Hà Hữu</t>
        </is>
      </c>
      <c r="D395" s="65" t="inlineStr">
        <is>
          <t>Minh</t>
        </is>
      </c>
      <c r="E395" s="65" t="inlineStr">
        <is>
          <t>19/06/2007</t>
        </is>
      </c>
      <c r="F395" s="66" t="inlineStr">
        <is>
          <t>LNH0925ND01</t>
        </is>
      </c>
      <c r="G395" s="90" t="n">
        <v>4465000</v>
      </c>
      <c r="H395" s="65">
        <f>VLOOKUP(B395,'[1]TONG HOP'!B$5:G$624,6,0)</f>
        <v/>
      </c>
      <c r="I395" s="65" t="n">
        <v>2232500</v>
      </c>
      <c r="J395" s="65" t="n"/>
      <c r="K395" s="65" t="n"/>
      <c r="L395" s="65">
        <f>VLOOKUP(B395,'[2]DS THANG 11'!A$3:E$616,5,0)</f>
        <v/>
      </c>
      <c r="M395" s="65" t="n">
        <v>2232500</v>
      </c>
      <c r="N395" s="65" t="n"/>
      <c r="O395" s="65" t="n"/>
      <c r="P395" s="65" t="n"/>
      <c r="Q395" s="65" t="n"/>
      <c r="R395" s="65" t="n"/>
      <c r="S395" s="92">
        <f>G395-I395-R395-K395-M395-O395-Q395</f>
        <v/>
      </c>
      <c r="T395" s="92" t="inlineStr"/>
      <c r="U395" s="92" t="inlineStr"/>
      <c r="V395" s="69">
        <f>G395-SUM(I395,K395,M395,O395,Q395,U395)</f>
        <v/>
      </c>
      <c r="W395" s="65" t="n"/>
      <c r="X395" t="inlineStr">
        <is>
          <t>Khớp</t>
        </is>
      </c>
    </row>
    <row r="396">
      <c r="A396" s="65" t="n">
        <v>387</v>
      </c>
      <c r="B396" s="65" t="inlineStr">
        <is>
          <t>25820700044</t>
        </is>
      </c>
      <c r="C396" s="65" t="inlineStr">
        <is>
          <t>Nguyễn Ngọc Bảo</t>
        </is>
      </c>
      <c r="D396" s="65" t="inlineStr">
        <is>
          <t>Trâm</t>
        </is>
      </c>
      <c r="E396" s="65" t="inlineStr">
        <is>
          <t>31/03/2007</t>
        </is>
      </c>
      <c r="F396" s="66" t="inlineStr">
        <is>
          <t>LNH0925ND01</t>
        </is>
      </c>
      <c r="G396" s="90" t="n">
        <v>4465000</v>
      </c>
      <c r="H396" s="65" t="n"/>
      <c r="I396" s="65" t="n"/>
      <c r="J396" s="65" t="n"/>
      <c r="K396" s="65" t="n"/>
      <c r="L396" s="65">
        <f>VLOOKUP(B396,'[2]DS THANG 11'!A$3:E$616,5,0)</f>
        <v/>
      </c>
      <c r="M396" s="65" t="n">
        <v>2232500</v>
      </c>
      <c r="N396" s="65" t="n"/>
      <c r="O396" s="65" t="n"/>
      <c r="P396" s="65" t="n"/>
      <c r="Q396" s="65" t="n"/>
      <c r="R396" s="65" t="n"/>
      <c r="S396" s="92">
        <f>G396-I396-R396-K396-M396-O396-Q396</f>
        <v/>
      </c>
      <c r="T396" s="92" t="inlineStr"/>
      <c r="U396" s="92" t="inlineStr"/>
      <c r="V396" s="69">
        <f>G396-SUM(I396,K396,M396,O396,Q396,U396)</f>
        <v/>
      </c>
      <c r="W396" s="65" t="n"/>
      <c r="X396" t="inlineStr">
        <is>
          <t>Khớp</t>
        </is>
      </c>
    </row>
    <row r="397">
      <c r="A397" s="65" t="n">
        <v>388</v>
      </c>
      <c r="B397" s="65" t="inlineStr">
        <is>
          <t>25808500293</t>
        </is>
      </c>
      <c r="C397" s="65" t="inlineStr">
        <is>
          <t>Bui Anh</t>
        </is>
      </c>
      <c r="D397" s="65" t="inlineStr">
        <is>
          <t>Quân</t>
        </is>
      </c>
      <c r="E397" s="65" t="inlineStr">
        <is>
          <t xml:space="preserve">  -   -</t>
        </is>
      </c>
      <c r="F397" s="66" t="inlineStr">
        <is>
          <t>LNH0925ND01</t>
        </is>
      </c>
      <c r="G397" s="90" t="n">
        <v>4465000</v>
      </c>
      <c r="H397" s="65">
        <f>VLOOKUP(B397,'[1]TONG HOP'!B$519:G$519,6,0)</f>
        <v/>
      </c>
      <c r="I397" s="65" t="n">
        <v>2232500</v>
      </c>
      <c r="J397" s="65" t="n"/>
      <c r="K397" s="65" t="n"/>
      <c r="L397" s="65" t="inlineStr">
        <is>
          <t>LNH1125NE22</t>
        </is>
      </c>
      <c r="M397" s="65" t="n">
        <v>2232500</v>
      </c>
      <c r="N397" s="65" t="n"/>
      <c r="O397" s="65" t="n"/>
      <c r="P397" s="65" t="n"/>
      <c r="Q397" s="65" t="n"/>
      <c r="R397" s="65" t="n"/>
      <c r="S397" s="92">
        <f>G397-I397-R397-K397-M397-O397-Q397</f>
        <v/>
      </c>
      <c r="T397" s="92" t="inlineStr"/>
      <c r="U397" s="92" t="inlineStr"/>
      <c r="V397" s="69">
        <f>G397-SUM(I397,K397,M397,O397,Q397,U397)</f>
        <v/>
      </c>
      <c r="W397" s="65" t="n"/>
      <c r="X397" t="inlineStr">
        <is>
          <t>Khớp</t>
        </is>
      </c>
    </row>
    <row r="398">
      <c r="A398" s="65" t="n">
        <v>389</v>
      </c>
      <c r="B398" s="65" t="inlineStr">
        <is>
          <t>25803800008</t>
        </is>
      </c>
      <c r="C398" s="65" t="inlineStr">
        <is>
          <t>Trần Quốc</t>
        </is>
      </c>
      <c r="D398" s="65" t="inlineStr">
        <is>
          <t>Bảo</t>
        </is>
      </c>
      <c r="E398" s="65" t="inlineStr">
        <is>
          <t>10/12/2006</t>
        </is>
      </c>
      <c r="F398" s="66" t="inlineStr">
        <is>
          <t>LNH0925ND01</t>
        </is>
      </c>
      <c r="G398" s="90" t="n">
        <v>4465000</v>
      </c>
      <c r="H398" s="65" t="n"/>
      <c r="I398" s="65" t="n"/>
      <c r="J398" s="65" t="n"/>
      <c r="K398" s="65" t="n"/>
      <c r="L398" s="65">
        <f>VLOOKUP(B398,'[2]DS THANG 11'!A$3:E$616,5,0)</f>
        <v/>
      </c>
      <c r="M398" s="65" t="n">
        <v>2232500</v>
      </c>
      <c r="N398" s="65" t="n"/>
      <c r="O398" s="65" t="n"/>
      <c r="P398" s="65">
        <f>VLOOKUP(B398,'[3]TONG HOP '!B$5:O$666,14,0)</f>
        <v/>
      </c>
      <c r="Q398" s="65" t="n">
        <v>2232500</v>
      </c>
      <c r="R398" s="65" t="n"/>
      <c r="S398" s="92">
        <f>G398-I398-R398-K398-M398-O398-Q398</f>
        <v/>
      </c>
      <c r="T398" s="92" t="inlineStr">
        <is>
          <t>LNH0526NQ11</t>
        </is>
      </c>
      <c r="U398" s="92" t="n">
        <v>2600000</v>
      </c>
      <c r="V398" s="69">
        <f>G398-SUM(I398,K398,M398,O398,Q398,U398)</f>
        <v/>
      </c>
      <c r="W398" s="65" t="n"/>
      <c r="X398" t="inlineStr">
        <is>
          <t>Khớp</t>
        </is>
      </c>
    </row>
    <row r="399">
      <c r="A399" s="65" t="n">
        <v>390</v>
      </c>
      <c r="B399" s="65" t="inlineStr">
        <is>
          <t>25807900052</t>
        </is>
      </c>
      <c r="C399" s="65" t="inlineStr">
        <is>
          <t>Trần Minh</t>
        </is>
      </c>
      <c r="D399" s="65" t="inlineStr">
        <is>
          <t>Thiện</t>
        </is>
      </c>
      <c r="E399" s="65" t="inlineStr">
        <is>
          <t>09/05/2007</t>
        </is>
      </c>
      <c r="F399" s="66" t="inlineStr">
        <is>
          <t>LNH0925ND01</t>
        </is>
      </c>
      <c r="G399" s="90" t="n">
        <v>4465000</v>
      </c>
      <c r="H399" s="65">
        <f>VLOOKUP(B399,'[1]TONG HOP'!B$5:G$624,6,0)</f>
        <v/>
      </c>
      <c r="I399" s="65" t="n">
        <v>2232500</v>
      </c>
      <c r="J399" s="65" t="n"/>
      <c r="K399" s="65" t="n"/>
      <c r="L399" s="65">
        <f>VLOOKUP(B399,'[2]DS THANG 11'!A$3:E$616,5,0)</f>
        <v/>
      </c>
      <c r="M399" s="65" t="n">
        <v>2232500</v>
      </c>
      <c r="N399" s="65" t="n"/>
      <c r="O399" s="65" t="n"/>
      <c r="P399" s="65" t="n"/>
      <c r="Q399" s="65" t="n"/>
      <c r="R399" s="65" t="n"/>
      <c r="S399" s="92">
        <f>G399-I399-R399-K399-M399-O399-Q399</f>
        <v/>
      </c>
      <c r="T399" s="92" t="inlineStr">
        <is>
          <t>LNH0526NQ14</t>
        </is>
      </c>
      <c r="U399" s="92" t="n">
        <v>2470000</v>
      </c>
      <c r="V399" s="69">
        <f>G399-SUM(I399,K399,M399,O399,Q399,U399)</f>
        <v/>
      </c>
      <c r="W399" s="65" t="n"/>
      <c r="X399" t="inlineStr">
        <is>
          <t>Khớp</t>
        </is>
      </c>
    </row>
    <row r="400">
      <c r="A400" s="65" t="n">
        <v>391</v>
      </c>
      <c r="B400" s="65" t="inlineStr">
        <is>
          <t>25801400076</t>
        </is>
      </c>
      <c r="C400" s="65" t="inlineStr">
        <is>
          <t>Lâm Kiến</t>
        </is>
      </c>
      <c r="D400" s="65" t="inlineStr">
        <is>
          <t>Hào</t>
        </is>
      </c>
      <c r="E400" s="65" t="inlineStr">
        <is>
          <t>07/12/2007</t>
        </is>
      </c>
      <c r="F400" s="66" t="inlineStr">
        <is>
          <t>LNH0925ND01</t>
        </is>
      </c>
      <c r="G400" s="90" t="n">
        <v>4465000</v>
      </c>
      <c r="H400" s="65">
        <f>VLOOKUP(B400,'[1]TONG HOP'!B$5:G$624,6,0)</f>
        <v/>
      </c>
      <c r="I400" s="65" t="n">
        <v>2232500</v>
      </c>
      <c r="J400" s="65" t="n"/>
      <c r="K400" s="65" t="n"/>
      <c r="L400" s="65">
        <f>VLOOKUP(B400,'[2]DS THANG 11'!A$3:E$616,5,0)</f>
        <v/>
      </c>
      <c r="M400" s="65" t="n">
        <v>2232500</v>
      </c>
      <c r="N400" s="65" t="n"/>
      <c r="O400" s="65" t="n"/>
      <c r="P400" s="65" t="n"/>
      <c r="Q400" s="65" t="n"/>
      <c r="R400" s="65" t="n"/>
      <c r="S400" s="92">
        <f>G400-I400-R400-K400-M400-O400-Q400</f>
        <v/>
      </c>
      <c r="T400" s="92" t="inlineStr"/>
      <c r="U400" s="92" t="inlineStr"/>
      <c r="V400" s="69">
        <f>G400-SUM(I400,K400,M400,O400,Q400,U400)</f>
        <v/>
      </c>
      <c r="W400" s="65" t="n"/>
      <c r="X400" t="inlineStr">
        <is>
          <t>Khớp</t>
        </is>
      </c>
    </row>
    <row r="401">
      <c r="A401" s="65" t="n">
        <v>392</v>
      </c>
      <c r="B401" s="65" t="inlineStr">
        <is>
          <t>25802700181</t>
        </is>
      </c>
      <c r="C401" s="65" t="inlineStr">
        <is>
          <t>Nguyễn Khắc</t>
        </is>
      </c>
      <c r="D401" s="65" t="inlineStr">
        <is>
          <t>Úc</t>
        </is>
      </c>
      <c r="E401" s="65" t="inlineStr">
        <is>
          <t>25/12/2007</t>
        </is>
      </c>
      <c r="F401" s="66" t="inlineStr">
        <is>
          <t>LNH0925ND01</t>
        </is>
      </c>
      <c r="G401" s="90" t="n">
        <v>4465000</v>
      </c>
      <c r="H401" s="65">
        <f>VLOOKUP(B401,'[1]TONG HOP'!B$5:G$624,6,0)</f>
        <v/>
      </c>
      <c r="I401" s="65" t="n">
        <v>2232500</v>
      </c>
      <c r="J401" s="65" t="n"/>
      <c r="K401" s="65" t="n"/>
      <c r="L401" s="65">
        <f>VLOOKUP(B401,'[2]DS THANG 11'!A$3:E$616,5,0)</f>
        <v/>
      </c>
      <c r="M401" s="65" t="n">
        <v>2232500</v>
      </c>
      <c r="N401" s="65" t="n"/>
      <c r="O401" s="65" t="n"/>
      <c r="P401" s="65" t="n"/>
      <c r="Q401" s="65" t="n"/>
      <c r="R401" s="65" t="n"/>
      <c r="S401" s="92">
        <f>G401-I401-R401-K401-M401-O401-Q401</f>
        <v/>
      </c>
      <c r="T401" s="92" t="inlineStr"/>
      <c r="U401" s="92" t="inlineStr"/>
      <c r="V401" s="69">
        <f>G401-SUM(I401,K401,M401,O401,Q401,U401)</f>
        <v/>
      </c>
      <c r="W401" s="65" t="n"/>
      <c r="X401" t="inlineStr">
        <is>
          <t>Khớp</t>
        </is>
      </c>
    </row>
    <row r="402">
      <c r="A402" s="65" t="n">
        <v>393</v>
      </c>
      <c r="B402" s="65" t="inlineStr">
        <is>
          <t>25807000055</t>
        </is>
      </c>
      <c r="C402" s="65" t="inlineStr">
        <is>
          <t>Trần Minh</t>
        </is>
      </c>
      <c r="D402" s="65" t="inlineStr">
        <is>
          <t>Mẫn</t>
        </is>
      </c>
      <c r="E402" s="65" t="inlineStr">
        <is>
          <t>14/09/2007</t>
        </is>
      </c>
      <c r="F402" s="66" t="inlineStr">
        <is>
          <t>LNH0925ND01</t>
        </is>
      </c>
      <c r="G402" s="90" t="n">
        <v>4465000</v>
      </c>
      <c r="H402" s="65">
        <f>VLOOKUP(B402,'[1]TONG HOP'!B$5:G$624,6,0)</f>
        <v/>
      </c>
      <c r="I402" s="65" t="n">
        <v>2232500</v>
      </c>
      <c r="J402" s="65" t="n"/>
      <c r="K402" s="65" t="n"/>
      <c r="L402" s="65">
        <f>VLOOKUP(B402,'[2]DS THANG 11'!A$3:E$616,5,0)</f>
        <v/>
      </c>
      <c r="M402" s="65" t="n">
        <v>2232500</v>
      </c>
      <c r="N402" s="65" t="n"/>
      <c r="O402" s="65" t="n"/>
      <c r="P402" s="65" t="n"/>
      <c r="Q402" s="65" t="n"/>
      <c r="R402" s="65" t="n"/>
      <c r="S402" s="92">
        <f>G402-I402-R402-K402-M402-O402-Q402</f>
        <v/>
      </c>
      <c r="T402" s="92" t="inlineStr"/>
      <c r="U402" s="92" t="inlineStr"/>
      <c r="V402" s="69">
        <f>G402-SUM(I402,K402,M402,O402,Q402,U402)</f>
        <v/>
      </c>
      <c r="W402" s="65" t="n"/>
      <c r="X402" t="inlineStr">
        <is>
          <t>Khớp</t>
        </is>
      </c>
    </row>
    <row r="403">
      <c r="A403" s="65" t="n">
        <v>394</v>
      </c>
      <c r="B403" s="65" t="inlineStr">
        <is>
          <t>25808700053</t>
        </is>
      </c>
      <c r="C403" s="65" t="inlineStr">
        <is>
          <t>Đặng Công</t>
        </is>
      </c>
      <c r="D403" s="65" t="inlineStr">
        <is>
          <t>Minh</t>
        </is>
      </c>
      <c r="E403" s="65" t="inlineStr">
        <is>
          <t>25/09/2007</t>
        </is>
      </c>
      <c r="F403" s="66" t="inlineStr">
        <is>
          <t>LNH0925ND01</t>
        </is>
      </c>
      <c r="G403" s="90" t="n">
        <v>4465000</v>
      </c>
      <c r="H403" s="65">
        <f>VLOOKUP(B403,'[1]TONG HOP'!B$5:G$624,6,0)</f>
        <v/>
      </c>
      <c r="I403" s="65" t="n">
        <v>2232500</v>
      </c>
      <c r="J403" s="65" t="n"/>
      <c r="K403" s="65" t="n"/>
      <c r="L403" s="65" t="n"/>
      <c r="M403" s="65" t="n"/>
      <c r="N403" s="65" t="n"/>
      <c r="O403" s="65" t="n"/>
      <c r="P403" s="65">
        <f>VLOOKUP(B403,'[3]TONG HOP '!B$5:O$666,14,0)</f>
        <v/>
      </c>
      <c r="Q403" s="65" t="n">
        <v>2232500</v>
      </c>
      <c r="R403" s="65" t="n"/>
      <c r="S403" s="92">
        <f>G403-I403-R403-K403-M403-O403-Q403</f>
        <v/>
      </c>
      <c r="T403" s="92" t="inlineStr"/>
      <c r="U403" s="92" t="inlineStr"/>
      <c r="V403" s="69">
        <f>G403-SUM(I403,K403,M403,O403,Q403,U403)</f>
        <v/>
      </c>
      <c r="W403" s="65" t="n"/>
      <c r="X403" t="inlineStr">
        <is>
          <t>Khớp</t>
        </is>
      </c>
    </row>
    <row r="404">
      <c r="A404" s="65" t="n">
        <v>395</v>
      </c>
      <c r="B404" s="65" t="inlineStr">
        <is>
          <t>25808200036</t>
        </is>
      </c>
      <c r="C404" s="65" t="inlineStr">
        <is>
          <t>Nguyễn Hải</t>
        </is>
      </c>
      <c r="D404" s="65" t="inlineStr">
        <is>
          <t>Đăng</t>
        </is>
      </c>
      <c r="E404" s="65" t="inlineStr">
        <is>
          <t>12/07/2007</t>
        </is>
      </c>
      <c r="F404" s="66" t="inlineStr">
        <is>
          <t>LNH0925ND01</t>
        </is>
      </c>
      <c r="G404" s="90" t="n">
        <v>4465000</v>
      </c>
      <c r="H404" s="65">
        <f>VLOOKUP(B404,'[1]TONG HOP'!B$5:G$624,6,0)</f>
        <v/>
      </c>
      <c r="I404" s="65" t="n">
        <v>2232500</v>
      </c>
      <c r="J404" s="65" t="n"/>
      <c r="K404" s="65" t="n"/>
      <c r="L404" s="65">
        <f>VLOOKUP(B404,'[2]DS THANG 11'!A$3:E$616,5,0)</f>
        <v/>
      </c>
      <c r="M404" s="65" t="n">
        <v>2232500</v>
      </c>
      <c r="N404" s="65" t="n"/>
      <c r="O404" s="65" t="n"/>
      <c r="P404" s="65" t="n"/>
      <c r="Q404" s="65" t="n"/>
      <c r="R404" s="65" t="n"/>
      <c r="S404" s="92">
        <f>G404-I404-R404-K404-M404-O404-Q404</f>
        <v/>
      </c>
      <c r="T404" s="92" t="inlineStr"/>
      <c r="U404" s="92" t="inlineStr"/>
      <c r="V404" s="69">
        <f>G404-SUM(I404,K404,M404,O404,Q404,U404)</f>
        <v/>
      </c>
      <c r="W404" s="65" t="n"/>
      <c r="X404" t="inlineStr">
        <is>
          <t>Khớp</t>
        </is>
      </c>
    </row>
    <row r="405">
      <c r="A405" s="65" t="n">
        <v>396</v>
      </c>
      <c r="B405" s="65" t="inlineStr">
        <is>
          <t>25806300003</t>
        </is>
      </c>
      <c r="C405" s="65" t="inlineStr">
        <is>
          <t>Mai Khánh</t>
        </is>
      </c>
      <c r="D405" s="65" t="inlineStr">
        <is>
          <t>Duy</t>
        </is>
      </c>
      <c r="E405" s="65" t="inlineStr">
        <is>
          <t>18/11/2007</t>
        </is>
      </c>
      <c r="F405" s="66" t="inlineStr">
        <is>
          <t>LNH0925ND01</t>
        </is>
      </c>
      <c r="G405" s="90" t="n">
        <v>5000000</v>
      </c>
      <c r="H405" s="65">
        <f>VLOOKUP(B405,'[1]TONG HOP'!B$5:G$624,6,0)</f>
        <v/>
      </c>
      <c r="I405" s="65" t="n">
        <v>2232500</v>
      </c>
      <c r="J405" s="65" t="n"/>
      <c r="K405" s="65" t="n"/>
      <c r="L405" s="65">
        <f>VLOOKUP(B405,'[2]DS THANG 11'!A$3:E$616,5,0)</f>
        <v/>
      </c>
      <c r="M405" s="65" t="n">
        <v>2232500</v>
      </c>
      <c r="N405" s="65" t="n"/>
      <c r="O405" s="65" t="n"/>
      <c r="P405" s="65" t="n"/>
      <c r="Q405" s="65" t="n"/>
      <c r="R405" s="65" t="n">
        <v>535000</v>
      </c>
      <c r="S405" s="92">
        <f>G405-I405-R405-K405-M405-O405-Q405</f>
        <v/>
      </c>
      <c r="T405" s="92" t="inlineStr"/>
      <c r="U405" s="92" t="inlineStr"/>
      <c r="V405" s="69">
        <f>G405-SUM(I405,K405,M405,O405,Q405,U405)</f>
        <v/>
      </c>
      <c r="W405" s="65" t="inlineStr">
        <is>
          <t>Dư 535k - Chuyển EDU</t>
        </is>
      </c>
      <c r="X405" t="inlineStr">
        <is>
          <t>Khớp</t>
        </is>
      </c>
    </row>
    <row r="406">
      <c r="A406" s="65" t="n">
        <v>397</v>
      </c>
      <c r="B406" s="65" t="inlineStr">
        <is>
          <t>25802600022</t>
        </is>
      </c>
      <c r="C406" s="65" t="inlineStr">
        <is>
          <t>Huỳnh Quang</t>
        </is>
      </c>
      <c r="D406" s="65" t="inlineStr">
        <is>
          <t>Duy</t>
        </is>
      </c>
      <c r="E406" s="65" t="inlineStr">
        <is>
          <t>08/09/2007</t>
        </is>
      </c>
      <c r="F406" s="66" t="inlineStr">
        <is>
          <t>LNH0925ND01</t>
        </is>
      </c>
      <c r="G406" s="90" t="n">
        <v>4465000</v>
      </c>
      <c r="H406" s="65">
        <f>VLOOKUP(B406,'[1]TONG HOP'!B$5:G$624,6,0)</f>
        <v/>
      </c>
      <c r="I406" s="65" t="n">
        <v>2232500</v>
      </c>
      <c r="J406" s="65" t="n"/>
      <c r="K406" s="65" t="n"/>
      <c r="L406" s="65">
        <f>VLOOKUP(B406,'[2]DS THANG 11'!A$3:E$616,5,0)</f>
        <v/>
      </c>
      <c r="M406" s="65" t="n">
        <v>2232500</v>
      </c>
      <c r="N406" s="65" t="n"/>
      <c r="O406" s="65" t="n"/>
      <c r="P406" s="65" t="n"/>
      <c r="Q406" s="65" t="n"/>
      <c r="R406" s="65" t="n"/>
      <c r="S406" s="92">
        <f>G406-I406-R406-K406-M406-O406-Q406</f>
        <v/>
      </c>
      <c r="T406" s="92" t="inlineStr"/>
      <c r="U406" s="92" t="inlineStr"/>
      <c r="V406" s="69">
        <f>G406-SUM(I406,K406,M406,O406,Q406,U406)</f>
        <v/>
      </c>
      <c r="W406" s="65" t="n"/>
      <c r="X406" t="inlineStr">
        <is>
          <t>Khớp</t>
        </is>
      </c>
    </row>
    <row r="407">
      <c r="A407" s="65" t="n">
        <v>398</v>
      </c>
      <c r="B407" s="65" t="inlineStr">
        <is>
          <t>25802800025</t>
        </is>
      </c>
      <c r="C407" s="65" t="inlineStr">
        <is>
          <t>Trần Vũ Bảo</t>
        </is>
      </c>
      <c r="D407" s="65" t="inlineStr">
        <is>
          <t>Châu</t>
        </is>
      </c>
      <c r="E407" s="65" t="inlineStr">
        <is>
          <t>26/10/2007</t>
        </is>
      </c>
      <c r="F407" s="66" t="inlineStr">
        <is>
          <t>LNH0925ND01</t>
        </is>
      </c>
      <c r="G407" s="90" t="n">
        <v>4465000</v>
      </c>
      <c r="H407" s="65">
        <f>VLOOKUP(B407,'[1]TONG HOP'!B$5:G$624,6,0)</f>
        <v/>
      </c>
      <c r="I407" s="65" t="n">
        <v>2232500</v>
      </c>
      <c r="J407" s="65" t="n"/>
      <c r="K407" s="65" t="n"/>
      <c r="L407" s="65">
        <f>VLOOKUP(B407,'[2]DS THANG 11'!A$3:E$616,5,0)</f>
        <v/>
      </c>
      <c r="M407" s="65" t="n">
        <v>2232500</v>
      </c>
      <c r="N407" s="65" t="n"/>
      <c r="O407" s="65" t="n"/>
      <c r="P407" s="65" t="n"/>
      <c r="Q407" s="65" t="n"/>
      <c r="R407" s="65" t="n"/>
      <c r="S407" s="92">
        <f>G407-I407-R407-K407-M407-O407-Q407</f>
        <v/>
      </c>
      <c r="T407" s="92" t="inlineStr">
        <is>
          <t>LNH0526NQ03</t>
        </is>
      </c>
      <c r="U407" s="92" t="n">
        <v>2470000</v>
      </c>
      <c r="V407" s="69">
        <f>G407-SUM(I407,K407,M407,O407,Q407,U407)</f>
        <v/>
      </c>
      <c r="W407" s="65" t="n"/>
      <c r="X407" t="inlineStr">
        <is>
          <t>Khớp</t>
        </is>
      </c>
    </row>
    <row r="408">
      <c r="A408" s="65" t="n">
        <v>399</v>
      </c>
      <c r="B408" s="65" t="inlineStr">
        <is>
          <t>25807700083</t>
        </is>
      </c>
      <c r="C408" s="65" t="inlineStr">
        <is>
          <t>Bùi Xuân</t>
        </is>
      </c>
      <c r="D408" s="65" t="inlineStr">
        <is>
          <t>Vĩnh</t>
        </is>
      </c>
      <c r="E408" s="65" t="inlineStr">
        <is>
          <t>25/11/2007</t>
        </is>
      </c>
      <c r="F408" s="66" t="inlineStr">
        <is>
          <t>LNH0925ND01</t>
        </is>
      </c>
      <c r="G408" s="90" t="n">
        <v>4465000</v>
      </c>
      <c r="H408" s="65">
        <f>VLOOKUP(B408,'[1]TONG HOP'!B$5:G$624,6,0)</f>
        <v/>
      </c>
      <c r="I408" s="65" t="n">
        <v>2232500</v>
      </c>
      <c r="J408" s="65" t="n"/>
      <c r="K408" s="65" t="n"/>
      <c r="L408" s="65">
        <f>VLOOKUP(B408,'[2]DS THANG 11'!A$3:E$616,5,0)</f>
        <v/>
      </c>
      <c r="M408" s="65" t="n">
        <v>2232500</v>
      </c>
      <c r="N408" s="65" t="n"/>
      <c r="O408" s="65" t="n"/>
      <c r="P408" s="65" t="n"/>
      <c r="Q408" s="65" t="n"/>
      <c r="R408" s="65" t="n"/>
      <c r="S408" s="92">
        <f>G408-I408-R408-K408-M408-O408-Q408</f>
        <v/>
      </c>
      <c r="T408" s="92" t="inlineStr"/>
      <c r="U408" s="92" t="inlineStr"/>
      <c r="V408" s="69">
        <f>G408-SUM(I408,K408,M408,O408,Q408,U408)</f>
        <v/>
      </c>
      <c r="W408" s="65" t="n"/>
      <c r="X408" t="inlineStr">
        <is>
          <t>Khớp</t>
        </is>
      </c>
    </row>
    <row r="409">
      <c r="A409" s="65" t="n">
        <v>400</v>
      </c>
      <c r="B409" s="65" t="inlineStr">
        <is>
          <t>25808300043</t>
        </is>
      </c>
      <c r="C409" s="65" t="inlineStr">
        <is>
          <t>Y</t>
        </is>
      </c>
      <c r="D409" s="65" t="inlineStr">
        <is>
          <t>Thê</t>
        </is>
      </c>
      <c r="E409" s="65" t="inlineStr">
        <is>
          <t>10/06/1993</t>
        </is>
      </c>
      <c r="F409" s="66" t="inlineStr">
        <is>
          <t>LNH0925ND01</t>
        </is>
      </c>
      <c r="G409" s="90" t="n">
        <v>4465000</v>
      </c>
      <c r="H409" s="65" t="n"/>
      <c r="I409" s="65" t="n"/>
      <c r="J409" s="65" t="n"/>
      <c r="K409" s="65" t="n"/>
      <c r="L409" s="65">
        <f>VLOOKUP(B409,'[2]DS THANG 11'!A$3:E$616,5,0)</f>
        <v/>
      </c>
      <c r="M409" s="65" t="n">
        <v>2232500</v>
      </c>
      <c r="N409" s="65" t="n"/>
      <c r="O409" s="65" t="n"/>
      <c r="P409" s="65">
        <f>VLOOKUP(B409,'[3]TONG HOP '!B$5:O$666,14,0)</f>
        <v/>
      </c>
      <c r="Q409" s="65" t="n">
        <v>2232500</v>
      </c>
      <c r="R409" s="65" t="n"/>
      <c r="S409" s="92">
        <f>G409-I409-R409-K409-M409-O409-Q409</f>
        <v/>
      </c>
      <c r="T409" s="92" t="inlineStr"/>
      <c r="U409" s="92" t="inlineStr"/>
      <c r="V409" s="69">
        <f>G409-SUM(I409,K409,M409,O409,Q409,U409)</f>
        <v/>
      </c>
      <c r="W409" s="65" t="n"/>
      <c r="X409" t="inlineStr">
        <is>
          <t>Khớp</t>
        </is>
      </c>
    </row>
    <row r="410">
      <c r="A410" s="65" t="n">
        <v>401</v>
      </c>
      <c r="B410" s="65" t="inlineStr">
        <is>
          <t>25801900315</t>
        </is>
      </c>
      <c r="C410" s="65" t="inlineStr">
        <is>
          <t>Bùi Đức</t>
        </is>
      </c>
      <c r="D410" s="65" t="inlineStr">
        <is>
          <t>Dũng</t>
        </is>
      </c>
      <c r="E410" s="65" t="inlineStr">
        <is>
          <t>27/09/2007</t>
        </is>
      </c>
      <c r="F410" s="66" t="inlineStr">
        <is>
          <t>LNH0925ND01</t>
        </is>
      </c>
      <c r="G410" s="90" t="n">
        <v>4465000</v>
      </c>
      <c r="H410" s="65" t="n"/>
      <c r="I410" s="65" t="n"/>
      <c r="J410" s="65" t="n"/>
      <c r="K410" s="65" t="n"/>
      <c r="L410" s="65" t="n"/>
      <c r="M410" s="65" t="n"/>
      <c r="N410" s="65" t="n"/>
      <c r="O410" s="65" t="n"/>
      <c r="P410" s="65" t="n"/>
      <c r="Q410" s="65" t="n"/>
      <c r="R410" s="65" t="n"/>
      <c r="S410" s="92">
        <f>G410-I410-R410-K410-M410-O410-Q410</f>
        <v/>
      </c>
      <c r="T410" s="92" t="inlineStr"/>
      <c r="U410" s="92" t="inlineStr"/>
      <c r="V410" s="69">
        <f>G410-SUM(I410,K410,M410,O410,Q410,U410)</f>
        <v/>
      </c>
      <c r="W410" s="65" t="n"/>
      <c r="X410" t="inlineStr">
        <is>
          <t>Khớp</t>
        </is>
      </c>
    </row>
    <row r="411">
      <c r="A411" s="65" t="n">
        <v>402</v>
      </c>
      <c r="B411" s="65" t="inlineStr">
        <is>
          <t>25802700050</t>
        </is>
      </c>
      <c r="C411" s="65" t="inlineStr">
        <is>
          <t>Vũ Nguyễn Hoàng</t>
        </is>
      </c>
      <c r="D411" s="65" t="inlineStr">
        <is>
          <t>Minh</t>
        </is>
      </c>
      <c r="E411" s="65" t="inlineStr">
        <is>
          <t>24/04/2007</t>
        </is>
      </c>
      <c r="F411" s="66" t="inlineStr">
        <is>
          <t>LNH0925ND01</t>
        </is>
      </c>
      <c r="G411" s="90" t="n">
        <v>4940000</v>
      </c>
      <c r="H411" s="65" t="n"/>
      <c r="I411" s="65" t="n"/>
      <c r="J411" s="65" t="n"/>
      <c r="K411" s="65" t="n"/>
      <c r="L411" s="65" t="n"/>
      <c r="M411" s="65" t="n"/>
      <c r="N411" s="65" t="n"/>
      <c r="O411" s="65" t="n"/>
      <c r="P411" s="65">
        <f>VLOOKUP(B411,'[3]TONG HOP '!B$5:O$666,14,0)</f>
        <v/>
      </c>
      <c r="Q411" s="65" t="n">
        <v>2470000</v>
      </c>
      <c r="R411" s="65" t="n"/>
      <c r="S411" s="92">
        <f>G411-I411-R411-K411-M411-O411-Q411</f>
        <v/>
      </c>
      <c r="T411" s="92" t="inlineStr"/>
      <c r="U411" s="92" t="inlineStr"/>
      <c r="V411" s="69">
        <f>G411-SUM(I411,K411,M411,O411,Q411,U411)</f>
        <v/>
      </c>
      <c r="W411" s="65" t="n"/>
      <c r="X411" t="inlineStr">
        <is>
          <t>Khớp</t>
        </is>
      </c>
    </row>
    <row r="412">
      <c r="A412" s="65" t="n">
        <v>403</v>
      </c>
      <c r="B412" s="65" t="inlineStr">
        <is>
          <t>25808200027</t>
        </is>
      </c>
      <c r="C412" s="65" t="inlineStr">
        <is>
          <t>Hà Hải</t>
        </is>
      </c>
      <c r="D412" s="65" t="inlineStr">
        <is>
          <t>Dương</t>
        </is>
      </c>
      <c r="E412" s="65" t="inlineStr">
        <is>
          <t>24/11/2007</t>
        </is>
      </c>
      <c r="F412" s="66" t="inlineStr">
        <is>
          <t>LNH0925ND01</t>
        </is>
      </c>
      <c r="G412" s="90" t="n">
        <v>8415000</v>
      </c>
      <c r="H412" s="65">
        <f>VLOOKUP(B412,'[1]TONG HOP'!B$5:G$624,6,0)</f>
        <v/>
      </c>
      <c r="I412" s="65" t="n">
        <v>2103750</v>
      </c>
      <c r="J412" s="65" t="n"/>
      <c r="K412" s="65" t="n"/>
      <c r="L412" s="65">
        <f>VLOOKUP(B412,'[2]DS THANG 11'!A$3:E$616,5,0)</f>
        <v/>
      </c>
      <c r="M412" s="65" t="n">
        <v>2103750</v>
      </c>
      <c r="N412" s="65" t="n"/>
      <c r="O412" s="65" t="n"/>
      <c r="P412" s="65">
        <f>VLOOKUP(B412,'[3]TONG HOP '!B$5:O$666,14,0)</f>
        <v/>
      </c>
      <c r="Q412" s="65" t="n">
        <v>2103750</v>
      </c>
      <c r="R412" s="65" t="n"/>
      <c r="S412" s="92">
        <f>G412-I412-R412-K412-M412-O412-Q412</f>
        <v/>
      </c>
      <c r="T412" s="92" t="inlineStr"/>
      <c r="U412" s="92" t="inlineStr"/>
      <c r="V412" s="69">
        <f>G412-SUM(I412,K412,M412,O412,Q412,U412)</f>
        <v/>
      </c>
      <c r="W412" s="65" t="n"/>
      <c r="X412" t="inlineStr">
        <is>
          <t>Khớp</t>
        </is>
      </c>
    </row>
    <row r="413">
      <c r="A413" s="65" t="n">
        <v>404</v>
      </c>
      <c r="B413" s="65" t="inlineStr">
        <is>
          <t>25802600042</t>
        </is>
      </c>
      <c r="C413" s="65" t="inlineStr">
        <is>
          <t>Châu Ngọc</t>
        </is>
      </c>
      <c r="D413" s="65" t="inlineStr">
        <is>
          <t>Hân</t>
        </is>
      </c>
      <c r="E413" s="65" t="inlineStr">
        <is>
          <t>01/08/2007</t>
        </is>
      </c>
      <c r="F413" s="66" t="inlineStr">
        <is>
          <t>LNH0925ND01</t>
        </is>
      </c>
      <c r="G413" s="90" t="n">
        <v>8415000</v>
      </c>
      <c r="H413" s="65">
        <f>VLOOKUP(B413,'[1]TONG HOP'!B$5:G$624,6,0)</f>
        <v/>
      </c>
      <c r="I413" s="65" t="n">
        <v>2103750</v>
      </c>
      <c r="J413" s="65" t="n"/>
      <c r="K413" s="65" t="n"/>
      <c r="L413" s="65">
        <f>VLOOKUP(B413,'[2]DS THANG 11'!A$3:E$616,5,0)</f>
        <v/>
      </c>
      <c r="M413" s="65" t="n">
        <v>2103750</v>
      </c>
      <c r="N413" s="65" t="n"/>
      <c r="O413" s="65" t="n"/>
      <c r="P413" s="65">
        <f>VLOOKUP(B413,'[3]TONG HOP '!B$5:O$666,14,0)</f>
        <v/>
      </c>
      <c r="Q413" s="65" t="n">
        <v>2103750</v>
      </c>
      <c r="R413" s="65" t="n"/>
      <c r="S413" s="92">
        <f>G413-I413-R413-K413-M413-O413-Q413</f>
        <v/>
      </c>
      <c r="T413" s="92" t="inlineStr">
        <is>
          <t>LNH0526NQ10</t>
        </is>
      </c>
      <c r="U413" s="92" t="n">
        <v>2103750</v>
      </c>
      <c r="V413" s="69">
        <f>G413-SUM(I413,K413,M413,O413,Q413,U413)</f>
        <v/>
      </c>
      <c r="W413" s="65" t="n"/>
      <c r="X413" t="inlineStr">
        <is>
          <t>Khớp</t>
        </is>
      </c>
    </row>
    <row r="414">
      <c r="A414" s="65" t="n">
        <v>405</v>
      </c>
      <c r="B414" s="65" t="inlineStr">
        <is>
          <t>25807900080</t>
        </is>
      </c>
      <c r="C414" s="65" t="inlineStr">
        <is>
          <t>Hoàng Gia Anh</t>
        </is>
      </c>
      <c r="D414" s="65" t="inlineStr">
        <is>
          <t>Kiệt</t>
        </is>
      </c>
      <c r="E414" s="65" t="inlineStr">
        <is>
          <t>13/12/2007</t>
        </is>
      </c>
      <c r="F414" s="66" t="inlineStr">
        <is>
          <t>LNH0925ND01</t>
        </is>
      </c>
      <c r="G414" s="90" t="n">
        <v>7540000</v>
      </c>
      <c r="H414" s="65" t="n"/>
      <c r="I414" s="65" t="n"/>
      <c r="J414" s="65" t="n"/>
      <c r="K414" s="65" t="n"/>
      <c r="L414" s="65">
        <f>VLOOKUP(B414,'[2]DS THANG 11'!A$3:E$616,5,0)</f>
        <v/>
      </c>
      <c r="M414" s="65" t="n">
        <v>2600000</v>
      </c>
      <c r="N414" s="65" t="n"/>
      <c r="O414" s="65" t="n"/>
      <c r="P414" s="65">
        <f>VLOOKUP(B414,'[3]TONG HOP '!B$5:O$666,14,0)</f>
        <v/>
      </c>
      <c r="Q414" s="65" t="n">
        <v>2470000</v>
      </c>
      <c r="R414" s="65" t="n"/>
      <c r="S414" s="92">
        <f>G414-I414-R414-K414-M414-O414-Q414</f>
        <v/>
      </c>
      <c r="T414" s="92" t="inlineStr"/>
      <c r="U414" s="92" t="inlineStr"/>
      <c r="V414" s="69">
        <f>G414-SUM(I414,K414,M414,O414,Q414,U414)</f>
        <v/>
      </c>
      <c r="W414" s="65" t="n"/>
      <c r="X414" t="inlineStr">
        <is>
          <t>Khớp</t>
        </is>
      </c>
    </row>
    <row r="415">
      <c r="A415" s="65" t="n">
        <v>406</v>
      </c>
      <c r="B415" s="65" t="inlineStr">
        <is>
          <t>25801300042</t>
        </is>
      </c>
      <c r="C415" s="65" t="inlineStr">
        <is>
          <t>Đỗ Quốc</t>
        </is>
      </c>
      <c r="D415" s="65" t="inlineStr">
        <is>
          <t>Trung</t>
        </is>
      </c>
      <c r="E415" s="65" t="inlineStr">
        <is>
          <t>27/05/2007</t>
        </is>
      </c>
      <c r="F415" s="66" t="inlineStr">
        <is>
          <t>LNH0925ND01</t>
        </is>
      </c>
      <c r="G415" s="90" t="n">
        <v>8415000</v>
      </c>
      <c r="H415" s="65">
        <f>VLOOKUP(B415,'[1]TONG HOP'!B$5:G$624,6,0)</f>
        <v/>
      </c>
      <c r="I415" s="65" t="n">
        <v>2103750</v>
      </c>
      <c r="J415" s="65" t="n"/>
      <c r="K415" s="65" t="n"/>
      <c r="L415" s="65">
        <f>VLOOKUP(B415,'[2]DS THANG 11'!A$3:E$616,5,0)</f>
        <v/>
      </c>
      <c r="M415" s="65" t="n">
        <v>2103750</v>
      </c>
      <c r="N415" s="65" t="n"/>
      <c r="O415" s="65" t="n"/>
      <c r="P415" s="65" t="n"/>
      <c r="Q415" s="65" t="n"/>
      <c r="R415" s="65" t="n"/>
      <c r="S415" s="92">
        <f>G415-I415-R415-K415-M415-O415-Q415</f>
        <v/>
      </c>
      <c r="T415" s="92" t="inlineStr"/>
      <c r="U415" s="92" t="inlineStr"/>
      <c r="V415" s="69">
        <f>G415-SUM(I415,K415,M415,O415,Q415,U415)</f>
        <v/>
      </c>
      <c r="W415" s="65" t="n"/>
      <c r="X415" t="inlineStr">
        <is>
          <t>Khớp</t>
        </is>
      </c>
    </row>
    <row r="416">
      <c r="A416" s="65" t="n">
        <v>407</v>
      </c>
      <c r="B416" s="65" t="inlineStr">
        <is>
          <t>25806800033</t>
        </is>
      </c>
      <c r="C416" s="65" t="inlineStr">
        <is>
          <t>Bùi Trúc</t>
        </is>
      </c>
      <c r="D416" s="65" t="inlineStr">
        <is>
          <t>Linh</t>
        </is>
      </c>
      <c r="E416" s="65" t="inlineStr">
        <is>
          <t>08/11/2006</t>
        </is>
      </c>
      <c r="F416" s="66" t="inlineStr">
        <is>
          <t>LNH0925ND01</t>
        </is>
      </c>
      <c r="G416" s="90" t="n">
        <v>8415000</v>
      </c>
      <c r="H416" s="65">
        <f>VLOOKUP(B416,'[1]TONG HOP'!B$5:G$624,6,0)</f>
        <v/>
      </c>
      <c r="I416" s="65" t="n">
        <v>2103750</v>
      </c>
      <c r="J416" s="65" t="n"/>
      <c r="K416" s="65" t="n"/>
      <c r="L416" s="65">
        <f>VLOOKUP(B416,'[2]DS THANG 11'!A$3:E$616,5,0)</f>
        <v/>
      </c>
      <c r="M416" s="65" t="n">
        <v>2103750</v>
      </c>
      <c r="N416" s="65" t="n"/>
      <c r="O416" s="65" t="n"/>
      <c r="P416" s="65">
        <f>VLOOKUP(B416,'[3]TONG HOP '!B$5:O$666,14,0)</f>
        <v/>
      </c>
      <c r="Q416" s="65" t="n">
        <v>2103750</v>
      </c>
      <c r="R416" s="65" t="n"/>
      <c r="S416" s="92">
        <f>G416-I416-R416-K416-M416-O416-Q416</f>
        <v/>
      </c>
      <c r="T416" s="92" t="inlineStr"/>
      <c r="U416" s="92" t="inlineStr"/>
      <c r="V416" s="69">
        <f>G416-SUM(I416,K416,M416,O416,Q416,U416)</f>
        <v/>
      </c>
      <c r="W416" s="65" t="n"/>
      <c r="X416" t="inlineStr">
        <is>
          <t>Khớp</t>
        </is>
      </c>
    </row>
    <row r="417">
      <c r="A417" s="65" t="n">
        <v>408</v>
      </c>
      <c r="B417" s="65" t="inlineStr">
        <is>
          <t>25808100017</t>
        </is>
      </c>
      <c r="C417" s="65" t="inlineStr">
        <is>
          <t>Nguyễn Quang</t>
        </is>
      </c>
      <c r="D417" s="65" t="inlineStr">
        <is>
          <t>Huy</t>
        </is>
      </c>
      <c r="E417" s="65" t="inlineStr">
        <is>
          <t>26/01/2007</t>
        </is>
      </c>
      <c r="F417" s="66" t="inlineStr">
        <is>
          <t>LNH0925ND01</t>
        </is>
      </c>
      <c r="G417" s="90" t="n">
        <v>8415000</v>
      </c>
      <c r="H417" s="65">
        <f>VLOOKUP(B417,'[1]TONG HOP'!B$5:G$624,6,0)</f>
        <v/>
      </c>
      <c r="I417" s="65" t="n">
        <v>2103750</v>
      </c>
      <c r="J417" s="65" t="n"/>
      <c r="K417" s="65" t="n"/>
      <c r="L417" s="65">
        <f>VLOOKUP(B417,'[2]DS THANG 11'!A$3:E$616,5,0)</f>
        <v/>
      </c>
      <c r="M417" s="65" t="n">
        <v>2103750</v>
      </c>
      <c r="N417" s="65" t="n"/>
      <c r="O417" s="65" t="n"/>
      <c r="P417" s="65">
        <f>VLOOKUP(B417,'[3]TONG HOP '!B$5:O$666,14,0)</f>
        <v/>
      </c>
      <c r="Q417" s="65" t="n">
        <v>2103750</v>
      </c>
      <c r="R417" s="65" t="n"/>
      <c r="S417" s="92">
        <f>G417-I417-R417-K417-M417-O417-Q417</f>
        <v/>
      </c>
      <c r="T417" s="92" t="inlineStr">
        <is>
          <t>LNH0526NQ05</t>
        </is>
      </c>
      <c r="U417" s="92" t="n">
        <v>2103750</v>
      </c>
      <c r="V417" s="69">
        <f>G417-SUM(I417,K417,M417,O417,Q417,U417)</f>
        <v/>
      </c>
      <c r="W417" s="65" t="n"/>
      <c r="X417" t="inlineStr">
        <is>
          <t>Khớp</t>
        </is>
      </c>
    </row>
    <row r="418">
      <c r="A418" s="65" t="n">
        <v>409</v>
      </c>
      <c r="B418" s="65" t="inlineStr">
        <is>
          <t>25820700010</t>
        </is>
      </c>
      <c r="C418" s="65" t="inlineStr">
        <is>
          <t>Nguyễn Dương Hiền</t>
        </is>
      </c>
      <c r="D418" s="65" t="inlineStr">
        <is>
          <t>Hòa</t>
        </is>
      </c>
      <c r="E418" s="65" t="inlineStr">
        <is>
          <t>24/01/2007</t>
        </is>
      </c>
      <c r="F418" s="66" t="inlineStr">
        <is>
          <t>LNH0925ND01</t>
        </is>
      </c>
      <c r="G418" s="90" t="n">
        <v>8415000</v>
      </c>
      <c r="H418" s="65">
        <f>VLOOKUP(B418,'[1]TONG HOP'!B$5:G$624,6,0)</f>
        <v/>
      </c>
      <c r="I418" s="65" t="n">
        <v>2103750</v>
      </c>
      <c r="J418" s="65" t="n"/>
      <c r="K418" s="65" t="n"/>
      <c r="L418" s="65">
        <f>VLOOKUP(B418,'[2]DS THANG 11'!A$3:E$616,5,0)</f>
        <v/>
      </c>
      <c r="M418" s="65" t="n">
        <v>2103750</v>
      </c>
      <c r="N418" s="65" t="n"/>
      <c r="O418" s="65" t="n"/>
      <c r="P418" s="65">
        <f>VLOOKUP(B418,'[3]TONG HOP '!B$5:O$666,14,0)</f>
        <v/>
      </c>
      <c r="Q418" s="65" t="n">
        <v>2103750</v>
      </c>
      <c r="R418" s="65" t="n"/>
      <c r="S418" s="92">
        <f>G418-I418-R418-K418-M418-O418-Q418</f>
        <v/>
      </c>
      <c r="T418" s="92" t="inlineStr">
        <is>
          <t>LNH0526NQ20</t>
        </is>
      </c>
      <c r="U418" s="92" t="n">
        <v>2103750</v>
      </c>
      <c r="V418" s="69">
        <f>G418-SUM(I418,K418,M418,O418,Q418,U418)</f>
        <v/>
      </c>
      <c r="W418" s="65" t="n"/>
      <c r="X418" t="inlineStr">
        <is>
          <t>Khớp</t>
        </is>
      </c>
    </row>
    <row r="419">
      <c r="A419" s="65" t="n">
        <v>410</v>
      </c>
      <c r="B419" s="65" t="inlineStr">
        <is>
          <t>25820200110</t>
        </is>
      </c>
      <c r="C419" s="65" t="inlineStr">
        <is>
          <t>Nguyễn Bá</t>
        </is>
      </c>
      <c r="D419" s="65" t="inlineStr">
        <is>
          <t>An</t>
        </is>
      </c>
      <c r="E419" s="65" t="inlineStr">
        <is>
          <t>16/11/2007</t>
        </is>
      </c>
      <c r="F419" s="66" t="inlineStr">
        <is>
          <t>LNH0925ND01</t>
        </is>
      </c>
      <c r="G419" s="90" t="n">
        <v>8415000</v>
      </c>
      <c r="H419" s="65">
        <f>VLOOKUP(B419,'[1]TONG HOP'!B$5:G$624,6,0)</f>
        <v/>
      </c>
      <c r="I419" s="65" t="n">
        <v>2103750</v>
      </c>
      <c r="J419" s="65" t="n"/>
      <c r="K419" s="65" t="n"/>
      <c r="L419" s="65">
        <f>VLOOKUP(B419,'[2]DS THANG 11'!A$3:E$616,5,0)</f>
        <v/>
      </c>
      <c r="M419" s="65" t="n">
        <v>2103750</v>
      </c>
      <c r="N419" s="65" t="n"/>
      <c r="O419" s="65" t="n"/>
      <c r="P419" s="65">
        <f>VLOOKUP(B419,'[3]TONG HOP '!B$5:O$666,14,0)</f>
        <v/>
      </c>
      <c r="Q419" s="65" t="n">
        <v>2103750</v>
      </c>
      <c r="R419" s="65" t="n"/>
      <c r="S419" s="92">
        <f>G419-I419-R419-K419-M419-O419-Q419</f>
        <v/>
      </c>
      <c r="T419" s="92" t="inlineStr"/>
      <c r="U419" s="92" t="n">
        <v>2103750</v>
      </c>
      <c r="V419" s="69">
        <f>G419-SUM(I419,K419,M419,O419,Q419,U419)</f>
        <v/>
      </c>
      <c r="W419" s="65" t="n"/>
      <c r="X419" t="inlineStr">
        <is>
          <t>Khớp</t>
        </is>
      </c>
    </row>
    <row r="420">
      <c r="A420" s="65" t="n">
        <v>411</v>
      </c>
      <c r="B420" s="65" t="inlineStr">
        <is>
          <t>25800500049</t>
        </is>
      </c>
      <c r="C420" s="65" t="inlineStr">
        <is>
          <t>Lê Trung</t>
        </is>
      </c>
      <c r="D420" s="65" t="inlineStr">
        <is>
          <t>Hiếu</t>
        </is>
      </c>
      <c r="E420" s="65" t="inlineStr">
        <is>
          <t>16/03/2007</t>
        </is>
      </c>
      <c r="F420" s="66" t="inlineStr">
        <is>
          <t>LNH0925ND01</t>
        </is>
      </c>
      <c r="G420" s="90" t="n">
        <v>8415000</v>
      </c>
      <c r="H420" s="65">
        <f>VLOOKUP(B420,'[1]TONG HOP'!B$5:G$624,6,0)</f>
        <v/>
      </c>
      <c r="I420" s="65" t="n">
        <v>2103750</v>
      </c>
      <c r="J420" s="65" t="n"/>
      <c r="K420" s="65" t="n"/>
      <c r="L420" s="65">
        <f>VLOOKUP(B420,'[2]DS THANG 11'!A$3:E$616,5,0)</f>
        <v/>
      </c>
      <c r="M420" s="65" t="n">
        <v>2103750</v>
      </c>
      <c r="N420" s="65" t="n"/>
      <c r="O420" s="65" t="n"/>
      <c r="P420" s="65">
        <f>VLOOKUP(B420,'[3]TONG HOP '!B$5:O$666,14,0)</f>
        <v/>
      </c>
      <c r="Q420" s="65" t="n">
        <v>2103750</v>
      </c>
      <c r="R420" s="65" t="n"/>
      <c r="S420" s="92">
        <f>G420-I420-R420-K420-M420-O420-Q420</f>
        <v/>
      </c>
      <c r="T420" s="92" t="inlineStr">
        <is>
          <t>LNH0526NQ20</t>
        </is>
      </c>
      <c r="U420" s="92" t="n">
        <v>2103750</v>
      </c>
      <c r="V420" s="69">
        <f>G420-SUM(I420,K420,M420,O420,Q420,U420)</f>
        <v/>
      </c>
      <c r="W420" s="65" t="n"/>
      <c r="X420" t="inlineStr">
        <is>
          <t>Khớp</t>
        </is>
      </c>
    </row>
    <row r="421">
      <c r="A421" s="65" t="n">
        <v>412</v>
      </c>
      <c r="B421" s="65" t="inlineStr">
        <is>
          <t>25820300038</t>
        </is>
      </c>
      <c r="C421" s="65" t="inlineStr">
        <is>
          <t>Trần Duy</t>
        </is>
      </c>
      <c r="D421" s="65" t="inlineStr">
        <is>
          <t>Nguyên</t>
        </is>
      </c>
      <c r="E421" s="65" t="inlineStr">
        <is>
          <t>15/06/2007</t>
        </is>
      </c>
      <c r="F421" s="66" t="inlineStr">
        <is>
          <t>LNH0925ND01</t>
        </is>
      </c>
      <c r="G421" s="90" t="n">
        <v>8415000</v>
      </c>
      <c r="H421" s="65">
        <f>VLOOKUP(B421,'[1]TONG HOP'!B$5:G$624,6,0)</f>
        <v/>
      </c>
      <c r="I421" s="65" t="n">
        <v>2103750</v>
      </c>
      <c r="J421" s="65" t="n"/>
      <c r="K421" s="65" t="n"/>
      <c r="L421" s="65">
        <f>VLOOKUP(B421,'[2]DS THANG 11'!A$3:E$616,5,0)</f>
        <v/>
      </c>
      <c r="M421" s="65" t="n">
        <v>2103750</v>
      </c>
      <c r="N421" s="65" t="n"/>
      <c r="O421" s="65" t="n"/>
      <c r="P421" s="65">
        <f>VLOOKUP(B421,'[3]TONG HOP '!B$5:O$666,14,0)</f>
        <v/>
      </c>
      <c r="Q421" s="65" t="n">
        <v>2103750</v>
      </c>
      <c r="R421" s="65" t="n"/>
      <c r="S421" s="92">
        <f>G421-I421-R421-K421-M421-O421-Q421</f>
        <v/>
      </c>
      <c r="T421" s="92" t="inlineStr"/>
      <c r="U421" s="92" t="inlineStr"/>
      <c r="V421" s="69">
        <f>G421-SUM(I421,K421,M421,O421,Q421,U421)</f>
        <v/>
      </c>
      <c r="W421" s="65" t="n"/>
      <c r="X421" t="inlineStr">
        <is>
          <t>Khớp</t>
        </is>
      </c>
    </row>
    <row r="422">
      <c r="A422" s="65" t="n">
        <v>413</v>
      </c>
      <c r="B422" s="65" t="inlineStr">
        <is>
          <t>25807500144</t>
        </is>
      </c>
      <c r="C422" s="65" t="inlineStr">
        <is>
          <t>Phạm Minh</t>
        </is>
      </c>
      <c r="D422" s="65" t="inlineStr">
        <is>
          <t>Trí</t>
        </is>
      </c>
      <c r="E422" s="65" t="inlineStr">
        <is>
          <t>06/06/2007</t>
        </is>
      </c>
      <c r="F422" s="66" t="inlineStr">
        <is>
          <t>LNH0925ND01</t>
        </is>
      </c>
      <c r="G422" s="90" t="n">
        <v>8415000</v>
      </c>
      <c r="H422" s="65">
        <f>VLOOKUP(B422,'[1]TONG HOP'!B$5:G$624,6,0)</f>
        <v/>
      </c>
      <c r="I422" s="65" t="n">
        <v>2103750</v>
      </c>
      <c r="J422" s="65" t="n"/>
      <c r="K422" s="65" t="n"/>
      <c r="L422" s="65">
        <f>VLOOKUP(B422,'[2]DS THANG 11'!A$3:E$616,5,0)</f>
        <v/>
      </c>
      <c r="M422" s="65" t="n">
        <v>2103750</v>
      </c>
      <c r="N422" s="65" t="n"/>
      <c r="O422" s="65" t="n"/>
      <c r="P422" s="65" t="n"/>
      <c r="Q422" s="65" t="n"/>
      <c r="R422" s="65" t="n"/>
      <c r="S422" s="92">
        <f>G422-I422-R422-K422-M422-O422-Q422</f>
        <v/>
      </c>
      <c r="T422" s="92" t="inlineStr"/>
      <c r="U422" s="92" t="inlineStr"/>
      <c r="V422" s="69">
        <f>G422-SUM(I422,K422,M422,O422,Q422,U422)</f>
        <v/>
      </c>
      <c r="W422" s="65" t="n"/>
      <c r="X422" t="inlineStr">
        <is>
          <t>Khớp</t>
        </is>
      </c>
    </row>
    <row r="423">
      <c r="A423" s="65" t="n">
        <v>414</v>
      </c>
      <c r="B423" s="65" t="inlineStr">
        <is>
          <t>25806800022</t>
        </is>
      </c>
      <c r="C423" s="65" t="inlineStr">
        <is>
          <t>Nguyễn Thị Ngọc</t>
        </is>
      </c>
      <c r="D423" s="65" t="inlineStr">
        <is>
          <t>Hân</t>
        </is>
      </c>
      <c r="E423" s="65" t="inlineStr">
        <is>
          <t>26/05/2007</t>
        </is>
      </c>
      <c r="F423" s="66" t="inlineStr">
        <is>
          <t>LNH0925ND01</t>
        </is>
      </c>
      <c r="G423" s="90" t="n">
        <v>8415000</v>
      </c>
      <c r="H423" s="65">
        <f>VLOOKUP(B423,'[1]TONG HOP'!B$5:G$624,6,0)</f>
        <v/>
      </c>
      <c r="I423" s="65" t="n">
        <v>2103750</v>
      </c>
      <c r="J423" s="65" t="n"/>
      <c r="K423" s="65" t="n"/>
      <c r="L423" s="65">
        <f>VLOOKUP(B423,'[2]DS THANG 11'!A$3:E$616,5,0)</f>
        <v/>
      </c>
      <c r="M423" s="65" t="n">
        <v>2103750</v>
      </c>
      <c r="N423" s="65" t="n"/>
      <c r="O423" s="65" t="n"/>
      <c r="P423" s="65">
        <f>VLOOKUP(B423,'[3]TONG HOP '!B$5:O$666,14,0)</f>
        <v/>
      </c>
      <c r="Q423" s="65" t="n">
        <v>2103750</v>
      </c>
      <c r="R423" s="65" t="n"/>
      <c r="S423" s="92">
        <f>G423-I423-R423-K423-M423-O423-Q423</f>
        <v/>
      </c>
      <c r="T423" s="92" t="inlineStr"/>
      <c r="U423" s="92" t="inlineStr"/>
      <c r="V423" s="69">
        <f>G423-SUM(I423,K423,M423,O423,Q423,U423)</f>
        <v/>
      </c>
      <c r="W423" s="65" t="n"/>
      <c r="X423" t="inlineStr">
        <is>
          <t>Khớp</t>
        </is>
      </c>
    </row>
    <row r="424">
      <c r="A424" s="65" t="n">
        <v>415</v>
      </c>
      <c r="B424" s="65" t="inlineStr">
        <is>
          <t>25807800064</t>
        </is>
      </c>
      <c r="C424" s="65" t="inlineStr">
        <is>
          <t>Quách Anh</t>
        </is>
      </c>
      <c r="D424" s="65" t="inlineStr">
        <is>
          <t>Khoa</t>
        </is>
      </c>
      <c r="E424" s="65" t="inlineStr">
        <is>
          <t>08/10/2007</t>
        </is>
      </c>
      <c r="F424" s="66" t="inlineStr">
        <is>
          <t>LNH0925ND01</t>
        </is>
      </c>
      <c r="G424" s="90" t="n">
        <v>8415000</v>
      </c>
      <c r="H424" s="65" t="n"/>
      <c r="I424" s="65" t="n"/>
      <c r="J424" s="65" t="n"/>
      <c r="K424" s="65" t="n"/>
      <c r="L424" s="65">
        <f>VLOOKUP(B424,'[2]DS THANG 11'!A$3:E$616,5,0)</f>
        <v/>
      </c>
      <c r="M424" s="65" t="n">
        <v>2103750</v>
      </c>
      <c r="N424" s="65" t="n"/>
      <c r="O424" s="65" t="n"/>
      <c r="P424" s="65">
        <f>VLOOKUP(B424,'[3]TONG HOP '!B$5:O$666,14,0)</f>
        <v/>
      </c>
      <c r="Q424" s="65" t="n">
        <v>2103750</v>
      </c>
      <c r="R424" s="65" t="n"/>
      <c r="S424" s="92">
        <f>G424-I424-R424-K424-M424-O424-Q424</f>
        <v/>
      </c>
      <c r="T424" s="92" t="inlineStr">
        <is>
          <t>LNH0526NQ15</t>
        </is>
      </c>
      <c r="U424" s="92" t="n">
        <v>2103750</v>
      </c>
      <c r="V424" s="69">
        <f>G424-SUM(I424,K424,M424,O424,Q424,U424)</f>
        <v/>
      </c>
      <c r="W424" s="65" t="n"/>
      <c r="X424" t="inlineStr">
        <is>
          <t>Khớp</t>
        </is>
      </c>
    </row>
    <row r="425">
      <c r="A425" s="65" t="n">
        <v>416</v>
      </c>
      <c r="B425" s="65" t="inlineStr">
        <is>
          <t>25808900146</t>
        </is>
      </c>
      <c r="C425" s="65" t="inlineStr">
        <is>
          <t>Phùng Minh</t>
        </is>
      </c>
      <c r="D425" s="65" t="inlineStr">
        <is>
          <t>Tuấn</t>
        </is>
      </c>
      <c r="E425" s="65" t="inlineStr">
        <is>
          <t>28/02/2007</t>
        </is>
      </c>
      <c r="F425" s="66" t="inlineStr">
        <is>
          <t>LNH0925ND01</t>
        </is>
      </c>
      <c r="G425" s="90" t="n">
        <v>8415000</v>
      </c>
      <c r="H425" s="65">
        <f>VLOOKUP(B425,'[1]TONG HOP'!B$5:G$624,6,0)</f>
        <v/>
      </c>
      <c r="I425" s="65" t="n">
        <v>2103750</v>
      </c>
      <c r="J425" s="65" t="n"/>
      <c r="K425" s="65" t="n"/>
      <c r="L425" s="65">
        <f>VLOOKUP(B425,'[2]DS THANG 11'!A$3:E$616,5,0)</f>
        <v/>
      </c>
      <c r="M425" s="65" t="n">
        <v>2103750</v>
      </c>
      <c r="N425" s="65" t="n"/>
      <c r="O425" s="65" t="n"/>
      <c r="P425" s="65">
        <f>VLOOKUP(B425,'[3]TONG HOP '!B$5:O$666,14,0)</f>
        <v/>
      </c>
      <c r="Q425" s="65" t="n">
        <v>2103750</v>
      </c>
      <c r="R425" s="65" t="n"/>
      <c r="S425" s="92">
        <f>G425-I425-R425-K425-M425-O425-Q425</f>
        <v/>
      </c>
      <c r="T425" s="92" t="inlineStr"/>
      <c r="U425" s="92" t="inlineStr"/>
      <c r="V425" s="69">
        <f>G425-SUM(I425,K425,M425,O425,Q425,U425)</f>
        <v/>
      </c>
      <c r="W425" s="65" t="n"/>
      <c r="X425" t="inlineStr">
        <is>
          <t>Khớp</t>
        </is>
      </c>
    </row>
    <row r="426">
      <c r="A426" s="65" t="n">
        <v>417</v>
      </c>
      <c r="B426" s="65" t="inlineStr">
        <is>
          <t>25808900240</t>
        </is>
      </c>
      <c r="C426" s="65" t="inlineStr">
        <is>
          <t>Phạm Văn</t>
        </is>
      </c>
      <c r="D426" s="65" t="inlineStr">
        <is>
          <t>Thành</t>
        </is>
      </c>
      <c r="E426" s="65" t="inlineStr">
        <is>
          <t>26/05/2007</t>
        </is>
      </c>
      <c r="F426" s="66" t="inlineStr">
        <is>
          <t>LNH0925ND01</t>
        </is>
      </c>
      <c r="G426" s="90" t="n">
        <v>8415000</v>
      </c>
      <c r="H426" s="65">
        <f>VLOOKUP(B426,'[1]TONG HOP'!B$5:G$624,6,0)</f>
        <v/>
      </c>
      <c r="I426" s="65" t="n">
        <v>2103750</v>
      </c>
      <c r="J426" s="65" t="n"/>
      <c r="K426" s="65" t="n"/>
      <c r="L426" s="65">
        <f>VLOOKUP(B426,'[2]DS THANG 11'!A$3:E$616,5,0)</f>
        <v/>
      </c>
      <c r="M426" s="65" t="n">
        <v>2103750</v>
      </c>
      <c r="N426" s="65" t="n"/>
      <c r="O426" s="65" t="n"/>
      <c r="P426" s="65">
        <f>VLOOKUP(B426,'[3]TONG HOP '!B$5:O$666,14,0)</f>
        <v/>
      </c>
      <c r="Q426" s="65" t="n">
        <v>2103750</v>
      </c>
      <c r="R426" s="65" t="n"/>
      <c r="S426" s="92">
        <f>G426-I426-R426-K426-M426-O426-Q426</f>
        <v/>
      </c>
      <c r="T426" s="92" t="inlineStr">
        <is>
          <t>LNH0526NQ08</t>
        </is>
      </c>
      <c r="U426" s="92" t="n">
        <v>2103750</v>
      </c>
      <c r="V426" s="69">
        <f>G426-SUM(I426,K426,M426,O426,Q426,U426)</f>
        <v/>
      </c>
      <c r="W426" s="65" t="n"/>
      <c r="X426" t="inlineStr">
        <is>
          <t>Khớp</t>
        </is>
      </c>
    </row>
    <row r="427">
      <c r="A427" s="65" t="n">
        <v>418</v>
      </c>
      <c r="B427" s="65" t="inlineStr">
        <is>
          <t>25808900057</t>
        </is>
      </c>
      <c r="C427" s="65" t="inlineStr">
        <is>
          <t>Nguyễn Hoàng Anh</t>
        </is>
      </c>
      <c r="D427" s="65" t="inlineStr">
        <is>
          <t>Khoa</t>
        </is>
      </c>
      <c r="E427" s="65" t="inlineStr">
        <is>
          <t>18/03/2007</t>
        </is>
      </c>
      <c r="F427" s="66" t="inlineStr">
        <is>
          <t>LNH0925ND01</t>
        </is>
      </c>
      <c r="G427" s="90" t="n">
        <v>8415000</v>
      </c>
      <c r="H427" s="65">
        <f>VLOOKUP(B427,'[1]TONG HOP'!B$5:G$624,6,0)</f>
        <v/>
      </c>
      <c r="I427" s="65" t="n">
        <v>2103750</v>
      </c>
      <c r="J427" s="65" t="n"/>
      <c r="K427" s="65" t="n"/>
      <c r="L427" s="65">
        <f>VLOOKUP(B427,'[2]DS THANG 11'!A$3:E$616,5,0)</f>
        <v/>
      </c>
      <c r="M427" s="65" t="n">
        <v>2103750</v>
      </c>
      <c r="N427" s="65" t="n"/>
      <c r="O427" s="65" t="n"/>
      <c r="P427" s="65">
        <f>VLOOKUP(B427,'[3]TONG HOP '!B$5:O$666,14,0)</f>
        <v/>
      </c>
      <c r="Q427" s="65" t="n">
        <v>2103750</v>
      </c>
      <c r="R427" s="65" t="n"/>
      <c r="S427" s="92">
        <f>G427-I427-R427-K427-M427-O427-Q427</f>
        <v/>
      </c>
      <c r="T427" s="92" t="inlineStr">
        <is>
          <t>LNH0526NQ07</t>
        </is>
      </c>
      <c r="U427" s="92" t="n">
        <v>2103750</v>
      </c>
      <c r="V427" s="69">
        <f>G427-SUM(I427,K427,M427,O427,Q427,U427)</f>
        <v/>
      </c>
      <c r="W427" s="65" t="n"/>
      <c r="X427" t="inlineStr">
        <is>
          <t>Khớp</t>
        </is>
      </c>
    </row>
    <row r="428">
      <c r="A428" s="65" t="n">
        <v>419</v>
      </c>
      <c r="B428" s="65" t="inlineStr">
        <is>
          <t>25809600059</t>
        </is>
      </c>
      <c r="C428" s="65" t="inlineStr">
        <is>
          <t>Trần Thanh</t>
        </is>
      </c>
      <c r="D428" s="65" t="inlineStr">
        <is>
          <t>Sơn</t>
        </is>
      </c>
      <c r="E428" s="65" t="inlineStr">
        <is>
          <t>17/05/2007</t>
        </is>
      </c>
      <c r="F428" s="66" t="inlineStr">
        <is>
          <t>LNH0925ND01</t>
        </is>
      </c>
      <c r="G428" s="90" t="n">
        <v>8415000</v>
      </c>
      <c r="H428" s="65">
        <f>VLOOKUP(B428,'[1]TONG HOP'!B$5:G$624,6,0)</f>
        <v/>
      </c>
      <c r="I428" s="65" t="n">
        <v>2103750</v>
      </c>
      <c r="J428" s="65" t="n"/>
      <c r="K428" s="65" t="n"/>
      <c r="L428" s="65">
        <f>VLOOKUP(B428,'[2]DS THANG 11'!A$3:E$616,5,0)</f>
        <v/>
      </c>
      <c r="M428" s="65" t="n">
        <v>2103750</v>
      </c>
      <c r="N428" s="65" t="n"/>
      <c r="O428" s="65" t="n"/>
      <c r="P428" s="65" t="n"/>
      <c r="Q428" s="65" t="n"/>
      <c r="R428" s="65" t="n"/>
      <c r="S428" s="92">
        <f>G428-I428-R428-K428-M428-O428-Q428</f>
        <v/>
      </c>
      <c r="T428" s="92" t="inlineStr">
        <is>
          <t>LNH0526NQ07</t>
        </is>
      </c>
      <c r="U428" s="92" t="n">
        <v>2103750</v>
      </c>
      <c r="V428" s="69">
        <f>G428-SUM(I428,K428,M428,O428,Q428,U428)</f>
        <v/>
      </c>
      <c r="W428" s="65" t="n"/>
      <c r="X428" t="inlineStr">
        <is>
          <t>Khớp</t>
        </is>
      </c>
    </row>
    <row r="429">
      <c r="A429" s="65" t="n">
        <v>420</v>
      </c>
      <c r="B429" s="65" t="inlineStr">
        <is>
          <t>25805800005</t>
        </is>
      </c>
      <c r="C429" s="65" t="inlineStr">
        <is>
          <t>Nguyễn Khoa Tuyết</t>
        </is>
      </c>
      <c r="D429" s="65" t="inlineStr">
        <is>
          <t>Chi</t>
        </is>
      </c>
      <c r="E429" s="65" t="inlineStr">
        <is>
          <t>10/09/2007</t>
        </is>
      </c>
      <c r="F429" s="66" t="inlineStr">
        <is>
          <t>LNH0925ND01</t>
        </is>
      </c>
      <c r="G429" s="90" t="n">
        <v>8415000</v>
      </c>
      <c r="H429" s="65">
        <f>VLOOKUP(B429,'[1]TONG HOP'!B$5:G$624,6,0)</f>
        <v/>
      </c>
      <c r="I429" s="65" t="n">
        <v>2103750</v>
      </c>
      <c r="J429" s="65" t="n"/>
      <c r="K429" s="65" t="n"/>
      <c r="L429" s="65">
        <f>VLOOKUP(B429,'[2]DS THANG 11'!A$3:E$616,5,0)</f>
        <v/>
      </c>
      <c r="M429" s="65" t="n">
        <v>2103750</v>
      </c>
      <c r="N429" s="65" t="n"/>
      <c r="O429" s="65" t="n"/>
      <c r="P429" s="65">
        <f>VLOOKUP(B429,'[3]TONG HOP '!B$5:O$666,14,0)</f>
        <v/>
      </c>
      <c r="Q429" s="65" t="n">
        <v>2103750</v>
      </c>
      <c r="R429" s="65" t="n"/>
      <c r="S429" s="92">
        <f>G429-I429-R429-K429-M429-O429-Q429</f>
        <v/>
      </c>
      <c r="T429" s="92" t="inlineStr">
        <is>
          <t>LNH0526NQ07</t>
        </is>
      </c>
      <c r="U429" s="92" t="n">
        <v>2103750</v>
      </c>
      <c r="V429" s="69">
        <f>G429-SUM(I429,K429,M429,O429,Q429,U429)</f>
        <v/>
      </c>
      <c r="W429" s="65" t="n"/>
      <c r="X429" t="inlineStr">
        <is>
          <t>Khớp</t>
        </is>
      </c>
    </row>
    <row r="430">
      <c r="A430" s="65" t="n">
        <v>421</v>
      </c>
      <c r="B430" s="65" t="inlineStr">
        <is>
          <t>25800500131</t>
        </is>
      </c>
      <c r="C430" s="65" t="inlineStr">
        <is>
          <t>Vũ Văn</t>
        </is>
      </c>
      <c r="D430" s="65" t="inlineStr">
        <is>
          <t>Nhật</t>
        </is>
      </c>
      <c r="E430" s="65" t="inlineStr">
        <is>
          <t>24/01/2007</t>
        </is>
      </c>
      <c r="F430" s="66" t="inlineStr">
        <is>
          <t>LNH0925ND01</t>
        </is>
      </c>
      <c r="G430" s="90" t="n">
        <v>8415000</v>
      </c>
      <c r="H430" s="65">
        <f>VLOOKUP(B430,'[1]TONG HOP'!B$5:G$624,6,0)</f>
        <v/>
      </c>
      <c r="I430" s="65" t="n">
        <v>2103750</v>
      </c>
      <c r="J430" s="65" t="n"/>
      <c r="K430" s="65" t="n"/>
      <c r="L430" s="65">
        <f>VLOOKUP(B430,'[2]DS THANG 11'!A$3:E$616,5,0)</f>
        <v/>
      </c>
      <c r="M430" s="65" t="n">
        <v>2103750</v>
      </c>
      <c r="N430" s="65" t="n"/>
      <c r="O430" s="65" t="n"/>
      <c r="P430" s="65" t="n"/>
      <c r="Q430" s="65" t="n"/>
      <c r="R430" s="65" t="n"/>
      <c r="S430" s="92">
        <f>G430-I430-R430-K430-M430-O430-Q430</f>
        <v/>
      </c>
      <c r="T430" s="92" t="inlineStr"/>
      <c r="U430" s="92" t="inlineStr"/>
      <c r="V430" s="69">
        <f>G430-SUM(I430,K430,M430,O430,Q430,U430)</f>
        <v/>
      </c>
      <c r="W430" s="65" t="n"/>
      <c r="X430" t="inlineStr">
        <is>
          <t>Khớp</t>
        </is>
      </c>
    </row>
    <row r="431">
      <c r="A431" s="65" t="n">
        <v>422</v>
      </c>
      <c r="B431" s="65" t="inlineStr">
        <is>
          <t>25808200022</t>
        </is>
      </c>
      <c r="C431" s="65" t="inlineStr">
        <is>
          <t>Nguyễn Vũ</t>
        </is>
      </c>
      <c r="D431" s="65" t="inlineStr">
        <is>
          <t>Dũng</t>
        </is>
      </c>
      <c r="E431" s="65" t="inlineStr">
        <is>
          <t>01/12/2007</t>
        </is>
      </c>
      <c r="F431" s="66" t="inlineStr">
        <is>
          <t>LNH0925ND01</t>
        </is>
      </c>
      <c r="G431" s="90" t="n">
        <v>8415000</v>
      </c>
      <c r="H431" s="65">
        <f>VLOOKUP(B431,'[1]TONG HOP'!B$5:G$624,6,0)</f>
        <v/>
      </c>
      <c r="I431" s="65" t="n">
        <v>2103750</v>
      </c>
      <c r="J431" s="65" t="n"/>
      <c r="K431" s="65" t="n"/>
      <c r="L431" s="65" t="n"/>
      <c r="M431" s="65" t="n"/>
      <c r="N431" s="65" t="n"/>
      <c r="O431" s="65" t="n"/>
      <c r="P431" s="65" t="n"/>
      <c r="Q431" s="65" t="n"/>
      <c r="R431" s="65" t="n"/>
      <c r="S431" s="92">
        <f>G431-I431-R431-K431-M431-O431-Q431</f>
        <v/>
      </c>
      <c r="T431" s="92" t="inlineStr"/>
      <c r="U431" s="92" t="inlineStr"/>
      <c r="V431" s="69">
        <f>G431-SUM(I431,K431,M431,O431,Q431,U431)</f>
        <v/>
      </c>
      <c r="W431" s="65" t="n"/>
      <c r="X431" t="inlineStr">
        <is>
          <t>Khớp</t>
        </is>
      </c>
    </row>
    <row r="432">
      <c r="A432" s="65" t="n">
        <v>423</v>
      </c>
      <c r="B432" s="65" t="inlineStr">
        <is>
          <t>25808500347</t>
        </is>
      </c>
      <c r="C432" s="65" t="inlineStr">
        <is>
          <t>Trang Trần Thành</t>
        </is>
      </c>
      <c r="D432" s="65" t="inlineStr">
        <is>
          <t>Thịnh</t>
        </is>
      </c>
      <c r="E432" s="65" t="inlineStr">
        <is>
          <t>25/05/2007</t>
        </is>
      </c>
      <c r="F432" s="66" t="inlineStr">
        <is>
          <t>LNH0925ND01</t>
        </is>
      </c>
      <c r="G432" s="90" t="n">
        <v>8415000</v>
      </c>
      <c r="H432" s="65">
        <f>VLOOKUP(B432,'[1]TONG HOP'!B$5:G$624,6,0)</f>
        <v/>
      </c>
      <c r="I432" s="65" t="n">
        <v>2103750</v>
      </c>
      <c r="J432" s="65" t="n"/>
      <c r="K432" s="65" t="n"/>
      <c r="L432" s="65">
        <f>VLOOKUP(B432,'[2]DS THANG 11'!A$3:E$616,5,0)</f>
        <v/>
      </c>
      <c r="M432" s="65" t="n">
        <v>2103750</v>
      </c>
      <c r="N432" s="65" t="n"/>
      <c r="O432" s="65" t="n"/>
      <c r="P432" s="65">
        <f>VLOOKUP(B432,'[3]TONG HOP '!B$5:O$666,14,0)</f>
        <v/>
      </c>
      <c r="Q432" s="65" t="n">
        <v>2103750</v>
      </c>
      <c r="R432" s="65" t="n"/>
      <c r="S432" s="92">
        <f>G432-I432-R432-K432-M432-O432-Q432</f>
        <v/>
      </c>
      <c r="T432" s="92" t="inlineStr">
        <is>
          <t>LNH0526NQ05</t>
        </is>
      </c>
      <c r="U432" s="92" t="n">
        <v>2103750</v>
      </c>
      <c r="V432" s="69">
        <f>G432-SUM(I432,K432,M432,O432,Q432,U432)</f>
        <v/>
      </c>
      <c r="W432" s="65" t="n"/>
      <c r="X432" t="inlineStr">
        <is>
          <t>Khớp</t>
        </is>
      </c>
    </row>
    <row r="433">
      <c r="A433" s="65" t="n">
        <v>424</v>
      </c>
      <c r="B433" s="65" t="inlineStr">
        <is>
          <t>25807500073</t>
        </is>
      </c>
      <c r="C433" s="65" t="inlineStr">
        <is>
          <t>Bùi Nguyễn Triệu</t>
        </is>
      </c>
      <c r="D433" s="65" t="inlineStr">
        <is>
          <t>Nam</t>
        </is>
      </c>
      <c r="E433" s="65" t="inlineStr">
        <is>
          <t>19/11/2007</t>
        </is>
      </c>
      <c r="F433" s="66" t="inlineStr">
        <is>
          <t>LNH0925ND01</t>
        </is>
      </c>
      <c r="G433" s="90" t="n">
        <v>8415000</v>
      </c>
      <c r="H433" s="65">
        <f>VLOOKUP(B433,'[1]TONG HOP'!B$5:G$624,6,0)</f>
        <v/>
      </c>
      <c r="I433" s="65" t="n">
        <v>2103750</v>
      </c>
      <c r="J433" s="65" t="n"/>
      <c r="K433" s="65" t="n"/>
      <c r="L433" s="65" t="n"/>
      <c r="M433" s="65" t="n"/>
      <c r="N433" s="65" t="n"/>
      <c r="O433" s="65" t="n"/>
      <c r="P433" s="65" t="n"/>
      <c r="Q433" s="65" t="n"/>
      <c r="R433" s="65" t="n"/>
      <c r="S433" s="92">
        <f>G433-I433-R433-K433-M433-O433-Q433</f>
        <v/>
      </c>
      <c r="T433" s="92" t="inlineStr"/>
      <c r="U433" s="92" t="inlineStr"/>
      <c r="V433" s="69">
        <f>G433-SUM(I433,K433,M433,O433,Q433,U433)</f>
        <v/>
      </c>
      <c r="W433" s="65" t="n"/>
      <c r="X433" t="inlineStr">
        <is>
          <t>Khớp</t>
        </is>
      </c>
    </row>
    <row r="434">
      <c r="A434" s="65" t="n">
        <v>425</v>
      </c>
      <c r="B434" s="65" t="inlineStr">
        <is>
          <t>25802700012</t>
        </is>
      </c>
      <c r="C434" s="65" t="inlineStr">
        <is>
          <t>Nguyễn Thị Cẩm</t>
        </is>
      </c>
      <c r="D434" s="65" t="inlineStr">
        <is>
          <t>Bình</t>
        </is>
      </c>
      <c r="E434" s="65" t="inlineStr">
        <is>
          <t>12/09/2007</t>
        </is>
      </c>
      <c r="F434" s="66" t="inlineStr">
        <is>
          <t>LNH0925ND01</t>
        </is>
      </c>
      <c r="G434" s="90" t="n">
        <v>8415000</v>
      </c>
      <c r="H434" s="65">
        <f>VLOOKUP(B434,'[1]TONG HOP'!B$5:G$624,6,0)</f>
        <v/>
      </c>
      <c r="I434" s="65" t="n">
        <v>2103750</v>
      </c>
      <c r="J434" s="65" t="n"/>
      <c r="K434" s="65" t="n"/>
      <c r="L434" s="65">
        <f>VLOOKUP(B434,'[2]DS THANG 11'!A$3:E$616,5,0)</f>
        <v/>
      </c>
      <c r="M434" s="65" t="n">
        <v>2103750</v>
      </c>
      <c r="N434" s="65" t="n"/>
      <c r="O434" s="65" t="n"/>
      <c r="P434" s="65">
        <f>VLOOKUP(B434,'[3]TONG HOP '!B$5:O$666,14,0)</f>
        <v/>
      </c>
      <c r="Q434" s="65" t="n">
        <v>2103750</v>
      </c>
      <c r="R434" s="65" t="n"/>
      <c r="S434" s="92">
        <f>G434-I434-R434-K434-M434-O434-Q434</f>
        <v/>
      </c>
      <c r="T434" s="92" t="inlineStr"/>
      <c r="U434" s="92" t="inlineStr"/>
      <c r="V434" s="69">
        <f>G434-SUM(I434,K434,M434,O434,Q434,U434)</f>
        <v/>
      </c>
      <c r="W434" s="65" t="n"/>
      <c r="X434" t="inlineStr">
        <is>
          <t>Khớp</t>
        </is>
      </c>
    </row>
    <row r="435">
      <c r="A435" s="65" t="n">
        <v>426</v>
      </c>
      <c r="B435" s="65" t="inlineStr">
        <is>
          <t>25800500276</t>
        </is>
      </c>
      <c r="C435" s="65" t="inlineStr">
        <is>
          <t>Nguyễn Trọng</t>
        </is>
      </c>
      <c r="D435" s="65" t="inlineStr">
        <is>
          <t>Hảo</t>
        </is>
      </c>
      <c r="E435" s="65" t="inlineStr">
        <is>
          <t>03/07/2007</t>
        </is>
      </c>
      <c r="F435" s="66" t="inlineStr">
        <is>
          <t>LNH0925ND01</t>
        </is>
      </c>
      <c r="G435" s="90" t="n">
        <v>8415000</v>
      </c>
      <c r="H435" s="65">
        <f>VLOOKUP(B435,'[1]TONG HOP'!B$5:G$624,6,0)</f>
        <v/>
      </c>
      <c r="I435" s="65" t="n">
        <v>2103750</v>
      </c>
      <c r="J435" s="65" t="n"/>
      <c r="K435" s="65" t="n"/>
      <c r="L435" s="65">
        <f>VLOOKUP(B435,'[2]DS THANG 11'!A$3:E$616,5,0)</f>
        <v/>
      </c>
      <c r="M435" s="65" t="n">
        <v>1530000</v>
      </c>
      <c r="N435" s="65">
        <f>VLOOKUP(B435,'[4]TOEIC 01.26'!A$3:E$33,5,0)</f>
        <v/>
      </c>
      <c r="O435" s="65" t="n">
        <v>1530000</v>
      </c>
      <c r="P435" s="65">
        <f>VLOOKUP(B435,'[3]TONG HOP '!B$5:O$666,14,0)</f>
        <v/>
      </c>
      <c r="Q435" s="65" t="n">
        <v>1530000</v>
      </c>
      <c r="R435" s="65" t="n"/>
      <c r="S435" s="92">
        <f>G435-I435-R435-K435-M435-O435-Q435</f>
        <v/>
      </c>
      <c r="T435" s="92" t="inlineStr"/>
      <c r="U435" s="92" t="inlineStr"/>
      <c r="V435" s="69">
        <f>G435-SUM(I435,K435,M435,O435,Q435,U435)</f>
        <v/>
      </c>
      <c r="W435" s="65" t="n"/>
      <c r="X435" t="inlineStr">
        <is>
          <t>Khớp</t>
        </is>
      </c>
    </row>
    <row r="436">
      <c r="A436" s="65" t="n">
        <v>427</v>
      </c>
      <c r="B436" s="65" t="inlineStr">
        <is>
          <t>25802800001</t>
        </is>
      </c>
      <c r="C436" s="65" t="inlineStr">
        <is>
          <t>Nguyễn Quốc</t>
        </is>
      </c>
      <c r="D436" s="65" t="inlineStr">
        <is>
          <t>An</t>
        </is>
      </c>
      <c r="E436" s="65" t="inlineStr">
        <is>
          <t>28/10/2007</t>
        </is>
      </c>
      <c r="F436" s="66" t="inlineStr">
        <is>
          <t>LNH0925ND01</t>
        </is>
      </c>
      <c r="G436" s="90" t="n">
        <v>8415000</v>
      </c>
      <c r="H436" s="65">
        <f>VLOOKUP(B436,'[1]TONG HOP'!B$5:G$624,6,0)</f>
        <v/>
      </c>
      <c r="I436" s="65" t="n">
        <v>2103750</v>
      </c>
      <c r="J436" s="65" t="n"/>
      <c r="K436" s="65" t="n"/>
      <c r="L436" s="65">
        <f>VLOOKUP(B436,'[2]DS THANG 11'!A$3:E$616,5,0)</f>
        <v/>
      </c>
      <c r="M436" s="65" t="n">
        <v>2103750</v>
      </c>
      <c r="N436" s="65" t="n"/>
      <c r="O436" s="65" t="n"/>
      <c r="P436" s="65">
        <f>VLOOKUP(B436,'[3]TONG HOP '!B$5:O$666,14,0)</f>
        <v/>
      </c>
      <c r="Q436" s="65" t="n">
        <v>2103750</v>
      </c>
      <c r="R436" s="65" t="n"/>
      <c r="S436" s="92">
        <f>G436-I436-R436-K436-M436-O436-Q436</f>
        <v/>
      </c>
      <c r="T436" s="92" t="inlineStr"/>
      <c r="U436" s="92" t="inlineStr"/>
      <c r="V436" s="69">
        <f>G436-SUM(I436,K436,M436,O436,Q436,U436)</f>
        <v/>
      </c>
      <c r="W436" s="65" t="n"/>
      <c r="X436" t="inlineStr">
        <is>
          <t>Khớp</t>
        </is>
      </c>
    </row>
    <row r="437">
      <c r="A437" s="65" t="n">
        <v>428</v>
      </c>
      <c r="B437" s="65" t="inlineStr">
        <is>
          <t>25808600126</t>
        </is>
      </c>
      <c r="C437" s="65" t="inlineStr">
        <is>
          <t>Hồ Nhật</t>
        </is>
      </c>
      <c r="D437" s="65" t="inlineStr">
        <is>
          <t>Tiến</t>
        </is>
      </c>
      <c r="E437" s="65" t="inlineStr">
        <is>
          <t>27/03/2007</t>
        </is>
      </c>
      <c r="F437" s="66" t="inlineStr">
        <is>
          <t>LNH0925ND01</t>
        </is>
      </c>
      <c r="G437" s="90" t="n">
        <v>8415000</v>
      </c>
      <c r="H437" s="65">
        <f>VLOOKUP(B437,'[1]TONG HOP'!B$5:G$624,6,0)</f>
        <v/>
      </c>
      <c r="I437" s="65" t="n">
        <v>2103750</v>
      </c>
      <c r="J437" s="65" t="n"/>
      <c r="K437" s="65" t="n"/>
      <c r="L437" s="65">
        <f>VLOOKUP(B437,'[2]DS THANG 11'!A$3:E$616,5,0)</f>
        <v/>
      </c>
      <c r="M437" s="65" t="n">
        <v>2103750</v>
      </c>
      <c r="N437" s="65" t="n"/>
      <c r="O437" s="65" t="n"/>
      <c r="P437" s="65" t="n"/>
      <c r="Q437" s="65" t="n"/>
      <c r="R437" s="65" t="n"/>
      <c r="S437" s="92">
        <f>G437-I437-R437-K437-M437-O437-Q437</f>
        <v/>
      </c>
      <c r="T437" s="92" t="inlineStr"/>
      <c r="U437" s="92" t="inlineStr"/>
      <c r="V437" s="69">
        <f>G437-SUM(I437,K437,M437,O437,Q437,U437)</f>
        <v/>
      </c>
      <c r="W437" s="65" t="n"/>
      <c r="X437" t="inlineStr">
        <is>
          <t>Khớp</t>
        </is>
      </c>
    </row>
    <row r="438">
      <c r="A438" s="65" t="n">
        <v>429</v>
      </c>
      <c r="B438" s="65" t="inlineStr">
        <is>
          <t>25800500162</t>
        </is>
      </c>
      <c r="C438" s="65" t="inlineStr">
        <is>
          <t>Đinh Công</t>
        </is>
      </c>
      <c r="D438" s="65" t="inlineStr">
        <is>
          <t>Thắng</t>
        </is>
      </c>
      <c r="E438" s="65" t="inlineStr">
        <is>
          <t>15/01/2007</t>
        </is>
      </c>
      <c r="F438" s="66" t="inlineStr">
        <is>
          <t>LNH0925ND01</t>
        </is>
      </c>
      <c r="G438" s="90" t="n">
        <v>8415000</v>
      </c>
      <c r="H438" s="65">
        <f>VLOOKUP(B438,'[1]TONG HOP'!B$5:G$624,6,0)</f>
        <v/>
      </c>
      <c r="I438" s="65" t="n">
        <v>2103750</v>
      </c>
      <c r="J438" s="65" t="n"/>
      <c r="K438" s="65" t="n"/>
      <c r="L438" s="65">
        <f>VLOOKUP(B438,'[2]DS THANG 11'!A$3:E$616,5,0)</f>
        <v/>
      </c>
      <c r="M438" s="65" t="n">
        <v>2103750</v>
      </c>
      <c r="N438" s="65" t="n"/>
      <c r="O438" s="65" t="n"/>
      <c r="P438" s="65">
        <f>VLOOKUP(B438,'[3]TONG HOP '!B$5:O$666,14,0)</f>
        <v/>
      </c>
      <c r="Q438" s="65" t="n">
        <v>2103750</v>
      </c>
      <c r="R438" s="65" t="n"/>
      <c r="S438" s="92">
        <f>G438-I438-R438-K438-M438-O438-Q438</f>
        <v/>
      </c>
      <c r="T438" s="92" t="inlineStr">
        <is>
          <t>LNH0526NQ12</t>
        </is>
      </c>
      <c r="U438" s="92" t="n">
        <v>2103750</v>
      </c>
      <c r="V438" s="69">
        <f>G438-SUM(I438,K438,M438,O438,Q438,U438)</f>
        <v/>
      </c>
      <c r="W438" s="65" t="n"/>
      <c r="X438" t="inlineStr">
        <is>
          <t>Khớp</t>
        </is>
      </c>
    </row>
    <row r="439">
      <c r="A439" s="65" t="n">
        <v>430</v>
      </c>
      <c r="B439" s="65" t="inlineStr">
        <is>
          <t>25809400056</t>
        </is>
      </c>
      <c r="C439" s="65" t="inlineStr">
        <is>
          <t>Hà Thanh</t>
        </is>
      </c>
      <c r="D439" s="65" t="inlineStr">
        <is>
          <t>Duy</t>
        </is>
      </c>
      <c r="E439" s="65" t="inlineStr">
        <is>
          <t>14/12/2007</t>
        </is>
      </c>
      <c r="F439" s="66" t="inlineStr">
        <is>
          <t>LNH0925ND01</t>
        </is>
      </c>
      <c r="G439" s="90" t="n">
        <v>8415000</v>
      </c>
      <c r="H439" s="65">
        <f>VLOOKUP(B439,'[1]TONG HOP'!B$5:G$624,6,0)</f>
        <v/>
      </c>
      <c r="I439" s="65" t="n">
        <v>2103750</v>
      </c>
      <c r="J439" s="65" t="n"/>
      <c r="K439" s="65" t="n"/>
      <c r="L439" s="65">
        <f>VLOOKUP(B439,'[2]DS THANG 11'!A$3:E$616,5,0)</f>
        <v/>
      </c>
      <c r="M439" s="65" t="n">
        <v>2103750</v>
      </c>
      <c r="N439" s="65" t="n"/>
      <c r="O439" s="65" t="n"/>
      <c r="P439" s="65">
        <f>VLOOKUP(B439,'[3]TONG HOP '!B$5:O$666,14,0)</f>
        <v/>
      </c>
      <c r="Q439" s="65" t="n">
        <v>2103750</v>
      </c>
      <c r="R439" s="65" t="n"/>
      <c r="S439" s="92">
        <f>G439-I439-R439-K439-M439-O439-Q439</f>
        <v/>
      </c>
      <c r="T439" s="92" t="inlineStr">
        <is>
          <t>LNH0526NQ17</t>
        </is>
      </c>
      <c r="U439" s="92" t="n">
        <v>2103750</v>
      </c>
      <c r="V439" s="69">
        <f>G439-SUM(I439,K439,M439,O439,Q439,U439)</f>
        <v/>
      </c>
      <c r="W439" s="65" t="n"/>
      <c r="X439" t="inlineStr">
        <is>
          <t>Khớp</t>
        </is>
      </c>
    </row>
    <row r="440">
      <c r="A440" s="65" t="n">
        <v>431</v>
      </c>
      <c r="B440" s="65" t="inlineStr">
        <is>
          <t>25806600350</t>
        </is>
      </c>
      <c r="C440" s="65" t="inlineStr">
        <is>
          <t>Lê Gia</t>
        </is>
      </c>
      <c r="D440" s="65" t="inlineStr">
        <is>
          <t>Minh</t>
        </is>
      </c>
      <c r="E440" s="65" t="inlineStr">
        <is>
          <t>06/05/2007</t>
        </is>
      </c>
      <c r="F440" s="66" t="inlineStr">
        <is>
          <t>LNH0925ND01</t>
        </is>
      </c>
      <c r="G440" s="90" t="n">
        <v>8415000</v>
      </c>
      <c r="H440" s="65">
        <f>VLOOKUP(B440,'[1]TONG HOP'!B$5:G$624,6,0)</f>
        <v/>
      </c>
      <c r="I440" s="65" t="n">
        <v>2103750</v>
      </c>
      <c r="J440" s="65" t="n"/>
      <c r="K440" s="65" t="n"/>
      <c r="L440" s="65">
        <f>VLOOKUP(B440,'[2]DS THANG 11'!A$3:E$616,5,0)</f>
        <v/>
      </c>
      <c r="M440" s="65" t="n">
        <v>2103750</v>
      </c>
      <c r="N440" s="65" t="n"/>
      <c r="O440" s="65" t="n"/>
      <c r="P440" s="65">
        <f>VLOOKUP(B440,'[3]TONG HOP '!B$5:O$666,14,0)</f>
        <v/>
      </c>
      <c r="Q440" s="65" t="n">
        <v>2103750</v>
      </c>
      <c r="R440" s="65" t="n"/>
      <c r="S440" s="92">
        <f>G440-I440-R440-K440-M440-O440-Q440</f>
        <v/>
      </c>
      <c r="T440" s="92" t="inlineStr"/>
      <c r="U440" s="92" t="inlineStr"/>
      <c r="V440" s="69">
        <f>G440-SUM(I440,K440,M440,O440,Q440,U440)</f>
        <v/>
      </c>
      <c r="W440" s="65" t="n"/>
      <c r="X440" t="inlineStr">
        <is>
          <t>Khớp</t>
        </is>
      </c>
    </row>
    <row r="441">
      <c r="A441" s="65" t="n">
        <v>432</v>
      </c>
      <c r="B441" s="65" t="inlineStr">
        <is>
          <t>25800500306</t>
        </is>
      </c>
      <c r="C441" s="65" t="inlineStr">
        <is>
          <t>Hà Minh</t>
        </is>
      </c>
      <c r="D441" s="65" t="inlineStr">
        <is>
          <t>Đức</t>
        </is>
      </c>
      <c r="E441" s="65" t="inlineStr">
        <is>
          <t>07/10/2007</t>
        </is>
      </c>
      <c r="F441" s="66" t="inlineStr">
        <is>
          <t>LNH0925ND01</t>
        </is>
      </c>
      <c r="G441" s="90" t="n">
        <v>8415000</v>
      </c>
      <c r="H441" s="65">
        <f>VLOOKUP(B441,'[1]TONG HOP'!B$5:G$624,6,0)</f>
        <v/>
      </c>
      <c r="I441" s="65" t="n">
        <v>2103750</v>
      </c>
      <c r="J441" s="65" t="n"/>
      <c r="K441" s="65" t="n"/>
      <c r="L441" s="65">
        <f>VLOOKUP(B441,'[2]DS THANG 11'!A$3:E$616,5,0)</f>
        <v/>
      </c>
      <c r="M441" s="65" t="n">
        <v>2103750</v>
      </c>
      <c r="N441" s="65" t="n"/>
      <c r="O441" s="65" t="n"/>
      <c r="P441" s="65">
        <f>VLOOKUP(B441,'[3]TONG HOP '!B$5:O$666,14,0)</f>
        <v/>
      </c>
      <c r="Q441" s="65" t="n">
        <v>2103750</v>
      </c>
      <c r="R441" s="65" t="n"/>
      <c r="S441" s="92">
        <f>G441-I441-R441-K441-M441-O441-Q441</f>
        <v/>
      </c>
      <c r="T441" s="92" t="inlineStr">
        <is>
          <t>LNH0526NQ20</t>
        </is>
      </c>
      <c r="U441" s="92" t="n">
        <v>2103750</v>
      </c>
      <c r="V441" s="69">
        <f>G441-SUM(I441,K441,M441,O441,Q441,U441)</f>
        <v/>
      </c>
      <c r="W441" s="65" t="n"/>
      <c r="X441" t="inlineStr">
        <is>
          <t>Khớp</t>
        </is>
      </c>
    </row>
    <row r="442">
      <c r="A442" s="65" t="n">
        <v>433</v>
      </c>
      <c r="B442" s="65" t="inlineStr">
        <is>
          <t>25800400275</t>
        </is>
      </c>
      <c r="C442" s="65" t="inlineStr">
        <is>
          <t>Trần Lê Hữu</t>
        </is>
      </c>
      <c r="D442" s="65" t="inlineStr">
        <is>
          <t>Hậu</t>
        </is>
      </c>
      <c r="E442" s="65" t="inlineStr">
        <is>
          <t>30/03/2007</t>
        </is>
      </c>
      <c r="F442" s="66" t="inlineStr">
        <is>
          <t>LNH0925ND01</t>
        </is>
      </c>
      <c r="G442" s="90" t="n">
        <v>8415000</v>
      </c>
      <c r="H442" s="65">
        <f>VLOOKUP(B442,'[1]TONG HOP'!B$5:G$624,6,0)</f>
        <v/>
      </c>
      <c r="I442" s="65" t="n">
        <v>2103750</v>
      </c>
      <c r="J442" s="65" t="n"/>
      <c r="K442" s="65" t="n"/>
      <c r="L442" s="65">
        <f>VLOOKUP(B442,'[2]DS THANG 11'!A$3:E$616,5,0)</f>
        <v/>
      </c>
      <c r="M442" s="65" t="n">
        <v>2103750</v>
      </c>
      <c r="N442" s="65" t="n"/>
      <c r="O442" s="65" t="n"/>
      <c r="P442" s="65">
        <f>VLOOKUP(B442,'[3]TONG HOP '!B$5:O$666,14,0)</f>
        <v/>
      </c>
      <c r="Q442" s="65" t="n">
        <v>2103750</v>
      </c>
      <c r="R442" s="65" t="n"/>
      <c r="S442" s="92">
        <f>G442-I442-R442-K442-M442-O442-Q442</f>
        <v/>
      </c>
      <c r="T442" s="92" t="inlineStr">
        <is>
          <t>LNH0526NQ15</t>
        </is>
      </c>
      <c r="U442" s="92" t="n">
        <v>2103750</v>
      </c>
      <c r="V442" s="69">
        <f>G442-SUM(I442,K442,M442,O442,Q442,U442)</f>
        <v/>
      </c>
      <c r="W442" s="65" t="n"/>
      <c r="X442" t="inlineStr">
        <is>
          <t>Khớp</t>
        </is>
      </c>
    </row>
    <row r="443">
      <c r="A443" s="65" t="n">
        <v>434</v>
      </c>
      <c r="B443" s="65" t="inlineStr">
        <is>
          <t>25802600139</t>
        </is>
      </c>
      <c r="C443" s="65" t="inlineStr">
        <is>
          <t>Phạm Nguyễn Thảo</t>
        </is>
      </c>
      <c r="D443" s="65" t="inlineStr">
        <is>
          <t>Vy</t>
        </is>
      </c>
      <c r="E443" s="65" t="inlineStr">
        <is>
          <t>10/12/2007</t>
        </is>
      </c>
      <c r="F443" s="66" t="inlineStr">
        <is>
          <t>LNH0925ND01</t>
        </is>
      </c>
      <c r="G443" s="90" t="n">
        <v>8415000</v>
      </c>
      <c r="H443" s="65">
        <f>VLOOKUP(B443,'[1]TONG HOP'!B$5:G$624,6,0)</f>
        <v/>
      </c>
      <c r="I443" s="65" t="n">
        <v>2103750</v>
      </c>
      <c r="J443" s="65" t="n"/>
      <c r="K443" s="65" t="n"/>
      <c r="L443" s="65">
        <f>VLOOKUP(B443,'[2]DS THANG 11'!A$3:E$616,5,0)</f>
        <v/>
      </c>
      <c r="M443" s="65" t="n">
        <v>2103750</v>
      </c>
      <c r="N443" s="65" t="n"/>
      <c r="O443" s="65" t="n"/>
      <c r="P443" s="65">
        <f>VLOOKUP(B443,'[3]TONG HOP '!B$5:O$666,14,0)</f>
        <v/>
      </c>
      <c r="Q443" s="65" t="n">
        <v>2103750</v>
      </c>
      <c r="R443" s="65" t="n"/>
      <c r="S443" s="92">
        <f>G443-I443-R443-K443-M443-O443-Q443</f>
        <v/>
      </c>
      <c r="T443" s="92" t="inlineStr"/>
      <c r="U443" s="92" t="inlineStr"/>
      <c r="V443" s="69">
        <f>G443-SUM(I443,K443,M443,O443,Q443,U443)</f>
        <v/>
      </c>
      <c r="W443" s="65" t="n"/>
      <c r="X443" t="inlineStr">
        <is>
          <t>Khớp</t>
        </is>
      </c>
    </row>
    <row r="444">
      <c r="A444" s="65" t="n">
        <v>435</v>
      </c>
      <c r="B444" s="65" t="inlineStr">
        <is>
          <t>25806300025</t>
        </is>
      </c>
      <c r="C444" s="65" t="inlineStr">
        <is>
          <t>Hoàng Đức</t>
        </is>
      </c>
      <c r="D444" s="65" t="inlineStr">
        <is>
          <t>Mạnh</t>
        </is>
      </c>
      <c r="E444" s="65" t="inlineStr">
        <is>
          <t>02/09/2007</t>
        </is>
      </c>
      <c r="F444" s="66" t="inlineStr">
        <is>
          <t>LNH0925ND01</t>
        </is>
      </c>
      <c r="G444" s="90" t="n">
        <v>8415000</v>
      </c>
      <c r="H444" s="65">
        <f>VLOOKUP(B444,'[1]TONG HOP'!B$5:G$624,6,0)</f>
        <v/>
      </c>
      <c r="I444" s="65" t="n">
        <v>2103750</v>
      </c>
      <c r="J444" s="65" t="n"/>
      <c r="K444" s="65" t="n"/>
      <c r="L444" s="65">
        <f>VLOOKUP(B444,'[2]DS THANG 11'!A$3:E$616,5,0)</f>
        <v/>
      </c>
      <c r="M444" s="65" t="n">
        <v>2103750</v>
      </c>
      <c r="N444" s="65" t="n"/>
      <c r="O444" s="65" t="n"/>
      <c r="P444" s="65" t="n"/>
      <c r="Q444" s="65" t="n"/>
      <c r="R444" s="65" t="n"/>
      <c r="S444" s="92">
        <f>G444-I444-R444-K444-M444-O444-Q444</f>
        <v/>
      </c>
      <c r="T444" s="92" t="inlineStr"/>
      <c r="U444" s="92" t="inlineStr"/>
      <c r="V444" s="69">
        <f>G444-SUM(I444,K444,M444,O444,Q444,U444)</f>
        <v/>
      </c>
      <c r="W444" s="65" t="n"/>
      <c r="X444" t="inlineStr">
        <is>
          <t>Khớp</t>
        </is>
      </c>
    </row>
    <row r="445">
      <c r="A445" s="65" t="n">
        <v>436</v>
      </c>
      <c r="B445" s="65" t="inlineStr">
        <is>
          <t>25802800068</t>
        </is>
      </c>
      <c r="C445" s="65" t="inlineStr">
        <is>
          <t>Lương Hoàng</t>
        </is>
      </c>
      <c r="D445" s="65" t="inlineStr">
        <is>
          <t>Hên</t>
        </is>
      </c>
      <c r="E445" s="65" t="inlineStr">
        <is>
          <t>18/02/2007</t>
        </is>
      </c>
      <c r="F445" s="66" t="inlineStr">
        <is>
          <t>LNH0925ND01</t>
        </is>
      </c>
      <c r="G445" s="90" t="n">
        <v>8415000</v>
      </c>
      <c r="H445" s="65" t="n"/>
      <c r="I445" s="65" t="n"/>
      <c r="J445" s="65" t="n"/>
      <c r="K445" s="65" t="n"/>
      <c r="L445" s="65">
        <f>VLOOKUP(B445,'[2]DS THANG 11'!A$3:E$616,5,0)</f>
        <v/>
      </c>
      <c r="M445" s="65" t="n">
        <v>2103750</v>
      </c>
      <c r="N445" s="65" t="n"/>
      <c r="O445" s="65" t="n"/>
      <c r="P445" s="65">
        <f>VLOOKUP(B445,'[3]TONG HOP '!B$5:O$666,14,0)</f>
        <v/>
      </c>
      <c r="Q445" s="65" t="n">
        <v>2103750</v>
      </c>
      <c r="R445" s="65" t="n"/>
      <c r="S445" s="92">
        <f>G445-I445-R445-K445-M445-O445-Q445</f>
        <v/>
      </c>
      <c r="T445" s="92" t="inlineStr">
        <is>
          <t>LNH0526NG02</t>
        </is>
      </c>
      <c r="U445" s="92" t="n">
        <v>2103750</v>
      </c>
      <c r="V445" s="69">
        <f>G445-SUM(I445,K445,M445,O445,Q445,U445)</f>
        <v/>
      </c>
      <c r="W445" s="65" t="n"/>
      <c r="X445" t="inlineStr">
        <is>
          <t>Khớp</t>
        </is>
      </c>
    </row>
    <row r="446">
      <c r="A446" s="65" t="n">
        <v>437</v>
      </c>
      <c r="B446" s="65" t="inlineStr">
        <is>
          <t>25807800251</t>
        </is>
      </c>
      <c r="C446" s="65" t="inlineStr">
        <is>
          <t>Nguyễn Lê</t>
        </is>
      </c>
      <c r="D446" s="65" t="inlineStr">
        <is>
          <t>Khanh</t>
        </is>
      </c>
      <c r="E446" s="65" t="inlineStr">
        <is>
          <t>01/05/2007</t>
        </is>
      </c>
      <c r="F446" s="66" t="inlineStr">
        <is>
          <t>LNH0925ND01</t>
        </is>
      </c>
      <c r="G446" s="90" t="n">
        <v>8415000</v>
      </c>
      <c r="H446" s="65">
        <f>VLOOKUP(B446,'[1]TONG HOP'!B$5:G$624,6,0)</f>
        <v/>
      </c>
      <c r="I446" s="65" t="n">
        <v>2103750</v>
      </c>
      <c r="J446" s="65" t="n"/>
      <c r="K446" s="65" t="n"/>
      <c r="L446" s="65">
        <f>VLOOKUP(B446,'[2]DS THANG 11'!A$3:E$616,5,0)</f>
        <v/>
      </c>
      <c r="M446" s="65" t="n">
        <v>2103750</v>
      </c>
      <c r="N446" s="65" t="n"/>
      <c r="O446" s="65" t="n"/>
      <c r="P446" s="65" t="n"/>
      <c r="Q446" s="65" t="n"/>
      <c r="R446" s="65" t="n"/>
      <c r="S446" s="92">
        <f>G446-I446-R446-K446-M446-O446-Q446</f>
        <v/>
      </c>
      <c r="T446" s="92" t="inlineStr"/>
      <c r="U446" s="92" t="inlineStr"/>
      <c r="V446" s="69">
        <f>G446-SUM(I446,K446,M446,O446,Q446,U446)</f>
        <v/>
      </c>
      <c r="W446" s="65" t="n"/>
      <c r="X446" t="inlineStr">
        <is>
          <t>Khớp</t>
        </is>
      </c>
    </row>
    <row r="447">
      <c r="A447" s="65" t="n">
        <v>438</v>
      </c>
      <c r="B447" s="65" t="inlineStr">
        <is>
          <t>25800500111</t>
        </is>
      </c>
      <c r="C447" s="65" t="inlineStr">
        <is>
          <t>Trần Nguyễn Hoàng</t>
        </is>
      </c>
      <c r="D447" s="65" t="inlineStr">
        <is>
          <t>Minh</t>
        </is>
      </c>
      <c r="E447" s="65" t="inlineStr">
        <is>
          <t>11/02/2007</t>
        </is>
      </c>
      <c r="F447" s="66" t="inlineStr">
        <is>
          <t>LNH0925ND01</t>
        </is>
      </c>
      <c r="G447" s="90" t="n">
        <v>8415000</v>
      </c>
      <c r="H447" s="65">
        <f>VLOOKUP(B447,'[1]TONG HOP'!B$5:G$624,6,0)</f>
        <v/>
      </c>
      <c r="I447" s="65" t="n">
        <v>2103750</v>
      </c>
      <c r="J447" s="65" t="n"/>
      <c r="K447" s="65" t="n"/>
      <c r="L447" s="65">
        <f>VLOOKUP(B447,'[2]DS THANG 11'!A$3:E$616,5,0)</f>
        <v/>
      </c>
      <c r="M447" s="65" t="n">
        <v>2103750</v>
      </c>
      <c r="N447" s="65" t="n"/>
      <c r="O447" s="65" t="n"/>
      <c r="P447" s="65">
        <f>VLOOKUP(B447,'[3]TONG HOP '!B$5:O$666,14,0)</f>
        <v/>
      </c>
      <c r="Q447" s="65" t="n">
        <v>2103750</v>
      </c>
      <c r="R447" s="65" t="n"/>
      <c r="S447" s="92">
        <f>G447-I447-R447-K447-M447-O447-Q447</f>
        <v/>
      </c>
      <c r="T447" s="92" t="inlineStr">
        <is>
          <t>LNH0526NQ11</t>
        </is>
      </c>
      <c r="U447" s="92" t="n">
        <v>2103750</v>
      </c>
      <c r="V447" s="69">
        <f>G447-SUM(I447,K447,M447,O447,Q447,U447)</f>
        <v/>
      </c>
      <c r="W447" s="65" t="n"/>
      <c r="X447" t="inlineStr">
        <is>
          <t>Khớp</t>
        </is>
      </c>
    </row>
    <row r="448">
      <c r="A448" s="65" t="n">
        <v>439</v>
      </c>
      <c r="B448" s="65" t="inlineStr">
        <is>
          <t>25808600200</t>
        </is>
      </c>
      <c r="C448" s="65" t="inlineStr">
        <is>
          <t>Trần Phương</t>
        </is>
      </c>
      <c r="D448" s="65" t="inlineStr">
        <is>
          <t>Quỳnh</t>
        </is>
      </c>
      <c r="E448" s="65" t="inlineStr">
        <is>
          <t>14/03/2007</t>
        </is>
      </c>
      <c r="F448" s="66" t="inlineStr">
        <is>
          <t>LNH0925ND01</t>
        </is>
      </c>
      <c r="G448" s="90" t="n">
        <v>8415000</v>
      </c>
      <c r="H448" s="65">
        <f>VLOOKUP(B448,'[1]TONG HOP'!B$5:G$624,6,0)</f>
        <v/>
      </c>
      <c r="I448" s="65" t="n">
        <v>2103750</v>
      </c>
      <c r="J448" s="65" t="n"/>
      <c r="K448" s="65" t="n"/>
      <c r="L448" s="65" t="n"/>
      <c r="M448" s="65" t="n"/>
      <c r="N448" s="65" t="n"/>
      <c r="O448" s="65" t="n"/>
      <c r="P448" s="65" t="n"/>
      <c r="Q448" s="65" t="n"/>
      <c r="R448" s="65" t="n"/>
      <c r="S448" s="92">
        <f>G448-I448-R448-K448-M448-O448-Q448</f>
        <v/>
      </c>
      <c r="T448" s="92" t="inlineStr"/>
      <c r="U448" s="92" t="inlineStr"/>
      <c r="V448" s="69">
        <f>G448-SUM(I448,K448,M448,O448,Q448,U448)</f>
        <v/>
      </c>
      <c r="W448" s="65" t="n"/>
      <c r="X448" t="inlineStr">
        <is>
          <t>Khớp</t>
        </is>
      </c>
    </row>
    <row r="449">
      <c r="A449" s="65" t="n">
        <v>440</v>
      </c>
      <c r="B449" s="65" t="inlineStr">
        <is>
          <t>25801100004</t>
        </is>
      </c>
      <c r="C449" s="65" t="inlineStr">
        <is>
          <t>Dương Gia</t>
        </is>
      </c>
      <c r="D449" s="65" t="inlineStr">
        <is>
          <t>Bảo</t>
        </is>
      </c>
      <c r="E449" s="65" t="inlineStr">
        <is>
          <t>24/12/2006</t>
        </is>
      </c>
      <c r="F449" s="66" t="inlineStr">
        <is>
          <t>LNH0925ND01</t>
        </is>
      </c>
      <c r="G449" s="90" t="n">
        <v>8415000</v>
      </c>
      <c r="H449" s="65">
        <f>VLOOKUP(B449,'[1]TONG HOP'!B$5:G$624,6,0)</f>
        <v/>
      </c>
      <c r="I449" s="65" t="n">
        <v>2103750</v>
      </c>
      <c r="J449" s="65" t="n"/>
      <c r="K449" s="65" t="n"/>
      <c r="L449" s="65">
        <f>VLOOKUP(B449,'[2]DS THANG 11'!A$3:E$616,5,0)</f>
        <v/>
      </c>
      <c r="M449" s="65" t="n">
        <v>2103750</v>
      </c>
      <c r="N449" s="65" t="n"/>
      <c r="O449" s="65" t="n"/>
      <c r="P449" s="65">
        <f>VLOOKUP(B449,'[3]TONG HOP '!B$5:O$666,14,0)</f>
        <v/>
      </c>
      <c r="Q449" s="65" t="n">
        <v>2103750</v>
      </c>
      <c r="R449" s="65" t="n"/>
      <c r="S449" s="92">
        <f>G449-I449-R449-K449-M449-O449-Q449</f>
        <v/>
      </c>
      <c r="T449" s="92" t="inlineStr"/>
      <c r="U449" s="92" t="inlineStr"/>
      <c r="V449" s="69">
        <f>G449-SUM(I449,K449,M449,O449,Q449,U449)</f>
        <v/>
      </c>
      <c r="W449" s="65" t="n"/>
      <c r="X449" t="inlineStr">
        <is>
          <t>Khớp</t>
        </is>
      </c>
    </row>
    <row r="450">
      <c r="A450" s="65" t="n">
        <v>441</v>
      </c>
      <c r="B450" s="65" t="inlineStr">
        <is>
          <t>25808100046</t>
        </is>
      </c>
      <c r="C450" s="65" t="inlineStr">
        <is>
          <t>Lâm Phú</t>
        </is>
      </c>
      <c r="D450" s="65" t="inlineStr">
        <is>
          <t>Quí</t>
        </is>
      </c>
      <c r="E450" s="65" t="inlineStr">
        <is>
          <t>25/07/2006</t>
        </is>
      </c>
      <c r="F450" s="66" t="inlineStr">
        <is>
          <t>LNH0925ND01</t>
        </is>
      </c>
      <c r="G450" s="90" t="n">
        <v>8415000</v>
      </c>
      <c r="H450" s="65">
        <f>VLOOKUP(B450,'[1]TONG HOP'!B$5:G$624,6,0)</f>
        <v/>
      </c>
      <c r="I450" s="65" t="n">
        <v>2103750</v>
      </c>
      <c r="J450" s="65" t="n"/>
      <c r="K450" s="65" t="n"/>
      <c r="L450" s="65" t="n"/>
      <c r="M450" s="65" t="n"/>
      <c r="N450" s="65" t="n"/>
      <c r="O450" s="65" t="n"/>
      <c r="P450" s="65" t="n"/>
      <c r="Q450" s="65" t="n"/>
      <c r="R450" s="65" t="n"/>
      <c r="S450" s="92">
        <f>G450-I450-R450-K450-M450-O450-Q450</f>
        <v/>
      </c>
      <c r="T450" s="92" t="inlineStr"/>
      <c r="U450" s="92" t="inlineStr"/>
      <c r="V450" s="69">
        <f>G450-SUM(I450,K450,M450,O450,Q450,U450)</f>
        <v/>
      </c>
      <c r="W450" s="65" t="n"/>
      <c r="X450" t="inlineStr">
        <is>
          <t>Khớp</t>
        </is>
      </c>
    </row>
    <row r="451">
      <c r="A451" s="65" t="n">
        <v>442</v>
      </c>
      <c r="B451" s="65" t="inlineStr">
        <is>
          <t>25802800152</t>
        </is>
      </c>
      <c r="C451" s="65" t="inlineStr">
        <is>
          <t>Đỗ Thị Thanh</t>
        </is>
      </c>
      <c r="D451" s="65" t="inlineStr">
        <is>
          <t>Ngân</t>
        </is>
      </c>
      <c r="E451" s="65" t="inlineStr">
        <is>
          <t>01/09/2007</t>
        </is>
      </c>
      <c r="F451" s="66" t="inlineStr">
        <is>
          <t>LNH0925ND01</t>
        </is>
      </c>
      <c r="G451" s="90" t="n">
        <v>8415000</v>
      </c>
      <c r="H451" s="65">
        <f>VLOOKUP(B451,'[1]TONG HOP'!B$5:G$624,6,0)</f>
        <v/>
      </c>
      <c r="I451" s="65" t="n">
        <v>2103750</v>
      </c>
      <c r="J451" s="65" t="n"/>
      <c r="K451" s="65" t="n"/>
      <c r="L451" s="65">
        <f>VLOOKUP(B451,'[2]DS THANG 11'!A$3:E$616,5,0)</f>
        <v/>
      </c>
      <c r="M451" s="65" t="n">
        <v>2103750</v>
      </c>
      <c r="N451" s="65" t="n"/>
      <c r="O451" s="65" t="n"/>
      <c r="P451" s="65" t="n"/>
      <c r="Q451" s="65" t="n"/>
      <c r="R451" s="65" t="n"/>
      <c r="S451" s="92">
        <f>G451-I451-R451-K451-M451-O451-Q451</f>
        <v/>
      </c>
      <c r="T451" s="92" t="inlineStr"/>
      <c r="U451" s="92" t="inlineStr"/>
      <c r="V451" s="69">
        <f>G451-SUM(I451,K451,M451,O451,Q451,U451)</f>
        <v/>
      </c>
      <c r="W451" s="65" t="n"/>
      <c r="X451" t="inlineStr">
        <is>
          <t>Khớp</t>
        </is>
      </c>
    </row>
    <row r="452">
      <c r="A452" s="65" t="n">
        <v>443</v>
      </c>
      <c r="B452" s="65" t="inlineStr">
        <is>
          <t>25800500310</t>
        </is>
      </c>
      <c r="C452" s="65" t="inlineStr">
        <is>
          <t>Phan Gia</t>
        </is>
      </c>
      <c r="D452" s="65" t="inlineStr">
        <is>
          <t>Huy</t>
        </is>
      </c>
      <c r="E452" s="65" t="inlineStr">
        <is>
          <t>03/01/2007</t>
        </is>
      </c>
      <c r="F452" s="66" t="inlineStr">
        <is>
          <t>LNH0925ND01</t>
        </is>
      </c>
      <c r="G452" s="90" t="n">
        <v>8415000</v>
      </c>
      <c r="H452" s="65">
        <f>VLOOKUP(B452,'[1]TONG HOP'!B$5:G$624,6,0)</f>
        <v/>
      </c>
      <c r="I452" s="65" t="n">
        <v>2103750</v>
      </c>
      <c r="J452" s="65" t="n"/>
      <c r="K452" s="65" t="n"/>
      <c r="L452" s="65">
        <f>VLOOKUP(B452,'[2]DS THANG 11'!A$3:E$616,5,0)</f>
        <v/>
      </c>
      <c r="M452" s="65" t="n">
        <v>2103750</v>
      </c>
      <c r="N452" s="65" t="n"/>
      <c r="O452" s="65" t="n"/>
      <c r="P452" s="65">
        <f>VLOOKUP(B452,'[3]TONG HOP '!B$5:O$666,14,0)</f>
        <v/>
      </c>
      <c r="Q452" s="65" t="n">
        <v>2103750</v>
      </c>
      <c r="R452" s="65" t="n"/>
      <c r="S452" s="92">
        <f>G452-I452-R452-K452-M452-O452-Q452</f>
        <v/>
      </c>
      <c r="T452" s="92" t="inlineStr">
        <is>
          <t>LNH0526NQ12</t>
        </is>
      </c>
      <c r="U452" s="92" t="n">
        <v>2103750</v>
      </c>
      <c r="V452" s="69">
        <f>G452-SUM(I452,K452,M452,O452,Q452,U452)</f>
        <v/>
      </c>
      <c r="W452" s="65" t="n"/>
      <c r="X452" t="inlineStr">
        <is>
          <t>Khớp</t>
        </is>
      </c>
    </row>
    <row r="453">
      <c r="A453" s="65" t="n">
        <v>444</v>
      </c>
      <c r="B453" s="65" t="inlineStr">
        <is>
          <t>25808600253</t>
        </is>
      </c>
      <c r="C453" s="65" t="inlineStr">
        <is>
          <t>Trần Thị Kim</t>
        </is>
      </c>
      <c r="D453" s="65" t="inlineStr">
        <is>
          <t>Ngân</t>
        </is>
      </c>
      <c r="E453" s="65" t="inlineStr">
        <is>
          <t>18/11/2006</t>
        </is>
      </c>
      <c r="F453" s="66" t="inlineStr">
        <is>
          <t>LNH0925ND01</t>
        </is>
      </c>
      <c r="G453" s="90" t="n">
        <v>8415000</v>
      </c>
      <c r="H453" s="65">
        <f>VLOOKUP(B453,'[1]TONG HOP'!B$5:G$624,6,0)</f>
        <v/>
      </c>
      <c r="I453" s="65" t="n">
        <v>2103750</v>
      </c>
      <c r="J453" s="65" t="n"/>
      <c r="K453" s="65" t="n"/>
      <c r="L453" s="65">
        <f>VLOOKUP(B453,'[2]DS THANG 11'!A$3:E$616,5,0)</f>
        <v/>
      </c>
      <c r="M453" s="65" t="n">
        <v>2103750</v>
      </c>
      <c r="N453" s="65" t="n"/>
      <c r="O453" s="65" t="n"/>
      <c r="P453" s="65">
        <f>VLOOKUP(B453,'[3]TONG HOP '!B$5:O$666,14,0)</f>
        <v/>
      </c>
      <c r="Q453" s="65" t="n">
        <v>2103750</v>
      </c>
      <c r="R453" s="65" t="n"/>
      <c r="S453" s="92">
        <f>G453-I453-R453-K453-M453-O453-Q453</f>
        <v/>
      </c>
      <c r="T453" s="92" t="inlineStr">
        <is>
          <t>LNH0526NQ02</t>
        </is>
      </c>
      <c r="U453" s="92" t="n">
        <v>2103750</v>
      </c>
      <c r="V453" s="69">
        <f>G453-SUM(I453,K453,M453,O453,Q453,U453)</f>
        <v/>
      </c>
      <c r="W453" s="65" t="n"/>
      <c r="X453" t="inlineStr">
        <is>
          <t>Khớp</t>
        </is>
      </c>
    </row>
    <row r="454">
      <c r="A454" s="65" t="n">
        <v>445</v>
      </c>
      <c r="B454" s="65" t="inlineStr">
        <is>
          <t>25802800402</t>
        </is>
      </c>
      <c r="C454" s="65" t="inlineStr">
        <is>
          <t>Nguyễn Tuấn</t>
        </is>
      </c>
      <c r="D454" s="65" t="inlineStr">
        <is>
          <t>Anh</t>
        </is>
      </c>
      <c r="E454" s="65" t="inlineStr">
        <is>
          <t>13/10/2007</t>
        </is>
      </c>
      <c r="F454" s="66" t="inlineStr">
        <is>
          <t>LNH0925ND01</t>
        </is>
      </c>
      <c r="G454" s="90" t="n">
        <v>8415000</v>
      </c>
      <c r="H454" s="65" t="n"/>
      <c r="I454" s="65" t="n"/>
      <c r="J454" s="65">
        <f>VLOOKUP(B454,[5]Sheet1!A$3:E$32,5,0)</f>
        <v/>
      </c>
      <c r="K454" s="65" t="n">
        <v>2103750</v>
      </c>
      <c r="L454" s="65" t="n"/>
      <c r="M454" s="65" t="n"/>
      <c r="N454" s="65" t="n"/>
      <c r="O454" s="65" t="n"/>
      <c r="P454" s="65" t="n"/>
      <c r="Q454" s="65" t="n"/>
      <c r="R454" s="65" t="n"/>
      <c r="S454" s="92">
        <f>G454-I454-R454-K454-M454-O454-Q454</f>
        <v/>
      </c>
      <c r="T454" s="92" t="inlineStr"/>
      <c r="U454" s="92" t="inlineStr"/>
      <c r="V454" s="69">
        <f>G454-SUM(I454,K454,M454,O454,Q454,U454)</f>
        <v/>
      </c>
      <c r="W454" s="65" t="n"/>
      <c r="X454" t="inlineStr">
        <is>
          <t>Khớp</t>
        </is>
      </c>
    </row>
    <row r="455">
      <c r="A455" s="65" t="n">
        <v>446</v>
      </c>
      <c r="B455" s="65" t="inlineStr">
        <is>
          <t>25806800047</t>
        </is>
      </c>
      <c r="C455" s="65" t="inlineStr">
        <is>
          <t>Hồng Phước</t>
        </is>
      </c>
      <c r="D455" s="65" t="inlineStr">
        <is>
          <t>Nghĩa</t>
        </is>
      </c>
      <c r="E455" s="65" t="inlineStr">
        <is>
          <t>17/11/2007</t>
        </is>
      </c>
      <c r="F455" s="66" t="inlineStr">
        <is>
          <t>LNH0925ND01</t>
        </is>
      </c>
      <c r="G455" s="90" t="n">
        <v>8415000</v>
      </c>
      <c r="H455" s="65">
        <f>VLOOKUP(B455,'[1]TONG HOP'!B$5:G$624,6,0)</f>
        <v/>
      </c>
      <c r="I455" s="65" t="n">
        <v>2103750</v>
      </c>
      <c r="J455" s="65" t="n"/>
      <c r="K455" s="65" t="n"/>
      <c r="L455" s="65">
        <f>VLOOKUP(B455,'[2]DS THANG 11'!A$3:E$616,5,0)</f>
        <v/>
      </c>
      <c r="M455" s="65" t="n">
        <v>2103750</v>
      </c>
      <c r="N455" s="65" t="n"/>
      <c r="O455" s="65" t="n"/>
      <c r="P455" s="65">
        <f>VLOOKUP(B455,'[3]TONG HOP '!B$5:O$666,14,0)</f>
        <v/>
      </c>
      <c r="Q455" s="65" t="n">
        <v>2103750</v>
      </c>
      <c r="R455" s="65" t="n"/>
      <c r="S455" s="92">
        <f>G455-I455-R455-K455-M455-O455-Q455</f>
        <v/>
      </c>
      <c r="T455" s="92" t="inlineStr">
        <is>
          <t>LNH0526NQ06</t>
        </is>
      </c>
      <c r="U455" s="92" t="n">
        <v>2103750</v>
      </c>
      <c r="V455" s="69">
        <f>G455-SUM(I455,K455,M455,O455,Q455,U455)</f>
        <v/>
      </c>
      <c r="W455" s="65" t="n"/>
      <c r="X455" t="inlineStr">
        <is>
          <t>Khớp</t>
        </is>
      </c>
    </row>
    <row r="456">
      <c r="A456" s="65" t="n">
        <v>447</v>
      </c>
      <c r="B456" s="65" t="inlineStr">
        <is>
          <t>25802800399</t>
        </is>
      </c>
      <c r="C456" s="65" t="inlineStr">
        <is>
          <t>Phạm Thanh</t>
        </is>
      </c>
      <c r="D456" s="65" t="inlineStr">
        <is>
          <t>Sơn</t>
        </is>
      </c>
      <c r="E456" s="65" t="inlineStr">
        <is>
          <t>02/07/2007</t>
        </is>
      </c>
      <c r="F456" s="66" t="inlineStr">
        <is>
          <t>LNH0925ND01</t>
        </is>
      </c>
      <c r="G456" s="90" t="n">
        <v>8415000</v>
      </c>
      <c r="H456" s="65">
        <f>VLOOKUP(B456,'[1]TONG HOP'!B$5:G$624,6,0)</f>
        <v/>
      </c>
      <c r="I456" s="65" t="n">
        <v>2103750</v>
      </c>
      <c r="J456" s="65" t="n"/>
      <c r="K456" s="65" t="n"/>
      <c r="L456" s="65">
        <f>VLOOKUP(B456,'[2]DS THANG 11'!A$3:E$616,5,0)</f>
        <v/>
      </c>
      <c r="M456" s="65" t="n">
        <v>2103750</v>
      </c>
      <c r="N456" s="65" t="n"/>
      <c r="O456" s="65" t="n"/>
      <c r="P456" s="65">
        <f>VLOOKUP(B456,'[3]TONG HOP '!B$5:O$666,14,0)</f>
        <v/>
      </c>
      <c r="Q456" s="65" t="n">
        <v>2103750</v>
      </c>
      <c r="R456" s="65" t="n"/>
      <c r="S456" s="92">
        <f>G456-I456-R456-K456-M456-O456-Q456</f>
        <v/>
      </c>
      <c r="T456" s="92" t="inlineStr">
        <is>
          <t>LNH0526NQ02</t>
        </is>
      </c>
      <c r="U456" s="92" t="n">
        <v>2103750</v>
      </c>
      <c r="V456" s="69">
        <f>G456-SUM(I456,K456,M456,O456,Q456,U456)</f>
        <v/>
      </c>
      <c r="W456" s="65" t="n"/>
      <c r="X456" t="inlineStr">
        <is>
          <t>Khớp</t>
        </is>
      </c>
    </row>
    <row r="457">
      <c r="A457" s="65" t="n">
        <v>448</v>
      </c>
      <c r="B457" s="65" t="inlineStr">
        <is>
          <t>25802800140</t>
        </is>
      </c>
      <c r="C457" s="65" t="inlineStr">
        <is>
          <t>Giang Hoàng Đại</t>
        </is>
      </c>
      <c r="D457" s="65" t="inlineStr">
        <is>
          <t>Lợi</t>
        </is>
      </c>
      <c r="E457" s="65" t="inlineStr">
        <is>
          <t>06/04/2007</t>
        </is>
      </c>
      <c r="F457" s="66" t="inlineStr">
        <is>
          <t>LNH0925ND01</t>
        </is>
      </c>
      <c r="G457" s="90" t="n">
        <v>8415000</v>
      </c>
      <c r="H457" s="65">
        <f>VLOOKUP(B457,'[1]TONG HOP'!B$5:G$624,6,0)</f>
        <v/>
      </c>
      <c r="I457" s="65" t="n">
        <v>2103750</v>
      </c>
      <c r="J457" s="65" t="n"/>
      <c r="K457" s="65" t="n"/>
      <c r="L457" s="65">
        <f>VLOOKUP(B457,'[2]DS THANG 11'!A$3:E$616,5,0)</f>
        <v/>
      </c>
      <c r="M457" s="65" t="n">
        <v>2103750</v>
      </c>
      <c r="N457" s="65" t="n"/>
      <c r="O457" s="65" t="n"/>
      <c r="P457" s="65">
        <f>VLOOKUP(B457,'[3]TONG HOP '!B$5:O$666,14,0)</f>
        <v/>
      </c>
      <c r="Q457" s="65" t="n">
        <v>2103750</v>
      </c>
      <c r="R457" s="65" t="n"/>
      <c r="S457" s="92">
        <f>G457-I457-R457-K457-M457-O457-Q457</f>
        <v/>
      </c>
      <c r="T457" s="92" t="inlineStr">
        <is>
          <t>LNH0526NQ03</t>
        </is>
      </c>
      <c r="U457" s="92" t="n">
        <v>2103750</v>
      </c>
      <c r="V457" s="69">
        <f>G457-SUM(I457,K457,M457,O457,Q457,U457)</f>
        <v/>
      </c>
      <c r="W457" s="65" t="n"/>
      <c r="X457" t="inlineStr">
        <is>
          <t>Khớp</t>
        </is>
      </c>
    </row>
    <row r="458">
      <c r="A458" s="65" t="n">
        <v>449</v>
      </c>
      <c r="B458" s="65" t="inlineStr">
        <is>
          <t>25806400041</t>
        </is>
      </c>
      <c r="C458" s="65" t="inlineStr">
        <is>
          <t>Trần Minh</t>
        </is>
      </c>
      <c r="D458" s="65" t="inlineStr">
        <is>
          <t>Lữ</t>
        </is>
      </c>
      <c r="E458" s="65" t="inlineStr">
        <is>
          <t>11/10/2007</t>
        </is>
      </c>
      <c r="F458" s="66" t="inlineStr">
        <is>
          <t>LNH0925ND01</t>
        </is>
      </c>
      <c r="G458" s="90" t="n">
        <v>8415000</v>
      </c>
      <c r="H458" s="65">
        <f>VLOOKUP(B458,'[1]TONG HOP'!B$5:G$624,6,0)</f>
        <v/>
      </c>
      <c r="I458" s="65" t="n">
        <v>2103750</v>
      </c>
      <c r="J458" s="65" t="n"/>
      <c r="K458" s="65" t="n"/>
      <c r="L458" s="65">
        <f>VLOOKUP(B458,'[2]DS THANG 11'!A$3:E$616,5,0)</f>
        <v/>
      </c>
      <c r="M458" s="65" t="n">
        <v>2103750</v>
      </c>
      <c r="N458" s="65" t="n"/>
      <c r="O458" s="65" t="n"/>
      <c r="P458" s="65">
        <f>VLOOKUP(B458,'[3]TONG HOP '!B$5:O$666,14,0)</f>
        <v/>
      </c>
      <c r="Q458" s="65" t="n">
        <v>2103750</v>
      </c>
      <c r="R458" s="65" t="n"/>
      <c r="S458" s="92">
        <f>G458-I458-R458-K458-M458-O458-Q458</f>
        <v/>
      </c>
      <c r="T458" s="92" t="inlineStr">
        <is>
          <t>LNH0526NQ17</t>
        </is>
      </c>
      <c r="U458" s="92" t="n">
        <v>2103750</v>
      </c>
      <c r="V458" s="69">
        <f>G458-SUM(I458,K458,M458,O458,Q458,U458)</f>
        <v/>
      </c>
      <c r="W458" s="65" t="n"/>
      <c r="X458" t="inlineStr">
        <is>
          <t>Khớp</t>
        </is>
      </c>
    </row>
    <row r="459">
      <c r="A459" s="65" t="n">
        <v>450</v>
      </c>
      <c r="B459" s="65" t="inlineStr">
        <is>
          <t>25803800037</t>
        </is>
      </c>
      <c r="C459" s="65" t="inlineStr">
        <is>
          <t>Lê Nguyễn Ngọc</t>
        </is>
      </c>
      <c r="D459" s="65" t="inlineStr">
        <is>
          <t>Ngân</t>
        </is>
      </c>
      <c r="E459" s="65" t="inlineStr">
        <is>
          <t>15/11/2007</t>
        </is>
      </c>
      <c r="F459" s="66" t="inlineStr">
        <is>
          <t>LNH0925ND01</t>
        </is>
      </c>
      <c r="G459" s="90" t="n">
        <v>8415000</v>
      </c>
      <c r="H459" s="65">
        <f>VLOOKUP(B459,'[1]TONG HOP'!B$5:G$624,6,0)</f>
        <v/>
      </c>
      <c r="I459" s="65" t="n">
        <v>2103750</v>
      </c>
      <c r="J459" s="65" t="n"/>
      <c r="K459" s="65" t="n"/>
      <c r="L459" s="65">
        <f>VLOOKUP(B459,'[2]DS THANG 11'!A$3:E$616,5,0)</f>
        <v/>
      </c>
      <c r="M459" s="65" t="n">
        <v>2103750</v>
      </c>
      <c r="N459" s="65" t="n"/>
      <c r="O459" s="65" t="n"/>
      <c r="P459" s="65">
        <f>VLOOKUP(B459,'[3]TONG HOP '!B$5:O$666,14,0)</f>
        <v/>
      </c>
      <c r="Q459" s="65" t="n">
        <v>2103750</v>
      </c>
      <c r="R459" s="65" t="n"/>
      <c r="S459" s="92">
        <f>G459-I459-R459-K459-M459-O459-Q459</f>
        <v/>
      </c>
      <c r="T459" s="92" t="inlineStr">
        <is>
          <t>LNH0526NQ20</t>
        </is>
      </c>
      <c r="U459" s="92" t="n">
        <v>2103750</v>
      </c>
      <c r="V459" s="69">
        <f>G459-SUM(I459,K459,M459,O459,Q459,U459)</f>
        <v/>
      </c>
      <c r="W459" s="65" t="n"/>
      <c r="X459" t="inlineStr">
        <is>
          <t>Khớp</t>
        </is>
      </c>
    </row>
    <row r="460">
      <c r="A460" s="65" t="n">
        <v>451</v>
      </c>
      <c r="B460" s="65" t="inlineStr">
        <is>
          <t>25801900092</t>
        </is>
      </c>
      <c r="C460" s="65" t="inlineStr">
        <is>
          <t>Lê Thị Thúy</t>
        </is>
      </c>
      <c r="D460" s="65" t="inlineStr">
        <is>
          <t>Ngân</t>
        </is>
      </c>
      <c r="E460" s="65" t="inlineStr">
        <is>
          <t>04/09/2007</t>
        </is>
      </c>
      <c r="F460" s="66" t="inlineStr">
        <is>
          <t>LNH0925ND01</t>
        </is>
      </c>
      <c r="G460" s="90" t="n">
        <v>8415000</v>
      </c>
      <c r="H460" s="65">
        <f>VLOOKUP(B460,'[1]TONG HOP'!B$5:G$624,6,0)</f>
        <v/>
      </c>
      <c r="I460" s="65" t="n">
        <v>2103750</v>
      </c>
      <c r="J460" s="65" t="n"/>
      <c r="K460" s="65" t="n"/>
      <c r="L460" s="65">
        <f>VLOOKUP(B460,'[2]DS THANG 11'!A$3:E$616,5,0)</f>
        <v/>
      </c>
      <c r="M460" s="65" t="n">
        <v>2103750</v>
      </c>
      <c r="N460" s="65" t="n"/>
      <c r="O460" s="65" t="n"/>
      <c r="P460" s="65">
        <f>VLOOKUP(B460,'[3]TONG HOP '!B$5:O$666,14,0)</f>
        <v/>
      </c>
      <c r="Q460" s="65" t="n">
        <v>2103750</v>
      </c>
      <c r="R460" s="65" t="n"/>
      <c r="S460" s="92">
        <f>G460-I460-R460-K460-M460-O460-Q460</f>
        <v/>
      </c>
      <c r="T460" s="92" t="inlineStr"/>
      <c r="U460" s="92" t="inlineStr"/>
      <c r="V460" s="69">
        <f>G460-SUM(I460,K460,M460,O460,Q460,U460)</f>
        <v/>
      </c>
      <c r="W460" s="65" t="n"/>
      <c r="X460" t="inlineStr">
        <is>
          <t>Khớp</t>
        </is>
      </c>
    </row>
    <row r="461">
      <c r="A461" s="65" t="n">
        <v>452</v>
      </c>
      <c r="B461" s="65" t="inlineStr">
        <is>
          <t>25801300015</t>
        </is>
      </c>
      <c r="C461" s="65" t="inlineStr">
        <is>
          <t>Dương Thị Minh</t>
        </is>
      </c>
      <c r="D461" s="65" t="inlineStr">
        <is>
          <t>Lộc</t>
        </is>
      </c>
      <c r="E461" s="65" t="inlineStr">
        <is>
          <t>12/06/2007</t>
        </is>
      </c>
      <c r="F461" s="66" t="inlineStr">
        <is>
          <t>LNH0925ND01</t>
        </is>
      </c>
      <c r="G461" s="90" t="n">
        <v>8415000</v>
      </c>
      <c r="H461" s="65">
        <f>VLOOKUP(B461,'[1]TONG HOP'!B$5:G$624,6,0)</f>
        <v/>
      </c>
      <c r="I461" s="65" t="n">
        <v>2103750</v>
      </c>
      <c r="J461" s="65" t="n"/>
      <c r="K461" s="65" t="n"/>
      <c r="L461" s="65">
        <f>VLOOKUP(B461,'[2]DS THANG 11'!A$3:E$616,5,0)</f>
        <v/>
      </c>
      <c r="M461" s="65" t="n">
        <v>2103750</v>
      </c>
      <c r="N461" s="65" t="n"/>
      <c r="O461" s="65" t="n"/>
      <c r="P461" s="65">
        <f>VLOOKUP(B461,'[3]TONG HOP '!B$5:O$666,14,0)</f>
        <v/>
      </c>
      <c r="Q461" s="65" t="n">
        <v>2103750</v>
      </c>
      <c r="R461" s="65" t="n"/>
      <c r="S461" s="92">
        <f>G461-I461-R461-K461-M461-O461-Q461</f>
        <v/>
      </c>
      <c r="T461" s="92" t="inlineStr"/>
      <c r="U461" s="92" t="inlineStr"/>
      <c r="V461" s="69">
        <f>G461-SUM(I461,K461,M461,O461,Q461,U461)</f>
        <v/>
      </c>
      <c r="W461" s="65" t="n"/>
      <c r="X461" t="inlineStr">
        <is>
          <t>Khớp</t>
        </is>
      </c>
    </row>
    <row r="462">
      <c r="A462" s="65" t="n">
        <v>453</v>
      </c>
      <c r="B462" s="65" t="inlineStr">
        <is>
          <t>25801200012</t>
        </is>
      </c>
      <c r="C462" s="65" t="inlineStr">
        <is>
          <t>Hứa Nguyễn Gia</t>
        </is>
      </c>
      <c r="D462" s="65" t="inlineStr">
        <is>
          <t>Hân</t>
        </is>
      </c>
      <c r="E462" s="65" t="inlineStr">
        <is>
          <t>08/01/2007</t>
        </is>
      </c>
      <c r="F462" s="66" t="inlineStr">
        <is>
          <t>LNH0925ND01</t>
        </is>
      </c>
      <c r="G462" s="90" t="n">
        <v>8415000</v>
      </c>
      <c r="H462" s="65">
        <f>VLOOKUP(B462,'[1]TONG HOP'!B$5:G$624,6,0)</f>
        <v/>
      </c>
      <c r="I462" s="65" t="n">
        <v>2103750</v>
      </c>
      <c r="J462" s="65" t="n"/>
      <c r="K462" s="65" t="n"/>
      <c r="L462" s="65">
        <f>VLOOKUP(B462,'[2]DS THANG 11'!A$3:E$616,5,0)</f>
        <v/>
      </c>
      <c r="M462" s="65" t="n">
        <v>2103750</v>
      </c>
      <c r="N462" s="65" t="n"/>
      <c r="O462" s="65" t="n"/>
      <c r="P462" s="65">
        <f>VLOOKUP(B462,'[3]TONG HOP '!B$5:O$666,14,0)</f>
        <v/>
      </c>
      <c r="Q462" s="65" t="n">
        <v>2103750</v>
      </c>
      <c r="R462" s="65" t="n"/>
      <c r="S462" s="92">
        <f>G462-I462-R462-K462-M462-O462-Q462</f>
        <v/>
      </c>
      <c r="T462" s="92" t="inlineStr">
        <is>
          <t>LNH0526NQ19</t>
        </is>
      </c>
      <c r="U462" s="92" t="n">
        <v>2103750</v>
      </c>
      <c r="V462" s="69">
        <f>G462-SUM(I462,K462,M462,O462,Q462,U462)</f>
        <v/>
      </c>
      <c r="W462" s="65" t="n"/>
      <c r="X462" t="inlineStr">
        <is>
          <t>Khớp</t>
        </is>
      </c>
    </row>
    <row r="463">
      <c r="A463" s="65" t="n">
        <v>454</v>
      </c>
      <c r="B463" s="65" t="inlineStr">
        <is>
          <t>25802300057</t>
        </is>
      </c>
      <c r="C463" s="65" t="inlineStr">
        <is>
          <t>Nguyễn Văn</t>
        </is>
      </c>
      <c r="D463" s="65" t="inlineStr">
        <is>
          <t>Định</t>
        </is>
      </c>
      <c r="E463" s="65" t="inlineStr">
        <is>
          <t>08/04/2007</t>
        </is>
      </c>
      <c r="F463" s="66" t="inlineStr">
        <is>
          <t>LNH0925ND01</t>
        </is>
      </c>
      <c r="G463" s="90" t="n">
        <v>2100000</v>
      </c>
      <c r="H463" s="65">
        <f>VLOOKUP(B463,'[1]TONG HOP'!B$5:G$624,6,0)</f>
        <v/>
      </c>
      <c r="I463" s="65" t="n">
        <v>2100000</v>
      </c>
      <c r="J463" s="65" t="n"/>
      <c r="K463" s="65" t="n"/>
      <c r="L463" s="65" t="n"/>
      <c r="M463" s="65" t="n"/>
      <c r="N463" s="65" t="n"/>
      <c r="O463" s="65" t="n"/>
      <c r="P463" s="65" t="n"/>
      <c r="Q463" s="65" t="n"/>
      <c r="R463" s="65" t="n"/>
      <c r="S463" s="92">
        <f>G463-I463-R463-K463-M463-O463-Q463</f>
        <v/>
      </c>
      <c r="T463" s="92" t="inlineStr"/>
      <c r="U463" s="92" t="inlineStr"/>
      <c r="V463" s="69">
        <f>G463-SUM(I463,K463,M463,O463,Q463,U463)</f>
        <v/>
      </c>
      <c r="W463" s="65" t="n"/>
      <c r="X463" t="inlineStr">
        <is>
          <t>Khớp</t>
        </is>
      </c>
    </row>
    <row r="464">
      <c r="A464" s="65" t="n">
        <v>455</v>
      </c>
      <c r="B464" s="65" t="inlineStr">
        <is>
          <t>25808600087</t>
        </is>
      </c>
      <c r="C464" s="65" t="inlineStr">
        <is>
          <t>Võ Thị Tuyết</t>
        </is>
      </c>
      <c r="D464" s="65" t="inlineStr">
        <is>
          <t>Như</t>
        </is>
      </c>
      <c r="E464" s="65" t="inlineStr">
        <is>
          <t>15/11/2007</t>
        </is>
      </c>
      <c r="F464" s="66" t="inlineStr">
        <is>
          <t>LNH0925ND01</t>
        </is>
      </c>
      <c r="G464" s="90" t="n">
        <v>8415000</v>
      </c>
      <c r="H464" s="65">
        <f>VLOOKUP(B464,'[1]TONG HOP'!B$5:G$624,6,0)</f>
        <v/>
      </c>
      <c r="I464" s="65" t="n">
        <v>2103750</v>
      </c>
      <c r="J464" s="65" t="n"/>
      <c r="K464" s="65" t="n"/>
      <c r="L464" s="65">
        <f>VLOOKUP(B464,'[2]DS THANG 11'!A$3:E$616,5,0)</f>
        <v/>
      </c>
      <c r="M464" s="65" t="n">
        <v>2103750</v>
      </c>
      <c r="N464" s="65" t="n"/>
      <c r="O464" s="65" t="n"/>
      <c r="P464" s="65">
        <f>VLOOKUP(B464,'[3]TONG HOP '!B$5:O$666,14,0)</f>
        <v/>
      </c>
      <c r="Q464" s="65" t="n">
        <v>2103750</v>
      </c>
      <c r="R464" s="65" t="n"/>
      <c r="S464" s="92">
        <f>G464-I464-R464-K464-M464-O464-Q464</f>
        <v/>
      </c>
      <c r="T464" s="92" t="inlineStr"/>
      <c r="U464" s="92" t="inlineStr"/>
      <c r="V464" s="69">
        <f>G464-SUM(I464,K464,M464,O464,Q464,U464)</f>
        <v/>
      </c>
      <c r="W464" s="65" t="n"/>
      <c r="X464" t="inlineStr">
        <is>
          <t>Khớp</t>
        </is>
      </c>
    </row>
    <row r="465">
      <c r="A465" s="65" t="n">
        <v>456</v>
      </c>
      <c r="B465" s="65" t="inlineStr">
        <is>
          <t>25803000317</t>
        </is>
      </c>
      <c r="C465" s="65" t="inlineStr">
        <is>
          <t>Trần Gia</t>
        </is>
      </c>
      <c r="D465" s="65" t="inlineStr">
        <is>
          <t>Long</t>
        </is>
      </c>
      <c r="E465" s="65" t="inlineStr">
        <is>
          <t>15/12/2007</t>
        </is>
      </c>
      <c r="F465" s="66" t="inlineStr">
        <is>
          <t>LNH0925ND01</t>
        </is>
      </c>
      <c r="G465" s="90" t="n">
        <v>1000000</v>
      </c>
      <c r="H465" s="65" t="n"/>
      <c r="I465" s="65" t="n"/>
      <c r="J465" s="65" t="n"/>
      <c r="K465" s="65" t="n"/>
      <c r="L465" s="65" t="n"/>
      <c r="M465" s="65" t="n"/>
      <c r="N465" s="65" t="n"/>
      <c r="O465" s="65" t="n"/>
      <c r="P465" s="65" t="n"/>
      <c r="Q465" s="65" t="n"/>
      <c r="R465" s="65" t="n"/>
      <c r="S465" s="92">
        <f>G465-I465-R465-K465-M465-O465-Q465</f>
        <v/>
      </c>
      <c r="T465" s="92" t="inlineStr"/>
      <c r="U465" s="92" t="inlineStr"/>
      <c r="V465" s="69">
        <f>G465-SUM(I465,K465,M465,O465,Q465,U465)</f>
        <v/>
      </c>
      <c r="W465" s="65" t="n"/>
      <c r="X465" t="inlineStr">
        <is>
          <t>Khớp</t>
        </is>
      </c>
    </row>
    <row r="466">
      <c r="A466" s="65" t="n">
        <v>457</v>
      </c>
      <c r="B466" s="65" t="inlineStr">
        <is>
          <t>25802800141</t>
        </is>
      </c>
      <c r="C466" s="65" t="inlineStr">
        <is>
          <t>Nguyễn Đức</t>
        </is>
      </c>
      <c r="D466" s="65" t="inlineStr">
        <is>
          <t>Lợi</t>
        </is>
      </c>
      <c r="E466" s="65" t="inlineStr">
        <is>
          <t>17/04/2007</t>
        </is>
      </c>
      <c r="F466" s="66" t="inlineStr">
        <is>
          <t>LNH0925ND01</t>
        </is>
      </c>
      <c r="G466" s="90">
        <f>1000000+3465000</f>
        <v/>
      </c>
      <c r="H466" s="65" t="n"/>
      <c r="I466" s="65" t="n"/>
      <c r="J466" s="65" t="n"/>
      <c r="K466" s="65" t="n"/>
      <c r="L466" s="65">
        <f>VLOOKUP(B466,'[2]DS THANG 11'!A$3:E$616,5,0)</f>
        <v/>
      </c>
      <c r="M466" s="65" t="n">
        <v>2232500</v>
      </c>
      <c r="N466" s="65" t="n"/>
      <c r="O466" s="65" t="n"/>
      <c r="P466" s="65">
        <f>VLOOKUP(B466,'[3]TONG HOP '!B$5:O$666,14,0)</f>
        <v/>
      </c>
      <c r="Q466" s="65" t="n">
        <v>2232500</v>
      </c>
      <c r="R466" s="65" t="n"/>
      <c r="S466" s="92">
        <f>G466-I466-R466-K466-M466-O466-Q466</f>
        <v/>
      </c>
      <c r="T466" s="92" t="inlineStr">
        <is>
          <t>LNH0526NG01</t>
        </is>
      </c>
      <c r="U466" s="92" t="n">
        <v>2600000</v>
      </c>
      <c r="V466" s="69">
        <f>G466-SUM(I466,K466,M466,O466,Q466,U466)</f>
        <v/>
      </c>
      <c r="W466" s="65" t="inlineStr">
        <is>
          <t>Đóng bs ngày 16.12.2025</t>
        </is>
      </c>
      <c r="X466" t="inlineStr">
        <is>
          <t>Khớp</t>
        </is>
      </c>
    </row>
    <row r="467">
      <c r="A467" s="65" t="n">
        <v>458</v>
      </c>
      <c r="B467" s="65" t="inlineStr">
        <is>
          <t>25808700080</t>
        </is>
      </c>
      <c r="C467" s="65" t="inlineStr">
        <is>
          <t>Trần Hồng</t>
        </is>
      </c>
      <c r="D467" s="65" t="inlineStr">
        <is>
          <t>Phúc</t>
        </is>
      </c>
      <c r="E467" s="65" t="inlineStr">
        <is>
          <t>17/08/2007</t>
        </is>
      </c>
      <c r="F467" s="66" t="inlineStr">
        <is>
          <t>LNH0925ND01</t>
        </is>
      </c>
      <c r="G467" s="90" t="n">
        <v>1000000</v>
      </c>
      <c r="H467" s="65" t="n"/>
      <c r="I467" s="65" t="n"/>
      <c r="J467" s="65" t="n"/>
      <c r="K467" s="65" t="n"/>
      <c r="L467" s="65" t="n"/>
      <c r="M467" s="65" t="n"/>
      <c r="N467" s="65" t="n"/>
      <c r="O467" s="65" t="n"/>
      <c r="P467" s="65" t="n"/>
      <c r="Q467" s="65" t="n"/>
      <c r="R467" s="65" t="n"/>
      <c r="S467" s="92">
        <f>G467-I467-R467-K467-M467-O467-Q467</f>
        <v/>
      </c>
      <c r="T467" s="92" t="inlineStr"/>
      <c r="U467" s="92" t="inlineStr"/>
      <c r="V467" s="69">
        <f>G467-SUM(I467,K467,M467,O467,Q467,U467)</f>
        <v/>
      </c>
      <c r="W467" s="65" t="n"/>
      <c r="X467" t="inlineStr">
        <is>
          <t>Khớp</t>
        </is>
      </c>
    </row>
    <row r="468">
      <c r="A468" s="65" t="n">
        <v>459</v>
      </c>
      <c r="B468" s="65" t="inlineStr">
        <is>
          <t>25800500133</t>
        </is>
      </c>
      <c r="C468" s="65" t="inlineStr">
        <is>
          <t>Nguyễn Tấn</t>
        </is>
      </c>
      <c r="D468" s="65" t="inlineStr">
        <is>
          <t>Phát</t>
        </is>
      </c>
      <c r="E468" s="65" t="inlineStr">
        <is>
          <t>25/12/2007</t>
        </is>
      </c>
      <c r="F468" s="66" t="inlineStr">
        <is>
          <t>LNH0925ND01</t>
        </is>
      </c>
      <c r="G468" s="90" t="n">
        <v>8415000</v>
      </c>
      <c r="H468" s="65">
        <f>VLOOKUP(B468,'[1]TONG HOP'!B$5:G$624,6,0)</f>
        <v/>
      </c>
      <c r="I468" s="65" t="n">
        <v>2103750</v>
      </c>
      <c r="J468" s="65" t="n"/>
      <c r="K468" s="65" t="n"/>
      <c r="L468" s="65">
        <f>VLOOKUP(B468,'[2]DS THANG 11'!A$3:E$616,5,0)</f>
        <v/>
      </c>
      <c r="M468" s="65" t="n">
        <v>2103750</v>
      </c>
      <c r="N468" s="65" t="n"/>
      <c r="O468" s="65" t="n"/>
      <c r="P468" s="65">
        <f>VLOOKUP(B468,'[3]TONG HOP '!B$5:O$666,14,0)</f>
        <v/>
      </c>
      <c r="Q468" s="65" t="n">
        <v>2103750</v>
      </c>
      <c r="R468" s="65" t="n"/>
      <c r="S468" s="92">
        <f>G468-I468-R468-K468-M468-O468-Q468</f>
        <v/>
      </c>
      <c r="T468" s="92" t="inlineStr">
        <is>
          <t>LNH0526NQ11</t>
        </is>
      </c>
      <c r="U468" s="92" t="n">
        <v>2103750</v>
      </c>
      <c r="V468" s="69">
        <f>G468-SUM(I468,K468,M468,O468,Q468,U468)</f>
        <v/>
      </c>
      <c r="W468" s="65" t="n"/>
      <c r="X468" t="inlineStr">
        <is>
          <t>Khớp</t>
        </is>
      </c>
    </row>
    <row r="469">
      <c r="A469" s="65" t="n">
        <v>460</v>
      </c>
      <c r="B469" s="65" t="inlineStr">
        <is>
          <t>25800500113</t>
        </is>
      </c>
      <c r="C469" s="65" t="inlineStr">
        <is>
          <t>Nguyễn Chí</t>
        </is>
      </c>
      <c r="D469" s="65" t="inlineStr">
        <is>
          <t>Nam</t>
        </is>
      </c>
      <c r="E469" s="65" t="inlineStr">
        <is>
          <t>24/09/2007</t>
        </is>
      </c>
      <c r="F469" s="66" t="inlineStr">
        <is>
          <t>LNH0925ND01</t>
        </is>
      </c>
      <c r="G469" s="90" t="n">
        <v>4465000</v>
      </c>
      <c r="H469" s="65">
        <f>VLOOKUP(B469,'[1]TONG HOP'!B$5:G$624,6,0)</f>
        <v/>
      </c>
      <c r="I469" s="65" t="n">
        <v>2232500</v>
      </c>
      <c r="J469" s="65" t="n"/>
      <c r="K469" s="65" t="n"/>
      <c r="L469" s="65">
        <f>VLOOKUP(B469,'[2]DS THANG 11'!A$3:E$616,5,0)</f>
        <v/>
      </c>
      <c r="M469" s="65" t="n">
        <v>2232500</v>
      </c>
      <c r="N469" s="65" t="n"/>
      <c r="O469" s="65" t="n"/>
      <c r="P469" s="65" t="n"/>
      <c r="Q469" s="65" t="n"/>
      <c r="R469" s="65" t="n"/>
      <c r="S469" s="92">
        <f>G469-I469-R469-K469-M469-O469-Q469</f>
        <v/>
      </c>
      <c r="T469" s="92" t="inlineStr"/>
      <c r="U469" s="92" t="inlineStr"/>
      <c r="V469" s="69">
        <f>G469-SUM(I469,K469,M469,O469,Q469,U469)</f>
        <v/>
      </c>
      <c r="W469" s="65" t="n"/>
      <c r="X469" t="inlineStr">
        <is>
          <t>Khớp</t>
        </is>
      </c>
    </row>
    <row r="470">
      <c r="A470" s="65" t="n">
        <v>461</v>
      </c>
      <c r="B470" s="65" t="inlineStr">
        <is>
          <t>25801200005</t>
        </is>
      </c>
      <c r="C470" s="65" t="inlineStr">
        <is>
          <t>Nguyễn Thế</t>
        </is>
      </c>
      <c r="D470" s="65" t="inlineStr">
        <is>
          <t>Bảo</t>
        </is>
      </c>
      <c r="E470" s="65" t="inlineStr">
        <is>
          <t>10/04/2007</t>
        </is>
      </c>
      <c r="F470" s="66" t="inlineStr">
        <is>
          <t>LNH0925ND01</t>
        </is>
      </c>
      <c r="G470" s="90" t="n">
        <v>2100000</v>
      </c>
      <c r="H470" s="65">
        <f>VLOOKUP(B470,'[1]TONG HOP'!B$5:G$624,6,0)</f>
        <v/>
      </c>
      <c r="I470" s="65" t="n">
        <v>2100000</v>
      </c>
      <c r="J470" s="65" t="n"/>
      <c r="K470" s="65" t="n"/>
      <c r="L470" s="65" t="n"/>
      <c r="M470" s="65" t="n"/>
      <c r="N470" s="65" t="n"/>
      <c r="O470" s="65" t="n"/>
      <c r="P470" s="65" t="n"/>
      <c r="Q470" s="65" t="n"/>
      <c r="R470" s="65" t="n"/>
      <c r="S470" s="92">
        <f>G470-I470-R470-K470-M470-O470-Q470</f>
        <v/>
      </c>
      <c r="T470" s="92" t="inlineStr"/>
      <c r="U470" s="92" t="inlineStr"/>
      <c r="V470" s="69">
        <f>G470-SUM(I470,K470,M470,O470,Q470,U470)</f>
        <v/>
      </c>
      <c r="W470" s="65" t="n"/>
      <c r="X470" t="inlineStr">
        <is>
          <t>Khớp</t>
        </is>
      </c>
    </row>
    <row r="471">
      <c r="A471" s="65" t="n">
        <v>462</v>
      </c>
      <c r="B471" s="65" t="inlineStr">
        <is>
          <t>25808500024</t>
        </is>
      </c>
      <c r="C471" s="65" t="inlineStr">
        <is>
          <t>Đinh Nguyễn Gia</t>
        </is>
      </c>
      <c r="D471" s="65" t="inlineStr">
        <is>
          <t>Bảo</t>
        </is>
      </c>
      <c r="E471" s="65" t="inlineStr">
        <is>
          <t>07/12/2006</t>
        </is>
      </c>
      <c r="F471" s="66" t="inlineStr">
        <is>
          <t>LNH0925ND01</t>
        </is>
      </c>
      <c r="G471" s="90" t="n">
        <v>8415000</v>
      </c>
      <c r="H471" s="65">
        <f>VLOOKUP(B471,'[1]TONG HOP'!B$5:G$624,6,0)</f>
        <v/>
      </c>
      <c r="I471" s="65" t="n">
        <v>2103750</v>
      </c>
      <c r="J471" s="65" t="n"/>
      <c r="K471" s="65" t="n"/>
      <c r="L471" s="65" t="n"/>
      <c r="M471" s="65" t="n"/>
      <c r="N471" s="65" t="n"/>
      <c r="O471" s="65" t="n"/>
      <c r="P471" s="65" t="n"/>
      <c r="Q471" s="65" t="n"/>
      <c r="R471" s="65" t="n"/>
      <c r="S471" s="92">
        <f>G471-I471-R471-K471-M471-O471-Q471</f>
        <v/>
      </c>
      <c r="T471" s="92" t="inlineStr"/>
      <c r="U471" s="92" t="inlineStr"/>
      <c r="V471" s="69">
        <f>G471-SUM(I471,K471,M471,O471,Q471,U471)</f>
        <v/>
      </c>
      <c r="W471" s="65" t="n"/>
      <c r="X471" t="inlineStr">
        <is>
          <t>Khớp</t>
        </is>
      </c>
    </row>
    <row r="472">
      <c r="A472" s="65" t="n">
        <v>463</v>
      </c>
      <c r="B472" s="65" t="inlineStr">
        <is>
          <t>25807700017</t>
        </is>
      </c>
      <c r="C472" s="65" t="inlineStr">
        <is>
          <t>Hà Quốc</t>
        </is>
      </c>
      <c r="D472" s="65" t="inlineStr">
        <is>
          <t>Dũng</t>
        </is>
      </c>
      <c r="E472" s="65" t="inlineStr">
        <is>
          <t>18/01/2007</t>
        </is>
      </c>
      <c r="F472" s="66" t="inlineStr">
        <is>
          <t>LNH0925ND01</t>
        </is>
      </c>
      <c r="G472" s="90" t="n">
        <v>8415000</v>
      </c>
      <c r="H472" s="65">
        <f>VLOOKUP(B472,'[1]TONG HOP'!B$5:G$624,6,0)</f>
        <v/>
      </c>
      <c r="I472" s="65" t="n">
        <v>2103750</v>
      </c>
      <c r="J472" s="65" t="n"/>
      <c r="K472" s="65" t="n"/>
      <c r="L472" s="65">
        <f>VLOOKUP(B472,'[2]DS THANG 11'!A$3:E$616,5,0)</f>
        <v/>
      </c>
      <c r="M472" s="65" t="n">
        <v>2103750</v>
      </c>
      <c r="N472" s="65" t="n"/>
      <c r="O472" s="65" t="n"/>
      <c r="P472" s="65">
        <f>VLOOKUP(B472,'[3]TONG HOP '!B$5:O$666,14,0)</f>
        <v/>
      </c>
      <c r="Q472" s="65" t="n">
        <v>2103750</v>
      </c>
      <c r="R472" s="65" t="n"/>
      <c r="S472" s="92">
        <f>G472-I472-R472-K472-M472-O472-Q472</f>
        <v/>
      </c>
      <c r="T472" s="92" t="inlineStr">
        <is>
          <t>LNH0526NQ19</t>
        </is>
      </c>
      <c r="U472" s="92" t="n">
        <v>2103750</v>
      </c>
      <c r="V472" s="69">
        <f>G472-SUM(I472,K472,M472,O472,Q472,U472)</f>
        <v/>
      </c>
      <c r="W472" s="65" t="n"/>
      <c r="X472" t="inlineStr">
        <is>
          <t>Khớp</t>
        </is>
      </c>
    </row>
    <row r="473">
      <c r="A473" s="65" t="n">
        <v>464</v>
      </c>
      <c r="B473" s="65" t="inlineStr">
        <is>
          <t>25808600180</t>
        </is>
      </c>
      <c r="C473" s="65" t="inlineStr">
        <is>
          <t>Nguyễn Nông Khánh</t>
        </is>
      </c>
      <c r="D473" s="65" t="inlineStr">
        <is>
          <t>Linh</t>
        </is>
      </c>
      <c r="E473" s="65" t="inlineStr">
        <is>
          <t>21/08/2007</t>
        </is>
      </c>
      <c r="F473" s="66" t="inlineStr">
        <is>
          <t>LNH0925ND01</t>
        </is>
      </c>
      <c r="G473" s="90" t="n">
        <v>8415000</v>
      </c>
      <c r="H473" s="65">
        <f>VLOOKUP(B473,'[1]TONG HOP'!B$5:G$624,6,0)</f>
        <v/>
      </c>
      <c r="I473" s="65" t="n">
        <v>2103750</v>
      </c>
      <c r="J473" s="65" t="n"/>
      <c r="K473" s="65" t="n"/>
      <c r="L473" s="65">
        <f>VLOOKUP(B473,'[2]DS THANG 11'!A$3:E$616,5,0)</f>
        <v/>
      </c>
      <c r="M473" s="65" t="n">
        <v>2103750</v>
      </c>
      <c r="N473" s="65" t="n"/>
      <c r="O473" s="65" t="n"/>
      <c r="P473" s="65">
        <f>VLOOKUP(B473,'[3]TONG HOP '!B$5:O$666,14,0)</f>
        <v/>
      </c>
      <c r="Q473" s="65" t="n">
        <v>2103750</v>
      </c>
      <c r="R473" s="65" t="n"/>
      <c r="S473" s="92">
        <f>G473-I473-R473-K473-M473-O473-Q473</f>
        <v/>
      </c>
      <c r="T473" s="92" t="inlineStr">
        <is>
          <t>LNH0526NQ06</t>
        </is>
      </c>
      <c r="U473" s="92" t="n">
        <v>2103750</v>
      </c>
      <c r="V473" s="69">
        <f>G473-SUM(I473,K473,M473,O473,Q473,U473)</f>
        <v/>
      </c>
      <c r="W473" s="65" t="n"/>
      <c r="X473" t="inlineStr">
        <is>
          <t>Khớp</t>
        </is>
      </c>
    </row>
    <row r="474">
      <c r="A474" s="65" t="n">
        <v>465</v>
      </c>
      <c r="B474" s="65" t="inlineStr">
        <is>
          <t>25802300142</t>
        </is>
      </c>
      <c r="C474" s="65" t="inlineStr">
        <is>
          <t>Đặng Thị Khánh</t>
        </is>
      </c>
      <c r="D474" s="65" t="inlineStr">
        <is>
          <t>Ly</t>
        </is>
      </c>
      <c r="E474" s="65" t="inlineStr">
        <is>
          <t>22/06/2007</t>
        </is>
      </c>
      <c r="F474" s="66" t="inlineStr">
        <is>
          <t>LNH0925ND01</t>
        </is>
      </c>
      <c r="G474" s="90" t="n">
        <v>4465000</v>
      </c>
      <c r="H474" s="65">
        <f>VLOOKUP(B474,'[1]TONG HOP'!B$5:G$624,6,0)</f>
        <v/>
      </c>
      <c r="I474" s="65" t="n">
        <v>2232500</v>
      </c>
      <c r="J474" s="65" t="n"/>
      <c r="K474" s="65" t="n"/>
      <c r="L474" s="65">
        <f>VLOOKUP(B474,'[2]DS THANG 11'!A$3:E$616,5,0)</f>
        <v/>
      </c>
      <c r="M474" s="65" t="n">
        <v>2232500</v>
      </c>
      <c r="N474" s="65" t="n"/>
      <c r="O474" s="65" t="n"/>
      <c r="P474" s="65" t="n"/>
      <c r="Q474" s="65" t="n"/>
      <c r="R474" s="65" t="n"/>
      <c r="S474" s="92">
        <f>G474-I474-R474-K474-M474-O474-Q474</f>
        <v/>
      </c>
      <c r="T474" s="92" t="inlineStr"/>
      <c r="U474" s="92" t="inlineStr"/>
      <c r="V474" s="69">
        <f>G474-SUM(I474,K474,M474,O474,Q474,U474)</f>
        <v/>
      </c>
      <c r="W474" s="65" t="n"/>
      <c r="X474" t="inlineStr">
        <is>
          <t>Khớp</t>
        </is>
      </c>
    </row>
    <row r="475">
      <c r="A475" s="65" t="n">
        <v>466</v>
      </c>
      <c r="B475" s="65" t="inlineStr">
        <is>
          <t>25808300103</t>
        </is>
      </c>
      <c r="C475" s="65" t="inlineStr">
        <is>
          <t>Lê Thị Thuỳ</t>
        </is>
      </c>
      <c r="D475" s="65" t="inlineStr">
        <is>
          <t>Dịu</t>
        </is>
      </c>
      <c r="E475" s="65" t="inlineStr">
        <is>
          <t>25/11/2007</t>
        </is>
      </c>
      <c r="F475" s="66" t="inlineStr">
        <is>
          <t>LNH0925ND01</t>
        </is>
      </c>
      <c r="G475" s="90" t="n">
        <v>8415000</v>
      </c>
      <c r="H475" s="65">
        <f>VLOOKUP(B475,'[1]TONG HOP'!B$5:G$624,6,0)</f>
        <v/>
      </c>
      <c r="I475" s="65" t="n">
        <v>2103750</v>
      </c>
      <c r="J475" s="65" t="n"/>
      <c r="K475" s="65" t="n"/>
      <c r="L475" s="65">
        <f>VLOOKUP(B475,'[2]DS THANG 11'!A$3:E$616,5,0)</f>
        <v/>
      </c>
      <c r="M475" s="65" t="n">
        <v>2103750</v>
      </c>
      <c r="N475" s="65" t="n"/>
      <c r="O475" s="65" t="n"/>
      <c r="P475" s="65">
        <f>VLOOKUP(B475,'[3]TONG HOP '!B$5:O$666,14,0)</f>
        <v/>
      </c>
      <c r="Q475" s="65" t="n">
        <v>2103750</v>
      </c>
      <c r="R475" s="65" t="n"/>
      <c r="S475" s="92">
        <f>G475-I475-R475-K475-M475-O475-Q475</f>
        <v/>
      </c>
      <c r="T475" s="92" t="inlineStr"/>
      <c r="U475" s="92" t="inlineStr"/>
      <c r="V475" s="69">
        <f>G475-SUM(I475,K475,M475,O475,Q475,U475)</f>
        <v/>
      </c>
      <c r="W475" s="65" t="n"/>
      <c r="X475" t="inlineStr">
        <is>
          <t>Khớp</t>
        </is>
      </c>
    </row>
    <row r="476">
      <c r="A476" s="65" t="n">
        <v>467</v>
      </c>
      <c r="B476" s="65" t="inlineStr">
        <is>
          <t>25808600125</t>
        </is>
      </c>
      <c r="C476" s="65" t="inlineStr">
        <is>
          <t>Nguyễn Thanh</t>
        </is>
      </c>
      <c r="D476" s="65" t="inlineStr">
        <is>
          <t>Tiền</t>
        </is>
      </c>
      <c r="E476" s="65" t="inlineStr">
        <is>
          <t>01/06/2007</t>
        </is>
      </c>
      <c r="F476" s="66" t="inlineStr">
        <is>
          <t>LNH0925ND01</t>
        </is>
      </c>
      <c r="G476" s="90" t="n">
        <v>1000000</v>
      </c>
      <c r="H476" s="65" t="n"/>
      <c r="I476" s="65" t="n"/>
      <c r="J476" s="65" t="n"/>
      <c r="K476" s="65" t="n"/>
      <c r="L476" s="65" t="n"/>
      <c r="M476" s="65" t="n"/>
      <c r="N476" s="65" t="n"/>
      <c r="O476" s="65" t="n"/>
      <c r="P476" s="65" t="n"/>
      <c r="Q476" s="65" t="n"/>
      <c r="R476" s="65" t="n"/>
      <c r="S476" s="92">
        <f>G476-I476-R476-K476-M476-O476-Q476</f>
        <v/>
      </c>
      <c r="T476" s="92" t="inlineStr"/>
      <c r="U476" s="92" t="inlineStr"/>
      <c r="V476" s="69">
        <f>G476-SUM(I476,K476,M476,O476,Q476,U476)</f>
        <v/>
      </c>
      <c r="W476" s="65" t="n"/>
      <c r="X476" t="inlineStr">
        <is>
          <t>Khớp</t>
        </is>
      </c>
    </row>
    <row r="477">
      <c r="A477" s="65" t="n">
        <v>468</v>
      </c>
      <c r="B477" s="65" t="inlineStr">
        <is>
          <t>25808600121</t>
        </is>
      </c>
      <c r="C477" s="65" t="inlineStr">
        <is>
          <t>Võ Anh</t>
        </is>
      </c>
      <c r="D477" s="65" t="inlineStr">
        <is>
          <t>Thư</t>
        </is>
      </c>
      <c r="E477" s="65" t="inlineStr">
        <is>
          <t>03/07/2007</t>
        </is>
      </c>
      <c r="F477" s="66" t="inlineStr">
        <is>
          <t>LNH0925ND01</t>
        </is>
      </c>
      <c r="G477" s="90" t="n">
        <v>8415000</v>
      </c>
      <c r="H477" s="65" t="n"/>
      <c r="I477" s="65" t="n"/>
      <c r="J477" s="65" t="n"/>
      <c r="K477" s="65" t="n"/>
      <c r="L477" s="65">
        <f>VLOOKUP(B477,'[2]DS THANG 11'!A$3:E$616,5,0)</f>
        <v/>
      </c>
      <c r="M477" s="65" t="n">
        <v>2103750</v>
      </c>
      <c r="N477" s="65" t="n"/>
      <c r="O477" s="65" t="n"/>
      <c r="P477" s="65" t="n"/>
      <c r="Q477" s="65" t="n"/>
      <c r="R477" s="65" t="n"/>
      <c r="S477" s="92">
        <f>G477-I477-R477-K477-M477-O477-Q477</f>
        <v/>
      </c>
      <c r="T477" s="92" t="inlineStr"/>
      <c r="U477" s="92" t="inlineStr"/>
      <c r="V477" s="69">
        <f>G477-SUM(I477,K477,M477,O477,Q477,U477)</f>
        <v/>
      </c>
      <c r="W477" s="65" t="n"/>
      <c r="X477" t="inlineStr">
        <is>
          <t>Khớp</t>
        </is>
      </c>
    </row>
    <row r="478">
      <c r="A478" s="65" t="n">
        <v>469</v>
      </c>
      <c r="B478" s="65" t="inlineStr">
        <is>
          <t>25805900060</t>
        </is>
      </c>
      <c r="C478" s="65" t="inlineStr">
        <is>
          <t>Nguyễn Cửu Minh</t>
        </is>
      </c>
      <c r="D478" s="65" t="inlineStr">
        <is>
          <t>Trí</t>
        </is>
      </c>
      <c r="E478" s="65" t="inlineStr">
        <is>
          <t>20/05/2007</t>
        </is>
      </c>
      <c r="F478" s="66" t="inlineStr">
        <is>
          <t>LNH0925ND01</t>
        </is>
      </c>
      <c r="G478" s="90" t="n">
        <v>4465000</v>
      </c>
      <c r="H478" s="65">
        <f>VLOOKUP(B478,'[1]TONG HOP'!B$5:G$624,6,0)</f>
        <v/>
      </c>
      <c r="I478" s="65" t="n">
        <v>2232500</v>
      </c>
      <c r="J478" s="65" t="n"/>
      <c r="K478" s="65" t="n"/>
      <c r="L478" s="65">
        <f>VLOOKUP(B478,'[2]DS THANG 11'!A$3:E$616,5,0)</f>
        <v/>
      </c>
      <c r="M478" s="65" t="n">
        <v>2232500</v>
      </c>
      <c r="N478" s="65" t="n"/>
      <c r="O478" s="65" t="n"/>
      <c r="P478" s="65" t="n"/>
      <c r="Q478" s="65" t="n"/>
      <c r="R478" s="65" t="n"/>
      <c r="S478" s="92">
        <f>G478-I478-R478-K478-M478-O478-Q478</f>
        <v/>
      </c>
      <c r="T478" s="92" t="inlineStr"/>
      <c r="U478" s="92" t="inlineStr"/>
      <c r="V478" s="69">
        <f>G478-SUM(I478,K478,M478,O478,Q478,U478)</f>
        <v/>
      </c>
      <c r="W478" s="65" t="n"/>
      <c r="X478" t="inlineStr">
        <is>
          <t>Khớp</t>
        </is>
      </c>
    </row>
    <row r="479">
      <c r="A479" s="65" t="n">
        <v>470</v>
      </c>
      <c r="B479" s="65" t="inlineStr">
        <is>
          <t>25820200013</t>
        </is>
      </c>
      <c r="C479" s="65" t="inlineStr">
        <is>
          <t>Mã Lương Hải</t>
        </is>
      </c>
      <c r="D479" s="65" t="inlineStr">
        <is>
          <t>Đăng</t>
        </is>
      </c>
      <c r="E479" s="65" t="inlineStr">
        <is>
          <t>01/06/2007</t>
        </is>
      </c>
      <c r="F479" s="66" t="inlineStr">
        <is>
          <t>LNH0925ND01</t>
        </is>
      </c>
      <c r="G479" s="90" t="n">
        <v>8415000</v>
      </c>
      <c r="H479" s="65" t="n"/>
      <c r="I479" s="65" t="n"/>
      <c r="J479" s="65">
        <f>VLOOKUP(B479,[5]Sheet1!A$3:E$32,5,0)</f>
        <v/>
      </c>
      <c r="K479" s="65" t="n">
        <v>2103750</v>
      </c>
      <c r="L479" s="65">
        <f>VLOOKUP(B479,'[2]DS THANG 11'!A$3:E$616,5,0)</f>
        <v/>
      </c>
      <c r="M479" s="65" t="n">
        <v>2103750</v>
      </c>
      <c r="N479" s="65" t="n"/>
      <c r="O479" s="65" t="n"/>
      <c r="P479" s="65">
        <f>VLOOKUP(B479,'[3]TONG HOP '!B$5:O$666,14,0)</f>
        <v/>
      </c>
      <c r="Q479" s="65" t="n">
        <v>2103750</v>
      </c>
      <c r="R479" s="65" t="n"/>
      <c r="S479" s="92">
        <f>G479-I479-R479-K479-M479-O479-Q479</f>
        <v/>
      </c>
      <c r="T479" s="92" t="inlineStr"/>
      <c r="U479" s="92" t="inlineStr"/>
      <c r="V479" s="69">
        <f>G479-SUM(I479,K479,M479,O479,Q479,U479)</f>
        <v/>
      </c>
      <c r="W479" s="65" t="n"/>
      <c r="X479" t="inlineStr">
        <is>
          <t>Khớp</t>
        </is>
      </c>
    </row>
    <row r="480">
      <c r="A480" s="65" t="n">
        <v>471</v>
      </c>
      <c r="B480" s="65" t="inlineStr">
        <is>
          <t>25808600258</t>
        </is>
      </c>
      <c r="C480" s="65" t="inlineStr">
        <is>
          <t>Nguyễn Ngọc Tú</t>
        </is>
      </c>
      <c r="D480" s="65" t="inlineStr">
        <is>
          <t>Như</t>
        </is>
      </c>
      <c r="E480" s="65" t="inlineStr">
        <is>
          <t>12/08/2007</t>
        </is>
      </c>
      <c r="F480" s="66" t="inlineStr">
        <is>
          <t>LNH0925ND01</t>
        </is>
      </c>
      <c r="G480" s="90" t="n">
        <v>4940000</v>
      </c>
      <c r="H480" s="65" t="n"/>
      <c r="I480" s="65" t="n"/>
      <c r="J480" s="65" t="n"/>
      <c r="K480" s="65" t="n"/>
      <c r="L480" s="65" t="n"/>
      <c r="M480" s="65" t="n"/>
      <c r="N480" s="65" t="n"/>
      <c r="O480" s="65" t="n"/>
      <c r="P480" s="65">
        <f>VLOOKUP(B480,'[3]TONG HOP '!B$5:O$666,14,0)</f>
        <v/>
      </c>
      <c r="Q480" s="65" t="n">
        <v>2470000</v>
      </c>
      <c r="R480" s="65" t="n"/>
      <c r="S480" s="92">
        <f>G480-I480-R480-K480-M480-O480-Q480</f>
        <v/>
      </c>
      <c r="T480" s="92" t="inlineStr">
        <is>
          <t>LNH0526NQ10</t>
        </is>
      </c>
      <c r="U480" s="92" t="n">
        <v>2470000</v>
      </c>
      <c r="V480" s="69">
        <f>G480-SUM(I480,K480,M480,O480,Q480,U480)</f>
        <v/>
      </c>
      <c r="W480" s="65" t="n"/>
      <c r="X480" t="inlineStr">
        <is>
          <t>Khớp</t>
        </is>
      </c>
    </row>
    <row r="481">
      <c r="A481" s="65" t="n">
        <v>472</v>
      </c>
      <c r="B481" s="65" t="inlineStr">
        <is>
          <t>25802800092</t>
        </is>
      </c>
      <c r="C481" s="65" t="inlineStr">
        <is>
          <t>Nguyễn Quốc</t>
        </is>
      </c>
      <c r="D481" s="65" t="inlineStr">
        <is>
          <t>Huy</t>
        </is>
      </c>
      <c r="E481" s="65" t="inlineStr">
        <is>
          <t>14/10/2007</t>
        </is>
      </c>
      <c r="F481" s="66" t="inlineStr">
        <is>
          <t>LNH0925ND01</t>
        </is>
      </c>
      <c r="G481" s="90" t="n">
        <v>1000000</v>
      </c>
      <c r="H481" s="65" t="n"/>
      <c r="I481" s="65" t="n"/>
      <c r="J481" s="65" t="n"/>
      <c r="K481" s="65" t="n"/>
      <c r="L481" s="65" t="n"/>
      <c r="M481" s="65" t="n"/>
      <c r="N481" s="65" t="n"/>
      <c r="O481" s="65" t="n"/>
      <c r="P481" s="65" t="n"/>
      <c r="Q481" s="65" t="n"/>
      <c r="R481" s="65" t="n"/>
      <c r="S481" s="92">
        <f>G481-I481-R481-K481-M481-O481-Q481</f>
        <v/>
      </c>
      <c r="T481" s="92" t="inlineStr"/>
      <c r="U481" s="92" t="inlineStr"/>
      <c r="V481" s="69">
        <f>G481-SUM(I481,K481,M481,O481,Q481,U481)</f>
        <v/>
      </c>
      <c r="W481" s="65" t="n"/>
      <c r="X481" t="inlineStr">
        <is>
          <t>Không tồn tại trong K.Hiền</t>
        </is>
      </c>
    </row>
    <row r="482">
      <c r="A482" s="65" t="n">
        <v>473</v>
      </c>
      <c r="B482" s="65" t="inlineStr">
        <is>
          <t>25802600133</t>
        </is>
      </c>
      <c r="C482" s="65" t="inlineStr">
        <is>
          <t>Nguyễn Hoàng</t>
        </is>
      </c>
      <c r="D482" s="65" t="inlineStr">
        <is>
          <t>Uyên</t>
        </is>
      </c>
      <c r="E482" s="65" t="inlineStr">
        <is>
          <t>28/10/2007</t>
        </is>
      </c>
      <c r="F482" s="66" t="inlineStr">
        <is>
          <t>LNH0925ND01</t>
        </is>
      </c>
      <c r="G482" s="90" t="n">
        <v>1000000</v>
      </c>
      <c r="H482" s="65" t="n"/>
      <c r="I482" s="65" t="n"/>
      <c r="J482" s="65" t="n"/>
      <c r="K482" s="65" t="n"/>
      <c r="L482" s="65" t="n"/>
      <c r="M482" s="65" t="n"/>
      <c r="N482" s="65" t="n"/>
      <c r="O482" s="65" t="n"/>
      <c r="P482" s="65" t="n"/>
      <c r="Q482" s="65" t="n"/>
      <c r="R482" s="65" t="n"/>
      <c r="S482" s="92">
        <f>G482-I482-R482-K482-M482-O482-Q482</f>
        <v/>
      </c>
      <c r="T482" s="92" t="inlineStr"/>
      <c r="U482" s="92" t="inlineStr"/>
      <c r="V482" s="69">
        <f>G482-SUM(I482,K482,M482,O482,Q482,U482)</f>
        <v/>
      </c>
      <c r="W482" s="65" t="n"/>
      <c r="X482" t="inlineStr">
        <is>
          <t>Khớp</t>
        </is>
      </c>
    </row>
    <row r="483">
      <c r="A483" s="65" t="n">
        <v>474</v>
      </c>
      <c r="B483" s="65" t="inlineStr">
        <is>
          <t>25806000026</t>
        </is>
      </c>
      <c r="C483" s="65" t="inlineStr">
        <is>
          <t>Phạm Văn Vĩnh</t>
        </is>
      </c>
      <c r="D483" s="65" t="inlineStr">
        <is>
          <t>Phúc</t>
        </is>
      </c>
      <c r="E483" s="65" t="inlineStr">
        <is>
          <t>22/04/2007</t>
        </is>
      </c>
      <c r="F483" s="66" t="inlineStr">
        <is>
          <t>LNH0925ND01</t>
        </is>
      </c>
      <c r="G483" s="90" t="n">
        <v>8415000</v>
      </c>
      <c r="H483" s="65">
        <f>VLOOKUP(B483,'[1]TONG HOP'!B$5:G$624,6,0)</f>
        <v/>
      </c>
      <c r="I483" s="65" t="n">
        <v>2103750</v>
      </c>
      <c r="J483" s="65" t="n"/>
      <c r="K483" s="65" t="n"/>
      <c r="L483" s="65">
        <f>VLOOKUP(B483,'[2]DS THANG 11'!A$3:E$616,5,0)</f>
        <v/>
      </c>
      <c r="M483" s="65" t="n">
        <v>2103750</v>
      </c>
      <c r="N483" s="65" t="n"/>
      <c r="O483" s="65" t="n"/>
      <c r="P483" s="65">
        <f>VLOOKUP(B483,'[3]TONG HOP '!B$5:O$666,14,0)</f>
        <v/>
      </c>
      <c r="Q483" s="65" t="n">
        <v>2103750</v>
      </c>
      <c r="R483" s="65" t="n"/>
      <c r="S483" s="92">
        <f>G483-I483-R483-K483-M483-O483-Q483</f>
        <v/>
      </c>
      <c r="T483" s="92" t="inlineStr">
        <is>
          <t>LNH0526NQ08</t>
        </is>
      </c>
      <c r="U483" s="92" t="n">
        <v>2103750</v>
      </c>
      <c r="V483" s="69">
        <f>G483-SUM(I483,K483,M483,O483,Q483,U483)</f>
        <v/>
      </c>
      <c r="W483" s="65" t="n"/>
      <c r="X483" t="inlineStr">
        <is>
          <t>Khớp</t>
        </is>
      </c>
    </row>
    <row r="484">
      <c r="A484" s="65" t="n">
        <v>475</v>
      </c>
      <c r="B484" s="65" t="inlineStr">
        <is>
          <t>25800400012</t>
        </is>
      </c>
      <c r="C484" s="65" t="inlineStr">
        <is>
          <t>Nguyễn Gia</t>
        </is>
      </c>
      <c r="D484" s="65" t="inlineStr">
        <is>
          <t>Bảo</t>
        </is>
      </c>
      <c r="E484" s="65" t="inlineStr">
        <is>
          <t>12/12/2007</t>
        </is>
      </c>
      <c r="F484" s="66" t="inlineStr">
        <is>
          <t>LNH0925ND01</t>
        </is>
      </c>
      <c r="G484" s="90" t="n">
        <v>4465000</v>
      </c>
      <c r="H484" s="65">
        <f>VLOOKUP(B484,'[1]TONG HOP'!B$5:G$624,6,0)</f>
        <v/>
      </c>
      <c r="I484" s="65" t="n">
        <v>2232500</v>
      </c>
      <c r="J484" s="65" t="n"/>
      <c r="K484" s="65" t="n"/>
      <c r="L484" s="65">
        <f>VLOOKUP(B484,'[2]DS THANG 11'!A$3:E$616,5,0)</f>
        <v/>
      </c>
      <c r="M484" s="65" t="n">
        <v>2232500</v>
      </c>
      <c r="N484" s="65" t="n"/>
      <c r="O484" s="65" t="n"/>
      <c r="P484" s="65" t="n"/>
      <c r="Q484" s="65" t="n"/>
      <c r="R484" s="65" t="n"/>
      <c r="S484" s="92">
        <f>G484-I484-R484-K484-M484-O484-Q484</f>
        <v/>
      </c>
      <c r="T484" s="92" t="inlineStr"/>
      <c r="U484" s="92" t="inlineStr"/>
      <c r="V484" s="69">
        <f>G484-SUM(I484,K484,M484,O484,Q484,U484)</f>
        <v/>
      </c>
      <c r="W484" s="65" t="n"/>
      <c r="X484" t="inlineStr">
        <is>
          <t>Khớp</t>
        </is>
      </c>
    </row>
    <row r="485">
      <c r="A485" s="65" t="n">
        <v>476</v>
      </c>
      <c r="B485" s="65" t="inlineStr">
        <is>
          <t>25801200009</t>
        </is>
      </c>
      <c r="C485" s="65" t="inlineStr">
        <is>
          <t>Lê Trọng</t>
        </is>
      </c>
      <c r="D485" s="65" t="inlineStr">
        <is>
          <t>Đại</t>
        </is>
      </c>
      <c r="E485" s="65" t="inlineStr">
        <is>
          <t>20/12/2007</t>
        </is>
      </c>
      <c r="F485" s="66" t="inlineStr">
        <is>
          <t>LNH0925ND01</t>
        </is>
      </c>
      <c r="G485" s="90">
        <f>1000000+3000000</f>
        <v/>
      </c>
      <c r="H485" s="65" t="n"/>
      <c r="I485" s="65" t="n"/>
      <c r="J485" s="65" t="n"/>
      <c r="K485" s="65" t="n"/>
      <c r="L485" s="65">
        <f>VLOOKUP(B485,'[2]DS THANG 11'!A$3:E$616,5,0)</f>
        <v/>
      </c>
      <c r="M485" s="65" t="n">
        <v>2600000</v>
      </c>
      <c r="N485" s="65" t="n"/>
      <c r="O485" s="65" t="n"/>
      <c r="P485" s="65" t="n"/>
      <c r="Q485" s="65" t="n"/>
      <c r="R485" s="65" t="n"/>
      <c r="S485" s="92">
        <f>G485-I485-R485-K485-M485-O485-Q485</f>
        <v/>
      </c>
      <c r="T485" s="92" t="inlineStr"/>
      <c r="U485" s="92" t="inlineStr"/>
      <c r="V485" s="69">
        <f>G485-SUM(I485,K485,M485,O485,Q485,U485)</f>
        <v/>
      </c>
      <c r="W485" s="65" t="n"/>
      <c r="X485" t="inlineStr">
        <is>
          <t>Khớp</t>
        </is>
      </c>
    </row>
    <row r="486">
      <c r="A486" s="65" t="n">
        <v>477</v>
      </c>
      <c r="B486" s="65" t="inlineStr">
        <is>
          <t>25807700079</t>
        </is>
      </c>
      <c r="C486" s="65" t="inlineStr">
        <is>
          <t>Lê Thanh</t>
        </is>
      </c>
      <c r="D486" s="65" t="inlineStr">
        <is>
          <t>Tường</t>
        </is>
      </c>
      <c r="E486" s="65" t="inlineStr">
        <is>
          <t>02/12/2007</t>
        </is>
      </c>
      <c r="F486" s="66" t="inlineStr">
        <is>
          <t>LNH0925ND01</t>
        </is>
      </c>
      <c r="G486" s="90" t="n">
        <v>2100000</v>
      </c>
      <c r="H486" s="65">
        <f>VLOOKUP(B486,'[1]TONG HOP'!B$5:G$624,6,0)</f>
        <v/>
      </c>
      <c r="I486" s="65" t="n">
        <v>2100000</v>
      </c>
      <c r="J486" s="65" t="n"/>
      <c r="K486" s="65" t="n"/>
      <c r="L486" s="65" t="n"/>
      <c r="M486" s="65" t="n"/>
      <c r="N486" s="65" t="n"/>
      <c r="O486" s="65" t="n"/>
      <c r="P486" s="65" t="n"/>
      <c r="Q486" s="65" t="n"/>
      <c r="R486" s="65" t="n"/>
      <c r="S486" s="92">
        <f>G486-I486-R486-K486-M486-O486-Q486</f>
        <v/>
      </c>
      <c r="T486" s="92" t="inlineStr"/>
      <c r="U486" s="92" t="inlineStr"/>
      <c r="V486" s="69">
        <f>G486-SUM(I486,K486,M486,O486,Q486,U486)</f>
        <v/>
      </c>
      <c r="W486" s="65" t="n"/>
      <c r="X486" t="inlineStr">
        <is>
          <t>Khớp</t>
        </is>
      </c>
    </row>
    <row r="487">
      <c r="A487" s="65" t="n">
        <v>478</v>
      </c>
      <c r="B487" s="65" t="inlineStr">
        <is>
          <t>25808900119</t>
        </is>
      </c>
      <c r="C487" s="65" t="inlineStr">
        <is>
          <t>Nguyễn Lê</t>
        </is>
      </c>
      <c r="D487" s="65" t="inlineStr">
        <is>
          <t>Thắng</t>
        </is>
      </c>
      <c r="E487" s="65" t="inlineStr">
        <is>
          <t>07/10/2007</t>
        </is>
      </c>
      <c r="F487" s="66" t="inlineStr">
        <is>
          <t>LNH0925ND01</t>
        </is>
      </c>
      <c r="G487" s="90" t="n">
        <v>1000000</v>
      </c>
      <c r="H487" s="65" t="n"/>
      <c r="I487" s="65" t="n"/>
      <c r="J487" s="65" t="n"/>
      <c r="K487" s="65" t="n"/>
      <c r="L487" s="65" t="n"/>
      <c r="M487" s="65" t="n"/>
      <c r="N487" s="65" t="n"/>
      <c r="O487" s="65" t="n"/>
      <c r="P487" s="65" t="n"/>
      <c r="Q487" s="65" t="n"/>
      <c r="R487" s="65" t="n"/>
      <c r="S487" s="92">
        <f>G487-I487-R487-K487-M487-O487-Q487</f>
        <v/>
      </c>
      <c r="T487" s="92" t="inlineStr"/>
      <c r="U487" s="92" t="inlineStr"/>
      <c r="V487" s="69">
        <f>G487-SUM(I487,K487,M487,O487,Q487,U487)</f>
        <v/>
      </c>
      <c r="W487" s="65" t="n"/>
      <c r="X487" t="inlineStr">
        <is>
          <t>Khớp</t>
        </is>
      </c>
    </row>
    <row r="488">
      <c r="A488" s="65" t="n">
        <v>479</v>
      </c>
      <c r="B488" s="65" t="inlineStr">
        <is>
          <t>25820300011</t>
        </is>
      </c>
      <c r="C488" s="65" t="inlineStr">
        <is>
          <t>Bùi Nguyễn Thanh</t>
        </is>
      </c>
      <c r="D488" s="65" t="inlineStr">
        <is>
          <t>Hằng</t>
        </is>
      </c>
      <c r="E488" s="65" t="inlineStr">
        <is>
          <t>25/05/2007</t>
        </is>
      </c>
      <c r="F488" s="66" t="inlineStr">
        <is>
          <t>LNH0925ND01</t>
        </is>
      </c>
      <c r="G488" s="90" t="n">
        <v>8415000</v>
      </c>
      <c r="H488" s="65">
        <f>VLOOKUP(B488,'[1]TONG HOP'!B$5:G$624,6,0)</f>
        <v/>
      </c>
      <c r="I488" s="65" t="n">
        <v>2103750</v>
      </c>
      <c r="J488" s="65" t="n"/>
      <c r="K488" s="65" t="n"/>
      <c r="L488" s="65" t="n"/>
      <c r="M488" s="65" t="n"/>
      <c r="N488" s="65" t="n"/>
      <c r="O488" s="65" t="n"/>
      <c r="P488" s="65">
        <f>VLOOKUP(B488,'[3]TONG HOP '!B$5:O$666,14,0)</f>
        <v/>
      </c>
      <c r="Q488" s="65" t="n">
        <v>2103750</v>
      </c>
      <c r="R488" s="65" t="n">
        <v>1005000</v>
      </c>
      <c r="S488" s="92">
        <f>G488-I488-R488-K488-M488-O488-Q488</f>
        <v/>
      </c>
      <c r="T488" s="92" t="inlineStr">
        <is>
          <t>LNH0526NQ11</t>
        </is>
      </c>
      <c r="U488" s="92" t="n">
        <v>2103750</v>
      </c>
      <c r="V488" s="69">
        <f>G488-SUM(I488,K488,M488,O488,Q488,U488)</f>
        <v/>
      </c>
      <c r="W488" s="65" t="inlineStr">
        <is>
          <t>Chuyển sang EDU - Đạt HB theo tờ trình 462 ngày 11/11/25 - giảm HB Level 1 - 2.1tr</t>
        </is>
      </c>
      <c r="X488" t="inlineStr">
        <is>
          <t>Khớp</t>
        </is>
      </c>
    </row>
    <row r="489">
      <c r="A489" s="65" t="n">
        <v>480</v>
      </c>
      <c r="B489" s="65" t="inlineStr">
        <is>
          <t>25805800027</t>
        </is>
      </c>
      <c r="C489" s="65" t="inlineStr">
        <is>
          <t>Lê Hiền Thảo</t>
        </is>
      </c>
      <c r="D489" s="65" t="inlineStr">
        <is>
          <t>Quyên</t>
        </is>
      </c>
      <c r="E489" s="65" t="inlineStr">
        <is>
          <t>24/09/2007</t>
        </is>
      </c>
      <c r="F489" s="66" t="inlineStr">
        <is>
          <t>LNH0925ND01</t>
        </is>
      </c>
      <c r="G489" s="90" t="n">
        <v>8415000</v>
      </c>
      <c r="H489" s="65">
        <f>VLOOKUP(B489,'[1]TONG HOP'!B$5:G$624,6,0)</f>
        <v/>
      </c>
      <c r="I489" s="65" t="n">
        <v>2103750</v>
      </c>
      <c r="J489" s="65" t="n"/>
      <c r="K489" s="65" t="n"/>
      <c r="L489" s="65">
        <f>VLOOKUP(B489,'[2]DS THANG 11'!A$3:E$616,5,0)</f>
        <v/>
      </c>
      <c r="M489" s="65" t="n">
        <v>2103750</v>
      </c>
      <c r="N489" s="65" t="n"/>
      <c r="O489" s="65" t="n"/>
      <c r="P489" s="65">
        <f>VLOOKUP(B489,'[3]TONG HOP '!B$5:O$666,14,0)</f>
        <v/>
      </c>
      <c r="Q489" s="65" t="n">
        <v>2103750</v>
      </c>
      <c r="R489" s="65" t="n"/>
      <c r="S489" s="92">
        <f>G489-I489-R489-K489-M489-O489-Q489</f>
        <v/>
      </c>
      <c r="T489" s="92" t="inlineStr"/>
      <c r="U489" s="92" t="inlineStr"/>
      <c r="V489" s="69">
        <f>G489-SUM(I489,K489,M489,O489,Q489,U489)</f>
        <v/>
      </c>
      <c r="W489" s="65" t="n"/>
      <c r="X489" t="inlineStr">
        <is>
          <t>Khớp</t>
        </is>
      </c>
    </row>
    <row r="490">
      <c r="A490" s="65" t="n">
        <v>481</v>
      </c>
      <c r="B490" s="65" t="inlineStr">
        <is>
          <t>25807700035</t>
        </is>
      </c>
      <c r="C490" s="65" t="inlineStr">
        <is>
          <t>Chung Long</t>
        </is>
      </c>
      <c r="D490" s="65" t="inlineStr">
        <is>
          <t>Khang</t>
        </is>
      </c>
      <c r="E490" s="65" t="inlineStr">
        <is>
          <t>30/11/2007</t>
        </is>
      </c>
      <c r="F490" s="66" t="inlineStr">
        <is>
          <t>LNH0925ND01</t>
        </is>
      </c>
      <c r="G490" s="90" t="n">
        <v>8415000</v>
      </c>
      <c r="H490" s="65">
        <f>VLOOKUP(B490,'[1]TONG HOP'!B$5:G$624,6,0)</f>
        <v/>
      </c>
      <c r="I490" s="65" t="n">
        <v>2103750</v>
      </c>
      <c r="J490" s="65" t="n"/>
      <c r="K490" s="65" t="n"/>
      <c r="L490" s="65">
        <f>VLOOKUP(B490,'[2]DS THANG 11'!A$3:E$616,5,0)</f>
        <v/>
      </c>
      <c r="M490" s="65" t="n">
        <v>2103750</v>
      </c>
      <c r="N490" s="65" t="n"/>
      <c r="O490" s="65" t="n"/>
      <c r="P490" s="65">
        <f>VLOOKUP(B490,'[3]TONG HOP '!B$5:O$666,14,0)</f>
        <v/>
      </c>
      <c r="Q490" s="65" t="n">
        <v>2103750</v>
      </c>
      <c r="R490" s="65" t="n"/>
      <c r="S490" s="92">
        <f>G490-I490-R490-K490-M490-O490-Q490</f>
        <v/>
      </c>
      <c r="T490" s="92" t="inlineStr">
        <is>
          <t>LNH0526NQ13</t>
        </is>
      </c>
      <c r="U490" s="92" t="n">
        <v>2103750</v>
      </c>
      <c r="V490" s="69">
        <f>G490-SUM(I490,K490,M490,O490,Q490,U490)</f>
        <v/>
      </c>
      <c r="W490" s="65" t="n"/>
      <c r="X490" t="inlineStr">
        <is>
          <t>Khớp</t>
        </is>
      </c>
    </row>
    <row r="491">
      <c r="A491" s="65" t="n">
        <v>482</v>
      </c>
      <c r="B491" s="65" t="inlineStr">
        <is>
          <t>25808200122</t>
        </is>
      </c>
      <c r="C491" s="65" t="inlineStr">
        <is>
          <t>Võ Nhất</t>
        </is>
      </c>
      <c r="D491" s="65" t="inlineStr">
        <is>
          <t>Thiên</t>
        </is>
      </c>
      <c r="E491" s="65" t="inlineStr">
        <is>
          <t>06/01/2007</t>
        </is>
      </c>
      <c r="F491" s="66" t="inlineStr">
        <is>
          <t>LNH0925ND01</t>
        </is>
      </c>
      <c r="G491" s="90" t="n">
        <v>8415000</v>
      </c>
      <c r="H491" s="65">
        <f>VLOOKUP(B491,'[1]TONG HOP'!B$5:G$624,6,0)</f>
        <v/>
      </c>
      <c r="I491" s="65" t="n">
        <v>2103750</v>
      </c>
      <c r="J491" s="65" t="n"/>
      <c r="K491" s="65" t="n"/>
      <c r="L491" s="65">
        <f>VLOOKUP(B491,'[2]DS THANG 11'!A$3:E$616,5,0)</f>
        <v/>
      </c>
      <c r="M491" s="65" t="n">
        <v>2103750</v>
      </c>
      <c r="N491" s="65" t="n"/>
      <c r="O491" s="65" t="n"/>
      <c r="P491" s="65">
        <f>VLOOKUP(B491,'[3]TONG HOP '!B$5:O$666,14,0)</f>
        <v/>
      </c>
      <c r="Q491" s="65" t="n">
        <v>2103750</v>
      </c>
      <c r="R491" s="65" t="n"/>
      <c r="S491" s="92">
        <f>G491-I491-R491-K491-M491-O491-Q491</f>
        <v/>
      </c>
      <c r="T491" s="92" t="inlineStr">
        <is>
          <t>LNH0526NQ18</t>
        </is>
      </c>
      <c r="U491" s="92" t="n">
        <v>2103750</v>
      </c>
      <c r="V491" s="69">
        <f>G491-SUM(I491,K491,M491,O491,Q491,U491)</f>
        <v/>
      </c>
      <c r="W491" s="65" t="n"/>
      <c r="X491" t="inlineStr">
        <is>
          <t>Khớp</t>
        </is>
      </c>
    </row>
    <row r="492">
      <c r="A492" s="65" t="n">
        <v>483</v>
      </c>
      <c r="B492" s="65" t="inlineStr">
        <is>
          <t>25808700021</t>
        </is>
      </c>
      <c r="C492" s="65" t="inlineStr">
        <is>
          <t>Nguyễn Văn</t>
        </is>
      </c>
      <c r="D492" s="65" t="inlineStr">
        <is>
          <t>Đức</t>
        </is>
      </c>
      <c r="E492" s="65" t="inlineStr">
        <is>
          <t>22/01/2007</t>
        </is>
      </c>
      <c r="F492" s="66" t="inlineStr">
        <is>
          <t>LNH0925ND01</t>
        </is>
      </c>
      <c r="G492" s="90" t="n">
        <v>8415000</v>
      </c>
      <c r="H492" s="65">
        <f>VLOOKUP(B492,'[1]TONG HOP'!B$5:G$624,6,0)</f>
        <v/>
      </c>
      <c r="I492" s="65" t="n">
        <v>2103750</v>
      </c>
      <c r="J492" s="65" t="n"/>
      <c r="K492" s="65" t="n"/>
      <c r="L492" s="65" t="n"/>
      <c r="M492" s="65" t="n"/>
      <c r="N492" s="65" t="n"/>
      <c r="O492" s="65" t="n"/>
      <c r="P492" s="65" t="n"/>
      <c r="Q492" s="65" t="n"/>
      <c r="R492" s="65" t="n"/>
      <c r="S492" s="92">
        <f>G492-I492-R492-K492-M492-O492-Q492</f>
        <v/>
      </c>
      <c r="T492" s="92" t="inlineStr"/>
      <c r="U492" s="92" t="inlineStr"/>
      <c r="V492" s="69">
        <f>G492-SUM(I492,K492,M492,O492,Q492,U492)</f>
        <v/>
      </c>
      <c r="W492" s="65" t="n"/>
      <c r="X492" t="inlineStr">
        <is>
          <t>Khớp</t>
        </is>
      </c>
    </row>
    <row r="493">
      <c r="A493" s="65" t="n">
        <v>484</v>
      </c>
      <c r="B493" s="65" t="inlineStr">
        <is>
          <t>25820300033</t>
        </is>
      </c>
      <c r="C493" s="65" t="inlineStr">
        <is>
          <t>Phạm Hồ Tân</t>
        </is>
      </c>
      <c r="D493" s="65" t="inlineStr">
        <is>
          <t>Minh</t>
        </is>
      </c>
      <c r="E493" s="65" t="inlineStr">
        <is>
          <t>26/01/2007</t>
        </is>
      </c>
      <c r="F493" s="66" t="inlineStr">
        <is>
          <t>LNH0925ND01</t>
        </is>
      </c>
      <c r="G493" s="90" t="n">
        <v>4465000</v>
      </c>
      <c r="H493" s="65">
        <f>VLOOKUP(B493,'[1]TONG HOP'!B$5:G$624,6,0)</f>
        <v/>
      </c>
      <c r="I493" s="65" t="n">
        <v>2232500</v>
      </c>
      <c r="J493" s="65" t="n"/>
      <c r="K493" s="65" t="n"/>
      <c r="L493" s="65">
        <f>VLOOKUP(B493,'[2]DS THANG 11'!A$3:E$616,5,0)</f>
        <v/>
      </c>
      <c r="M493" s="65" t="n">
        <v>2232500</v>
      </c>
      <c r="N493" s="65" t="n"/>
      <c r="O493" s="65" t="n"/>
      <c r="P493" s="65" t="n"/>
      <c r="Q493" s="65" t="n"/>
      <c r="R493" s="65" t="n"/>
      <c r="S493" s="92">
        <f>G493-I493-R493-K493-M493-O493-Q493</f>
        <v/>
      </c>
      <c r="T493" s="92" t="inlineStr"/>
      <c r="U493" s="92" t="inlineStr"/>
      <c r="V493" s="69">
        <f>G493-SUM(I493,K493,M493,O493,Q493,U493)</f>
        <v/>
      </c>
      <c r="W493" s="65" t="n"/>
      <c r="X493" t="inlineStr">
        <is>
          <t>Khớp</t>
        </is>
      </c>
    </row>
    <row r="494">
      <c r="A494" s="65" t="n">
        <v>485</v>
      </c>
      <c r="B494" s="65" t="inlineStr">
        <is>
          <t>25808900229</t>
        </is>
      </c>
      <c r="C494" s="65" t="inlineStr">
        <is>
          <t>Nguyễn Thiên</t>
        </is>
      </c>
      <c r="D494" s="65" t="inlineStr">
        <is>
          <t>Ân</t>
        </is>
      </c>
      <c r="E494" s="65" t="inlineStr">
        <is>
          <t>23/10/2007</t>
        </is>
      </c>
      <c r="F494" s="66" t="inlineStr">
        <is>
          <t>LNH0925ND01</t>
        </is>
      </c>
      <c r="G494" s="90" t="n">
        <v>8415000</v>
      </c>
      <c r="H494" s="65">
        <f>VLOOKUP(B494,'[1]TONG HOP'!B$5:G$624,6,0)</f>
        <v/>
      </c>
      <c r="I494" s="65" t="n">
        <v>2103750</v>
      </c>
      <c r="J494" s="65" t="n"/>
      <c r="K494" s="65" t="n"/>
      <c r="L494" s="65">
        <f>VLOOKUP(B494,'[2]DS THANG 11'!A$3:E$616,5,0)</f>
        <v/>
      </c>
      <c r="M494" s="65" t="n">
        <v>2103750</v>
      </c>
      <c r="N494" s="65" t="n"/>
      <c r="O494" s="65" t="n"/>
      <c r="P494" s="65">
        <f>VLOOKUP(B494,'[3]TONG HOP '!B$5:O$666,14,0)</f>
        <v/>
      </c>
      <c r="Q494" s="65" t="n">
        <v>2103750</v>
      </c>
      <c r="R494" s="65" t="n"/>
      <c r="S494" s="92">
        <f>G494-I494-R494-K494-M494-O494-Q494</f>
        <v/>
      </c>
      <c r="T494" s="92" t="inlineStr"/>
      <c r="U494" s="92" t="n">
        <v>2103750</v>
      </c>
      <c r="V494" s="69">
        <f>G494-SUM(I494,K494,M494,O494,Q494,U494)</f>
        <v/>
      </c>
      <c r="W494" s="65" t="n"/>
      <c r="X494" t="inlineStr">
        <is>
          <t>Khớp</t>
        </is>
      </c>
    </row>
    <row r="495">
      <c r="A495" s="65" t="n">
        <v>486</v>
      </c>
      <c r="B495" s="65" t="inlineStr">
        <is>
          <t>25802700046</t>
        </is>
      </c>
      <c r="C495" s="65" t="inlineStr">
        <is>
          <t>Nguyễn Kiều Ly</t>
        </is>
      </c>
      <c r="D495" s="65" t="inlineStr">
        <is>
          <t>Ly</t>
        </is>
      </c>
      <c r="E495" s="65" t="inlineStr">
        <is>
          <t>29/05/2007</t>
        </is>
      </c>
      <c r="F495" s="66" t="inlineStr">
        <is>
          <t>LNH0925ND01</t>
        </is>
      </c>
      <c r="G495" s="90" t="n">
        <v>1000000</v>
      </c>
      <c r="H495" s="65" t="n"/>
      <c r="I495" s="65" t="n"/>
      <c r="J495" s="65" t="n"/>
      <c r="K495" s="65" t="n"/>
      <c r="L495" s="65" t="n"/>
      <c r="M495" s="65" t="n"/>
      <c r="N495" s="65" t="n"/>
      <c r="O495" s="65" t="n"/>
      <c r="P495" s="65" t="n"/>
      <c r="Q495" s="65" t="n"/>
      <c r="R495" s="65" t="n"/>
      <c r="S495" s="92">
        <f>G495-I495-R495-K495-M495-O495-Q495</f>
        <v/>
      </c>
      <c r="T495" s="92" t="inlineStr"/>
      <c r="U495" s="92" t="inlineStr"/>
      <c r="V495" s="69">
        <f>G495-SUM(I495,K495,M495,O495,Q495,U495)</f>
        <v/>
      </c>
      <c r="W495" s="65" t="n"/>
      <c r="X495" t="inlineStr">
        <is>
          <t>Khớp</t>
        </is>
      </c>
    </row>
    <row r="496">
      <c r="A496" s="65" t="n">
        <v>487</v>
      </c>
      <c r="B496" s="65" t="inlineStr">
        <is>
          <t>25802700006</t>
        </is>
      </c>
      <c r="C496" s="65" t="inlineStr">
        <is>
          <t>Lê Quốc</t>
        </is>
      </c>
      <c r="D496" s="65" t="inlineStr">
        <is>
          <t>Anh</t>
        </is>
      </c>
      <c r="E496" s="65" t="inlineStr">
        <is>
          <t>28/09/2007</t>
        </is>
      </c>
      <c r="F496" s="66" t="inlineStr">
        <is>
          <t>LNH0925ND01</t>
        </is>
      </c>
      <c r="G496" s="90" t="n">
        <v>8415000</v>
      </c>
      <c r="H496" s="65">
        <f>VLOOKUP(B496,'[1]TONG HOP'!B$5:G$624,6,0)</f>
        <v/>
      </c>
      <c r="I496" s="65" t="n">
        <v>2103750</v>
      </c>
      <c r="J496" s="65" t="n"/>
      <c r="K496" s="65" t="n"/>
      <c r="L496" s="65">
        <f>VLOOKUP(B496,'[2]DS THANG 11'!A$3:E$616,5,0)</f>
        <v/>
      </c>
      <c r="M496" s="65" t="n">
        <v>2103750</v>
      </c>
      <c r="N496" s="65" t="n"/>
      <c r="O496" s="65" t="n"/>
      <c r="P496" s="65" t="n"/>
      <c r="Q496" s="65" t="n"/>
      <c r="R496" s="65" t="n"/>
      <c r="S496" s="92">
        <f>G496-I496-R496-K496-M496-O496-Q496</f>
        <v/>
      </c>
      <c r="T496" s="92" t="inlineStr"/>
      <c r="U496" s="92" t="inlineStr"/>
      <c r="V496" s="69">
        <f>G496-SUM(I496,K496,M496,O496,Q496,U496)</f>
        <v/>
      </c>
      <c r="W496" s="65" t="n"/>
      <c r="X496" t="inlineStr">
        <is>
          <t>Khớp</t>
        </is>
      </c>
    </row>
    <row r="497">
      <c r="A497" s="65" t="n">
        <v>488</v>
      </c>
      <c r="B497" s="65" t="inlineStr">
        <is>
          <t>25800600195</t>
        </is>
      </c>
      <c r="C497" s="65" t="inlineStr">
        <is>
          <t>Nguyễn Thanh</t>
        </is>
      </c>
      <c r="D497" s="65" t="inlineStr">
        <is>
          <t>Hiền</t>
        </is>
      </c>
      <c r="E497" s="65" t="inlineStr">
        <is>
          <t>09/08/2007</t>
        </is>
      </c>
      <c r="F497" s="66" t="inlineStr">
        <is>
          <t>LNH0925ND01</t>
        </is>
      </c>
      <c r="G497" s="90" t="n">
        <v>4465000</v>
      </c>
      <c r="H497" s="65">
        <f>VLOOKUP(B497,'[1]TONG HOP'!B$5:G$624,6,0)</f>
        <v/>
      </c>
      <c r="I497" s="65" t="n">
        <v>2232500</v>
      </c>
      <c r="J497" s="65" t="n"/>
      <c r="K497" s="65" t="n"/>
      <c r="L497" s="65">
        <f>VLOOKUP(B497,'[2]DS THANG 11'!A$3:E$616,5,0)</f>
        <v/>
      </c>
      <c r="M497" s="65" t="n">
        <v>2232500</v>
      </c>
      <c r="N497" s="65" t="n"/>
      <c r="O497" s="65" t="n"/>
      <c r="P497" s="65" t="n"/>
      <c r="Q497" s="65" t="n"/>
      <c r="R497" s="65" t="n"/>
      <c r="S497" s="92">
        <f>G497-I497-R497-K497-M497-O497-Q497</f>
        <v/>
      </c>
      <c r="T497" s="92" t="inlineStr"/>
      <c r="U497" s="92" t="inlineStr"/>
      <c r="V497" s="69">
        <f>G497-SUM(I497,K497,M497,O497,Q497,U497)</f>
        <v/>
      </c>
      <c r="W497" s="65" t="n"/>
      <c r="X497" t="inlineStr">
        <is>
          <t>Khớp</t>
        </is>
      </c>
    </row>
    <row r="498">
      <c r="A498" s="65" t="n">
        <v>489</v>
      </c>
      <c r="B498" s="65" t="inlineStr">
        <is>
          <t>25802700192</t>
        </is>
      </c>
      <c r="C498" s="65" t="inlineStr">
        <is>
          <t>Nguyễn Tấn</t>
        </is>
      </c>
      <c r="D498" s="65" t="inlineStr">
        <is>
          <t>Phát</t>
        </is>
      </c>
      <c r="E498" s="65" t="inlineStr">
        <is>
          <t>01/10/2007</t>
        </is>
      </c>
      <c r="F498" s="66" t="inlineStr">
        <is>
          <t>LNH0925ND01</t>
        </is>
      </c>
      <c r="G498" s="90" t="n">
        <v>8415000</v>
      </c>
      <c r="H498" s="65">
        <f>VLOOKUP(B498,'[1]TONG HOP'!B$5:G$624,6,0)</f>
        <v/>
      </c>
      <c r="I498" s="65" t="n">
        <v>2103750</v>
      </c>
      <c r="J498" s="65" t="n"/>
      <c r="K498" s="65" t="n"/>
      <c r="L498" s="65">
        <f>VLOOKUP(B498,'[2]DS THANG 11'!A$3:E$616,5,0)</f>
        <v/>
      </c>
      <c r="M498" s="65" t="n">
        <v>2103750</v>
      </c>
      <c r="N498" s="65" t="n"/>
      <c r="O498" s="65" t="n"/>
      <c r="P498" s="65">
        <f>VLOOKUP(B498,'[3]TONG HOP '!B$5:O$666,14,0)</f>
        <v/>
      </c>
      <c r="Q498" s="65" t="n">
        <v>2103750</v>
      </c>
      <c r="R498" s="65" t="n"/>
      <c r="S498" s="92">
        <f>G498-I498-R498-K498-M498-O498-Q498</f>
        <v/>
      </c>
      <c r="T498" s="92" t="inlineStr">
        <is>
          <t>LNH0526NQ18</t>
        </is>
      </c>
      <c r="U498" s="92" t="n">
        <v>2103750</v>
      </c>
      <c r="V498" s="69">
        <f>G498-SUM(I498,K498,M498,O498,Q498,U498)</f>
        <v/>
      </c>
      <c r="W498" s="65" t="n"/>
      <c r="X498" t="inlineStr">
        <is>
          <t>Khớp</t>
        </is>
      </c>
    </row>
    <row r="499">
      <c r="A499" s="65" t="n">
        <v>490</v>
      </c>
      <c r="B499" s="65" t="inlineStr">
        <is>
          <t>25800500007</t>
        </is>
      </c>
      <c r="C499" s="65" t="inlineStr">
        <is>
          <t>Nguyễn Huy</t>
        </is>
      </c>
      <c r="D499" s="65" t="inlineStr">
        <is>
          <t>Anh</t>
        </is>
      </c>
      <c r="E499" s="65" t="inlineStr">
        <is>
          <t>13/12/2007</t>
        </is>
      </c>
      <c r="F499" s="66" t="inlineStr">
        <is>
          <t>LNH0925ND01</t>
        </is>
      </c>
      <c r="G499" s="90" t="n">
        <v>8415000</v>
      </c>
      <c r="H499" s="65">
        <f>VLOOKUP(B499,'[1]TONG HOP'!B$5:G$624,6,0)</f>
        <v/>
      </c>
      <c r="I499" s="65" t="n">
        <v>2103750</v>
      </c>
      <c r="J499" s="65" t="n"/>
      <c r="K499" s="65" t="n"/>
      <c r="L499" s="65">
        <f>VLOOKUP(B499,'[2]DS THANG 11'!A$3:E$616,5,0)</f>
        <v/>
      </c>
      <c r="M499" s="65" t="n">
        <v>2103750</v>
      </c>
      <c r="N499" s="65" t="n"/>
      <c r="O499" s="65" t="n"/>
      <c r="P499" s="65">
        <f>VLOOKUP(B499,'[3]TONG HOP '!B$5:O$666,14,0)</f>
        <v/>
      </c>
      <c r="Q499" s="65" t="n">
        <v>2103750</v>
      </c>
      <c r="R499" s="65" t="n"/>
      <c r="S499" s="92">
        <f>G499-I499-R499-K499-M499-O499-Q499</f>
        <v/>
      </c>
      <c r="T499" s="92" t="inlineStr">
        <is>
          <t>LNH0526NQ18</t>
        </is>
      </c>
      <c r="U499" s="92" t="n">
        <v>2103750</v>
      </c>
      <c r="V499" s="69">
        <f>G499-SUM(I499,K499,M499,O499,Q499,U499)</f>
        <v/>
      </c>
      <c r="W499" s="65" t="n"/>
      <c r="X499" t="inlineStr">
        <is>
          <t>Khớp</t>
        </is>
      </c>
    </row>
    <row r="500">
      <c r="A500" s="65" t="n">
        <v>491</v>
      </c>
      <c r="B500" s="65" t="inlineStr">
        <is>
          <t>25820200068</t>
        </is>
      </c>
      <c r="C500" s="65" t="inlineStr">
        <is>
          <t>Nguyễn Minh Như</t>
        </is>
      </c>
      <c r="D500" s="65" t="inlineStr">
        <is>
          <t>Ý</t>
        </is>
      </c>
      <c r="E500" s="65" t="inlineStr">
        <is>
          <t>05/11/2007</t>
        </is>
      </c>
      <c r="F500" s="66" t="inlineStr">
        <is>
          <t>LNH0925ND01</t>
        </is>
      </c>
      <c r="G500" s="90" t="n">
        <v>8415000</v>
      </c>
      <c r="H500" s="65">
        <f>VLOOKUP(B500,'[1]TONG HOP'!B$5:G$624,6,0)</f>
        <v/>
      </c>
      <c r="I500" s="65" t="n">
        <v>2103750</v>
      </c>
      <c r="J500" s="65" t="n"/>
      <c r="K500" s="65" t="n"/>
      <c r="L500" s="65">
        <f>VLOOKUP(B500,'[2]DS THANG 11'!A$3:E$616,5,0)</f>
        <v/>
      </c>
      <c r="M500" s="65" t="n">
        <v>2103750</v>
      </c>
      <c r="N500" s="65" t="n"/>
      <c r="O500" s="65" t="n"/>
      <c r="P500" s="65">
        <f>VLOOKUP(B500,'[3]TONG HOP '!B$5:O$666,14,0)</f>
        <v/>
      </c>
      <c r="Q500" s="65" t="n">
        <v>2103750</v>
      </c>
      <c r="R500" s="65" t="n"/>
      <c r="S500" s="92">
        <f>G500-I500-R500-K500-M500-O500-Q500</f>
        <v/>
      </c>
      <c r="T500" s="92" t="inlineStr"/>
      <c r="U500" s="92" t="inlineStr"/>
      <c r="V500" s="69">
        <f>G500-SUM(I500,K500,M500,O500,Q500,U500)</f>
        <v/>
      </c>
      <c r="W500" s="65" t="n"/>
      <c r="X500" t="inlineStr">
        <is>
          <t>Khớp</t>
        </is>
      </c>
    </row>
    <row r="501">
      <c r="A501" s="65" t="n">
        <v>492</v>
      </c>
      <c r="B501" s="65" t="inlineStr">
        <is>
          <t>25808900099</t>
        </is>
      </c>
      <c r="C501" s="65" t="inlineStr">
        <is>
          <t>Trần Văn</t>
        </is>
      </c>
      <c r="D501" s="65" t="inlineStr">
        <is>
          <t>Phúc</t>
        </is>
      </c>
      <c r="E501" s="65" t="inlineStr">
        <is>
          <t>07/03/2007</t>
        </is>
      </c>
      <c r="F501" s="66" t="inlineStr">
        <is>
          <t>LNH0925ND01</t>
        </is>
      </c>
      <c r="G501" s="90" t="n">
        <v>4465000</v>
      </c>
      <c r="H501" s="65">
        <f>VLOOKUP(B501,'[1]TONG HOP'!B$5:G$624,6,0)</f>
        <v/>
      </c>
      <c r="I501" s="65" t="n">
        <v>2232500</v>
      </c>
      <c r="J501" s="65" t="n"/>
      <c r="K501" s="65" t="n"/>
      <c r="L501" s="65">
        <f>VLOOKUP(B501,'[2]DS THANG 11'!A$3:E$616,5,0)</f>
        <v/>
      </c>
      <c r="M501" s="65" t="n">
        <v>2232500</v>
      </c>
      <c r="N501" s="65" t="n"/>
      <c r="O501" s="65" t="n"/>
      <c r="P501" s="65" t="n"/>
      <c r="Q501" s="65" t="n"/>
      <c r="R501" s="65" t="n"/>
      <c r="S501" s="92">
        <f>G501-I501-R501-K501-M501-O501-Q501</f>
        <v/>
      </c>
      <c r="T501" s="92" t="inlineStr"/>
      <c r="U501" s="92" t="inlineStr"/>
      <c r="V501" s="69">
        <f>G501-SUM(I501,K501,M501,O501,Q501,U501)</f>
        <v/>
      </c>
      <c r="W501" s="65" t="n"/>
      <c r="X501" t="inlineStr">
        <is>
          <t>Khớp</t>
        </is>
      </c>
    </row>
    <row r="502">
      <c r="A502" s="65" t="n">
        <v>493</v>
      </c>
      <c r="B502" s="65" t="inlineStr">
        <is>
          <t>25808700203</t>
        </is>
      </c>
      <c r="C502" s="65" t="inlineStr">
        <is>
          <t>Mai Tấn</t>
        </is>
      </c>
      <c r="D502" s="65" t="inlineStr">
        <is>
          <t>Nhất</t>
        </is>
      </c>
      <c r="E502" s="65" t="inlineStr">
        <is>
          <t>14/07/2006</t>
        </is>
      </c>
      <c r="F502" s="66" t="inlineStr">
        <is>
          <t>LNH0925ND01</t>
        </is>
      </c>
      <c r="G502" s="90" t="n">
        <v>8415000</v>
      </c>
      <c r="H502" s="65">
        <f>VLOOKUP(B502,'[1]TONG HOP'!B$5:G$624,6,0)</f>
        <v/>
      </c>
      <c r="I502" s="65" t="n">
        <v>2103750</v>
      </c>
      <c r="J502" s="65" t="n"/>
      <c r="K502" s="65" t="n"/>
      <c r="L502" s="65">
        <f>VLOOKUP(B502,'[2]DS THANG 11'!A$3:E$616,5,0)</f>
        <v/>
      </c>
      <c r="M502" s="65" t="n">
        <v>2103750</v>
      </c>
      <c r="N502" s="65" t="n"/>
      <c r="O502" s="65" t="n"/>
      <c r="P502" s="65">
        <f>VLOOKUP(B502,'[3]TONG HOP '!B$5:O$666,14,0)</f>
        <v/>
      </c>
      <c r="Q502" s="65" t="n">
        <v>2103750</v>
      </c>
      <c r="R502" s="65" t="n"/>
      <c r="S502" s="92">
        <f>G502-I502-R502-K502-M502-O502-Q502</f>
        <v/>
      </c>
      <c r="T502" s="92" t="inlineStr"/>
      <c r="U502" s="92" t="inlineStr"/>
      <c r="V502" s="69">
        <f>G502-SUM(I502,K502,M502,O502,Q502,U502)</f>
        <v/>
      </c>
      <c r="W502" s="65" t="n"/>
      <c r="X502" t="inlineStr">
        <is>
          <t>Khớp</t>
        </is>
      </c>
    </row>
    <row r="503">
      <c r="A503" s="65" t="n">
        <v>494</v>
      </c>
      <c r="B503" s="65" t="inlineStr">
        <is>
          <t>25820200001</t>
        </is>
      </c>
      <c r="C503" s="65" t="inlineStr">
        <is>
          <t>Nguyễn Thanh</t>
        </is>
      </c>
      <c r="D503" s="65" t="inlineStr">
        <is>
          <t>An</t>
        </is>
      </c>
      <c r="E503" s="65" t="inlineStr">
        <is>
          <t>02/08/2006</t>
        </is>
      </c>
      <c r="F503" s="66" t="inlineStr">
        <is>
          <t>LNH0925ND01</t>
        </is>
      </c>
      <c r="G503" s="90" t="n">
        <v>1000000</v>
      </c>
      <c r="H503" s="65" t="n"/>
      <c r="I503" s="65" t="n"/>
      <c r="J503" s="65" t="n"/>
      <c r="K503" s="65" t="n"/>
      <c r="L503" s="65" t="n"/>
      <c r="M503" s="65" t="n"/>
      <c r="N503" s="65" t="n"/>
      <c r="O503" s="65" t="n"/>
      <c r="P503" s="65" t="n"/>
      <c r="Q503" s="65" t="n"/>
      <c r="R503" s="65" t="n"/>
      <c r="S503" s="92">
        <f>G503-I503-R503-K503-M503-O503-Q503</f>
        <v/>
      </c>
      <c r="T503" s="92" t="inlineStr"/>
      <c r="U503" s="92" t="inlineStr"/>
      <c r="V503" s="69">
        <f>G503-SUM(I503,K503,M503,O503,Q503,U503)</f>
        <v/>
      </c>
      <c r="W503" s="65" t="n"/>
      <c r="X503" t="inlineStr">
        <is>
          <t>Khớp</t>
        </is>
      </c>
    </row>
    <row r="504">
      <c r="A504" s="65" t="n">
        <v>495</v>
      </c>
      <c r="B504" s="65" t="inlineStr">
        <is>
          <t>25803800063</t>
        </is>
      </c>
      <c r="C504" s="65" t="inlineStr">
        <is>
          <t>Nguyễn Hoàng Nhựt</t>
        </is>
      </c>
      <c r="D504" s="65" t="inlineStr">
        <is>
          <t>Trí</t>
        </is>
      </c>
      <c r="E504" s="65" t="inlineStr">
        <is>
          <t>17/10/2007</t>
        </is>
      </c>
      <c r="F504" s="66" t="inlineStr">
        <is>
          <t>LNH0925ND01</t>
        </is>
      </c>
      <c r="G504" s="90" t="n">
        <v>4465000</v>
      </c>
      <c r="H504" s="65">
        <f>VLOOKUP(B504,'[1]TONG HOP'!B$5:G$624,6,0)</f>
        <v/>
      </c>
      <c r="I504" s="65" t="n">
        <v>2232500</v>
      </c>
      <c r="J504" s="65" t="n"/>
      <c r="K504" s="65" t="n"/>
      <c r="L504" s="65">
        <f>VLOOKUP(B504,'[2]DS THANG 11'!A$3:E$616,5,0)</f>
        <v/>
      </c>
      <c r="M504" s="65" t="n">
        <v>2232500</v>
      </c>
      <c r="N504" s="65" t="n"/>
      <c r="O504" s="65" t="n"/>
      <c r="P504" s="65" t="n"/>
      <c r="Q504" s="65" t="n"/>
      <c r="R504" s="65" t="n"/>
      <c r="S504" s="92">
        <f>G504-I504-R504-K504-M504-O504-Q504</f>
        <v/>
      </c>
      <c r="T504" s="92" t="inlineStr"/>
      <c r="U504" s="92" t="inlineStr"/>
      <c r="V504" s="69">
        <f>G504-SUM(I504,K504,M504,O504,Q504,U504)</f>
        <v/>
      </c>
      <c r="W504" s="65" t="n"/>
      <c r="X504" t="inlineStr">
        <is>
          <t>Khớp</t>
        </is>
      </c>
    </row>
    <row r="505">
      <c r="A505" s="65" t="n">
        <v>496</v>
      </c>
      <c r="B505" s="65" t="inlineStr">
        <is>
          <t>25802800199</t>
        </is>
      </c>
      <c r="C505" s="65" t="inlineStr">
        <is>
          <t>Trần Xuân</t>
        </is>
      </c>
      <c r="D505" s="65" t="inlineStr">
        <is>
          <t>Phát</t>
        </is>
      </c>
      <c r="E505" s="65" t="inlineStr">
        <is>
          <t>01/11/2007</t>
        </is>
      </c>
      <c r="F505" s="66" t="inlineStr">
        <is>
          <t>LNH0925ND01</t>
        </is>
      </c>
      <c r="G505" s="90" t="n">
        <v>8415000</v>
      </c>
      <c r="H505" s="65">
        <f>VLOOKUP(B505,'[1]TONG HOP'!B$5:G$624,6,0)</f>
        <v/>
      </c>
      <c r="I505" s="65" t="n">
        <v>2103750</v>
      </c>
      <c r="J505" s="65" t="n"/>
      <c r="K505" s="65" t="n"/>
      <c r="L505" s="65">
        <f>VLOOKUP(B505,'[2]DS THANG 11'!A$3:E$616,5,0)</f>
        <v/>
      </c>
      <c r="M505" s="65" t="n">
        <v>2103750</v>
      </c>
      <c r="N505" s="65" t="n"/>
      <c r="O505" s="65" t="n"/>
      <c r="P505" s="65">
        <f>VLOOKUP(B505,'[3]TONG HOP '!B$5:O$666,14,0)</f>
        <v/>
      </c>
      <c r="Q505" s="65" t="n">
        <v>2103750</v>
      </c>
      <c r="R505" s="65" t="n"/>
      <c r="S505" s="92">
        <f>G505-I505-R505-K505-M505-O505-Q505</f>
        <v/>
      </c>
      <c r="T505" s="92" t="inlineStr">
        <is>
          <t>LNH0526NQ02</t>
        </is>
      </c>
      <c r="U505" s="92" t="n">
        <v>2103750</v>
      </c>
      <c r="V505" s="69">
        <f>G505-SUM(I505,K505,M505,O505,Q505,U505)</f>
        <v/>
      </c>
      <c r="W505" s="65" t="n"/>
      <c r="X505" t="inlineStr">
        <is>
          <t>Khớp</t>
        </is>
      </c>
    </row>
    <row r="506">
      <c r="A506" s="65" t="n">
        <v>497</v>
      </c>
      <c r="B506" s="65" t="inlineStr">
        <is>
          <t>25808600073</t>
        </is>
      </c>
      <c r="C506" s="65" t="inlineStr">
        <is>
          <t>Huỳnh Thị Hồng</t>
        </is>
      </c>
      <c r="D506" s="65" t="inlineStr">
        <is>
          <t>Ngọc</t>
        </is>
      </c>
      <c r="E506" s="65" t="inlineStr">
        <is>
          <t>11/02/2007</t>
        </is>
      </c>
      <c r="F506" s="66" t="inlineStr">
        <is>
          <t>LNH0925ND01</t>
        </is>
      </c>
      <c r="G506" s="90" t="n">
        <v>8415000</v>
      </c>
      <c r="H506" s="65">
        <f>VLOOKUP(B506,'[1]TONG HOP'!B$5:G$624,6,0)</f>
        <v/>
      </c>
      <c r="I506" s="65" t="n">
        <v>2103750</v>
      </c>
      <c r="J506" s="65" t="n"/>
      <c r="K506" s="65" t="n"/>
      <c r="L506" s="65">
        <f>VLOOKUP(B506,'[2]DS THANG 11'!A$3:E$616,5,0)</f>
        <v/>
      </c>
      <c r="M506" s="65" t="n">
        <v>1530000</v>
      </c>
      <c r="N506" s="65">
        <f>VLOOKUP(B506,'[4]TOEIC 01.26'!A$3:E$33,5,0)</f>
        <v/>
      </c>
      <c r="O506" s="65" t="n">
        <v>1530000</v>
      </c>
      <c r="P506" s="65">
        <f>VLOOKUP(B506,'[3]TONG HOP '!B$5:O$666,14,0)</f>
        <v/>
      </c>
      <c r="Q506" s="65" t="n">
        <v>1530000</v>
      </c>
      <c r="R506" s="65" t="n"/>
      <c r="S506" s="92">
        <f>G506-I506-R506-K506-M506-O506-Q506</f>
        <v/>
      </c>
      <c r="T506" s="92" t="inlineStr"/>
      <c r="U506" s="92" t="inlineStr"/>
      <c r="V506" s="69">
        <f>G506-SUM(I506,K506,M506,O506,Q506,U506)</f>
        <v/>
      </c>
      <c r="W506" s="65" t="n"/>
      <c r="X506" t="inlineStr">
        <is>
          <t>Khớp</t>
        </is>
      </c>
    </row>
    <row r="507">
      <c r="A507" s="65" t="n">
        <v>498</v>
      </c>
      <c r="B507" s="65" t="inlineStr">
        <is>
          <t>25808600127</t>
        </is>
      </c>
      <c r="C507" s="65" t="inlineStr">
        <is>
          <t>Nguyễn Trung</t>
        </is>
      </c>
      <c r="D507" s="65" t="inlineStr">
        <is>
          <t>Tín</t>
        </is>
      </c>
      <c r="E507" s="65" t="inlineStr">
        <is>
          <t>02/01/1999</t>
        </is>
      </c>
      <c r="F507" s="66" t="inlineStr">
        <is>
          <t>LNH0925ND01</t>
        </is>
      </c>
      <c r="G507" s="90" t="n">
        <v>5000000</v>
      </c>
      <c r="H507" s="65">
        <f>VLOOKUP(B507,'[1]TONG HOP'!B$5:G$624,6,0)</f>
        <v/>
      </c>
      <c r="I507" s="65" t="n">
        <v>2232500</v>
      </c>
      <c r="J507" s="65" t="n"/>
      <c r="K507" s="65" t="n"/>
      <c r="L507" s="65">
        <f>VLOOKUP(B507,'[2]DS THANG 11'!A$3:E$616,5,0)</f>
        <v/>
      </c>
      <c r="M507" s="65" t="n">
        <v>2232500</v>
      </c>
      <c r="N507" s="65" t="n"/>
      <c r="O507" s="65" t="n"/>
      <c r="P507" s="65" t="n"/>
      <c r="Q507" s="65" t="n"/>
      <c r="R507" s="65" t="n"/>
      <c r="S507" s="92">
        <f>G507-I507-R507-K507-M507-O507-Q507</f>
        <v/>
      </c>
      <c r="T507" s="92" t="inlineStr"/>
      <c r="U507" s="92" t="inlineStr"/>
      <c r="V507" s="69">
        <f>G507-SUM(I507,K507,M507,O507,Q507,U507)</f>
        <v/>
      </c>
      <c r="W507" s="65" t="n"/>
      <c r="X507" t="inlineStr">
        <is>
          <t>Khớp</t>
        </is>
      </c>
    </row>
    <row r="508">
      <c r="A508" s="65" t="n">
        <v>499</v>
      </c>
      <c r="B508" s="65" t="inlineStr">
        <is>
          <t>25808200228</t>
        </is>
      </c>
      <c r="C508" s="65" t="inlineStr">
        <is>
          <t>Trương Gia</t>
        </is>
      </c>
      <c r="D508" s="65" t="inlineStr">
        <is>
          <t>Bảo</t>
        </is>
      </c>
      <c r="E508" s="65" t="inlineStr">
        <is>
          <t>22/12/2007</t>
        </is>
      </c>
      <c r="F508" s="66" t="inlineStr">
        <is>
          <t>LNH0925ND01</t>
        </is>
      </c>
      <c r="G508" s="90" t="n">
        <v>8415000</v>
      </c>
      <c r="H508" s="65">
        <f>VLOOKUP(B508,'[1]TONG HOP'!B$5:G$624,6,0)</f>
        <v/>
      </c>
      <c r="I508" s="65" t="n">
        <v>2103750</v>
      </c>
      <c r="J508" s="65" t="n"/>
      <c r="K508" s="65" t="n"/>
      <c r="L508" s="65">
        <f>VLOOKUP(B508,'[2]DS THANG 11'!A$3:E$616,5,0)</f>
        <v/>
      </c>
      <c r="M508" s="65" t="n">
        <v>2103750</v>
      </c>
      <c r="N508" s="65" t="n"/>
      <c r="O508" s="65" t="n"/>
      <c r="P508" s="65">
        <f>VLOOKUP(B508,'[3]TONG HOP '!B$5:O$666,14,0)</f>
        <v/>
      </c>
      <c r="Q508" s="65" t="n">
        <v>2103750</v>
      </c>
      <c r="R508" s="65" t="n"/>
      <c r="S508" s="92">
        <f>G508-I508-R508-K508-M508-O508-Q508</f>
        <v/>
      </c>
      <c r="T508" s="92" t="inlineStr">
        <is>
          <t>LNH0526NQ12</t>
        </is>
      </c>
      <c r="U508" s="92" t="n">
        <v>2103750</v>
      </c>
      <c r="V508" s="69">
        <f>G508-SUM(I508,K508,M508,O508,Q508,U508)</f>
        <v/>
      </c>
      <c r="W508" s="65" t="n"/>
      <c r="X508" t="inlineStr">
        <is>
          <t>Khớp</t>
        </is>
      </c>
    </row>
    <row r="509">
      <c r="A509" s="65" t="n">
        <v>500</v>
      </c>
      <c r="B509" s="65" t="inlineStr">
        <is>
          <t>25800400142</t>
        </is>
      </c>
      <c r="C509" s="65" t="inlineStr">
        <is>
          <t>Đỗ Xuân</t>
        </is>
      </c>
      <c r="D509" s="65" t="inlineStr">
        <is>
          <t>Thành</t>
        </is>
      </c>
      <c r="E509" s="65" t="inlineStr">
        <is>
          <t>07/06/2007</t>
        </is>
      </c>
      <c r="F509" s="66" t="inlineStr">
        <is>
          <t>LNH0925ND01</t>
        </is>
      </c>
      <c r="G509" s="90" t="n">
        <v>8415000</v>
      </c>
      <c r="H509" s="65">
        <f>VLOOKUP(B509,'[1]TONG HOP'!B$5:G$624,6,0)</f>
        <v/>
      </c>
      <c r="I509" s="65" t="n">
        <v>2103750</v>
      </c>
      <c r="J509" s="65" t="n"/>
      <c r="K509" s="65" t="n"/>
      <c r="L509" s="65">
        <f>VLOOKUP(B509,'[2]DS THANG 11'!A$3:E$616,5,0)</f>
        <v/>
      </c>
      <c r="M509" s="65" t="n">
        <v>2103750</v>
      </c>
      <c r="N509" s="65" t="n"/>
      <c r="O509" s="65" t="n"/>
      <c r="P509" s="65">
        <f>VLOOKUP(B509,'[3]TONG HOP '!B$5:O$666,14,0)</f>
        <v/>
      </c>
      <c r="Q509" s="65" t="n">
        <v>2103750</v>
      </c>
      <c r="R509" s="65" t="n"/>
      <c r="S509" s="92">
        <f>G509-I509-R509-K509-M509-O509-Q509</f>
        <v/>
      </c>
      <c r="T509" s="92" t="inlineStr">
        <is>
          <t>LNH0526NQ19</t>
        </is>
      </c>
      <c r="U509" s="92" t="n">
        <v>2103750</v>
      </c>
      <c r="V509" s="69">
        <f>G509-SUM(I509,K509,M509,O509,Q509,U509)</f>
        <v/>
      </c>
      <c r="W509" s="65" t="n"/>
      <c r="X509" t="inlineStr">
        <is>
          <t>Khớp</t>
        </is>
      </c>
    </row>
    <row r="510">
      <c r="A510" s="65" t="n">
        <v>501</v>
      </c>
      <c r="B510" s="72" t="inlineStr">
        <is>
          <t>25800601233</t>
        </is>
      </c>
      <c r="C510" s="73" t="inlineStr">
        <is>
          <t>Phan nguyễn Bảo</t>
        </is>
      </c>
      <c r="D510" s="73" t="inlineStr">
        <is>
          <t>Trâm</t>
        </is>
      </c>
      <c r="E510" s="73" t="inlineStr">
        <is>
          <t>02/09/2007</t>
        </is>
      </c>
      <c r="F510" s="66" t="inlineStr">
        <is>
          <t>LNH0925ND01</t>
        </is>
      </c>
      <c r="G510" s="96" t="n">
        <v>1000000</v>
      </c>
      <c r="H510" s="65" t="n"/>
      <c r="I510" s="65" t="n"/>
      <c r="J510" s="65" t="n"/>
      <c r="K510" s="65" t="n"/>
      <c r="L510" s="65" t="n"/>
      <c r="M510" s="65" t="n"/>
      <c r="N510" s="65" t="n"/>
      <c r="O510" s="65" t="n"/>
      <c r="P510" s="65" t="n"/>
      <c r="Q510" s="65" t="n"/>
      <c r="R510" s="65" t="n"/>
      <c r="S510" s="92">
        <f>G510-I510-R510-K510-M510-O510-Q510</f>
        <v/>
      </c>
      <c r="T510" s="92" t="inlineStr"/>
      <c r="U510" s="92" t="inlineStr"/>
      <c r="V510" s="69">
        <f>G510-SUM(I510,K510,M510,O510,Q510,U510)</f>
        <v/>
      </c>
      <c r="W510" s="65" t="inlineStr">
        <is>
          <t>SV đã thôi học</t>
        </is>
      </c>
      <c r="X510" t="inlineStr">
        <is>
          <t>Không tồn tại trong K.Hiền</t>
        </is>
      </c>
    </row>
    <row r="511">
      <c r="A511" s="65" t="n">
        <v>502</v>
      </c>
      <c r="B511" s="65" t="inlineStr">
        <is>
          <t>25801800004</t>
        </is>
      </c>
      <c r="C511" s="65" t="inlineStr">
        <is>
          <t>Nguyễn Quỳnh</t>
        </is>
      </c>
      <c r="D511" s="65" t="inlineStr">
        <is>
          <t>Anh</t>
        </is>
      </c>
      <c r="E511" s="65" t="inlineStr">
        <is>
          <t>20/01/2006</t>
        </is>
      </c>
      <c r="F511" s="66" t="inlineStr">
        <is>
          <t>LNH0925ND01</t>
        </is>
      </c>
      <c r="G511" s="90" t="n">
        <v>1000000</v>
      </c>
      <c r="H511" s="65" t="n"/>
      <c r="I511" s="65" t="n"/>
      <c r="J511" s="65" t="n"/>
      <c r="K511" s="65" t="n"/>
      <c r="L511" s="65" t="n"/>
      <c r="M511" s="65" t="n"/>
      <c r="N511" s="65" t="n"/>
      <c r="O511" s="65" t="n"/>
      <c r="P511" s="65" t="n"/>
      <c r="Q511" s="65" t="n"/>
      <c r="R511" s="65" t="n"/>
      <c r="S511" s="92">
        <f>G511-I511-R511-K511-M511-O511-Q511</f>
        <v/>
      </c>
      <c r="T511" s="92" t="inlineStr"/>
      <c r="U511" s="92" t="inlineStr"/>
      <c r="V511" s="69">
        <f>G511-SUM(I511,K511,M511,O511,Q511,U511)</f>
        <v/>
      </c>
      <c r="W511" s="65" t="n"/>
      <c r="X511" t="inlineStr">
        <is>
          <t>Khớp</t>
        </is>
      </c>
    </row>
    <row r="512">
      <c r="A512" s="65" t="n">
        <v>503</v>
      </c>
      <c r="B512" s="65" t="inlineStr">
        <is>
          <t>25809600043</t>
        </is>
      </c>
      <c r="C512" s="65" t="inlineStr">
        <is>
          <t>Nguyễn Trọng</t>
        </is>
      </c>
      <c r="D512" s="65" t="inlineStr">
        <is>
          <t>Nhân</t>
        </is>
      </c>
      <c r="E512" s="65" t="inlineStr">
        <is>
          <t>03/07/2007</t>
        </is>
      </c>
      <c r="F512" s="66" t="inlineStr">
        <is>
          <t>LNH0925ND01</t>
        </is>
      </c>
      <c r="G512" s="90" t="n">
        <v>4465000</v>
      </c>
      <c r="H512" s="65">
        <f>VLOOKUP(B512,'[1]TONG HOP'!B$5:G$624,6,0)</f>
        <v/>
      </c>
      <c r="I512" s="65" t="n">
        <v>2232500</v>
      </c>
      <c r="J512" s="65" t="n"/>
      <c r="K512" s="65" t="n"/>
      <c r="L512" s="65">
        <f>VLOOKUP(B512,'[2]DS THANG 11'!A$3:E$616,5,0)</f>
        <v/>
      </c>
      <c r="M512" s="65" t="n">
        <v>2232500</v>
      </c>
      <c r="N512" s="65" t="n"/>
      <c r="O512" s="65" t="n"/>
      <c r="P512" s="65" t="n"/>
      <c r="Q512" s="65" t="n"/>
      <c r="R512" s="65" t="n"/>
      <c r="S512" s="92">
        <f>G512-I512-R512-K512-M512-O512-Q512</f>
        <v/>
      </c>
      <c r="T512" s="92" t="inlineStr"/>
      <c r="U512" s="92" t="inlineStr"/>
      <c r="V512" s="69">
        <f>G512-SUM(I512,K512,M512,O512,Q512,U512)</f>
        <v/>
      </c>
      <c r="W512" s="65" t="n"/>
      <c r="X512" t="inlineStr">
        <is>
          <t>Khớp</t>
        </is>
      </c>
    </row>
    <row r="513">
      <c r="A513" s="65" t="n">
        <v>504</v>
      </c>
      <c r="B513" s="65" t="inlineStr">
        <is>
          <t>25820600003</t>
        </is>
      </c>
      <c r="C513" s="65" t="inlineStr">
        <is>
          <t>Mã Nguyễn Tấn</t>
        </is>
      </c>
      <c r="D513" s="65" t="inlineStr">
        <is>
          <t>Khoa</t>
        </is>
      </c>
      <c r="E513" s="65" t="inlineStr">
        <is>
          <t>03/10/2007</t>
        </is>
      </c>
      <c r="F513" s="66" t="inlineStr">
        <is>
          <t>LNH0925ND01</t>
        </is>
      </c>
      <c r="G513" s="90" t="n">
        <v>1000000</v>
      </c>
      <c r="H513" s="65" t="n"/>
      <c r="I513" s="65" t="n"/>
      <c r="J513" s="65" t="n"/>
      <c r="K513" s="65" t="n"/>
      <c r="L513" s="65" t="n"/>
      <c r="M513" s="65" t="n"/>
      <c r="N513" s="65" t="n"/>
      <c r="O513" s="65" t="n"/>
      <c r="P513" s="65" t="n"/>
      <c r="Q513" s="65" t="n"/>
      <c r="R513" s="65" t="n"/>
      <c r="S513" s="92">
        <f>G513-I513-R513-K513-M513-O513-Q513</f>
        <v/>
      </c>
      <c r="T513" s="92" t="inlineStr"/>
      <c r="U513" s="92" t="inlineStr"/>
      <c r="V513" s="69">
        <f>G513-SUM(I513,K513,M513,O513,Q513,U513)</f>
        <v/>
      </c>
      <c r="W513" s="65" t="n"/>
      <c r="X513" t="inlineStr">
        <is>
          <t>Khớp</t>
        </is>
      </c>
    </row>
    <row r="514">
      <c r="A514" s="65" t="n">
        <v>505</v>
      </c>
      <c r="B514" s="65" t="inlineStr">
        <is>
          <t>25809600042</t>
        </is>
      </c>
      <c r="C514" s="65" t="inlineStr">
        <is>
          <t>Nguyễn Phúc Khôi</t>
        </is>
      </c>
      <c r="D514" s="65" t="inlineStr">
        <is>
          <t>Nguyên</t>
        </is>
      </c>
      <c r="E514" s="65" t="inlineStr">
        <is>
          <t>25/09/2007</t>
        </is>
      </c>
      <c r="F514" s="66" t="inlineStr">
        <is>
          <t>LNH0925ND01</t>
        </is>
      </c>
      <c r="G514" s="90" t="n">
        <v>1000000</v>
      </c>
      <c r="H514" s="65" t="n"/>
      <c r="I514" s="65" t="n"/>
      <c r="J514" s="65" t="n"/>
      <c r="K514" s="65" t="n"/>
      <c r="L514" s="65" t="n"/>
      <c r="M514" s="65" t="n"/>
      <c r="N514" s="65" t="n"/>
      <c r="O514" s="65" t="n"/>
      <c r="P514" s="65" t="n"/>
      <c r="Q514" s="65" t="n"/>
      <c r="R514" s="65" t="n"/>
      <c r="S514" s="92">
        <f>G514-I514-R514-K514-M514-O514-Q514</f>
        <v/>
      </c>
      <c r="T514" s="92" t="inlineStr"/>
      <c r="U514" s="92" t="inlineStr"/>
      <c r="V514" s="69">
        <f>G514-SUM(I514,K514,M514,O514,Q514,U514)</f>
        <v/>
      </c>
      <c r="W514" s="65" t="n"/>
      <c r="X514" t="inlineStr">
        <is>
          <t>Khớp</t>
        </is>
      </c>
    </row>
    <row r="515">
      <c r="A515" s="65" t="n">
        <v>506</v>
      </c>
      <c r="B515" s="65" t="inlineStr">
        <is>
          <t>25801200024</t>
        </is>
      </c>
      <c r="C515" s="65" t="inlineStr">
        <is>
          <t>Lê Thái</t>
        </is>
      </c>
      <c r="D515" s="65" t="inlineStr">
        <is>
          <t>Nguyên</t>
        </is>
      </c>
      <c r="E515" s="65" t="inlineStr">
        <is>
          <t>02/01/2007</t>
        </is>
      </c>
      <c r="F515" s="66" t="inlineStr">
        <is>
          <t>LNH0925ND01</t>
        </is>
      </c>
      <c r="G515" s="90" t="n">
        <v>2100000</v>
      </c>
      <c r="H515" s="65">
        <f>VLOOKUP(B515,'[1]TONG HOP'!B$5:G$624,6,0)</f>
        <v/>
      </c>
      <c r="I515" s="65" t="n">
        <v>2100000</v>
      </c>
      <c r="J515" s="65" t="n"/>
      <c r="K515" s="65" t="n"/>
      <c r="L515" s="65" t="n"/>
      <c r="M515" s="65" t="n"/>
      <c r="N515" s="65" t="n"/>
      <c r="O515" s="65" t="n"/>
      <c r="P515" s="65" t="n"/>
      <c r="Q515" s="65" t="n"/>
      <c r="R515" s="65" t="n"/>
      <c r="S515" s="92">
        <f>G515-I515-R515-K515-M515-O515-Q515</f>
        <v/>
      </c>
      <c r="T515" s="92" t="inlineStr"/>
      <c r="U515" s="92" t="inlineStr"/>
      <c r="V515" s="69">
        <f>G515-SUM(I515,K515,M515,O515,Q515,U515)</f>
        <v/>
      </c>
      <c r="W515" s="65" t="n"/>
      <c r="X515" t="inlineStr">
        <is>
          <t>Khớp</t>
        </is>
      </c>
    </row>
    <row r="516">
      <c r="A516" s="65" t="n">
        <v>507</v>
      </c>
      <c r="B516" s="75" t="inlineStr">
        <is>
          <t>25807500177</t>
        </is>
      </c>
      <c r="C516" s="65" t="inlineStr">
        <is>
          <t>Nguyễn Huỳnh Như</t>
        </is>
      </c>
      <c r="D516" s="65" t="inlineStr">
        <is>
          <t>Ý</t>
        </is>
      </c>
      <c r="E516" s="65" t="inlineStr">
        <is>
          <t>25/06/2007</t>
        </is>
      </c>
      <c r="F516" s="66" t="inlineStr">
        <is>
          <t>LNH0925ND01</t>
        </is>
      </c>
      <c r="G516" s="90" t="n">
        <v>8415000</v>
      </c>
      <c r="H516" s="65">
        <f>VLOOKUP(B516,'[1]TONG HOP'!B$5:G$624,6,0)</f>
        <v/>
      </c>
      <c r="I516" s="65" t="n">
        <v>2103750</v>
      </c>
      <c r="J516" s="65" t="n"/>
      <c r="K516" s="65" t="n"/>
      <c r="L516" s="65" t="n"/>
      <c r="M516" s="65" t="n"/>
      <c r="N516" s="65" t="n"/>
      <c r="O516" s="65" t="n"/>
      <c r="P516" s="65" t="n"/>
      <c r="Q516" s="65" t="n"/>
      <c r="R516" s="65" t="n">
        <v>6311250</v>
      </c>
      <c r="S516" s="92">
        <f>G516-I516-R516-K516-M516-O516-Q516</f>
        <v/>
      </c>
      <c r="T516" s="92" t="inlineStr"/>
      <c r="U516" s="92" t="inlineStr"/>
      <c r="V516" s="69">
        <f>G516-SUM(I516,K516,M516,O516,Q516,U516)</f>
        <v/>
      </c>
      <c r="W516" s="65" t="inlineStr">
        <is>
          <t>Chuyển HP sang EDU - xin học 1 LV-6.311.250</t>
        </is>
      </c>
      <c r="X516" t="inlineStr">
        <is>
          <t>Không tồn tại trong K.Hiền</t>
        </is>
      </c>
    </row>
    <row r="517">
      <c r="A517" s="65" t="n">
        <v>508</v>
      </c>
      <c r="B517" s="65" t="inlineStr">
        <is>
          <t>25808200132</t>
        </is>
      </c>
      <c r="C517" s="65" t="inlineStr">
        <is>
          <t>Vũ Cao Minh</t>
        </is>
      </c>
      <c r="D517" s="65" t="inlineStr">
        <is>
          <t>Trí</t>
        </is>
      </c>
      <c r="E517" s="65" t="inlineStr">
        <is>
          <t>05/05/2007</t>
        </is>
      </c>
      <c r="F517" s="66" t="inlineStr">
        <is>
          <t>LNH0925ND01</t>
        </is>
      </c>
      <c r="G517" s="90" t="n">
        <v>1000000</v>
      </c>
      <c r="H517" s="65" t="n"/>
      <c r="I517" s="65" t="n"/>
      <c r="J517" s="65" t="n"/>
      <c r="K517" s="65" t="n"/>
      <c r="L517" s="65" t="n"/>
      <c r="M517" s="65" t="n"/>
      <c r="N517" s="65" t="n"/>
      <c r="O517" s="65" t="n"/>
      <c r="P517" s="65" t="n"/>
      <c r="Q517" s="65" t="n"/>
      <c r="R517" s="65" t="n"/>
      <c r="S517" s="92">
        <f>G517-I517-R517-K517-M517-O517-Q517</f>
        <v/>
      </c>
      <c r="T517" s="92" t="inlineStr"/>
      <c r="U517" s="92" t="inlineStr"/>
      <c r="V517" s="69">
        <f>G517-SUM(I517,K517,M517,O517,Q517,U517)</f>
        <v/>
      </c>
      <c r="W517" s="65" t="n"/>
      <c r="X517" t="inlineStr">
        <is>
          <t>Khớp</t>
        </is>
      </c>
    </row>
    <row r="518">
      <c r="A518" s="65" t="n">
        <v>509</v>
      </c>
      <c r="B518" s="65" t="inlineStr">
        <is>
          <t>25802800155</t>
        </is>
      </c>
      <c r="C518" s="65" t="inlineStr">
        <is>
          <t>Nguyễn Huỳnh Đình</t>
        </is>
      </c>
      <c r="D518" s="65" t="inlineStr">
        <is>
          <t>Nghi</t>
        </is>
      </c>
      <c r="E518" s="65" t="inlineStr">
        <is>
          <t>21/10/2007</t>
        </is>
      </c>
      <c r="F518" s="66" t="inlineStr">
        <is>
          <t>LNH0925ND01</t>
        </is>
      </c>
      <c r="G518" s="90" t="n">
        <v>8415000</v>
      </c>
      <c r="H518" s="65">
        <f>VLOOKUP(B518,'[1]TONG HOP'!B$5:G$624,6,0)</f>
        <v/>
      </c>
      <c r="I518" s="65" t="n">
        <v>2103750</v>
      </c>
      <c r="J518" s="65" t="n"/>
      <c r="K518" s="65" t="n"/>
      <c r="L518" s="65">
        <f>VLOOKUP(B518,'[2]DS THANG 11'!A$3:E$616,5,0)</f>
        <v/>
      </c>
      <c r="M518" s="65" t="n">
        <v>2103750</v>
      </c>
      <c r="N518" s="65" t="n"/>
      <c r="O518" s="65" t="n"/>
      <c r="P518" s="65">
        <f>VLOOKUP(B518,'[3]TONG HOP '!B$5:O$666,14,0)</f>
        <v/>
      </c>
      <c r="Q518" s="65" t="n">
        <v>2103750</v>
      </c>
      <c r="R518" s="65" t="n"/>
      <c r="S518" s="92">
        <f>G518-I518-R518-K518-M518-O518-Q518</f>
        <v/>
      </c>
      <c r="T518" s="92" t="inlineStr">
        <is>
          <t>LNH0526NQ03</t>
        </is>
      </c>
      <c r="U518" s="92" t="n">
        <v>2103750</v>
      </c>
      <c r="V518" s="69">
        <f>G518-SUM(I518,K518,M518,O518,Q518,U518)</f>
        <v/>
      </c>
      <c r="W518" s="65" t="n"/>
      <c r="X518" t="inlineStr">
        <is>
          <t>Khớp</t>
        </is>
      </c>
    </row>
    <row r="519">
      <c r="A519" s="65" t="n">
        <v>510</v>
      </c>
      <c r="B519" s="65" t="inlineStr">
        <is>
          <t>25802800144</t>
        </is>
      </c>
      <c r="C519" s="65" t="inlineStr">
        <is>
          <t>Phạm Nguyễn Ngọc</t>
        </is>
      </c>
      <c r="D519" s="65" t="inlineStr">
        <is>
          <t>Mai</t>
        </is>
      </c>
      <c r="E519" s="65" t="inlineStr">
        <is>
          <t>13/07/2007</t>
        </is>
      </c>
      <c r="F519" s="66" t="inlineStr">
        <is>
          <t>LNH0925ND01</t>
        </is>
      </c>
      <c r="G519" s="90" t="n">
        <v>8415000</v>
      </c>
      <c r="H519" s="65">
        <f>VLOOKUP(B519,'[1]TONG HOP'!B$5:G$624,6,0)</f>
        <v/>
      </c>
      <c r="I519" s="65" t="n">
        <v>2103750</v>
      </c>
      <c r="J519" s="65" t="n"/>
      <c r="K519" s="65" t="n"/>
      <c r="L519" s="65">
        <f>VLOOKUP(B519,'[2]DS THANG 11'!A$3:E$616,5,0)</f>
        <v/>
      </c>
      <c r="M519" s="65" t="n">
        <v>2103750</v>
      </c>
      <c r="N519" s="65" t="n"/>
      <c r="O519" s="65" t="n"/>
      <c r="P519" s="65">
        <f>VLOOKUP(B519,'[3]TONG HOP '!B$5:O$666,14,0)</f>
        <v/>
      </c>
      <c r="Q519" s="65" t="n">
        <v>2103750</v>
      </c>
      <c r="R519" s="65" t="n"/>
      <c r="S519" s="92">
        <f>G519-I519-R519-K519-M519-O519-Q519</f>
        <v/>
      </c>
      <c r="T519" s="92" t="inlineStr">
        <is>
          <t>LNH0526NQ03</t>
        </is>
      </c>
      <c r="U519" s="92" t="n">
        <v>2103750</v>
      </c>
      <c r="V519" s="69">
        <f>G519-SUM(I519,K519,M519,O519,Q519,U519)</f>
        <v/>
      </c>
      <c r="W519" s="65" t="n"/>
      <c r="X519" t="inlineStr">
        <is>
          <t>Khớp</t>
        </is>
      </c>
    </row>
    <row r="520">
      <c r="A520" s="65" t="n">
        <v>511</v>
      </c>
      <c r="B520" s="65" t="inlineStr">
        <is>
          <t>25801800085</t>
        </is>
      </c>
      <c r="C520" s="65" t="inlineStr">
        <is>
          <t>Trần Cẩm</t>
        </is>
      </c>
      <c r="D520" s="65" t="inlineStr">
        <is>
          <t>Vân</t>
        </is>
      </c>
      <c r="E520" s="65" t="inlineStr">
        <is>
          <t>31/12/2007</t>
        </is>
      </c>
      <c r="F520" s="66" t="inlineStr">
        <is>
          <t>LNH0925ND01</t>
        </is>
      </c>
      <c r="G520" s="90" t="n">
        <v>1000000</v>
      </c>
      <c r="H520" s="65" t="n"/>
      <c r="I520" s="65" t="n"/>
      <c r="J520" s="65" t="n"/>
      <c r="K520" s="65" t="n"/>
      <c r="L520" s="65" t="n"/>
      <c r="M520" s="65" t="n"/>
      <c r="N520" s="65" t="n"/>
      <c r="O520" s="65" t="n"/>
      <c r="P520" s="65" t="n"/>
      <c r="Q520" s="65" t="n"/>
      <c r="R520" s="65" t="n"/>
      <c r="S520" s="92">
        <f>G520-I520-R520-K520-M520-O520-Q520</f>
        <v/>
      </c>
      <c r="T520" s="92" t="inlineStr"/>
      <c r="U520" s="92" t="inlineStr"/>
      <c r="V520" s="69">
        <f>G520-SUM(I520,K520,M520,O520,Q520,U520)</f>
        <v/>
      </c>
      <c r="W520" s="65" t="n"/>
      <c r="X520" t="inlineStr">
        <is>
          <t>Khớp</t>
        </is>
      </c>
    </row>
    <row r="521">
      <c r="A521" s="65" t="n">
        <v>512</v>
      </c>
      <c r="B521" s="65" t="inlineStr">
        <is>
          <t>25802800275</t>
        </is>
      </c>
      <c r="C521" s="65" t="inlineStr">
        <is>
          <t>Trần Ngọc Bảo</t>
        </is>
      </c>
      <c r="D521" s="65" t="inlineStr">
        <is>
          <t>Trân</t>
        </is>
      </c>
      <c r="E521" s="65" t="inlineStr">
        <is>
          <t>11/02/2007</t>
        </is>
      </c>
      <c r="F521" s="66" t="inlineStr">
        <is>
          <t>LNH0925ND01</t>
        </is>
      </c>
      <c r="G521" s="90" t="n">
        <v>8415000</v>
      </c>
      <c r="H521" s="65">
        <f>VLOOKUP(B521,'[1]TONG HOP'!B$5:G$624,6,0)</f>
        <v/>
      </c>
      <c r="I521" s="65" t="n">
        <v>2103750</v>
      </c>
      <c r="J521" s="65" t="n"/>
      <c r="K521" s="65" t="n"/>
      <c r="L521" s="65">
        <f>VLOOKUP(B521,'[2]DS THANG 11'!A$3:E$616,5,0)</f>
        <v/>
      </c>
      <c r="M521" s="65" t="n">
        <v>2103750</v>
      </c>
      <c r="N521" s="65" t="n"/>
      <c r="O521" s="65" t="n"/>
      <c r="P521" s="65">
        <f>VLOOKUP(B521,'[3]TONG HOP '!B$5:O$666,14,0)</f>
        <v/>
      </c>
      <c r="Q521" s="65" t="n">
        <v>2103750</v>
      </c>
      <c r="R521" s="65" t="n"/>
      <c r="S521" s="92">
        <f>G521-I521-R521-K521-M521-O521-Q521</f>
        <v/>
      </c>
      <c r="T521" s="92" t="inlineStr"/>
      <c r="U521" s="92" t="inlineStr"/>
      <c r="V521" s="69">
        <f>G521-SUM(I521,K521,M521,O521,Q521,U521)</f>
        <v/>
      </c>
      <c r="W521" s="65" t="n"/>
      <c r="X521" t="inlineStr">
        <is>
          <t>Khớp</t>
        </is>
      </c>
    </row>
    <row r="522">
      <c r="A522" s="65" t="n">
        <v>513</v>
      </c>
      <c r="B522" s="65" t="inlineStr">
        <is>
          <t>25807800110</t>
        </is>
      </c>
      <c r="C522" s="65" t="inlineStr">
        <is>
          <t>Nguyễn Duyên Hoàn</t>
        </is>
      </c>
      <c r="D522" s="65" t="inlineStr">
        <is>
          <t>Phúc</t>
        </is>
      </c>
      <c r="E522" s="65" t="inlineStr">
        <is>
          <t>13/12/2007</t>
        </is>
      </c>
      <c r="F522" s="66" t="inlineStr">
        <is>
          <t>LNH0925ND01</t>
        </is>
      </c>
      <c r="G522" s="90" t="n">
        <v>8415000</v>
      </c>
      <c r="H522" s="65">
        <f>VLOOKUP(B522,'[1]TONG HOP'!B$5:G$624,6,0)</f>
        <v/>
      </c>
      <c r="I522" s="65" t="n">
        <v>2103750</v>
      </c>
      <c r="J522" s="65" t="n"/>
      <c r="K522" s="65" t="n"/>
      <c r="L522" s="65">
        <f>VLOOKUP(B522,'[2]DS THANG 11'!A$3:E$616,5,0)</f>
        <v/>
      </c>
      <c r="M522" s="65" t="n">
        <v>2103750</v>
      </c>
      <c r="N522" s="65" t="n"/>
      <c r="O522" s="65" t="n"/>
      <c r="P522" s="65">
        <f>VLOOKUP(B522,'[3]TONG HOP '!B$5:O$666,14,0)</f>
        <v/>
      </c>
      <c r="Q522" s="65" t="n">
        <v>2103750</v>
      </c>
      <c r="R522" s="65" t="n"/>
      <c r="S522" s="92">
        <f>G522-I522-R522-K522-M522-O522-Q522</f>
        <v/>
      </c>
      <c r="T522" s="92" t="inlineStr">
        <is>
          <t>LNH0526NQ11</t>
        </is>
      </c>
      <c r="U522" s="92" t="n">
        <v>2103750</v>
      </c>
      <c r="V522" s="69">
        <f>G522-SUM(I522,K522,M522,O522,Q522,U522)</f>
        <v/>
      </c>
      <c r="W522" s="65" t="n"/>
      <c r="X522" t="inlineStr">
        <is>
          <t>Khớp</t>
        </is>
      </c>
    </row>
    <row r="523">
      <c r="A523" s="65" t="n">
        <v>514</v>
      </c>
      <c r="B523" s="65" t="inlineStr">
        <is>
          <t>25807600017</t>
        </is>
      </c>
      <c r="C523" s="65" t="inlineStr">
        <is>
          <t>Phan Mạnh</t>
        </is>
      </c>
      <c r="D523" s="65" t="inlineStr">
        <is>
          <t>Hùng</t>
        </is>
      </c>
      <c r="E523" s="65" t="inlineStr">
        <is>
          <t>23/07/2007</t>
        </is>
      </c>
      <c r="F523" s="66" t="inlineStr">
        <is>
          <t>LNH0925ND01</t>
        </is>
      </c>
      <c r="G523" s="90" t="n">
        <v>1000000</v>
      </c>
      <c r="H523" s="65" t="n"/>
      <c r="I523" s="65" t="n"/>
      <c r="J523" s="65" t="n"/>
      <c r="K523" s="65" t="n"/>
      <c r="L523" s="65" t="n"/>
      <c r="M523" s="65" t="n"/>
      <c r="N523" s="65" t="n"/>
      <c r="O523" s="65" t="n"/>
      <c r="P523" s="65" t="n"/>
      <c r="Q523" s="65" t="n"/>
      <c r="R523" s="65" t="n"/>
      <c r="S523" s="92">
        <f>G523-I523-R523-K523-M523-O523-Q523</f>
        <v/>
      </c>
      <c r="T523" s="92" t="inlineStr"/>
      <c r="U523" s="92" t="inlineStr"/>
      <c r="V523" s="69">
        <f>G523-SUM(I523,K523,M523,O523,Q523,U523)</f>
        <v/>
      </c>
      <c r="W523" s="65" t="n"/>
      <c r="X523" t="inlineStr">
        <is>
          <t>Khớp</t>
        </is>
      </c>
    </row>
    <row r="524">
      <c r="A524" s="65" t="n">
        <v>515</v>
      </c>
      <c r="B524" s="65" t="inlineStr">
        <is>
          <t>25802100035</t>
        </is>
      </c>
      <c r="C524" s="65" t="inlineStr">
        <is>
          <t>Doan Thanh</t>
        </is>
      </c>
      <c r="D524" s="65" t="inlineStr">
        <is>
          <t>Tai</t>
        </is>
      </c>
      <c r="E524" s="65" t="inlineStr">
        <is>
          <t xml:space="preserve">  -   -</t>
        </is>
      </c>
      <c r="F524" s="66" t="inlineStr">
        <is>
          <t>LNH0925ND01</t>
        </is>
      </c>
      <c r="G524" s="90" t="n">
        <v>8415000</v>
      </c>
      <c r="H524" s="65" t="n"/>
      <c r="I524" s="65" t="n"/>
      <c r="J524" s="65" t="n"/>
      <c r="K524" s="65" t="n"/>
      <c r="L524" s="65">
        <f>VLOOKUP(B524,'[2]DS THANG 11'!A$3:E$616,5,0)</f>
        <v/>
      </c>
      <c r="M524" s="65" t="n">
        <v>2103750</v>
      </c>
      <c r="N524" s="65" t="n"/>
      <c r="O524" s="65" t="n"/>
      <c r="P524" s="65">
        <f>VLOOKUP(B524,'[3]TONG HOP '!B$5:O$666,14,0)</f>
        <v/>
      </c>
      <c r="Q524" s="65" t="n">
        <v>2103750</v>
      </c>
      <c r="R524" s="65" t="n"/>
      <c r="S524" s="92">
        <f>G524-I524-R524-K524-M524-O524-Q524</f>
        <v/>
      </c>
      <c r="T524" s="92" t="inlineStr"/>
      <c r="U524" s="92" t="inlineStr"/>
      <c r="V524" s="69">
        <f>G524-SUM(I524,K524,M524,O524,Q524,U524)</f>
        <v/>
      </c>
      <c r="W524" s="65" t="n"/>
      <c r="X524" t="inlineStr">
        <is>
          <t>Khớp</t>
        </is>
      </c>
    </row>
    <row r="525">
      <c r="A525" s="65" t="n">
        <v>516</v>
      </c>
      <c r="B525" s="65" t="inlineStr">
        <is>
          <t>25802800061</t>
        </is>
      </c>
      <c r="C525" s="65" t="inlineStr">
        <is>
          <t>Phan Trương Bích</t>
        </is>
      </c>
      <c r="D525" s="65" t="inlineStr">
        <is>
          <t>Hằng</t>
        </is>
      </c>
      <c r="E525" s="65" t="inlineStr">
        <is>
          <t>03/01/2007</t>
        </is>
      </c>
      <c r="F525" s="66" t="inlineStr">
        <is>
          <t>LNH0925ND01</t>
        </is>
      </c>
      <c r="G525" s="90">
        <f>1000000+7450000</f>
        <v/>
      </c>
      <c r="H525" s="65" t="n"/>
      <c r="I525" s="65" t="n"/>
      <c r="J525" s="65" t="n"/>
      <c r="K525" s="65" t="n"/>
      <c r="L525" s="65">
        <f>VLOOKUP(B525,'[2]DS THANG 11'!A$3:E$616,5,0)</f>
        <v/>
      </c>
      <c r="M525" s="65" t="n">
        <v>2103750</v>
      </c>
      <c r="N525" s="65" t="n"/>
      <c r="O525" s="65" t="n"/>
      <c r="P525" s="65">
        <f>VLOOKUP(B525,'[3]TONG HOP '!B$5:O$666,14,0)</f>
        <v/>
      </c>
      <c r="Q525" s="65" t="n">
        <v>2103750</v>
      </c>
      <c r="R525" s="65" t="n"/>
      <c r="S525" s="92">
        <f>G525-I525-R525-K525-M525-O525-Q525</f>
        <v/>
      </c>
      <c r="T525" s="92" t="inlineStr">
        <is>
          <t>LNH0526NG01</t>
        </is>
      </c>
      <c r="U525" s="92" t="n">
        <v>2103750</v>
      </c>
      <c r="V525" s="69">
        <f>G525-SUM(I525,K525,M525,O525,Q525,U525)</f>
        <v/>
      </c>
      <c r="W525" s="65" t="n"/>
      <c r="X525" t="inlineStr">
        <is>
          <t>Khớp</t>
        </is>
      </c>
    </row>
    <row r="526">
      <c r="A526" s="65" t="n">
        <v>517</v>
      </c>
      <c r="B526" s="65" t="inlineStr">
        <is>
          <t>25808500042</t>
        </is>
      </c>
      <c r="C526" s="65" t="inlineStr">
        <is>
          <t>Trần Chí</t>
        </is>
      </c>
      <c r="D526" s="65" t="inlineStr">
        <is>
          <t>Cường</t>
        </is>
      </c>
      <c r="E526" s="65" t="inlineStr">
        <is>
          <t>21/08/2007</t>
        </is>
      </c>
      <c r="F526" s="66" t="inlineStr">
        <is>
          <t>LNH0925ND01</t>
        </is>
      </c>
      <c r="G526" s="90" t="n">
        <v>8415000</v>
      </c>
      <c r="H526" s="65">
        <f>VLOOKUP(B526,'[1]TONG HOP'!B$5:G$624,6,0)</f>
        <v/>
      </c>
      <c r="I526" s="65" t="n">
        <v>2103750</v>
      </c>
      <c r="J526" s="65" t="n"/>
      <c r="K526" s="65" t="n"/>
      <c r="L526" s="65">
        <f>VLOOKUP(B526,'[2]DS THANG 11'!A$3:E$616,5,0)</f>
        <v/>
      </c>
      <c r="M526" s="65" t="n">
        <v>2103750</v>
      </c>
      <c r="N526" s="65" t="n"/>
      <c r="O526" s="65" t="n"/>
      <c r="P526" s="65">
        <f>VLOOKUP(B526,'[3]TONG HOP '!B$5:O$666,14,0)</f>
        <v/>
      </c>
      <c r="Q526" s="65" t="n">
        <v>2103750</v>
      </c>
      <c r="R526" s="65" t="n"/>
      <c r="S526" s="92">
        <f>G526-I526-R526-K526-M526-O526-Q526</f>
        <v/>
      </c>
      <c r="T526" s="92" t="inlineStr">
        <is>
          <t>LNH0526NQ01</t>
        </is>
      </c>
      <c r="U526" s="92" t="n">
        <v>2103750</v>
      </c>
      <c r="V526" s="69">
        <f>G526-SUM(I526,K526,M526,O526,Q526,U526)</f>
        <v/>
      </c>
      <c r="W526" s="65" t="n"/>
      <c r="X526" t="inlineStr">
        <is>
          <t>Khớp</t>
        </is>
      </c>
    </row>
    <row r="527">
      <c r="A527" s="65" t="n">
        <v>518</v>
      </c>
      <c r="B527" s="65" t="inlineStr">
        <is>
          <t>25805900091</t>
        </is>
      </c>
      <c r="C527" s="65" t="inlineStr">
        <is>
          <t>Phạm Phương</t>
        </is>
      </c>
      <c r="D527" s="65" t="inlineStr">
        <is>
          <t>Uyên</t>
        </is>
      </c>
      <c r="E527" s="65" t="inlineStr">
        <is>
          <t>02/09/2007</t>
        </is>
      </c>
      <c r="F527" s="66" t="inlineStr">
        <is>
          <t>LNH0925ND01</t>
        </is>
      </c>
      <c r="G527" s="90" t="n">
        <v>4465000</v>
      </c>
      <c r="H527" s="65" t="n"/>
      <c r="I527" s="65" t="n"/>
      <c r="J527" s="65">
        <f>VLOOKUP(B527,[5]Sheet1!A$3:E$32,5,0)</f>
        <v/>
      </c>
      <c r="K527" s="65" t="n">
        <v>2232500</v>
      </c>
      <c r="L527" s="65">
        <f>VLOOKUP(B527,'[2]DS THANG 11'!A$3:E$616,5,0)</f>
        <v/>
      </c>
      <c r="M527" s="65" t="n">
        <v>2232500</v>
      </c>
      <c r="N527" s="65" t="n"/>
      <c r="O527" s="65" t="n"/>
      <c r="P527" s="65" t="n"/>
      <c r="Q527" s="65" t="n"/>
      <c r="R527" s="65" t="n"/>
      <c r="S527" s="92">
        <f>G527-I527-R527-K527-M527-O527-Q527</f>
        <v/>
      </c>
      <c r="T527" s="92" t="inlineStr"/>
      <c r="U527" s="92" t="inlineStr"/>
      <c r="V527" s="69">
        <f>G527-SUM(I527,K527,M527,O527,Q527,U527)</f>
        <v/>
      </c>
      <c r="W527" s="65" t="n"/>
      <c r="X527" t="inlineStr">
        <is>
          <t>Khớp</t>
        </is>
      </c>
    </row>
    <row r="528">
      <c r="A528" s="65" t="n">
        <v>519</v>
      </c>
      <c r="B528" s="65" t="inlineStr">
        <is>
          <t>25802800346</t>
        </is>
      </c>
      <c r="C528" s="65" t="inlineStr">
        <is>
          <t>Nguyễn Hồ Công</t>
        </is>
      </c>
      <c r="D528" s="65" t="inlineStr">
        <is>
          <t>Phú</t>
        </is>
      </c>
      <c r="E528" s="65" t="inlineStr">
        <is>
          <t>15/02/2007</t>
        </is>
      </c>
      <c r="F528" s="66" t="inlineStr">
        <is>
          <t>LNH0925ND01</t>
        </is>
      </c>
      <c r="G528" s="90" t="n">
        <v>2000000</v>
      </c>
      <c r="H528" s="65" t="n"/>
      <c r="I528" s="65" t="n"/>
      <c r="J528" s="65" t="n"/>
      <c r="K528" s="65" t="n"/>
      <c r="L528" s="65" t="n"/>
      <c r="M528" s="65" t="n"/>
      <c r="N528" s="65" t="n"/>
      <c r="O528" s="65" t="n"/>
      <c r="P528" s="65" t="n"/>
      <c r="Q528" s="65" t="n"/>
      <c r="R528" s="65" t="n"/>
      <c r="S528" s="92">
        <f>G528-I528-R528-K528-M528-O528-Q528</f>
        <v/>
      </c>
      <c r="T528" s="92" t="inlineStr"/>
      <c r="U528" s="92" t="inlineStr"/>
      <c r="V528" s="69">
        <f>G528-SUM(I528,K528,M528,O528,Q528,U528)</f>
        <v/>
      </c>
      <c r="W528" s="65" t="n"/>
      <c r="X528" t="inlineStr">
        <is>
          <t>Khớp</t>
        </is>
      </c>
    </row>
    <row r="529">
      <c r="A529" s="65" t="n">
        <v>520</v>
      </c>
      <c r="B529" s="65" t="inlineStr">
        <is>
          <t>25801700034</t>
        </is>
      </c>
      <c r="C529" s="65" t="inlineStr">
        <is>
          <t>Nguyễn Bùi Trọng</t>
        </is>
      </c>
      <c r="D529" s="65" t="inlineStr">
        <is>
          <t>Nghĩa</t>
        </is>
      </c>
      <c r="E529" s="65" t="inlineStr">
        <is>
          <t>19/01/2007</t>
        </is>
      </c>
      <c r="F529" s="66" t="inlineStr">
        <is>
          <t>LNH0925ND01</t>
        </is>
      </c>
      <c r="G529" s="90" t="n">
        <v>2000000</v>
      </c>
      <c r="H529" s="65" t="n"/>
      <c r="I529" s="65" t="n"/>
      <c r="J529" s="65" t="n"/>
      <c r="K529" s="65" t="n"/>
      <c r="L529" s="65" t="n"/>
      <c r="M529" s="65" t="n"/>
      <c r="N529" s="65" t="n"/>
      <c r="O529" s="65" t="n"/>
      <c r="P529" s="65" t="n"/>
      <c r="Q529" s="65" t="n"/>
      <c r="R529" s="65" t="n"/>
      <c r="S529" s="92">
        <f>G529-I529-R529-K529-M529-O529-Q529</f>
        <v/>
      </c>
      <c r="T529" s="92" t="inlineStr"/>
      <c r="U529" s="92" t="inlineStr"/>
      <c r="V529" s="69">
        <f>G529-SUM(I529,K529,M529,O529,Q529,U529)</f>
        <v/>
      </c>
      <c r="W529" s="65" t="n"/>
      <c r="X529" t="inlineStr">
        <is>
          <t>Khớp</t>
        </is>
      </c>
    </row>
    <row r="530">
      <c r="A530" s="65" t="n">
        <v>521</v>
      </c>
      <c r="B530" s="65" t="inlineStr">
        <is>
          <t>25801700016</t>
        </is>
      </c>
      <c r="C530" s="65" t="inlineStr">
        <is>
          <t>Lê Nguyễn Thu</t>
        </is>
      </c>
      <c r="D530" s="65" t="inlineStr">
        <is>
          <t>Hà</t>
        </is>
      </c>
      <c r="E530" s="65" t="inlineStr">
        <is>
          <t>12/07/2007</t>
        </is>
      </c>
      <c r="F530" s="66" t="inlineStr">
        <is>
          <t>LNH0925ND01</t>
        </is>
      </c>
      <c r="G530" s="90" t="n">
        <v>2100000</v>
      </c>
      <c r="H530" s="65">
        <f>VLOOKUP(B530,'[1]TONG HOP'!B$5:G$624,6,0)</f>
        <v/>
      </c>
      <c r="I530" s="65" t="n">
        <v>2100000</v>
      </c>
      <c r="J530" s="65" t="n"/>
      <c r="K530" s="65" t="n"/>
      <c r="L530" s="65" t="n"/>
      <c r="M530" s="65" t="n"/>
      <c r="N530" s="65" t="n"/>
      <c r="O530" s="65" t="n"/>
      <c r="P530" s="65" t="n"/>
      <c r="Q530" s="65" t="n"/>
      <c r="R530" s="65" t="n"/>
      <c r="S530" s="92">
        <f>G530-I530-R530-K530-M530-O530-Q530</f>
        <v/>
      </c>
      <c r="T530" s="92" t="inlineStr"/>
      <c r="U530" s="92" t="inlineStr"/>
      <c r="V530" s="69">
        <f>G530-SUM(I530,K530,M530,O530,Q530,U530)</f>
        <v/>
      </c>
      <c r="W530" s="65" t="n"/>
      <c r="X530" t="inlineStr">
        <is>
          <t>Khớp</t>
        </is>
      </c>
    </row>
    <row r="531">
      <c r="A531" s="65" t="n">
        <v>522</v>
      </c>
      <c r="B531" s="65" t="inlineStr">
        <is>
          <t>25802600010</t>
        </is>
      </c>
      <c r="C531" s="65" t="inlineStr">
        <is>
          <t>Tăng Hồng</t>
        </is>
      </c>
      <c r="D531" s="65" t="inlineStr">
        <is>
          <t>Anh</t>
        </is>
      </c>
      <c r="E531" s="65" t="inlineStr">
        <is>
          <t>17/08/2007</t>
        </is>
      </c>
      <c r="F531" s="66" t="inlineStr">
        <is>
          <t>LNH0925ND01</t>
        </is>
      </c>
      <c r="G531" s="90" t="n">
        <v>2100000</v>
      </c>
      <c r="H531" s="65">
        <f>VLOOKUP(B531,'[1]TONG HOP'!B$5:G$624,6,0)</f>
        <v/>
      </c>
      <c r="I531" s="65" t="n">
        <v>2100000</v>
      </c>
      <c r="J531" s="65" t="n"/>
      <c r="K531" s="65" t="n"/>
      <c r="L531" s="65" t="n"/>
      <c r="M531" s="65" t="n"/>
      <c r="N531" s="65" t="n"/>
      <c r="O531" s="65" t="n"/>
      <c r="P531" s="65" t="n"/>
      <c r="Q531" s="65" t="n"/>
      <c r="R531" s="65" t="n"/>
      <c r="S531" s="92">
        <f>G531-I531-R531-K531-M531-O531-Q531</f>
        <v/>
      </c>
      <c r="T531" s="92" t="inlineStr">
        <is>
          <t>LNH0526NQ02</t>
        </is>
      </c>
      <c r="U531" s="92" t="n">
        <v>2600000</v>
      </c>
      <c r="V531" s="69">
        <f>G531-SUM(I531,K531,M531,O531,Q531,U531)</f>
        <v/>
      </c>
      <c r="W531" s="65" t="n"/>
      <c r="X531" t="inlineStr">
        <is>
          <t>Khớp</t>
        </is>
      </c>
    </row>
    <row r="532">
      <c r="A532" s="65" t="n">
        <v>523</v>
      </c>
      <c r="B532" s="65" t="inlineStr">
        <is>
          <t>25800601198</t>
        </is>
      </c>
      <c r="C532" s="65" t="inlineStr">
        <is>
          <t>Võ Quốc</t>
        </is>
      </c>
      <c r="D532" s="65" t="inlineStr">
        <is>
          <t>Bảo</t>
        </is>
      </c>
      <c r="E532" s="65" t="inlineStr">
        <is>
          <t>15/10/2007</t>
        </is>
      </c>
      <c r="F532" s="66" t="inlineStr">
        <is>
          <t>LNH0925ND01</t>
        </is>
      </c>
      <c r="G532" s="90" t="n">
        <v>2100000</v>
      </c>
      <c r="H532" s="65">
        <f>VLOOKUP(B532,'[1]TONG HOP'!B$5:G$624,6,0)</f>
        <v/>
      </c>
      <c r="I532" s="65" t="n">
        <v>2100000</v>
      </c>
      <c r="J532" s="65" t="n"/>
      <c r="K532" s="65" t="n"/>
      <c r="L532" s="65" t="n"/>
      <c r="M532" s="65" t="n"/>
      <c r="N532" s="65" t="n"/>
      <c r="O532" s="65" t="n"/>
      <c r="P532" s="65" t="n"/>
      <c r="Q532" s="65" t="n"/>
      <c r="R532" s="65" t="n"/>
      <c r="S532" s="92">
        <f>G532-I532-R532-K532-M532-O532-Q532</f>
        <v/>
      </c>
      <c r="T532" s="92" t="inlineStr"/>
      <c r="U532" s="92" t="inlineStr"/>
      <c r="V532" s="69">
        <f>G532-SUM(I532,K532,M532,O532,Q532,U532)</f>
        <v/>
      </c>
      <c r="W532" s="65" t="n"/>
      <c r="X532" t="inlineStr">
        <is>
          <t>Khớp</t>
        </is>
      </c>
    </row>
    <row r="533">
      <c r="A533" s="65" t="n">
        <v>524</v>
      </c>
      <c r="B533" s="65" t="inlineStr">
        <is>
          <t>25808600158</t>
        </is>
      </c>
      <c r="C533" s="65" t="inlineStr">
        <is>
          <t>Trương Ngọc Minh</t>
        </is>
      </c>
      <c r="D533" s="65" t="inlineStr">
        <is>
          <t>Vy</t>
        </is>
      </c>
      <c r="E533" s="65" t="inlineStr">
        <is>
          <t>07/08/2007</t>
        </is>
      </c>
      <c r="F533" s="66" t="inlineStr">
        <is>
          <t>LNH0925ND01</t>
        </is>
      </c>
      <c r="G533" s="90" t="n">
        <v>2100000</v>
      </c>
      <c r="H533" s="65">
        <f>VLOOKUP(B533,'[1]TONG HOP'!B$5:G$624,6,0)</f>
        <v/>
      </c>
      <c r="I533" s="65" t="n">
        <v>2100000</v>
      </c>
      <c r="J533" s="65" t="n"/>
      <c r="K533" s="65" t="n"/>
      <c r="L533" s="65" t="n"/>
      <c r="M533" s="65" t="n"/>
      <c r="N533" s="65" t="n"/>
      <c r="O533" s="65" t="n"/>
      <c r="P533" s="65" t="n"/>
      <c r="Q533" s="65" t="n"/>
      <c r="R533" s="65" t="n"/>
      <c r="S533" s="92">
        <f>G533-I533-R533-K533-M533-O533-Q533</f>
        <v/>
      </c>
      <c r="T533" s="92" t="inlineStr"/>
      <c r="U533" s="92" t="inlineStr"/>
      <c r="V533" s="69">
        <f>G533-SUM(I533,K533,M533,O533,Q533,U533)</f>
        <v/>
      </c>
      <c r="W533" s="65" t="n"/>
      <c r="X533" t="inlineStr">
        <is>
          <t>Khớp</t>
        </is>
      </c>
    </row>
    <row r="534">
      <c r="A534" s="65" t="n">
        <v>525</v>
      </c>
      <c r="B534" s="65" t="inlineStr">
        <is>
          <t>25801100071</t>
        </is>
      </c>
      <c r="C534" s="65" t="inlineStr">
        <is>
          <t>Trần Trọng</t>
        </is>
      </c>
      <c r="D534" s="65" t="inlineStr">
        <is>
          <t>Tính</t>
        </is>
      </c>
      <c r="E534" s="65" t="inlineStr">
        <is>
          <t>29/06/2007</t>
        </is>
      </c>
      <c r="F534" s="66" t="inlineStr">
        <is>
          <t>LNH0925ND01</t>
        </is>
      </c>
      <c r="G534" s="90" t="n">
        <v>2100000</v>
      </c>
      <c r="H534" s="65">
        <f>VLOOKUP(B534,'[1]TONG HOP'!B$5:G$624,6,0)</f>
        <v/>
      </c>
      <c r="I534" s="65" t="n">
        <v>2100000</v>
      </c>
      <c r="J534" s="65" t="n"/>
      <c r="K534" s="65" t="n"/>
      <c r="L534" s="65" t="n"/>
      <c r="M534" s="65" t="n"/>
      <c r="N534" s="65" t="n"/>
      <c r="O534" s="65" t="n"/>
      <c r="P534" s="65" t="n"/>
      <c r="Q534" s="65" t="n"/>
      <c r="R534" s="65" t="n"/>
      <c r="S534" s="92">
        <f>G534-I534-R534-K534-M534-O534-Q534</f>
        <v/>
      </c>
      <c r="T534" s="92" t="inlineStr"/>
      <c r="U534" s="92" t="inlineStr"/>
      <c r="V534" s="69">
        <f>G534-SUM(I534,K534,M534,O534,Q534,U534)</f>
        <v/>
      </c>
      <c r="W534" s="65" t="n"/>
      <c r="X534" t="inlineStr">
        <is>
          <t>Khớp</t>
        </is>
      </c>
    </row>
    <row r="535">
      <c r="A535" s="65" t="n">
        <v>526</v>
      </c>
      <c r="B535" s="65" t="inlineStr">
        <is>
          <t>25807500124</t>
        </is>
      </c>
      <c r="C535" s="65" t="inlineStr">
        <is>
          <t>Nguyễn Anh</t>
        </is>
      </c>
      <c r="D535" s="65" t="inlineStr">
        <is>
          <t>Thư</t>
        </is>
      </c>
      <c r="E535" s="65" t="inlineStr">
        <is>
          <t>26/10/2007</t>
        </is>
      </c>
      <c r="F535" s="66" t="inlineStr">
        <is>
          <t>LNH0925ND01</t>
        </is>
      </c>
      <c r="G535" s="90" t="n">
        <v>8415000</v>
      </c>
      <c r="H535" s="65">
        <f>VLOOKUP(B535,'[1]TONG HOP'!B$5:G$624,6,0)</f>
        <v/>
      </c>
      <c r="I535" s="65" t="n">
        <v>2103750</v>
      </c>
      <c r="J535" s="65" t="n"/>
      <c r="K535" s="65" t="n"/>
      <c r="L535" s="65">
        <f>VLOOKUP(B535,'[2]DS THANG 11'!A$3:E$616,5,0)</f>
        <v/>
      </c>
      <c r="M535" s="65" t="n">
        <v>2103750</v>
      </c>
      <c r="N535" s="65" t="n"/>
      <c r="O535" s="65" t="n"/>
      <c r="P535" s="65">
        <f>VLOOKUP(B535,'[3]TONG HOP '!B$5:O$666,14,0)</f>
        <v/>
      </c>
      <c r="Q535" s="65" t="n">
        <v>2103750</v>
      </c>
      <c r="R535" s="65" t="n"/>
      <c r="S535" s="92">
        <f>G535-I535-R535-K535-M535-O535-Q535</f>
        <v/>
      </c>
      <c r="T535" s="92" t="inlineStr">
        <is>
          <t>LNH0526NQ16</t>
        </is>
      </c>
      <c r="U535" s="92" t="n">
        <v>2103750</v>
      </c>
      <c r="V535" s="69">
        <f>G535-SUM(I535,K535,M535,O535,Q535,U535)</f>
        <v/>
      </c>
      <c r="W535" s="65" t="n"/>
      <c r="X535" t="inlineStr">
        <is>
          <t>Khớp</t>
        </is>
      </c>
    </row>
    <row r="536">
      <c r="A536" s="65" t="n">
        <v>527</v>
      </c>
      <c r="B536" s="65" t="inlineStr">
        <is>
          <t>25820100087</t>
        </is>
      </c>
      <c r="C536" s="65" t="inlineStr">
        <is>
          <t>Vũ Hoàng</t>
        </is>
      </c>
      <c r="D536" s="65" t="inlineStr">
        <is>
          <t>Duy</t>
        </is>
      </c>
      <c r="E536" s="65" t="inlineStr">
        <is>
          <t>18/10/2007</t>
        </is>
      </c>
      <c r="F536" s="66" t="inlineStr">
        <is>
          <t>LNH0925ND01</t>
        </is>
      </c>
      <c r="G536" s="90" t="n">
        <v>2600000</v>
      </c>
      <c r="H536" s="65" t="n"/>
      <c r="I536" s="65" t="n"/>
      <c r="J536" s="65" t="n"/>
      <c r="K536" s="65" t="n"/>
      <c r="L536" s="65">
        <f>VLOOKUP(B536,'[2]DS THANG 11'!A$3:E$616,5,0)</f>
        <v/>
      </c>
      <c r="M536" s="65" t="n">
        <v>2600000</v>
      </c>
      <c r="N536" s="65" t="n"/>
      <c r="O536" s="65" t="n"/>
      <c r="P536" s="65" t="n"/>
      <c r="Q536" s="65" t="n"/>
      <c r="R536" s="65" t="n"/>
      <c r="S536" s="92">
        <f>G536-I536-R536-K536-M536-O536-Q536</f>
        <v/>
      </c>
      <c r="T536" s="92" t="inlineStr"/>
      <c r="U536" s="92" t="inlineStr"/>
      <c r="V536" s="69">
        <f>G536-SUM(I536,K536,M536,O536,Q536,U536)</f>
        <v/>
      </c>
      <c r="W536" s="65" t="n"/>
      <c r="X536" t="inlineStr">
        <is>
          <t>Khớp</t>
        </is>
      </c>
    </row>
    <row r="537">
      <c r="A537" s="65" t="n">
        <v>528</v>
      </c>
      <c r="B537" s="65" t="inlineStr">
        <is>
          <t>25800600036</t>
        </is>
      </c>
      <c r="C537" s="65" t="inlineStr">
        <is>
          <t>Đỗ Gia</t>
        </is>
      </c>
      <c r="D537" s="65" t="inlineStr">
        <is>
          <t>Bảo</t>
        </is>
      </c>
      <c r="E537" s="65" t="inlineStr">
        <is>
          <t>11/10/2007</t>
        </is>
      </c>
      <c r="F537" s="66" t="inlineStr">
        <is>
          <t>LNH0925ND01</t>
        </is>
      </c>
      <c r="G537" s="90" t="n">
        <v>8415000</v>
      </c>
      <c r="H537" s="65">
        <f>VLOOKUP(B537,'[1]TONG HOP'!B$5:G$624,6,0)</f>
        <v/>
      </c>
      <c r="I537" s="65" t="n">
        <v>2103750</v>
      </c>
      <c r="J537" s="65" t="n"/>
      <c r="K537" s="65" t="n"/>
      <c r="L537" s="65">
        <f>VLOOKUP(B537,'[2]DS THANG 11'!A$3:E$616,5,0)</f>
        <v/>
      </c>
      <c r="M537" s="65" t="n">
        <v>2103750</v>
      </c>
      <c r="N537" s="65" t="n"/>
      <c r="O537" s="65" t="n"/>
      <c r="P537" s="65" t="n"/>
      <c r="Q537" s="65" t="n"/>
      <c r="R537" s="65" t="n"/>
      <c r="S537" s="92">
        <f>G537-I537-R537-K537-M537-O537-Q537</f>
        <v/>
      </c>
      <c r="T537" s="92" t="inlineStr"/>
      <c r="U537" s="92" t="inlineStr"/>
      <c r="V537" s="69">
        <f>G537-SUM(I537,K537,M537,O537,Q537,U537)</f>
        <v/>
      </c>
      <c r="W537" s="65" t="n"/>
      <c r="X537" t="inlineStr">
        <is>
          <t>Khớp</t>
        </is>
      </c>
    </row>
    <row r="538">
      <c r="A538" s="65" t="n">
        <v>529</v>
      </c>
      <c r="B538" s="65" t="inlineStr">
        <is>
          <t>25808600240</t>
        </is>
      </c>
      <c r="C538" s="65" t="inlineStr">
        <is>
          <t>Nguyễn Hàn Mỹ</t>
        </is>
      </c>
      <c r="D538" s="65" t="inlineStr">
        <is>
          <t>Dung</t>
        </is>
      </c>
      <c r="E538" s="65" t="inlineStr">
        <is>
          <t>13/11/2007</t>
        </is>
      </c>
      <c r="F538" s="66" t="inlineStr">
        <is>
          <t>LNH0925ND01</t>
        </is>
      </c>
      <c r="G538" s="90" t="n">
        <v>4465000</v>
      </c>
      <c r="H538" s="65">
        <f>VLOOKUP(B538,'[1]TONG HOP'!B$5:G$624,6,0)</f>
        <v/>
      </c>
      <c r="I538" s="65" t="n">
        <v>2232500</v>
      </c>
      <c r="J538" s="65" t="n"/>
      <c r="K538" s="65" t="n"/>
      <c r="L538" s="65">
        <f>VLOOKUP(B538,'[2]DS THANG 11'!A$3:E$616,5,0)</f>
        <v/>
      </c>
      <c r="M538" s="65" t="n">
        <v>2232500</v>
      </c>
      <c r="N538" s="65" t="n"/>
      <c r="O538" s="65" t="n"/>
      <c r="P538" s="65" t="n"/>
      <c r="Q538" s="65" t="n"/>
      <c r="R538" s="65" t="n"/>
      <c r="S538" s="92">
        <f>G538-I538-R538-K538-M538-O538-Q538</f>
        <v/>
      </c>
      <c r="T538" s="92" t="inlineStr"/>
      <c r="U538" s="92" t="inlineStr"/>
      <c r="V538" s="69">
        <f>G538-SUM(I538,K538,M538,O538,Q538,U538)</f>
        <v/>
      </c>
      <c r="W538" s="65" t="n"/>
      <c r="X538" t="inlineStr">
        <is>
          <t>Khớp</t>
        </is>
      </c>
    </row>
    <row r="539">
      <c r="A539" s="65" t="n">
        <v>530</v>
      </c>
      <c r="B539" s="65" t="inlineStr">
        <is>
          <t>25802800151</t>
        </is>
      </c>
      <c r="C539" s="65" t="inlineStr">
        <is>
          <t>Rơ Châm</t>
        </is>
      </c>
      <c r="D539" s="65" t="inlineStr">
        <is>
          <t>Ngaoh</t>
        </is>
      </c>
      <c r="E539" s="65" t="inlineStr">
        <is>
          <t>18/06/2007</t>
        </is>
      </c>
      <c r="F539" s="66" t="inlineStr">
        <is>
          <t>LNH0925ND01</t>
        </is>
      </c>
      <c r="G539" s="90" t="n">
        <v>4465000</v>
      </c>
      <c r="H539" s="65">
        <f>VLOOKUP(B539,'[1]TONG HOP'!B$5:G$624,6,0)</f>
        <v/>
      </c>
      <c r="I539" s="65" t="n">
        <v>2232500</v>
      </c>
      <c r="J539" s="65" t="n"/>
      <c r="K539" s="65" t="n"/>
      <c r="L539" s="65">
        <f>VLOOKUP(B539,'[2]DS THANG 11'!A$3:E$616,5,0)</f>
        <v/>
      </c>
      <c r="M539" s="65" t="n">
        <v>2232500</v>
      </c>
      <c r="N539" s="65" t="n"/>
      <c r="O539" s="65" t="n"/>
      <c r="P539" s="65" t="n"/>
      <c r="Q539" s="65" t="n"/>
      <c r="R539" s="65" t="n"/>
      <c r="S539" s="92">
        <f>G539-I539-R539-K539-M539-O539-Q539</f>
        <v/>
      </c>
      <c r="T539" s="92" t="inlineStr"/>
      <c r="U539" s="92" t="inlineStr"/>
      <c r="V539" s="69">
        <f>G539-SUM(I539,K539,M539,O539,Q539,U539)</f>
        <v/>
      </c>
      <c r="W539" s="65" t="n"/>
      <c r="X539" t="inlineStr">
        <is>
          <t>Khớp</t>
        </is>
      </c>
    </row>
    <row r="540">
      <c r="A540" s="65" t="n">
        <v>531</v>
      </c>
      <c r="B540" s="65" t="inlineStr">
        <is>
          <t>25807700081</t>
        </is>
      </c>
      <c r="C540" s="65" t="inlineStr">
        <is>
          <t>Đặng Hoàng</t>
        </is>
      </c>
      <c r="D540" s="65" t="inlineStr">
        <is>
          <t>Vinh</t>
        </is>
      </c>
      <c r="E540" s="65" t="inlineStr">
        <is>
          <t>29/09/2007</t>
        </is>
      </c>
      <c r="F540" s="66" t="inlineStr">
        <is>
          <t>LNH0925ND01</t>
        </is>
      </c>
      <c r="G540" s="90" t="n">
        <v>4465000</v>
      </c>
      <c r="H540" s="65">
        <f>VLOOKUP(B540,'[1]TONG HOP'!B$5:G$624,6,0)</f>
        <v/>
      </c>
      <c r="I540" s="65" t="n">
        <v>2232500</v>
      </c>
      <c r="J540" s="65" t="n"/>
      <c r="K540" s="65" t="n"/>
      <c r="L540" s="65">
        <f>VLOOKUP(B540,'[2]DS THANG 11'!A$3:E$616,5,0)</f>
        <v/>
      </c>
      <c r="M540" s="65" t="n">
        <v>2232500</v>
      </c>
      <c r="N540" s="65" t="n"/>
      <c r="O540" s="65" t="n"/>
      <c r="P540" s="65" t="n"/>
      <c r="Q540" s="65" t="n"/>
      <c r="R540" s="65" t="n"/>
      <c r="S540" s="92">
        <f>G540-I540-R540-K540-M540-O540-Q540</f>
        <v/>
      </c>
      <c r="T540" s="92" t="inlineStr"/>
      <c r="U540" s="92" t="inlineStr"/>
      <c r="V540" s="69">
        <f>G540-SUM(I540,K540,M540,O540,Q540,U540)</f>
        <v/>
      </c>
      <c r="W540" s="65" t="n"/>
      <c r="X540" t="inlineStr">
        <is>
          <t>Khớp</t>
        </is>
      </c>
    </row>
    <row r="541">
      <c r="A541" s="65" t="n">
        <v>532</v>
      </c>
      <c r="B541" s="65" t="inlineStr">
        <is>
          <t>25803800044</t>
        </is>
      </c>
      <c r="C541" s="65" t="inlineStr">
        <is>
          <t>Phạm Minh</t>
        </is>
      </c>
      <c r="D541" s="65" t="inlineStr">
        <is>
          <t>Nhựt</t>
        </is>
      </c>
      <c r="E541" s="65" t="inlineStr">
        <is>
          <t>17/03/2007</t>
        </is>
      </c>
      <c r="F541" s="66" t="inlineStr">
        <is>
          <t>LNH0925ND01</t>
        </is>
      </c>
      <c r="G541" s="90" t="n">
        <v>4465000</v>
      </c>
      <c r="H541" s="65">
        <f>VLOOKUP(B541,'[1]TONG HOP'!B$5:G$624,6,0)</f>
        <v/>
      </c>
      <c r="I541" s="65" t="n">
        <v>2232500</v>
      </c>
      <c r="J541" s="65" t="n"/>
      <c r="K541" s="65" t="n"/>
      <c r="L541" s="65">
        <f>VLOOKUP(B541,'[2]DS THANG 11'!A$3:E$616,5,0)</f>
        <v/>
      </c>
      <c r="M541" s="65" t="n">
        <v>2232500</v>
      </c>
      <c r="N541" s="65" t="n"/>
      <c r="O541" s="65" t="n"/>
      <c r="P541" s="65" t="n"/>
      <c r="Q541" s="65" t="n"/>
      <c r="R541" s="65" t="n"/>
      <c r="S541" s="92">
        <f>G541-I541-R541-K541-M541-O541-Q541</f>
        <v/>
      </c>
      <c r="T541" s="92" t="inlineStr"/>
      <c r="U541" s="92" t="inlineStr"/>
      <c r="V541" s="69">
        <f>G541-SUM(I541,K541,M541,O541,Q541,U541)</f>
        <v/>
      </c>
      <c r="W541" s="65" t="n"/>
      <c r="X541" t="inlineStr">
        <is>
          <t>Khớp</t>
        </is>
      </c>
    </row>
    <row r="542">
      <c r="A542" s="65" t="n">
        <v>533</v>
      </c>
      <c r="B542" s="65" t="inlineStr">
        <is>
          <t>25820100011</t>
        </is>
      </c>
      <c r="C542" s="65" t="inlineStr">
        <is>
          <t>Nguyễn Hoàng Minh</t>
        </is>
      </c>
      <c r="D542" s="65" t="inlineStr">
        <is>
          <t>Đức</t>
        </is>
      </c>
      <c r="E542" s="65" t="inlineStr">
        <is>
          <t>02/07/2007</t>
        </is>
      </c>
      <c r="F542" s="66" t="inlineStr">
        <is>
          <t>LNH0925ND01</t>
        </is>
      </c>
      <c r="G542" s="90" t="n">
        <v>4465000</v>
      </c>
      <c r="H542" s="65">
        <f>VLOOKUP(B542,'[1]TONG HOP'!B$5:G$624,6,0)</f>
        <v/>
      </c>
      <c r="I542" s="65" t="n">
        <v>2232500</v>
      </c>
      <c r="J542" s="65" t="n"/>
      <c r="K542" s="65" t="n"/>
      <c r="L542" s="65">
        <f>VLOOKUP(B542,'[2]DS THANG 11'!A$3:E$616,5,0)</f>
        <v/>
      </c>
      <c r="M542" s="65" t="n">
        <v>2232500</v>
      </c>
      <c r="N542" s="65" t="n"/>
      <c r="O542" s="65" t="n"/>
      <c r="P542" s="65" t="n"/>
      <c r="Q542" s="65" t="n"/>
      <c r="R542" s="65" t="n"/>
      <c r="S542" s="92">
        <f>G542-I542-R542-K542-M542-O542-Q542</f>
        <v/>
      </c>
      <c r="T542" s="92" t="inlineStr"/>
      <c r="U542" s="92" t="inlineStr"/>
      <c r="V542" s="69">
        <f>G542-SUM(I542,K542,M542,O542,Q542,U542)</f>
        <v/>
      </c>
      <c r="W542" s="65" t="n"/>
      <c r="X542" t="inlineStr">
        <is>
          <t>Khớp</t>
        </is>
      </c>
    </row>
    <row r="543">
      <c r="A543" s="65" t="n">
        <v>534</v>
      </c>
      <c r="B543" s="65" t="inlineStr">
        <is>
          <t>25809600006</t>
        </is>
      </c>
      <c r="C543" s="65" t="inlineStr">
        <is>
          <t>Vũ Quốc</t>
        </is>
      </c>
      <c r="D543" s="65" t="inlineStr">
        <is>
          <t>Bảo</t>
        </is>
      </c>
      <c r="E543" s="65" t="inlineStr">
        <is>
          <t>25/01/2007</t>
        </is>
      </c>
      <c r="F543" s="66" t="inlineStr">
        <is>
          <t>LNH0925ND01</t>
        </is>
      </c>
      <c r="G543" s="90" t="n">
        <v>4465000</v>
      </c>
      <c r="H543" s="65">
        <f>VLOOKUP(B543,'[1]TONG HOP'!B$5:G$624,6,0)</f>
        <v/>
      </c>
      <c r="I543" s="65" t="n">
        <v>2232500</v>
      </c>
      <c r="J543" s="65" t="n"/>
      <c r="K543" s="65" t="n"/>
      <c r="L543" s="65">
        <f>VLOOKUP(B543,'[2]DS THANG 11'!A$3:E$616,5,0)</f>
        <v/>
      </c>
      <c r="M543" s="65" t="n">
        <v>2232500</v>
      </c>
      <c r="N543" s="65" t="n"/>
      <c r="O543" s="65" t="n"/>
      <c r="P543" s="65" t="n"/>
      <c r="Q543" s="65" t="n"/>
      <c r="R543" s="65" t="n"/>
      <c r="S543" s="92">
        <f>G543-I543-R543-K543-M543-O543-Q543</f>
        <v/>
      </c>
      <c r="T543" s="92" t="inlineStr"/>
      <c r="U543" s="92" t="inlineStr"/>
      <c r="V543" s="69">
        <f>G543-SUM(I543,K543,M543,O543,Q543,U543)</f>
        <v/>
      </c>
      <c r="W543" s="65" t="n"/>
      <c r="X543" t="inlineStr">
        <is>
          <t>Khớp</t>
        </is>
      </c>
    </row>
    <row r="544">
      <c r="A544" s="65" t="n">
        <v>535</v>
      </c>
      <c r="B544" s="65" t="inlineStr">
        <is>
          <t>25802700193</t>
        </is>
      </c>
      <c r="C544" s="65" t="inlineStr">
        <is>
          <t>Lý Thị Ngọc</t>
        </is>
      </c>
      <c r="D544" s="65" t="inlineStr">
        <is>
          <t>Trâm</t>
        </is>
      </c>
      <c r="E544" s="65" t="inlineStr">
        <is>
          <t>06/03/2007</t>
        </is>
      </c>
      <c r="F544" s="66" t="inlineStr">
        <is>
          <t>LNH0925ND01</t>
        </is>
      </c>
      <c r="G544" s="90" t="n">
        <v>4465000</v>
      </c>
      <c r="H544" s="65">
        <f>VLOOKUP(B544,'[1]TONG HOP'!B$5:G$624,6,0)</f>
        <v/>
      </c>
      <c r="I544" s="65" t="n">
        <v>2232500</v>
      </c>
      <c r="J544" s="65" t="n"/>
      <c r="K544" s="65" t="n"/>
      <c r="L544" s="65">
        <f>VLOOKUP(B544,'[2]DS THANG 11'!A$3:E$616,5,0)</f>
        <v/>
      </c>
      <c r="M544" s="65" t="n">
        <v>2232500</v>
      </c>
      <c r="N544" s="65" t="n"/>
      <c r="O544" s="65" t="n"/>
      <c r="P544" s="65" t="n"/>
      <c r="Q544" s="65" t="n"/>
      <c r="R544" s="65" t="n"/>
      <c r="S544" s="92">
        <f>G544-I544-R544-K544-M544-O544-Q544</f>
        <v/>
      </c>
      <c r="T544" s="92" t="inlineStr"/>
      <c r="U544" s="92" t="inlineStr"/>
      <c r="V544" s="69">
        <f>G544-SUM(I544,K544,M544,O544,Q544,U544)</f>
        <v/>
      </c>
      <c r="W544" s="65" t="n"/>
      <c r="X544" t="inlineStr">
        <is>
          <t>Khớp</t>
        </is>
      </c>
    </row>
    <row r="545">
      <c r="A545" s="65" t="n">
        <v>536</v>
      </c>
      <c r="B545" s="65" t="inlineStr">
        <is>
          <t>25806400024</t>
        </is>
      </c>
      <c r="C545" s="65" t="inlineStr">
        <is>
          <t>Trần Dương Kim</t>
        </is>
      </c>
      <c r="D545" s="65" t="inlineStr">
        <is>
          <t>Tuyến</t>
        </is>
      </c>
      <c r="E545" s="65" t="inlineStr">
        <is>
          <t>08/04/2007</t>
        </is>
      </c>
      <c r="F545" s="66" t="inlineStr">
        <is>
          <t>LNH0925ND01</t>
        </is>
      </c>
      <c r="G545" s="90" t="n">
        <v>4940000</v>
      </c>
      <c r="H545" s="65" t="n"/>
      <c r="I545" s="65" t="n"/>
      <c r="J545" s="65" t="n"/>
      <c r="K545" s="65" t="n"/>
      <c r="L545" s="65" t="n"/>
      <c r="M545" s="65" t="n"/>
      <c r="N545" s="65" t="n"/>
      <c r="O545" s="65" t="n"/>
      <c r="P545" s="65" t="n"/>
      <c r="Q545" s="65" t="n"/>
      <c r="R545" s="65" t="n"/>
      <c r="S545" s="92">
        <f>G545-I545-R545-K545-M545-O545-Q545</f>
        <v/>
      </c>
      <c r="T545" s="92" t="inlineStr"/>
      <c r="U545" s="92" t="inlineStr"/>
      <c r="V545" s="69">
        <f>G545-SUM(I545,K545,M545,O545,Q545,U545)</f>
        <v/>
      </c>
      <c r="W545" s="65" t="n"/>
      <c r="X545" t="inlineStr">
        <is>
          <t>Khớp</t>
        </is>
      </c>
    </row>
    <row r="546">
      <c r="A546" s="65" t="n">
        <v>537</v>
      </c>
      <c r="B546" s="65" t="inlineStr">
        <is>
          <t>25802800120</t>
        </is>
      </c>
      <c r="C546" s="65" t="inlineStr">
        <is>
          <t>Dương Gia</t>
        </is>
      </c>
      <c r="D546" s="65" t="inlineStr">
        <is>
          <t>Kiệt</t>
        </is>
      </c>
      <c r="E546" s="65" t="inlineStr">
        <is>
          <t>01/06/2007</t>
        </is>
      </c>
      <c r="F546" s="66" t="inlineStr">
        <is>
          <t>LNH0925ND01</t>
        </is>
      </c>
      <c r="G546" s="90" t="n">
        <v>4940000</v>
      </c>
      <c r="H546" s="65" t="n"/>
      <c r="I546" s="65" t="n"/>
      <c r="J546" s="65" t="n"/>
      <c r="K546" s="65" t="n"/>
      <c r="L546" s="65" t="n"/>
      <c r="M546" s="65" t="n"/>
      <c r="N546" s="65" t="n"/>
      <c r="O546" s="65" t="n"/>
      <c r="P546" s="65">
        <f>VLOOKUP(B546,'[3]TONG HOP '!B$5:O$666,14,0)</f>
        <v/>
      </c>
      <c r="Q546" s="65" t="n">
        <v>2470000</v>
      </c>
      <c r="R546" s="65" t="n"/>
      <c r="S546" s="92">
        <f>G546-I546-R546-K546-M546-O546-Q546</f>
        <v/>
      </c>
      <c r="T546" s="92" t="inlineStr">
        <is>
          <t>LNH0526NQ09</t>
        </is>
      </c>
      <c r="U546" s="92" t="n">
        <v>2470000</v>
      </c>
      <c r="V546" s="69">
        <f>G546-SUM(I546,K546,M546,O546,Q546,U546)</f>
        <v/>
      </c>
      <c r="W546" s="65" t="n"/>
      <c r="X546" t="inlineStr">
        <is>
          <t>Khớp</t>
        </is>
      </c>
    </row>
    <row r="547">
      <c r="A547" s="65" t="n">
        <v>538</v>
      </c>
      <c r="B547" s="65" t="inlineStr">
        <is>
          <t>25802700069</t>
        </is>
      </c>
      <c r="C547" s="65" t="inlineStr">
        <is>
          <t>Nguyễn Lê Trúc</t>
        </is>
      </c>
      <c r="D547" s="65" t="inlineStr">
        <is>
          <t>Quỳnh</t>
        </is>
      </c>
      <c r="E547" s="65" t="inlineStr">
        <is>
          <t>27/08/2007</t>
        </is>
      </c>
      <c r="F547" s="66" t="inlineStr">
        <is>
          <t>LNH0925ND01</t>
        </is>
      </c>
      <c r="G547" s="90" t="n">
        <v>8415000</v>
      </c>
      <c r="H547" s="65">
        <f>VLOOKUP(B547,'[1]TONG HOP'!B$5:G$624,6,0)</f>
        <v/>
      </c>
      <c r="I547" s="65" t="n">
        <v>2103750</v>
      </c>
      <c r="J547" s="65" t="n"/>
      <c r="K547" s="65" t="n"/>
      <c r="L547" s="65">
        <f>VLOOKUP(B547,'[2]DS THANG 11'!A$3:E$616,5,0)</f>
        <v/>
      </c>
      <c r="M547" s="65" t="n">
        <v>2103750</v>
      </c>
      <c r="N547" s="65" t="n"/>
      <c r="O547" s="65" t="n"/>
      <c r="P547" s="65">
        <f>VLOOKUP(B547,'[3]TONG HOP '!B$5:O$666,14,0)</f>
        <v/>
      </c>
      <c r="Q547" s="65" t="n">
        <v>2103750</v>
      </c>
      <c r="R547" s="65" t="n"/>
      <c r="S547" s="92">
        <f>G547-I547-R547-K547-M547-O547-Q547</f>
        <v/>
      </c>
      <c r="T547" s="92" t="inlineStr">
        <is>
          <t>LNH0526NQ14</t>
        </is>
      </c>
      <c r="U547" s="92" t="n">
        <v>2103750</v>
      </c>
      <c r="V547" s="69">
        <f>G547-SUM(I547,K547,M547,O547,Q547,U547)</f>
        <v/>
      </c>
      <c r="W547" s="65" t="n"/>
      <c r="X547" t="inlineStr">
        <is>
          <t>Khớp</t>
        </is>
      </c>
    </row>
    <row r="548">
      <c r="A548" s="65" t="n">
        <v>539</v>
      </c>
      <c r="B548" s="65" t="inlineStr">
        <is>
          <t>25808200098</t>
        </is>
      </c>
      <c r="C548" s="65" t="inlineStr">
        <is>
          <t>Lương Trường</t>
        </is>
      </c>
      <c r="D548" s="65" t="inlineStr">
        <is>
          <t>Phát</t>
        </is>
      </c>
      <c r="E548" s="65" t="inlineStr">
        <is>
          <t>07/05/2007</t>
        </is>
      </c>
      <c r="F548" s="66" t="inlineStr">
        <is>
          <t>LNH0925ND01</t>
        </is>
      </c>
      <c r="G548" s="90" t="n">
        <v>8415000</v>
      </c>
      <c r="H548" s="65" t="n"/>
      <c r="I548" s="65" t="n"/>
      <c r="J548" s="65" t="n"/>
      <c r="K548" s="65" t="n"/>
      <c r="L548" s="65">
        <f>VLOOKUP(B548,'[2]DS THANG 11'!A$3:E$616,5,0)</f>
        <v/>
      </c>
      <c r="M548" s="65" t="n">
        <v>2103750</v>
      </c>
      <c r="N548" s="65" t="n"/>
      <c r="O548" s="65" t="n"/>
      <c r="P548" s="65" t="n"/>
      <c r="Q548" s="65" t="n"/>
      <c r="R548" s="65" t="n"/>
      <c r="S548" s="92">
        <f>G548-I548-R548-K548-M548-O548-Q548</f>
        <v/>
      </c>
      <c r="T548" s="92" t="inlineStr"/>
      <c r="U548" s="92" t="inlineStr"/>
      <c r="V548" s="69">
        <f>G548-SUM(I548,K548,M548,O548,Q548,U548)</f>
        <v/>
      </c>
      <c r="W548" s="65" t="n"/>
      <c r="X548" t="inlineStr">
        <is>
          <t>Khớp</t>
        </is>
      </c>
    </row>
    <row r="549">
      <c r="A549" s="65" t="n">
        <v>540</v>
      </c>
      <c r="B549" s="65" t="inlineStr">
        <is>
          <t>25807400012</t>
        </is>
      </c>
      <c r="C549" s="65" t="inlineStr">
        <is>
          <t>Châu Lâm Gia</t>
        </is>
      </c>
      <c r="D549" s="65" t="inlineStr">
        <is>
          <t>Quyên</t>
        </is>
      </c>
      <c r="E549" s="65" t="inlineStr">
        <is>
          <t>08/11/2007</t>
        </is>
      </c>
      <c r="F549" s="66" t="inlineStr">
        <is>
          <t>LNH0925ND01</t>
        </is>
      </c>
      <c r="G549" s="90" t="n">
        <v>8415000</v>
      </c>
      <c r="H549" s="65">
        <f>VLOOKUP(B549,'[1]TONG HOP'!B$5:G$624,6,0)</f>
        <v/>
      </c>
      <c r="I549" s="65" t="n">
        <v>2103750</v>
      </c>
      <c r="J549" s="65" t="n"/>
      <c r="K549" s="65" t="n"/>
      <c r="L549" s="65">
        <f>VLOOKUP(B549,'[2]DS THANG 11'!A$3:E$616,5,0)</f>
        <v/>
      </c>
      <c r="M549" s="65" t="n">
        <v>2103750</v>
      </c>
      <c r="N549" s="65" t="n"/>
      <c r="O549" s="65" t="n"/>
      <c r="P549" s="65">
        <f>VLOOKUP(B549,'[3]TONG HOP '!B$5:O$666,14,0)</f>
        <v/>
      </c>
      <c r="Q549" s="65" t="n">
        <v>2103750</v>
      </c>
      <c r="R549" s="65" t="n"/>
      <c r="S549" s="92">
        <f>G549-I549-R549-K549-M549-O549-Q549</f>
        <v/>
      </c>
      <c r="T549" s="92" t="inlineStr"/>
      <c r="U549" s="92" t="inlineStr"/>
      <c r="V549" s="69">
        <f>G549-SUM(I549,K549,M549,O549,Q549,U549)</f>
        <v/>
      </c>
      <c r="W549" s="65" t="n"/>
      <c r="X549" t="inlineStr">
        <is>
          <t>Khớp</t>
        </is>
      </c>
    </row>
    <row r="550">
      <c r="A550" s="65" t="n">
        <v>541</v>
      </c>
      <c r="B550" s="65" t="inlineStr">
        <is>
          <t>25800500325</t>
        </is>
      </c>
      <c r="C550" s="65" t="inlineStr">
        <is>
          <t>Đỗ Quang</t>
        </is>
      </c>
      <c r="D550" s="65" t="inlineStr">
        <is>
          <t>Quý</t>
        </is>
      </c>
      <c r="E550" s="65" t="inlineStr">
        <is>
          <t>22/02/2007</t>
        </is>
      </c>
      <c r="F550" s="66" t="inlineStr">
        <is>
          <t>LNH0925ND01</t>
        </is>
      </c>
      <c r="G550" s="90" t="n">
        <v>8415000</v>
      </c>
      <c r="H550" s="65">
        <f>VLOOKUP(B550,'[1]TONG HOP'!B$5:G$624,6,0)</f>
        <v/>
      </c>
      <c r="I550" s="65" t="n">
        <v>2103750</v>
      </c>
      <c r="J550" s="65" t="n"/>
      <c r="K550" s="65" t="n"/>
      <c r="L550" s="65" t="n"/>
      <c r="M550" s="65" t="n"/>
      <c r="N550" s="65" t="n"/>
      <c r="O550" s="65" t="n"/>
      <c r="P550" s="65" t="n"/>
      <c r="Q550" s="65" t="n"/>
      <c r="R550" s="65" t="n"/>
      <c r="S550" s="92">
        <f>G550-I550-R550-K550-M550-O550-Q550</f>
        <v/>
      </c>
      <c r="T550" s="92" t="inlineStr"/>
      <c r="U550" s="92" t="inlineStr"/>
      <c r="V550" s="69">
        <f>G550-SUM(I550,K550,M550,O550,Q550,U550)</f>
        <v/>
      </c>
      <c r="W550" s="65" t="n"/>
      <c r="X550" t="inlineStr">
        <is>
          <t>Khớp</t>
        </is>
      </c>
    </row>
    <row r="551">
      <c r="A551" s="65" t="n">
        <v>542</v>
      </c>
      <c r="B551" s="65" t="inlineStr">
        <is>
          <t>25800400170</t>
        </is>
      </c>
      <c r="C551" s="65" t="inlineStr">
        <is>
          <t>Tô Bùi Hoàng</t>
        </is>
      </c>
      <c r="D551" s="65" t="inlineStr">
        <is>
          <t>Tuấn</t>
        </is>
      </c>
      <c r="E551" s="65" t="inlineStr">
        <is>
          <t>14/08/2007</t>
        </is>
      </c>
      <c r="F551" s="66" t="inlineStr">
        <is>
          <t>LNH0925ND01</t>
        </is>
      </c>
      <c r="G551" s="90" t="n">
        <v>8415000</v>
      </c>
      <c r="H551" s="65">
        <f>VLOOKUP(B551,'[1]TONG HOP'!B$5:G$624,6,0)</f>
        <v/>
      </c>
      <c r="I551" s="65" t="n">
        <v>2103750</v>
      </c>
      <c r="J551" s="65" t="n"/>
      <c r="K551" s="65" t="n"/>
      <c r="L551" s="65">
        <f>VLOOKUP(B551,'[2]DS THANG 11'!A$3:E$616,5,0)</f>
        <v/>
      </c>
      <c r="M551" s="65" t="n">
        <v>2103750</v>
      </c>
      <c r="N551" s="65" t="n"/>
      <c r="O551" s="65" t="n"/>
      <c r="P551" s="65">
        <f>VLOOKUP(B551,'[3]TONG HOP '!B$5:O$666,14,0)</f>
        <v/>
      </c>
      <c r="Q551" s="65" t="n">
        <v>2103750</v>
      </c>
      <c r="R551" s="65" t="n"/>
      <c r="S551" s="92">
        <f>G551-I551-R551-K551-M551-O551-Q551</f>
        <v/>
      </c>
      <c r="T551" s="92" t="inlineStr"/>
      <c r="U551" s="92" t="inlineStr"/>
      <c r="V551" s="69">
        <f>G551-SUM(I551,K551,M551,O551,Q551,U551)</f>
        <v/>
      </c>
      <c r="W551" s="65" t="n"/>
      <c r="X551" t="inlineStr">
        <is>
          <t>Khớp</t>
        </is>
      </c>
    </row>
    <row r="552">
      <c r="A552" s="65" t="n">
        <v>543</v>
      </c>
      <c r="B552" s="65" t="inlineStr">
        <is>
          <t>25808700092</t>
        </is>
      </c>
      <c r="C552" s="65" t="inlineStr">
        <is>
          <t>Nguyễn Chiến</t>
        </is>
      </c>
      <c r="D552" s="65" t="inlineStr">
        <is>
          <t>Thắng</t>
        </is>
      </c>
      <c r="E552" s="65" t="inlineStr">
        <is>
          <t>11/06/2007</t>
        </is>
      </c>
      <c r="F552" s="66" t="inlineStr">
        <is>
          <t>LNH0925ND01</t>
        </is>
      </c>
      <c r="G552" s="90" t="n">
        <v>8415000</v>
      </c>
      <c r="H552" s="65">
        <f>VLOOKUP(B552,'[1]TONG HOP'!B$5:G$624,6,0)</f>
        <v/>
      </c>
      <c r="I552" s="65" t="n">
        <v>2103750</v>
      </c>
      <c r="J552" s="65" t="n"/>
      <c r="K552" s="65" t="n"/>
      <c r="L552" s="65">
        <f>VLOOKUP(B552,'[2]DS THANG 11'!A$3:E$616,5,0)</f>
        <v/>
      </c>
      <c r="M552" s="65" t="n">
        <v>2103750</v>
      </c>
      <c r="N552" s="65" t="n"/>
      <c r="O552" s="65" t="n"/>
      <c r="P552" s="65">
        <f>VLOOKUP(B552,'[3]TONG HOP '!B$5:O$666,14,0)</f>
        <v/>
      </c>
      <c r="Q552" s="65" t="n">
        <v>2103750</v>
      </c>
      <c r="R552" s="65" t="n"/>
      <c r="S552" s="92">
        <f>G552-I552-R552-K552-M552-O552-Q552</f>
        <v/>
      </c>
      <c r="T552" s="92" t="inlineStr">
        <is>
          <t>LNH0526NQ19</t>
        </is>
      </c>
      <c r="U552" s="92" t="n">
        <v>2103750</v>
      </c>
      <c r="V552" s="69">
        <f>G552-SUM(I552,K552,M552,O552,Q552,U552)</f>
        <v/>
      </c>
      <c r="W552" s="65" t="n"/>
      <c r="X552" t="inlineStr">
        <is>
          <t>Khớp</t>
        </is>
      </c>
    </row>
    <row r="553">
      <c r="A553" s="65" t="n">
        <v>544</v>
      </c>
      <c r="B553" s="65" t="inlineStr">
        <is>
          <t>25809600056</t>
        </is>
      </c>
      <c r="C553" s="65" t="inlineStr">
        <is>
          <t>Nguyễn Minh</t>
        </is>
      </c>
      <c r="D553" s="65" t="inlineStr">
        <is>
          <t>Quân</t>
        </is>
      </c>
      <c r="E553" s="65" t="inlineStr">
        <is>
          <t>08/08/2007</t>
        </is>
      </c>
      <c r="F553" s="66" t="inlineStr">
        <is>
          <t>LNH0925ND01</t>
        </is>
      </c>
      <c r="G553" s="90" t="n">
        <v>4465000</v>
      </c>
      <c r="H553" s="65" t="n"/>
      <c r="I553" s="65" t="n"/>
      <c r="J553" s="65">
        <f>VLOOKUP(B553,[5]Sheet1!A$3:E$32,5,0)</f>
        <v/>
      </c>
      <c r="K553" s="65" t="n">
        <v>2232500</v>
      </c>
      <c r="L553" s="65">
        <f>VLOOKUP(B553,'[2]DS THANG 11'!A$3:E$616,5,0)</f>
        <v/>
      </c>
      <c r="M553" s="65" t="n">
        <v>2232500</v>
      </c>
      <c r="N553" s="65" t="n"/>
      <c r="O553" s="65" t="n"/>
      <c r="P553" s="65" t="n"/>
      <c r="Q553" s="65" t="n"/>
      <c r="R553" s="65" t="n"/>
      <c r="S553" s="92">
        <f>G553-I553-R553-K553-M553-O553-Q553</f>
        <v/>
      </c>
      <c r="T553" s="92" t="inlineStr"/>
      <c r="U553" s="92" t="inlineStr"/>
      <c r="V553" s="69">
        <f>G553-SUM(I553,K553,M553,O553,Q553,U553)</f>
        <v/>
      </c>
      <c r="W553" s="65" t="n"/>
      <c r="X553" t="inlineStr">
        <is>
          <t>Khớp</t>
        </is>
      </c>
    </row>
    <row r="554">
      <c r="A554" s="65" t="n">
        <v>545</v>
      </c>
      <c r="B554" s="65" t="inlineStr">
        <is>
          <t>25820700005</t>
        </is>
      </c>
      <c r="C554" s="65" t="inlineStr">
        <is>
          <t>Võ Ngọc Vân</t>
        </is>
      </c>
      <c r="D554" s="65" t="inlineStr">
        <is>
          <t>Anh</t>
        </is>
      </c>
      <c r="E554" s="65" t="inlineStr">
        <is>
          <t>07/04/2007</t>
        </is>
      </c>
      <c r="F554" s="66" t="inlineStr">
        <is>
          <t>LNH0925ND01</t>
        </is>
      </c>
      <c r="G554" s="90" t="n">
        <v>8415000</v>
      </c>
      <c r="H554" s="65">
        <f>VLOOKUP(B554,'[1]TONG HOP'!B$5:G$624,6,0)</f>
        <v/>
      </c>
      <c r="I554" s="65" t="n">
        <v>2103750</v>
      </c>
      <c r="J554" s="65" t="n"/>
      <c r="K554" s="65" t="n"/>
      <c r="L554" s="65">
        <f>VLOOKUP(B554,'[2]DS THANG 11'!A$3:E$616,5,0)</f>
        <v/>
      </c>
      <c r="M554" s="65" t="n">
        <v>2103750</v>
      </c>
      <c r="N554" s="65" t="n"/>
      <c r="O554" s="65" t="n"/>
      <c r="P554" s="65" t="n"/>
      <c r="Q554" s="65" t="n"/>
      <c r="R554" s="65" t="n"/>
      <c r="S554" s="92">
        <f>G554-I554-R554-K554-M554-O554-Q554</f>
        <v/>
      </c>
      <c r="T554" s="92" t="inlineStr"/>
      <c r="U554" s="92" t="inlineStr"/>
      <c r="V554" s="69">
        <f>G554-SUM(I554,K554,M554,O554,Q554,U554)</f>
        <v/>
      </c>
      <c r="W554" s="65" t="n"/>
      <c r="X554" t="inlineStr">
        <is>
          <t>Khớp</t>
        </is>
      </c>
    </row>
    <row r="555">
      <c r="A555" s="65" t="n">
        <v>546</v>
      </c>
      <c r="B555" s="65" t="inlineStr">
        <is>
          <t>25802600095</t>
        </is>
      </c>
      <c r="C555" s="65" t="inlineStr">
        <is>
          <t>Đinh Thị Linh</t>
        </is>
      </c>
      <c r="D555" s="65" t="inlineStr">
        <is>
          <t>Nhi</t>
        </is>
      </c>
      <c r="E555" s="65" t="inlineStr">
        <is>
          <t>21/08/2007</t>
        </is>
      </c>
      <c r="F555" s="66" t="inlineStr">
        <is>
          <t>LNH0925ND01</t>
        </is>
      </c>
      <c r="G555" s="90" t="n">
        <v>8415000</v>
      </c>
      <c r="H555" s="65">
        <f>VLOOKUP(B555,'[1]TONG HOP'!B$5:G$624,6,0)</f>
        <v/>
      </c>
      <c r="I555" s="65" t="n">
        <v>2103750</v>
      </c>
      <c r="J555" s="65" t="n"/>
      <c r="K555" s="65" t="n"/>
      <c r="L555" s="65">
        <f>VLOOKUP(B555,'[2]DS THANG 11'!A$3:E$616,5,0)</f>
        <v/>
      </c>
      <c r="M555" s="65" t="n">
        <v>2103750</v>
      </c>
      <c r="N555" s="65" t="n"/>
      <c r="O555" s="65" t="n"/>
      <c r="P555" s="65" t="n"/>
      <c r="Q555" s="65" t="n"/>
      <c r="R555" s="65" t="n"/>
      <c r="S555" s="92">
        <f>G555-I555-R555-K555-M555-O555-Q555</f>
        <v/>
      </c>
      <c r="T555" s="92" t="inlineStr"/>
      <c r="U555" s="92" t="inlineStr"/>
      <c r="V555" s="69">
        <f>G555-SUM(I555,K555,M555,O555,Q555,U555)</f>
        <v/>
      </c>
      <c r="W555" s="65" t="n"/>
      <c r="X555" t="inlineStr">
        <is>
          <t>Khớp</t>
        </is>
      </c>
    </row>
    <row r="556">
      <c r="A556" s="65" t="n">
        <v>547</v>
      </c>
      <c r="B556" s="65" t="inlineStr">
        <is>
          <t>25802800082</t>
        </is>
      </c>
      <c r="C556" s="65" t="inlineStr">
        <is>
          <t>Nguyễn Quốc</t>
        </is>
      </c>
      <c r="D556" s="65" t="inlineStr">
        <is>
          <t>Hùng</t>
        </is>
      </c>
      <c r="E556" s="65" t="inlineStr">
        <is>
          <t>08/06/2007</t>
        </is>
      </c>
      <c r="F556" s="66" t="inlineStr">
        <is>
          <t>LNH0925ND01</t>
        </is>
      </c>
      <c r="G556" s="90" t="n">
        <v>8415000</v>
      </c>
      <c r="H556" s="65">
        <f>VLOOKUP(B556,'[1]TONG HOP'!B$5:G$624,6,0)</f>
        <v/>
      </c>
      <c r="I556" s="65" t="n">
        <v>2103750</v>
      </c>
      <c r="J556" s="65" t="n"/>
      <c r="K556" s="65" t="n"/>
      <c r="L556" s="65" t="n"/>
      <c r="M556" s="65" t="n"/>
      <c r="N556" s="65" t="n"/>
      <c r="O556" s="65" t="n"/>
      <c r="P556" s="65" t="n"/>
      <c r="Q556" s="65" t="n"/>
      <c r="R556" s="65" t="n"/>
      <c r="S556" s="92">
        <f>G556-I556-R556-K556-M556-O556-Q556</f>
        <v/>
      </c>
      <c r="T556" s="92" t="inlineStr"/>
      <c r="U556" s="92" t="inlineStr"/>
      <c r="V556" s="69">
        <f>G556-SUM(I556,K556,M556,O556,Q556,U556)</f>
        <v/>
      </c>
      <c r="W556" s="65" t="n"/>
      <c r="X556" t="inlineStr">
        <is>
          <t>Khớp</t>
        </is>
      </c>
    </row>
    <row r="557">
      <c r="A557" s="65" t="n">
        <v>548</v>
      </c>
      <c r="B557" s="65" t="inlineStr">
        <is>
          <t>25809300003</t>
        </is>
      </c>
      <c r="C557" s="65" t="inlineStr">
        <is>
          <t>Nguyễn Đắc</t>
        </is>
      </c>
      <c r="D557" s="65" t="inlineStr">
        <is>
          <t>Tài</t>
        </is>
      </c>
      <c r="E557" s="65" t="inlineStr">
        <is>
          <t>13/07/2007</t>
        </is>
      </c>
      <c r="F557" s="66" t="inlineStr">
        <is>
          <t>LNH0925ND01</t>
        </is>
      </c>
      <c r="G557" s="90" t="n">
        <v>8415000</v>
      </c>
      <c r="H557" s="65">
        <f>VLOOKUP(B557,'[1]TONG HOP'!B$5:G$624,6,0)</f>
        <v/>
      </c>
      <c r="I557" s="65" t="n">
        <v>2103750</v>
      </c>
      <c r="J557" s="65" t="n"/>
      <c r="K557" s="65" t="n"/>
      <c r="L557" s="65" t="n"/>
      <c r="M557" s="65" t="n"/>
      <c r="N557" s="65" t="n"/>
      <c r="O557" s="65" t="n"/>
      <c r="P557" s="65">
        <f>VLOOKUP(B557,'[3]TONG HOP '!B$5:O$666,14,0)</f>
        <v/>
      </c>
      <c r="Q557" s="65" t="n">
        <v>2103750</v>
      </c>
      <c r="R557" s="65" t="n"/>
      <c r="S557" s="92">
        <f>G557-I557-R557-K557-M557-O557-Q557</f>
        <v/>
      </c>
      <c r="T557" s="92" t="inlineStr"/>
      <c r="U557" s="92" t="inlineStr"/>
      <c r="V557" s="69">
        <f>G557-SUM(I557,K557,M557,O557,Q557,U557)</f>
        <v/>
      </c>
      <c r="W557" s="65" t="n"/>
      <c r="X557" t="inlineStr">
        <is>
          <t>Khớp</t>
        </is>
      </c>
    </row>
    <row r="558">
      <c r="A558" s="65" t="n">
        <v>549</v>
      </c>
      <c r="B558" s="65" t="inlineStr">
        <is>
          <t>25806400010</t>
        </is>
      </c>
      <c r="C558" s="65" t="inlineStr">
        <is>
          <t>Trần Vũ Gia</t>
        </is>
      </c>
      <c r="D558" s="65" t="inlineStr">
        <is>
          <t>Huy</t>
        </is>
      </c>
      <c r="E558" s="65" t="inlineStr">
        <is>
          <t>05/04/2007</t>
        </is>
      </c>
      <c r="F558" s="66" t="inlineStr">
        <is>
          <t>LNH0925ND01</t>
        </is>
      </c>
      <c r="G558" s="90" t="n">
        <v>8415000</v>
      </c>
      <c r="H558" s="65">
        <f>VLOOKUP(B558,'[1]TONG HOP'!B$5:G$624,6,0)</f>
        <v/>
      </c>
      <c r="I558" s="65" t="n">
        <v>2103750</v>
      </c>
      <c r="J558" s="65" t="n"/>
      <c r="K558" s="65" t="n"/>
      <c r="L558" s="65">
        <f>VLOOKUP(B558,'[2]DS THANG 11'!A$3:E$616,5,0)</f>
        <v/>
      </c>
      <c r="M558" s="65" t="n">
        <v>2103750</v>
      </c>
      <c r="N558" s="65" t="n"/>
      <c r="O558" s="65" t="n"/>
      <c r="P558" s="65">
        <f>VLOOKUP(B558,'[3]TONG HOP '!B$5:O$666,14,0)</f>
        <v/>
      </c>
      <c r="Q558" s="65" t="n">
        <v>2103750</v>
      </c>
      <c r="R558" s="65" t="n"/>
      <c r="S558" s="92">
        <f>G558-I558-R558-K558-M558-O558-Q558</f>
        <v/>
      </c>
      <c r="T558" s="92" t="inlineStr">
        <is>
          <t>LNH0526NQ17</t>
        </is>
      </c>
      <c r="U558" s="92" t="n">
        <v>2103750</v>
      </c>
      <c r="V558" s="69">
        <f>G558-SUM(I558,K558,M558,O558,Q558,U558)</f>
        <v/>
      </c>
      <c r="W558" s="65" t="n"/>
      <c r="X558" t="inlineStr">
        <is>
          <t>Khớp</t>
        </is>
      </c>
    </row>
    <row r="559">
      <c r="A559" s="65" t="n">
        <v>550</v>
      </c>
      <c r="B559" s="65" t="inlineStr">
        <is>
          <t>25800400059</t>
        </is>
      </c>
      <c r="C559" s="65" t="inlineStr">
        <is>
          <t>Phan Quốc</t>
        </is>
      </c>
      <c r="D559" s="65" t="inlineStr">
        <is>
          <t>Huy</t>
        </is>
      </c>
      <c r="E559" s="65" t="inlineStr">
        <is>
          <t>17/05/2007</t>
        </is>
      </c>
      <c r="F559" s="66" t="inlineStr">
        <is>
          <t>LNH0925ND01</t>
        </is>
      </c>
      <c r="G559" s="90" t="n">
        <v>8415000</v>
      </c>
      <c r="H559" s="65">
        <f>VLOOKUP(B559,'[1]TONG HOP'!B$5:G$624,6,0)</f>
        <v/>
      </c>
      <c r="I559" s="65" t="n">
        <v>2103750</v>
      </c>
      <c r="J559" s="65" t="n"/>
      <c r="K559" s="65" t="n"/>
      <c r="L559" s="65">
        <f>VLOOKUP(B559,'[2]DS THANG 11'!A$3:E$616,5,0)</f>
        <v/>
      </c>
      <c r="M559" s="65" t="n">
        <v>2103750</v>
      </c>
      <c r="N559" s="65" t="n"/>
      <c r="O559" s="65" t="n"/>
      <c r="P559" s="65">
        <f>VLOOKUP(B559,'[3]TONG HOP '!B$5:O$666,14,0)</f>
        <v/>
      </c>
      <c r="Q559" s="65" t="n">
        <v>2103750</v>
      </c>
      <c r="R559" s="65" t="n"/>
      <c r="S559" s="92">
        <f>G559-I559-R559-K559-M559-O559-Q559</f>
        <v/>
      </c>
      <c r="T559" s="92" t="inlineStr">
        <is>
          <t>LNH0526NQ15</t>
        </is>
      </c>
      <c r="U559" s="92" t="n">
        <v>2103750</v>
      </c>
      <c r="V559" s="69">
        <f>G559-SUM(I559,K559,M559,O559,Q559,U559)</f>
        <v/>
      </c>
      <c r="W559" s="65" t="n"/>
      <c r="X559" t="inlineStr">
        <is>
          <t>Khớp</t>
        </is>
      </c>
    </row>
    <row r="560">
      <c r="A560" s="65" t="n">
        <v>551</v>
      </c>
      <c r="B560" s="65" t="inlineStr">
        <is>
          <t>25802700003</t>
        </is>
      </c>
      <c r="C560" s="65" t="inlineStr">
        <is>
          <t>Trần Đình</t>
        </is>
      </c>
      <c r="D560" s="65" t="inlineStr">
        <is>
          <t>An</t>
        </is>
      </c>
      <c r="E560" s="65" t="inlineStr">
        <is>
          <t>06/10/2007</t>
        </is>
      </c>
      <c r="F560" s="66" t="inlineStr">
        <is>
          <t>LNH0925ND01</t>
        </is>
      </c>
      <c r="G560" s="90" t="n">
        <v>8415000</v>
      </c>
      <c r="H560" s="65">
        <f>VLOOKUP(B560,'[1]TONG HOP'!B$5:G$624,6,0)</f>
        <v/>
      </c>
      <c r="I560" s="65" t="n">
        <v>2103750</v>
      </c>
      <c r="J560" s="65" t="n"/>
      <c r="K560" s="65" t="n"/>
      <c r="L560" s="65" t="n"/>
      <c r="M560" s="65" t="n"/>
      <c r="N560" s="65" t="n"/>
      <c r="O560" s="65" t="n"/>
      <c r="P560" s="65">
        <f>VLOOKUP(B560,'[3]TONG HOP '!B$5:O$666,14,0)</f>
        <v/>
      </c>
      <c r="Q560" s="65" t="n">
        <v>2103750</v>
      </c>
      <c r="R560" s="65" t="n">
        <v>1005000</v>
      </c>
      <c r="S560" s="92">
        <f>G560-I560-R560-K560-M560-O560-Q560</f>
        <v/>
      </c>
      <c r="T560" s="92" t="inlineStr"/>
      <c r="U560" s="92" t="inlineStr"/>
      <c r="V560" s="69">
        <f>G560-SUM(I560,K560,M560,O560,Q560,U560)</f>
        <v/>
      </c>
      <c r="W560" s="65" t="inlineStr">
        <is>
          <t>Chuyển sang EDU - Đạt HB theo tờ trình 462 ngày 11/11/25 - giảm HB Level 1 - 2.1tr</t>
        </is>
      </c>
      <c r="X560" t="inlineStr">
        <is>
          <t>Khớp</t>
        </is>
      </c>
    </row>
    <row r="561">
      <c r="A561" s="65" t="n">
        <v>552</v>
      </c>
      <c r="B561" s="65" t="inlineStr">
        <is>
          <t>25801100017</t>
        </is>
      </c>
      <c r="C561" s="65" t="inlineStr">
        <is>
          <t>Huỳnh Trung</t>
        </is>
      </c>
      <c r="D561" s="65" t="inlineStr">
        <is>
          <t>Hậu</t>
        </is>
      </c>
      <c r="E561" s="65" t="inlineStr">
        <is>
          <t>13/09/2007</t>
        </is>
      </c>
      <c r="F561" s="66" t="inlineStr">
        <is>
          <t>LNH0925ND01</t>
        </is>
      </c>
      <c r="G561" s="90" t="n">
        <v>8415000</v>
      </c>
      <c r="H561" s="65">
        <f>VLOOKUP(B561,'[1]TONG HOP'!B$5:G$624,6,0)</f>
        <v/>
      </c>
      <c r="I561" s="65" t="n">
        <v>2103750</v>
      </c>
      <c r="J561" s="65" t="n"/>
      <c r="K561" s="65" t="n"/>
      <c r="L561" s="65">
        <f>VLOOKUP(B561,'[2]DS THANG 11'!A$3:E$616,5,0)</f>
        <v/>
      </c>
      <c r="M561" s="65" t="n">
        <v>2103750</v>
      </c>
      <c r="N561" s="65" t="n"/>
      <c r="O561" s="65" t="n"/>
      <c r="P561" s="65">
        <f>VLOOKUP(B561,'[3]TONG HOP '!B$5:O$666,14,0)</f>
        <v/>
      </c>
      <c r="Q561" s="65" t="n">
        <v>2103750</v>
      </c>
      <c r="R561" s="65" t="n"/>
      <c r="S561" s="92">
        <f>G561-I561-R561-K561-M561-O561-Q561</f>
        <v/>
      </c>
      <c r="T561" s="92" t="inlineStr"/>
      <c r="U561" s="92" t="inlineStr"/>
      <c r="V561" s="69">
        <f>G561-SUM(I561,K561,M561,O561,Q561,U561)</f>
        <v/>
      </c>
      <c r="W561" s="65" t="n"/>
      <c r="X561" t="inlineStr">
        <is>
          <t>Khớp</t>
        </is>
      </c>
    </row>
    <row r="562">
      <c r="A562" s="65" t="n">
        <v>553</v>
      </c>
      <c r="B562" s="65" t="inlineStr">
        <is>
          <t>25820300009</t>
        </is>
      </c>
      <c r="C562" s="65" t="inlineStr">
        <is>
          <t>Trịnh Nhật</t>
        </is>
      </c>
      <c r="D562" s="65" t="inlineStr">
        <is>
          <t>Đông</t>
        </is>
      </c>
      <c r="E562" s="65" t="inlineStr">
        <is>
          <t>08/01/2007</t>
        </is>
      </c>
      <c r="F562" s="66" t="inlineStr">
        <is>
          <t>LNH0925ND01</t>
        </is>
      </c>
      <c r="G562" s="90" t="n">
        <v>8415000</v>
      </c>
      <c r="H562" s="65">
        <f>VLOOKUP(B562,'[1]TONG HOP'!B$5:G$624,6,0)</f>
        <v/>
      </c>
      <c r="I562" s="65" t="n">
        <v>2103750</v>
      </c>
      <c r="J562" s="65" t="n"/>
      <c r="K562" s="65" t="n"/>
      <c r="L562" s="65">
        <f>VLOOKUP(B562,'[2]DS THANG 11'!A$3:E$616,5,0)</f>
        <v/>
      </c>
      <c r="M562" s="65" t="n">
        <v>2103750</v>
      </c>
      <c r="N562" s="65" t="n"/>
      <c r="O562" s="65" t="n"/>
      <c r="P562" s="65">
        <f>VLOOKUP(B562,'[3]TONG HOP '!B$5:O$666,14,0)</f>
        <v/>
      </c>
      <c r="Q562" s="65" t="n">
        <v>2103750</v>
      </c>
      <c r="R562" s="65" t="n"/>
      <c r="S562" s="92">
        <f>G562-I562-R562-K562-M562-O562-Q562</f>
        <v/>
      </c>
      <c r="T562" s="92" t="inlineStr">
        <is>
          <t>LNH0526NQ17</t>
        </is>
      </c>
      <c r="U562" s="92" t="n">
        <v>2103750</v>
      </c>
      <c r="V562" s="69">
        <f>G562-SUM(I562,K562,M562,O562,Q562,U562)</f>
        <v/>
      </c>
      <c r="W562" s="65" t="n"/>
      <c r="X562" t="inlineStr">
        <is>
          <t>Khớp</t>
        </is>
      </c>
    </row>
    <row r="563">
      <c r="A563" s="65" t="n">
        <v>554</v>
      </c>
      <c r="B563" s="65" t="inlineStr">
        <is>
          <t>25800400291</t>
        </is>
      </c>
      <c r="C563" s="65" t="inlineStr">
        <is>
          <t>Phùng Minh</t>
        </is>
      </c>
      <c r="D563" s="65" t="inlineStr">
        <is>
          <t>Trí</t>
        </is>
      </c>
      <c r="E563" s="65" t="inlineStr">
        <is>
          <t>23/07/2007</t>
        </is>
      </c>
      <c r="F563" s="66" t="inlineStr">
        <is>
          <t>LNH0925ND01</t>
        </is>
      </c>
      <c r="G563" s="90" t="n">
        <v>8415000</v>
      </c>
      <c r="H563" s="65">
        <f>VLOOKUP(B563,'[1]TONG HOP'!B$5:G$624,6,0)</f>
        <v/>
      </c>
      <c r="I563" s="65" t="n">
        <v>2103750</v>
      </c>
      <c r="J563" s="65" t="n"/>
      <c r="K563" s="65" t="n"/>
      <c r="L563" s="65">
        <f>VLOOKUP(B563,'[2]DS THANG 11'!A$3:E$616,5,0)</f>
        <v/>
      </c>
      <c r="M563" s="65" t="n">
        <v>2103750</v>
      </c>
      <c r="N563" s="65" t="n"/>
      <c r="O563" s="65" t="n"/>
      <c r="P563" s="65">
        <f>VLOOKUP(B563,'[3]TONG HOP '!B$5:O$666,14,0)</f>
        <v/>
      </c>
      <c r="Q563" s="65" t="n">
        <v>2103750</v>
      </c>
      <c r="R563" s="65" t="n"/>
      <c r="S563" s="92">
        <f>G563-I563-R563-K563-M563-O563-Q563</f>
        <v/>
      </c>
      <c r="T563" s="92" t="inlineStr"/>
      <c r="U563" s="92" t="inlineStr"/>
      <c r="V563" s="69">
        <f>G563-SUM(I563,K563,M563,O563,Q563,U563)</f>
        <v/>
      </c>
      <c r="W563" s="65" t="n"/>
      <c r="X563" t="inlineStr">
        <is>
          <t>Khớp</t>
        </is>
      </c>
    </row>
    <row r="564">
      <c r="A564" s="65" t="n">
        <v>555</v>
      </c>
      <c r="B564" s="65" t="inlineStr">
        <is>
          <t>25820300027</t>
        </is>
      </c>
      <c r="C564" s="65" t="inlineStr">
        <is>
          <t>Hà Đình</t>
        </is>
      </c>
      <c r="D564" s="65" t="inlineStr">
        <is>
          <t>Kiên</t>
        </is>
      </c>
      <c r="E564" s="65" t="inlineStr">
        <is>
          <t>02/12/2007</t>
        </is>
      </c>
      <c r="F564" s="66" t="inlineStr">
        <is>
          <t>LNH0925ND01</t>
        </is>
      </c>
      <c r="G564" s="90" t="n">
        <v>8415000</v>
      </c>
      <c r="H564" s="65">
        <f>VLOOKUP(B564,'[1]TONG HOP'!B$5:G$624,6,0)</f>
        <v/>
      </c>
      <c r="I564" s="65" t="n">
        <v>2103750</v>
      </c>
      <c r="J564" s="65" t="n"/>
      <c r="K564" s="65" t="n"/>
      <c r="L564" s="65">
        <f>VLOOKUP(B564,'[2]DS THANG 11'!A$3:E$616,5,0)</f>
        <v/>
      </c>
      <c r="M564" s="65" t="n">
        <v>2103750</v>
      </c>
      <c r="N564" s="65" t="n"/>
      <c r="O564" s="65" t="n"/>
      <c r="P564" s="65">
        <f>VLOOKUP(B564,'[3]TONG HOP '!B$5:O$666,14,0)</f>
        <v/>
      </c>
      <c r="Q564" s="65" t="n">
        <v>2103750</v>
      </c>
      <c r="R564" s="65" t="n"/>
      <c r="S564" s="92">
        <f>G564-I564-R564-K564-M564-O564-Q564</f>
        <v/>
      </c>
      <c r="T564" s="92" t="inlineStr">
        <is>
          <t>LNH0526NQ12</t>
        </is>
      </c>
      <c r="U564" s="92" t="n">
        <v>2103750</v>
      </c>
      <c r="V564" s="69">
        <f>G564-SUM(I564,K564,M564,O564,Q564,U564)</f>
        <v/>
      </c>
      <c r="W564" s="65" t="n"/>
      <c r="X564" t="inlineStr">
        <is>
          <t>Khớp</t>
        </is>
      </c>
    </row>
    <row r="565">
      <c r="A565" s="65" t="n">
        <v>556</v>
      </c>
      <c r="B565" s="65" t="inlineStr">
        <is>
          <t>25802800338</t>
        </is>
      </c>
      <c r="C565" s="65" t="inlineStr">
        <is>
          <t>Bùi Tân</t>
        </is>
      </c>
      <c r="D565" s="65" t="inlineStr">
        <is>
          <t>Nhàn</t>
        </is>
      </c>
      <c r="E565" s="65" t="inlineStr">
        <is>
          <t>01/06/2007</t>
        </is>
      </c>
      <c r="F565" s="66" t="inlineStr">
        <is>
          <t>LNH0925ND01</t>
        </is>
      </c>
      <c r="G565" s="90" t="n">
        <v>8415000</v>
      </c>
      <c r="H565" s="65" t="n"/>
      <c r="I565" s="65" t="n"/>
      <c r="J565" s="65" t="n"/>
      <c r="K565" s="65" t="n"/>
      <c r="L565" s="65" t="n"/>
      <c r="M565" s="65" t="n"/>
      <c r="N565" s="65" t="n"/>
      <c r="O565" s="65" t="n"/>
      <c r="P565" s="65" t="n"/>
      <c r="Q565" s="65" t="n"/>
      <c r="R565" s="65" t="n"/>
      <c r="S565" s="92">
        <f>G565-I565-R565-K565-M565-O565-Q565</f>
        <v/>
      </c>
      <c r="T565" s="92" t="inlineStr"/>
      <c r="U565" s="92" t="inlineStr"/>
      <c r="V565" s="69">
        <f>G565-SUM(I565,K565,M565,O565,Q565,U565)</f>
        <v/>
      </c>
      <c r="W565" s="65" t="n"/>
      <c r="X565" t="inlineStr">
        <is>
          <t>Khớp</t>
        </is>
      </c>
    </row>
    <row r="566">
      <c r="A566" s="65" t="n">
        <v>557</v>
      </c>
      <c r="B566" s="65" t="inlineStr">
        <is>
          <t>25806800040</t>
        </is>
      </c>
      <c r="C566" s="65" t="inlineStr">
        <is>
          <t>Phan Nguyễn Trà</t>
        </is>
      </c>
      <c r="D566" s="65" t="inlineStr">
        <is>
          <t>My</t>
        </is>
      </c>
      <c r="E566" s="65" t="inlineStr">
        <is>
          <t>09/01/2007</t>
        </is>
      </c>
      <c r="F566" s="66" t="inlineStr">
        <is>
          <t>LNH0925ND01</t>
        </is>
      </c>
      <c r="G566" s="90" t="n">
        <v>8415000</v>
      </c>
      <c r="H566" s="65">
        <f>VLOOKUP(B566,'[1]TONG HOP'!B$5:G$624,6,0)</f>
        <v/>
      </c>
      <c r="I566" s="65" t="n">
        <v>2103750</v>
      </c>
      <c r="J566" s="65" t="n"/>
      <c r="K566" s="65" t="n"/>
      <c r="L566" s="65">
        <f>VLOOKUP(B566,'[2]DS THANG 11'!A$3:E$616,5,0)</f>
        <v/>
      </c>
      <c r="M566" s="65" t="n">
        <v>2103750</v>
      </c>
      <c r="N566" s="65" t="n"/>
      <c r="O566" s="65" t="n"/>
      <c r="P566" s="65">
        <f>VLOOKUP(B566,'[3]TONG HOP '!B$5:O$666,14,0)</f>
        <v/>
      </c>
      <c r="Q566" s="65" t="n">
        <v>2103750</v>
      </c>
      <c r="R566" s="65" t="n"/>
      <c r="S566" s="92">
        <f>G566-I566-R566-K566-M566-O566-Q566</f>
        <v/>
      </c>
      <c r="T566" s="92" t="inlineStr">
        <is>
          <t>LNH0526NQ04</t>
        </is>
      </c>
      <c r="U566" s="92" t="n">
        <v>2103750</v>
      </c>
      <c r="V566" s="69">
        <f>G566-SUM(I566,K566,M566,O566,Q566,U566)</f>
        <v/>
      </c>
      <c r="W566" s="65" t="n"/>
      <c r="X566" t="inlineStr">
        <is>
          <t>Khớp</t>
        </is>
      </c>
    </row>
    <row r="567">
      <c r="A567" s="65" t="n">
        <v>558</v>
      </c>
      <c r="B567" s="65" t="inlineStr">
        <is>
          <t>25807500053</t>
        </is>
      </c>
      <c r="C567" s="65" t="inlineStr">
        <is>
          <t>Trần Tuấn</t>
        </is>
      </c>
      <c r="D567" s="65" t="inlineStr">
        <is>
          <t>Kiệt</t>
        </is>
      </c>
      <c r="E567" s="65" t="inlineStr">
        <is>
          <t>06/04/2007</t>
        </is>
      </c>
      <c r="F567" s="66" t="inlineStr">
        <is>
          <t>LNH0925ND01</t>
        </is>
      </c>
      <c r="G567" s="90" t="n">
        <v>8415000</v>
      </c>
      <c r="H567" s="65">
        <f>VLOOKUP(B567,'[1]TONG HOP'!B$5:G$624,6,0)</f>
        <v/>
      </c>
      <c r="I567" s="65" t="n">
        <v>2103750</v>
      </c>
      <c r="J567" s="65" t="n"/>
      <c r="K567" s="65" t="n"/>
      <c r="L567" s="65">
        <f>VLOOKUP(B567,'[2]DS THANG 11'!A$3:E$616,5,0)</f>
        <v/>
      </c>
      <c r="M567" s="65" t="n">
        <v>2103750</v>
      </c>
      <c r="N567" s="65" t="n"/>
      <c r="O567" s="65" t="n"/>
      <c r="P567" s="65">
        <f>VLOOKUP(B567,'[3]TONG HOP '!B$5:O$666,14,0)</f>
        <v/>
      </c>
      <c r="Q567" s="65" t="n">
        <v>2103750</v>
      </c>
      <c r="R567" s="65" t="n"/>
      <c r="S567" s="92">
        <f>G567-I567-R567-K567-M567-O567-Q567</f>
        <v/>
      </c>
      <c r="T567" s="92" t="inlineStr"/>
      <c r="U567" s="92" t="inlineStr"/>
      <c r="V567" s="69">
        <f>G567-SUM(I567,K567,M567,O567,Q567,U567)</f>
        <v/>
      </c>
      <c r="W567" s="65" t="n"/>
      <c r="X567" t="inlineStr">
        <is>
          <t>Khớp</t>
        </is>
      </c>
    </row>
    <row r="568">
      <c r="A568" s="65" t="n">
        <v>559</v>
      </c>
      <c r="B568" s="65" t="inlineStr">
        <is>
          <t>25801100044</t>
        </is>
      </c>
      <c r="C568" s="65" t="inlineStr">
        <is>
          <t>Lê Văn</t>
        </is>
      </c>
      <c r="D568" s="65" t="inlineStr">
        <is>
          <t>Nhân</t>
        </is>
      </c>
      <c r="E568" s="65" t="inlineStr">
        <is>
          <t>08/11/2007</t>
        </is>
      </c>
      <c r="F568" s="66" t="inlineStr">
        <is>
          <t>LNH0925ND01</t>
        </is>
      </c>
      <c r="G568" s="90" t="n">
        <v>8415000</v>
      </c>
      <c r="H568" s="65">
        <f>VLOOKUP(B568,'[1]TONG HOP'!B$5:G$624,6,0)</f>
        <v/>
      </c>
      <c r="I568" s="65" t="n">
        <v>2103750</v>
      </c>
      <c r="J568" s="65" t="n"/>
      <c r="K568" s="65" t="n"/>
      <c r="L568" s="65">
        <f>VLOOKUP(B568,'[2]DS THANG 11'!A$3:E$616,5,0)</f>
        <v/>
      </c>
      <c r="M568" s="65" t="n">
        <v>2103750</v>
      </c>
      <c r="N568" s="65" t="n"/>
      <c r="O568" s="65" t="n"/>
      <c r="P568" s="65">
        <f>VLOOKUP(B568,'[3]TONG HOP '!B$5:O$666,14,0)</f>
        <v/>
      </c>
      <c r="Q568" s="65" t="n">
        <v>2103750</v>
      </c>
      <c r="R568" s="65" t="n"/>
      <c r="S568" s="92">
        <f>G568-I568-R568-K568-M568-O568-Q568</f>
        <v/>
      </c>
      <c r="T568" s="92" t="inlineStr">
        <is>
          <t>LNH0526NQ13</t>
        </is>
      </c>
      <c r="U568" s="92" t="n">
        <v>2103750</v>
      </c>
      <c r="V568" s="69">
        <f>G568-SUM(I568,K568,M568,O568,Q568,U568)</f>
        <v/>
      </c>
      <c r="W568" s="65" t="n"/>
      <c r="X568" t="inlineStr">
        <is>
          <t>Khớp</t>
        </is>
      </c>
    </row>
    <row r="569">
      <c r="A569" s="65" t="n">
        <v>560</v>
      </c>
      <c r="B569" s="65" t="inlineStr">
        <is>
          <t>25805900003</t>
        </is>
      </c>
      <c r="C569" s="65" t="inlineStr">
        <is>
          <t>Đinh Thị Ngọc</t>
        </is>
      </c>
      <c r="D569" s="65" t="inlineStr">
        <is>
          <t>Ánh</t>
        </is>
      </c>
      <c r="E569" s="65" t="inlineStr">
        <is>
          <t>02/12/2007</t>
        </is>
      </c>
      <c r="F569" s="66" t="inlineStr">
        <is>
          <t>LNH0925ND01</t>
        </is>
      </c>
      <c r="G569" s="90" t="n">
        <v>8415000</v>
      </c>
      <c r="H569" s="65">
        <f>VLOOKUP(B569,'[1]TONG HOP'!B$5:G$624,6,0)</f>
        <v/>
      </c>
      <c r="I569" s="65" t="n">
        <v>2103750</v>
      </c>
      <c r="J569" s="65" t="n"/>
      <c r="K569" s="65" t="n"/>
      <c r="L569" s="65" t="n"/>
      <c r="M569" s="65" t="n"/>
      <c r="N569" s="65" t="n"/>
      <c r="O569" s="65" t="n"/>
      <c r="P569" s="65">
        <f>VLOOKUP(B569,'[3]TONG HOP '!B$5:O$666,14,0)</f>
        <v/>
      </c>
      <c r="Q569" s="65" t="n">
        <v>2103750</v>
      </c>
      <c r="R569" s="65" t="n"/>
      <c r="S569" s="92">
        <f>G569-I569-R569-K569-M569-O569-Q569</f>
        <v/>
      </c>
      <c r="T569" s="92" t="inlineStr"/>
      <c r="U569" s="92" t="inlineStr"/>
      <c r="V569" s="69">
        <f>G569-SUM(I569,K569,M569,O569,Q569,U569)</f>
        <v/>
      </c>
      <c r="W569" s="65" t="n"/>
      <c r="X569" t="inlineStr">
        <is>
          <t>Khớp</t>
        </is>
      </c>
    </row>
    <row r="570">
      <c r="A570" s="65" t="n">
        <v>561</v>
      </c>
      <c r="B570" s="65" t="inlineStr">
        <is>
          <t>25802600089</t>
        </is>
      </c>
      <c r="C570" s="65" t="inlineStr">
        <is>
          <t>Đặng Kim Phương</t>
        </is>
      </c>
      <c r="D570" s="65" t="inlineStr">
        <is>
          <t>Nghi</t>
        </is>
      </c>
      <c r="E570" s="65" t="inlineStr">
        <is>
          <t>25/10/2007</t>
        </is>
      </c>
      <c r="F570" s="66" t="inlineStr">
        <is>
          <t>LNH0925ND01</t>
        </is>
      </c>
      <c r="G570" s="90" t="n">
        <v>8415000</v>
      </c>
      <c r="H570" s="65">
        <f>VLOOKUP(B570,'[1]TONG HOP'!B$5:G$624,6,0)</f>
        <v/>
      </c>
      <c r="I570" s="65" t="n">
        <v>2103750</v>
      </c>
      <c r="J570" s="65" t="n"/>
      <c r="K570" s="65" t="n"/>
      <c r="L570" s="65">
        <f>VLOOKUP(B570,'[2]DS THANG 11'!A$3:E$616,5,0)</f>
        <v/>
      </c>
      <c r="M570" s="65" t="n">
        <v>2103750</v>
      </c>
      <c r="N570" s="65" t="n"/>
      <c r="O570" s="65" t="n"/>
      <c r="P570" s="65">
        <f>VLOOKUP(B570,'[3]TONG HOP '!B$5:O$666,14,0)</f>
        <v/>
      </c>
      <c r="Q570" s="65" t="n">
        <v>2103750</v>
      </c>
      <c r="R570" s="65" t="n"/>
      <c r="S570" s="92">
        <f>G570-I570-R570-K570-M570-O570-Q570</f>
        <v/>
      </c>
      <c r="T570" s="92" t="inlineStr">
        <is>
          <t>LNH0526NQ01</t>
        </is>
      </c>
      <c r="U570" s="92" t="n">
        <v>2103750</v>
      </c>
      <c r="V570" s="69">
        <f>G570-SUM(I570,K570,M570,O570,Q570,U570)</f>
        <v/>
      </c>
      <c r="W570" s="65" t="n"/>
      <c r="X570" t="inlineStr">
        <is>
          <t>Khớp</t>
        </is>
      </c>
    </row>
    <row r="571">
      <c r="A571" s="65" t="n">
        <v>562</v>
      </c>
      <c r="B571" s="65" t="inlineStr">
        <is>
          <t>25800500021</t>
        </is>
      </c>
      <c r="C571" s="65" t="inlineStr">
        <is>
          <t>Trương Trọng</t>
        </is>
      </c>
      <c r="D571" s="65" t="inlineStr">
        <is>
          <t>Bình</t>
        </is>
      </c>
      <c r="E571" s="65" t="inlineStr">
        <is>
          <t>12/07/2007</t>
        </is>
      </c>
      <c r="F571" s="66" t="inlineStr">
        <is>
          <t>LNH0925ND01</t>
        </is>
      </c>
      <c r="G571" s="90" t="n">
        <v>8415000</v>
      </c>
      <c r="H571" s="65">
        <f>VLOOKUP(B571,'[1]TONG HOP'!B$5:G$624,6,0)</f>
        <v/>
      </c>
      <c r="I571" s="65" t="n">
        <v>2103750</v>
      </c>
      <c r="J571" s="65" t="n"/>
      <c r="K571" s="65" t="n"/>
      <c r="L571" s="65">
        <f>VLOOKUP(B571,'[2]DS THANG 11'!A$3:E$616,5,0)</f>
        <v/>
      </c>
      <c r="M571" s="65" t="n">
        <v>2103750</v>
      </c>
      <c r="N571" s="65" t="n"/>
      <c r="O571" s="65" t="n"/>
      <c r="P571" s="65">
        <f>VLOOKUP(B571,'[3]TONG HOP '!B$5:O$666,14,0)</f>
        <v/>
      </c>
      <c r="Q571" s="65" t="n">
        <v>2103750</v>
      </c>
      <c r="R571" s="65" t="n"/>
      <c r="S571" s="92">
        <f>G571-I571-R571-K571-M571-O571-Q571</f>
        <v/>
      </c>
      <c r="T571" s="92" t="inlineStr"/>
      <c r="U571" s="92" t="inlineStr"/>
      <c r="V571" s="69">
        <f>G571-SUM(I571,K571,M571,O571,Q571,U571)</f>
        <v/>
      </c>
      <c r="W571" s="65" t="n"/>
      <c r="X571" t="inlineStr">
        <is>
          <t>Khớp</t>
        </is>
      </c>
    </row>
    <row r="572">
      <c r="A572" s="65" t="n">
        <v>563</v>
      </c>
      <c r="B572" s="65" t="inlineStr">
        <is>
          <t>25808500106</t>
        </is>
      </c>
      <c r="C572" s="65" t="inlineStr">
        <is>
          <t>Phạm Ngọc</t>
        </is>
      </c>
      <c r="D572" s="65" t="inlineStr">
        <is>
          <t>Hân</t>
        </is>
      </c>
      <c r="E572" s="65" t="inlineStr">
        <is>
          <t>05/10/2007</t>
        </is>
      </c>
      <c r="F572" s="66" t="inlineStr">
        <is>
          <t>LNH0925ND01</t>
        </is>
      </c>
      <c r="G572" s="90" t="n">
        <v>8415000</v>
      </c>
      <c r="H572" s="65">
        <f>VLOOKUP(B572,'[1]TONG HOP'!B$5:G$624,6,0)</f>
        <v/>
      </c>
      <c r="I572" s="65" t="n">
        <v>2103750</v>
      </c>
      <c r="J572" s="65" t="n"/>
      <c r="K572" s="65" t="n"/>
      <c r="L572" s="65">
        <f>VLOOKUP(B572,'[2]DS THANG 11'!A$3:E$616,5,0)</f>
        <v/>
      </c>
      <c r="M572" s="65" t="n">
        <v>2103750</v>
      </c>
      <c r="N572" s="65" t="n"/>
      <c r="O572" s="65" t="n"/>
      <c r="P572" s="65">
        <f>VLOOKUP(B572,'[3]TONG HOP '!B$5:O$666,14,0)</f>
        <v/>
      </c>
      <c r="Q572" s="65" t="n">
        <v>2103750</v>
      </c>
      <c r="R572" s="65" t="n"/>
      <c r="S572" s="92">
        <f>G572-I572-R572-K572-M572-O572-Q572</f>
        <v/>
      </c>
      <c r="T572" s="92" t="inlineStr">
        <is>
          <t>LNH0526NQ03</t>
        </is>
      </c>
      <c r="U572" s="92" t="n">
        <v>2103750</v>
      </c>
      <c r="V572" s="69">
        <f>G572-SUM(I572,K572,M572,O572,Q572,U572)</f>
        <v/>
      </c>
      <c r="W572" s="65" t="n"/>
      <c r="X572" t="inlineStr">
        <is>
          <t>Khớp</t>
        </is>
      </c>
    </row>
    <row r="573">
      <c r="A573" s="65" t="n">
        <v>564</v>
      </c>
      <c r="B573" s="65" t="inlineStr">
        <is>
          <t>25808600018</t>
        </is>
      </c>
      <c r="C573" s="65" t="inlineStr">
        <is>
          <t>Ngô Văn</t>
        </is>
      </c>
      <c r="D573" s="65" t="inlineStr">
        <is>
          <t>Dũng</t>
        </is>
      </c>
      <c r="E573" s="65" t="inlineStr">
        <is>
          <t>30/10/2007</t>
        </is>
      </c>
      <c r="F573" s="66" t="inlineStr">
        <is>
          <t>LNH0925ND01</t>
        </is>
      </c>
      <c r="G573" s="90" t="n">
        <v>8415000</v>
      </c>
      <c r="H573" s="65">
        <f>VLOOKUP(B573,'[1]TONG HOP'!B$5:G$624,6,0)</f>
        <v/>
      </c>
      <c r="I573" s="65" t="n">
        <v>2103750</v>
      </c>
      <c r="J573" s="65" t="n"/>
      <c r="K573" s="65" t="n"/>
      <c r="L573" s="65">
        <f>VLOOKUP(B573,'[2]DS THANG 11'!A$3:E$616,5,0)</f>
        <v/>
      </c>
      <c r="M573" s="65" t="n">
        <v>2103750</v>
      </c>
      <c r="N573" s="65" t="n"/>
      <c r="O573" s="65" t="n"/>
      <c r="P573" s="65">
        <f>VLOOKUP(B573,'[3]TONG HOP '!B$5:O$666,14,0)</f>
        <v/>
      </c>
      <c r="Q573" s="65" t="n">
        <v>2103750</v>
      </c>
      <c r="R573" s="65" t="n"/>
      <c r="S573" s="92">
        <f>G573-I573-R573-K573-M573-O573-Q573</f>
        <v/>
      </c>
      <c r="T573" s="92" t="inlineStr"/>
      <c r="U573" s="92" t="inlineStr"/>
      <c r="V573" s="69">
        <f>G573-SUM(I573,K573,M573,O573,Q573,U573)</f>
        <v/>
      </c>
      <c r="W573" s="65" t="n"/>
      <c r="X573" t="inlineStr">
        <is>
          <t>Khớp</t>
        </is>
      </c>
    </row>
    <row r="574">
      <c r="A574" s="65" t="n">
        <v>565</v>
      </c>
      <c r="B574" s="65" t="inlineStr">
        <is>
          <t>25807100028</t>
        </is>
      </c>
      <c r="C574" s="65" t="inlineStr">
        <is>
          <t>Trần Nhật</t>
        </is>
      </c>
      <c r="D574" s="65" t="inlineStr">
        <is>
          <t>Anh</t>
        </is>
      </c>
      <c r="E574" s="65" t="inlineStr">
        <is>
          <t>06/11/2007</t>
        </is>
      </c>
      <c r="F574" s="66" t="inlineStr">
        <is>
          <t>LNH0925ND01</t>
        </is>
      </c>
      <c r="G574" s="90" t="n">
        <v>8415000</v>
      </c>
      <c r="H574" s="65">
        <f>VLOOKUP(B574,'[1]TONG HOP'!B$5:G$624,6,0)</f>
        <v/>
      </c>
      <c r="I574" s="65" t="n">
        <v>2103750</v>
      </c>
      <c r="J574" s="65" t="n"/>
      <c r="K574" s="65" t="n"/>
      <c r="L574" s="65">
        <f>VLOOKUP(B574,'[2]DS THANG 11'!A$3:E$616,5,0)</f>
        <v/>
      </c>
      <c r="M574" s="65" t="n">
        <v>2103750</v>
      </c>
      <c r="N574" s="65" t="n"/>
      <c r="O574" s="65" t="n"/>
      <c r="P574" s="65">
        <f>VLOOKUP(B574,'[3]TONG HOP '!B$5:O$666,14,0)</f>
        <v/>
      </c>
      <c r="Q574" s="65" t="n">
        <v>2103750</v>
      </c>
      <c r="R574" s="65" t="n"/>
      <c r="S574" s="92">
        <f>G574-I574-R574-K574-M574-O574-Q574</f>
        <v/>
      </c>
      <c r="T574" s="92" t="inlineStr">
        <is>
          <t>LNH0526NQ09</t>
        </is>
      </c>
      <c r="U574" s="92" t="n">
        <v>2103750</v>
      </c>
      <c r="V574" s="69">
        <f>G574-SUM(I574,K574,M574,O574,Q574,U574)</f>
        <v/>
      </c>
      <c r="W574" s="65" t="n"/>
      <c r="X574" t="inlineStr">
        <is>
          <t>Khớp</t>
        </is>
      </c>
    </row>
    <row r="575">
      <c r="A575" s="65" t="n">
        <v>566</v>
      </c>
      <c r="B575" s="65" t="inlineStr">
        <is>
          <t>25801100082</t>
        </is>
      </c>
      <c r="C575" s="65" t="inlineStr">
        <is>
          <t>Nguyễn Thị Thảo</t>
        </is>
      </c>
      <c r="D575" s="65" t="inlineStr">
        <is>
          <t>Vy</t>
        </is>
      </c>
      <c r="E575" s="65" t="inlineStr">
        <is>
          <t>26/12/2007</t>
        </is>
      </c>
      <c r="F575" s="66" t="inlineStr">
        <is>
          <t>LNH0925ND01</t>
        </is>
      </c>
      <c r="G575" s="90" t="n">
        <v>8415000</v>
      </c>
      <c r="H575" s="65">
        <f>VLOOKUP(B575,'[1]TONG HOP'!B$5:G$624,6,0)</f>
        <v/>
      </c>
      <c r="I575" s="65" t="n">
        <v>2103750</v>
      </c>
      <c r="J575" s="65" t="n"/>
      <c r="K575" s="65" t="n"/>
      <c r="L575" s="65">
        <f>VLOOKUP(B575,'[2]DS THANG 11'!A$3:E$616,5,0)</f>
        <v/>
      </c>
      <c r="M575" s="65" t="n">
        <v>2103750</v>
      </c>
      <c r="N575" s="65" t="n"/>
      <c r="O575" s="65" t="n"/>
      <c r="P575" s="65">
        <f>VLOOKUP(B575,'[3]TONG HOP '!B$5:O$666,14,0)</f>
        <v/>
      </c>
      <c r="Q575" s="65" t="n">
        <v>2103750</v>
      </c>
      <c r="R575" s="65" t="n"/>
      <c r="S575" s="92">
        <f>G575-I575-R575-K575-M575-O575-Q575</f>
        <v/>
      </c>
      <c r="T575" s="92" t="inlineStr"/>
      <c r="U575" s="92" t="inlineStr"/>
      <c r="V575" s="69">
        <f>G575-SUM(I575,K575,M575,O575,Q575,U575)</f>
        <v/>
      </c>
      <c r="W575" s="65" t="n"/>
      <c r="X575" t="inlineStr">
        <is>
          <t>Khớp</t>
        </is>
      </c>
    </row>
    <row r="576">
      <c r="A576" s="65" t="n">
        <v>567</v>
      </c>
      <c r="B576" s="65" t="inlineStr">
        <is>
          <t>25800400088</t>
        </is>
      </c>
      <c r="C576" s="65" t="inlineStr">
        <is>
          <t>Nguyễn Đỗ Anh</t>
        </is>
      </c>
      <c r="D576" s="65" t="inlineStr">
        <is>
          <t>Kiệt</t>
        </is>
      </c>
      <c r="E576" s="65" t="inlineStr">
        <is>
          <t>25/09/2007</t>
        </is>
      </c>
      <c r="F576" s="66" t="inlineStr">
        <is>
          <t>LNH0925ND01</t>
        </is>
      </c>
      <c r="G576" s="90" t="n">
        <v>8415000</v>
      </c>
      <c r="H576" s="65">
        <f>VLOOKUP(B576,'[1]TONG HOP'!B$5:G$624,6,0)</f>
        <v/>
      </c>
      <c r="I576" s="65" t="n">
        <v>2103750</v>
      </c>
      <c r="J576" s="65" t="n"/>
      <c r="K576" s="65" t="n"/>
      <c r="L576" s="65">
        <f>VLOOKUP(B576,'[2]DS THANG 11'!A$3:E$616,5,0)</f>
        <v/>
      </c>
      <c r="M576" s="65" t="n">
        <v>2103750</v>
      </c>
      <c r="N576" s="65" t="n"/>
      <c r="O576" s="65" t="n"/>
      <c r="P576" s="65">
        <f>VLOOKUP(B576,'[3]TONG HOP '!B$5:O$666,14,0)</f>
        <v/>
      </c>
      <c r="Q576" s="65" t="n">
        <v>2103750</v>
      </c>
      <c r="R576" s="65" t="n"/>
      <c r="S576" s="92">
        <f>G576-I576-R576-K576-M576-O576-Q576</f>
        <v/>
      </c>
      <c r="T576" s="92" t="inlineStr">
        <is>
          <t>LNH0526NQ15</t>
        </is>
      </c>
      <c r="U576" s="92" t="n">
        <v>2103750</v>
      </c>
      <c r="V576" s="69">
        <f>G576-SUM(I576,K576,M576,O576,Q576,U576)</f>
        <v/>
      </c>
      <c r="W576" s="65" t="n"/>
      <c r="X576" t="inlineStr">
        <is>
          <t>Khớp</t>
        </is>
      </c>
    </row>
    <row r="577">
      <c r="A577" s="65" t="n">
        <v>568</v>
      </c>
      <c r="B577" s="65" t="inlineStr">
        <is>
          <t>25800400055</t>
        </is>
      </c>
      <c r="C577" s="65" t="inlineStr">
        <is>
          <t>Ngô Lâm Bảo</t>
        </is>
      </c>
      <c r="D577" s="65" t="inlineStr">
        <is>
          <t>Huy</t>
        </is>
      </c>
      <c r="E577" s="65" t="inlineStr">
        <is>
          <t>22/09/2007</t>
        </is>
      </c>
      <c r="F577" s="66" t="inlineStr">
        <is>
          <t>LNH0925ND01</t>
        </is>
      </c>
      <c r="G577" s="90" t="n">
        <v>8415000</v>
      </c>
      <c r="H577" s="65">
        <f>VLOOKUP(B577,'[1]TONG HOP'!B$5:G$624,6,0)</f>
        <v/>
      </c>
      <c r="I577" s="65" t="n">
        <v>2103750</v>
      </c>
      <c r="J577" s="65" t="n"/>
      <c r="K577" s="65" t="n"/>
      <c r="L577" s="65">
        <f>VLOOKUP(B577,'[2]DS THANG 11'!A$3:E$616,5,0)</f>
        <v/>
      </c>
      <c r="M577" s="65" t="n">
        <v>2103750</v>
      </c>
      <c r="N577" s="65" t="n"/>
      <c r="O577" s="65" t="n"/>
      <c r="P577" s="65">
        <f>VLOOKUP(B577,'[3]TONG HOP '!B$5:O$666,14,0)</f>
        <v/>
      </c>
      <c r="Q577" s="65" t="n">
        <v>2103750</v>
      </c>
      <c r="R577" s="65" t="n"/>
      <c r="S577" s="92">
        <f>G577-I577-R577-K577-M577-O577-Q577</f>
        <v/>
      </c>
      <c r="T577" s="92" t="inlineStr">
        <is>
          <t>LNH0526NQ13</t>
        </is>
      </c>
      <c r="U577" s="92" t="n">
        <v>2103750</v>
      </c>
      <c r="V577" s="69">
        <f>G577-SUM(I577,K577,M577,O577,Q577,U577)</f>
        <v/>
      </c>
      <c r="W577" s="65" t="n"/>
      <c r="X577" t="inlineStr">
        <is>
          <t>Khớp</t>
        </is>
      </c>
    </row>
    <row r="578">
      <c r="A578" s="65" t="n">
        <v>569</v>
      </c>
      <c r="B578" s="65" t="inlineStr">
        <is>
          <t>25820100044</t>
        </is>
      </c>
      <c r="C578" s="65" t="inlineStr">
        <is>
          <t>Chiêm Hoàng</t>
        </is>
      </c>
      <c r="D578" s="65" t="inlineStr">
        <is>
          <t>Tân</t>
        </is>
      </c>
      <c r="E578" s="65" t="inlineStr">
        <is>
          <t>02/10/2007</t>
        </is>
      </c>
      <c r="F578" s="66" t="inlineStr">
        <is>
          <t>LNH0925ND01</t>
        </is>
      </c>
      <c r="G578" s="90" t="n">
        <v>8415000</v>
      </c>
      <c r="H578" s="65">
        <f>VLOOKUP(B578,'[1]TONG HOP'!B$5:G$624,6,0)</f>
        <v/>
      </c>
      <c r="I578" s="65" t="n">
        <v>2103750</v>
      </c>
      <c r="J578" s="65" t="n"/>
      <c r="K578" s="65" t="n"/>
      <c r="L578" s="65">
        <f>VLOOKUP(B578,'[2]DS THANG 11'!A$3:E$616,5,0)</f>
        <v/>
      </c>
      <c r="M578" s="65" t="n">
        <v>2103750</v>
      </c>
      <c r="N578" s="65" t="n"/>
      <c r="O578" s="65" t="n"/>
      <c r="P578" s="65">
        <f>VLOOKUP(B578,'[3]TONG HOP '!B$5:O$666,14,0)</f>
        <v/>
      </c>
      <c r="Q578" s="65" t="n">
        <v>2103750</v>
      </c>
      <c r="R578" s="65" t="n"/>
      <c r="S578" s="92">
        <f>G578-I578-R578-K578-M578-O578-Q578</f>
        <v/>
      </c>
      <c r="T578" s="92" t="inlineStr">
        <is>
          <t>LNH0526NQ20</t>
        </is>
      </c>
      <c r="U578" s="92" t="n">
        <v>2103750</v>
      </c>
      <c r="V578" s="69">
        <f>G578-SUM(I578,K578,M578,O578,Q578,U578)</f>
        <v/>
      </c>
      <c r="W578" s="65" t="n"/>
      <c r="X578" t="inlineStr">
        <is>
          <t>Khớp</t>
        </is>
      </c>
    </row>
    <row r="579">
      <c r="A579" s="65" t="n">
        <v>570</v>
      </c>
      <c r="B579" s="65" t="inlineStr">
        <is>
          <t>25807800120</t>
        </is>
      </c>
      <c r="C579" s="65" t="inlineStr">
        <is>
          <t>Trần Văn</t>
        </is>
      </c>
      <c r="D579" s="65" t="inlineStr">
        <is>
          <t>Quyền</t>
        </is>
      </c>
      <c r="E579" s="65" t="inlineStr">
        <is>
          <t>25/02/2007</t>
        </is>
      </c>
      <c r="F579" s="66" t="inlineStr">
        <is>
          <t>LNH0925ND01</t>
        </is>
      </c>
      <c r="G579" s="90" t="n">
        <v>8415000</v>
      </c>
      <c r="H579" s="65">
        <f>VLOOKUP(B579,'[1]TONG HOP'!B$5:G$624,6,0)</f>
        <v/>
      </c>
      <c r="I579" s="65" t="n">
        <v>2103750</v>
      </c>
      <c r="J579" s="65" t="n"/>
      <c r="K579" s="65" t="n"/>
      <c r="L579" s="65">
        <f>VLOOKUP(B579,'[2]DS THANG 11'!A$3:E$616,5,0)</f>
        <v/>
      </c>
      <c r="M579" s="65" t="n">
        <v>2103750</v>
      </c>
      <c r="N579" s="65" t="n"/>
      <c r="O579" s="65" t="n"/>
      <c r="P579" s="65">
        <f>VLOOKUP(B579,'[3]TONG HOP '!B$5:O$666,14,0)</f>
        <v/>
      </c>
      <c r="Q579" s="65" t="n">
        <v>2103750</v>
      </c>
      <c r="R579" s="65" t="n"/>
      <c r="S579" s="92">
        <f>G579-I579-R579-K579-M579-O579-Q579</f>
        <v/>
      </c>
      <c r="T579" s="92" t="inlineStr">
        <is>
          <t>LNH0526NQ15</t>
        </is>
      </c>
      <c r="U579" s="92" t="n">
        <v>2103750</v>
      </c>
      <c r="V579" s="69">
        <f>G579-SUM(I579,K579,M579,O579,Q579,U579)</f>
        <v/>
      </c>
      <c r="W579" s="65" t="n"/>
      <c r="X579" t="inlineStr">
        <is>
          <t>Khớp</t>
        </is>
      </c>
    </row>
    <row r="580">
      <c r="A580" s="65" t="n">
        <v>571</v>
      </c>
      <c r="B580" s="65" t="inlineStr">
        <is>
          <t>25807800085</t>
        </is>
      </c>
      <c r="C580" s="65" t="inlineStr">
        <is>
          <t>Tô Hoàng</t>
        </is>
      </c>
      <c r="D580" s="65" t="inlineStr">
        <is>
          <t>Minh</t>
        </is>
      </c>
      <c r="E580" s="65" t="inlineStr">
        <is>
          <t>11/12/2007</t>
        </is>
      </c>
      <c r="F580" s="66" t="inlineStr">
        <is>
          <t>LNH0925ND01</t>
        </is>
      </c>
      <c r="G580" s="90" t="n">
        <v>8415000</v>
      </c>
      <c r="H580" s="65">
        <f>VLOOKUP(B580,'[1]TONG HOP'!B$5:G$624,6,0)</f>
        <v/>
      </c>
      <c r="I580" s="65" t="n">
        <v>2103750</v>
      </c>
      <c r="J580" s="65" t="n"/>
      <c r="K580" s="65" t="n"/>
      <c r="L580" s="65">
        <f>VLOOKUP(B580,'[2]DS THANG 11'!A$3:E$616,5,0)</f>
        <v/>
      </c>
      <c r="M580" s="65" t="n">
        <v>2103750</v>
      </c>
      <c r="N580" s="65" t="n"/>
      <c r="O580" s="65" t="n"/>
      <c r="P580" s="65" t="n"/>
      <c r="Q580" s="65" t="n"/>
      <c r="R580" s="65" t="n"/>
      <c r="S580" s="92">
        <f>G580-I580-R580-K580-M580-O580-Q580</f>
        <v/>
      </c>
      <c r="T580" s="92" t="inlineStr"/>
      <c r="U580" s="92" t="inlineStr"/>
      <c r="V580" s="69">
        <f>G580-SUM(I580,K580,M580,O580,Q580,U580)</f>
        <v/>
      </c>
      <c r="W580" s="65" t="n"/>
      <c r="X580" t="inlineStr">
        <is>
          <t>Khớp</t>
        </is>
      </c>
    </row>
    <row r="581">
      <c r="A581" s="65" t="n">
        <v>572</v>
      </c>
      <c r="B581" s="65" t="inlineStr">
        <is>
          <t>25805900117</t>
        </is>
      </c>
      <c r="C581" s="65" t="inlineStr">
        <is>
          <t>Đặng Thị Trúc</t>
        </is>
      </c>
      <c r="D581" s="65" t="inlineStr">
        <is>
          <t>Phương</t>
        </is>
      </c>
      <c r="E581" s="65" t="inlineStr">
        <is>
          <t>15/10/2007</t>
        </is>
      </c>
      <c r="F581" s="66" t="inlineStr">
        <is>
          <t>LNH0925ND01</t>
        </is>
      </c>
      <c r="G581" s="90" t="n">
        <v>8415000</v>
      </c>
      <c r="H581" s="65">
        <f>VLOOKUP(B581,'[1]TONG HOP'!B$5:G$624,6,0)</f>
        <v/>
      </c>
      <c r="I581" s="65" t="n">
        <v>2103750</v>
      </c>
      <c r="J581" s="65" t="n"/>
      <c r="K581" s="65" t="n"/>
      <c r="L581" s="65">
        <f>VLOOKUP(B581,'[2]DS THANG 11'!A$3:E$616,5,0)</f>
        <v/>
      </c>
      <c r="M581" s="65" t="n">
        <v>2103750</v>
      </c>
      <c r="N581" s="65" t="n"/>
      <c r="O581" s="65" t="n"/>
      <c r="P581" s="65">
        <f>VLOOKUP(B581,'[3]TONG HOP '!B$5:O$666,14,0)</f>
        <v/>
      </c>
      <c r="Q581" s="65" t="n">
        <v>2103750</v>
      </c>
      <c r="R581" s="65" t="n"/>
      <c r="S581" s="92">
        <f>G581-I581-R581-K581-M581-O581-Q581</f>
        <v/>
      </c>
      <c r="T581" s="92" t="inlineStr">
        <is>
          <t>LNH0526NQ06</t>
        </is>
      </c>
      <c r="U581" s="92" t="n">
        <v>2103750</v>
      </c>
      <c r="V581" s="69">
        <f>G581-SUM(I581,K581,M581,O581,Q581,U581)</f>
        <v/>
      </c>
      <c r="W581" s="65" t="n"/>
      <c r="X581" t="inlineStr">
        <is>
          <t>Khớp</t>
        </is>
      </c>
    </row>
    <row r="582">
      <c r="A582" s="65" t="n">
        <v>573</v>
      </c>
      <c r="B582" s="65" t="inlineStr">
        <is>
          <t>25800500012</t>
        </is>
      </c>
      <c r="C582" s="65" t="inlineStr">
        <is>
          <t>Dương Gia</t>
        </is>
      </c>
      <c r="D582" s="65" t="inlineStr">
        <is>
          <t>Bảo</t>
        </is>
      </c>
      <c r="E582" s="65" t="inlineStr">
        <is>
          <t>01/08/2007</t>
        </is>
      </c>
      <c r="F582" s="66" t="inlineStr">
        <is>
          <t>LNH0925ND01</t>
        </is>
      </c>
      <c r="G582" s="90" t="n">
        <v>8415000</v>
      </c>
      <c r="H582" s="65">
        <f>VLOOKUP(B582,'[1]TONG HOP'!B$5:G$624,6,0)</f>
        <v/>
      </c>
      <c r="I582" s="65" t="n">
        <v>2103750</v>
      </c>
      <c r="J582" s="65" t="n"/>
      <c r="K582" s="65" t="n"/>
      <c r="L582" s="65">
        <f>VLOOKUP(B582,'[2]DS THANG 11'!A$3:E$616,5,0)</f>
        <v/>
      </c>
      <c r="M582" s="65" t="n">
        <v>2103750</v>
      </c>
      <c r="N582" s="65" t="n"/>
      <c r="O582" s="65" t="n"/>
      <c r="P582" s="65">
        <f>VLOOKUP(B582,'[3]TONG HOP '!B$5:O$666,14,0)</f>
        <v/>
      </c>
      <c r="Q582" s="65" t="n">
        <v>2103750</v>
      </c>
      <c r="R582" s="65" t="n"/>
      <c r="S582" s="92">
        <f>G582-I582-R582-K582-M582-O582-Q582</f>
        <v/>
      </c>
      <c r="T582" s="92" t="inlineStr"/>
      <c r="U582" s="92" t="inlineStr"/>
      <c r="V582" s="69">
        <f>G582-SUM(I582,K582,M582,O582,Q582,U582)</f>
        <v/>
      </c>
      <c r="W582" s="65" t="n"/>
      <c r="X582" t="inlineStr">
        <is>
          <t>Khớp</t>
        </is>
      </c>
    </row>
    <row r="583">
      <c r="A583" s="65" t="n">
        <v>574</v>
      </c>
      <c r="B583" s="65" t="inlineStr">
        <is>
          <t>25820100019</t>
        </is>
      </c>
      <c r="C583" s="65" t="inlineStr">
        <is>
          <t>Hồ Quốc</t>
        </is>
      </c>
      <c r="D583" s="65" t="inlineStr">
        <is>
          <t>Khánh</t>
        </is>
      </c>
      <c r="E583" s="65" t="inlineStr">
        <is>
          <t>15/04/2007</t>
        </is>
      </c>
      <c r="F583" s="66" t="inlineStr">
        <is>
          <t>LNH0925ND01</t>
        </is>
      </c>
      <c r="G583" s="90" t="n">
        <v>8415000</v>
      </c>
      <c r="H583" s="65">
        <f>VLOOKUP(B583,'[1]TONG HOP'!B$5:G$624,6,0)</f>
        <v/>
      </c>
      <c r="I583" s="65" t="n">
        <v>2103750</v>
      </c>
      <c r="J583" s="65" t="n"/>
      <c r="K583" s="65" t="n"/>
      <c r="L583" s="65">
        <f>VLOOKUP(B583,'[2]DS THANG 11'!A$3:E$616,5,0)</f>
        <v/>
      </c>
      <c r="M583" s="65" t="n">
        <v>2103750</v>
      </c>
      <c r="N583" s="65" t="n"/>
      <c r="O583" s="65" t="n"/>
      <c r="P583" s="65">
        <f>VLOOKUP(B583,'[3]TONG HOP '!B$5:O$666,14,0)</f>
        <v/>
      </c>
      <c r="Q583" s="65" t="n">
        <v>2103750</v>
      </c>
      <c r="R583" s="65" t="n"/>
      <c r="S583" s="92">
        <f>G583-I583-R583-K583-M583-O583-Q583</f>
        <v/>
      </c>
      <c r="T583" s="92" t="inlineStr">
        <is>
          <t>LNH0526NQ06</t>
        </is>
      </c>
      <c r="U583" s="92" t="n">
        <v>2103750</v>
      </c>
      <c r="V583" s="69">
        <f>G583-SUM(I583,K583,M583,O583,Q583,U583)</f>
        <v/>
      </c>
      <c r="W583" s="65" t="n"/>
      <c r="X583" t="inlineStr">
        <is>
          <t>Khớp</t>
        </is>
      </c>
    </row>
    <row r="584">
      <c r="A584" s="65" t="n">
        <v>575</v>
      </c>
      <c r="B584" s="65" t="inlineStr">
        <is>
          <t>25808600051</t>
        </is>
      </c>
      <c r="C584" s="65" t="inlineStr">
        <is>
          <t>Mã Thị</t>
        </is>
      </c>
      <c r="D584" s="65" t="inlineStr">
        <is>
          <t>Liên</t>
        </is>
      </c>
      <c r="E584" s="65" t="inlineStr">
        <is>
          <t>27/02/2005</t>
        </is>
      </c>
      <c r="F584" s="66" t="inlineStr">
        <is>
          <t>LNH0925ND01</t>
        </is>
      </c>
      <c r="G584" s="90" t="n">
        <v>8415000</v>
      </c>
      <c r="H584" s="65">
        <f>VLOOKUP(B584,'[1]TONG HOP'!B$5:G$624,6,0)</f>
        <v/>
      </c>
      <c r="I584" s="65" t="n">
        <v>2103750</v>
      </c>
      <c r="J584" s="65" t="n"/>
      <c r="K584" s="65" t="n"/>
      <c r="L584" s="65">
        <f>VLOOKUP(B584,'[2]DS THANG 11'!A$3:E$616,5,0)</f>
        <v/>
      </c>
      <c r="M584" s="65" t="n">
        <v>2103750</v>
      </c>
      <c r="N584" s="65" t="n"/>
      <c r="O584" s="65" t="n"/>
      <c r="P584" s="65">
        <f>VLOOKUP(B584,'[3]TONG HOP '!B$5:O$666,14,0)</f>
        <v/>
      </c>
      <c r="Q584" s="65" t="n">
        <v>2103750</v>
      </c>
      <c r="R584" s="65" t="n"/>
      <c r="S584" s="92">
        <f>G584-I584-R584-K584-M584-O584-Q584</f>
        <v/>
      </c>
      <c r="T584" s="92" t="inlineStr">
        <is>
          <t>LNH0526NG01</t>
        </is>
      </c>
      <c r="U584" s="92" t="inlineStr"/>
      <c r="V584" s="69">
        <f>G584-SUM(I584,K584,M584,O584,Q584,U584)</f>
        <v/>
      </c>
      <c r="W584" s="65" t="n"/>
      <c r="X584" t="inlineStr">
        <is>
          <t>Khớp</t>
        </is>
      </c>
    </row>
    <row r="585">
      <c r="A585" s="65" t="n">
        <v>576</v>
      </c>
      <c r="B585" s="65" t="inlineStr">
        <is>
          <t>25800400114</t>
        </is>
      </c>
      <c r="C585" s="65" t="inlineStr">
        <is>
          <t>Trần Thiện</t>
        </is>
      </c>
      <c r="D585" s="65" t="inlineStr">
        <is>
          <t>Nhân</t>
        </is>
      </c>
      <c r="E585" s="65" t="inlineStr">
        <is>
          <t>25/12/2007</t>
        </is>
      </c>
      <c r="F585" s="66" t="inlineStr">
        <is>
          <t>LNH0925ND01</t>
        </is>
      </c>
      <c r="G585" s="90" t="n">
        <v>8475000</v>
      </c>
      <c r="H585" s="65">
        <f>VLOOKUP(B585,'[1]TONG HOP'!B$5:G$624,6,0)</f>
        <v/>
      </c>
      <c r="I585" s="65" t="n">
        <v>2103750</v>
      </c>
      <c r="J585" s="65" t="n"/>
      <c r="K585" s="65" t="n"/>
      <c r="L585" s="65">
        <f>VLOOKUP(B585,'[2]DS THANG 11'!A$3:E$616,5,0)</f>
        <v/>
      </c>
      <c r="M585" s="65" t="n">
        <v>2103750</v>
      </c>
      <c r="N585" s="65" t="n"/>
      <c r="O585" s="65" t="n"/>
      <c r="P585" s="65">
        <f>VLOOKUP(B585,'[3]TONG HOP '!B$5:O$666,14,0)</f>
        <v/>
      </c>
      <c r="Q585" s="65" t="n">
        <v>2103750</v>
      </c>
      <c r="R585" s="65" t="n"/>
      <c r="S585" s="92">
        <f>G585-I585-R585-K585-M585-O585-Q585</f>
        <v/>
      </c>
      <c r="T585" s="92" t="inlineStr">
        <is>
          <t>LNH0526NQ19</t>
        </is>
      </c>
      <c r="U585" s="92" t="n">
        <v>2103750</v>
      </c>
      <c r="V585" s="69">
        <f>G585-SUM(I585,K585,M585,O585,Q585,U585)</f>
        <v/>
      </c>
      <c r="W585" s="65" t="n"/>
      <c r="X585" t="inlineStr">
        <is>
          <t>Khớp</t>
        </is>
      </c>
    </row>
    <row r="586">
      <c r="A586" s="65" t="n">
        <v>577</v>
      </c>
      <c r="B586" s="65" t="inlineStr">
        <is>
          <t>25800400102</t>
        </is>
      </c>
      <c r="C586" s="65" t="inlineStr">
        <is>
          <t>Lê Gia</t>
        </is>
      </c>
      <c r="D586" s="65" t="inlineStr">
        <is>
          <t>Nam</t>
        </is>
      </c>
      <c r="E586" s="65" t="inlineStr">
        <is>
          <t>19/02/2007</t>
        </is>
      </c>
      <c r="F586" s="66" t="inlineStr">
        <is>
          <t>LNH0925ND01</t>
        </is>
      </c>
      <c r="G586" s="90" t="n">
        <v>8445000</v>
      </c>
      <c r="H586" s="65">
        <f>VLOOKUP(B586,'[1]TONG HOP'!B$5:G$624,6,0)</f>
        <v/>
      </c>
      <c r="I586" s="65" t="n">
        <v>2103750</v>
      </c>
      <c r="J586" s="65" t="n"/>
      <c r="K586" s="65" t="n"/>
      <c r="L586" s="65" t="n"/>
      <c r="M586" s="65" t="n"/>
      <c r="N586" s="65" t="n"/>
      <c r="O586" s="65" t="n"/>
      <c r="P586" s="65" t="n"/>
      <c r="Q586" s="65" t="n"/>
      <c r="R586" s="65" t="n"/>
      <c r="S586" s="92">
        <f>G586-I586-R586-K586-M586-O586-Q586</f>
        <v/>
      </c>
      <c r="T586" s="92" t="inlineStr"/>
      <c r="U586" s="92" t="inlineStr"/>
      <c r="V586" s="69">
        <f>G586-SUM(I586,K586,M586,O586,Q586,U586)</f>
        <v/>
      </c>
      <c r="W586" s="65" t="n"/>
      <c r="X586" t="inlineStr">
        <is>
          <t>Khớp</t>
        </is>
      </c>
    </row>
    <row r="587">
      <c r="A587" s="65" t="n">
        <v>578</v>
      </c>
      <c r="B587" s="65" t="inlineStr">
        <is>
          <t>25807800229</t>
        </is>
      </c>
      <c r="C587" s="65" t="inlineStr">
        <is>
          <t>Phan Huỳnh Quốc</t>
        </is>
      </c>
      <c r="D587" s="65" t="inlineStr">
        <is>
          <t>Thắng</t>
        </is>
      </c>
      <c r="E587" s="65" t="inlineStr">
        <is>
          <t>09/11/2007</t>
        </is>
      </c>
      <c r="F587" s="66" t="inlineStr">
        <is>
          <t>LNH0925ND01</t>
        </is>
      </c>
      <c r="G587" s="90" t="n">
        <v>1600000</v>
      </c>
      <c r="H587" s="65" t="n"/>
      <c r="I587" s="65" t="n"/>
      <c r="J587" s="65" t="n"/>
      <c r="K587" s="65" t="n"/>
      <c r="L587" s="65">
        <f>VLOOKUP(B587,'[2]DS THANG 11'!A$3:E$616,5,0)</f>
        <v/>
      </c>
      <c r="M587" s="65" t="n">
        <v>1600000</v>
      </c>
      <c r="N587" s="65" t="n"/>
      <c r="O587" s="65" t="n"/>
      <c r="P587" s="65" t="n"/>
      <c r="Q587" s="65" t="n"/>
      <c r="R587" s="65" t="n"/>
      <c r="S587" s="92">
        <f>G587-I587-R587-K587-M587-O587-Q587</f>
        <v/>
      </c>
      <c r="T587" s="92" t="inlineStr"/>
      <c r="U587" s="92" t="inlineStr"/>
      <c r="V587" s="69">
        <f>G587-SUM(I587,K587,M587,O587,Q587,U587)</f>
        <v/>
      </c>
      <c r="W587" s="65" t="n"/>
      <c r="X587" t="inlineStr">
        <is>
          <t>Khớp</t>
        </is>
      </c>
    </row>
    <row r="588">
      <c r="A588" s="65" t="n">
        <v>579</v>
      </c>
      <c r="B588" s="65" t="inlineStr">
        <is>
          <t>25800500288</t>
        </is>
      </c>
      <c r="C588" s="65" t="inlineStr">
        <is>
          <t>Nguyễn Trung</t>
        </is>
      </c>
      <c r="D588" s="65" t="inlineStr">
        <is>
          <t>Hiếu</t>
        </is>
      </c>
      <c r="E588" s="65" t="inlineStr">
        <is>
          <t>02/12/2007</t>
        </is>
      </c>
      <c r="F588" s="66" t="inlineStr">
        <is>
          <t>LNH0925ND01</t>
        </is>
      </c>
      <c r="G588" s="90" t="n">
        <v>8415000</v>
      </c>
      <c r="H588" s="65">
        <f>VLOOKUP(B588,'[1]TONG HOP'!B$5:G$624,6,0)</f>
        <v/>
      </c>
      <c r="I588" s="65" t="n">
        <v>2103750</v>
      </c>
      <c r="J588" s="65" t="n"/>
      <c r="K588" s="65" t="n"/>
      <c r="L588" s="65">
        <f>VLOOKUP(B588,'[2]DS THANG 11'!A$3:E$616,5,0)</f>
        <v/>
      </c>
      <c r="M588" s="65" t="n">
        <v>2103750</v>
      </c>
      <c r="N588" s="65" t="n"/>
      <c r="O588" s="65" t="n"/>
      <c r="P588" s="65">
        <f>VLOOKUP(B588,'[3]TONG HOP '!B$5:O$666,14,0)</f>
        <v/>
      </c>
      <c r="Q588" s="65" t="n">
        <v>2103750</v>
      </c>
      <c r="R588" s="65" t="n"/>
      <c r="S588" s="92">
        <f>G588-I588-R588-K588-M588-O588-Q588</f>
        <v/>
      </c>
      <c r="T588" s="92" t="inlineStr">
        <is>
          <t>LNH0526NQ11</t>
        </is>
      </c>
      <c r="U588" s="92" t="n">
        <v>2103750</v>
      </c>
      <c r="V588" s="69">
        <f>G588-SUM(I588,K588,M588,O588,Q588,U588)</f>
        <v/>
      </c>
      <c r="W588" s="65" t="n"/>
      <c r="X588" t="inlineStr">
        <is>
          <t>Khớp</t>
        </is>
      </c>
    </row>
    <row r="589">
      <c r="A589" s="65" t="n">
        <v>580</v>
      </c>
      <c r="B589" s="65" t="inlineStr">
        <is>
          <t>25808600109</t>
        </is>
      </c>
      <c r="C589" s="65" t="inlineStr">
        <is>
          <t>Văn Công</t>
        </is>
      </c>
      <c r="D589" s="65" t="inlineStr">
        <is>
          <t>Thành</t>
        </is>
      </c>
      <c r="E589" s="65" t="inlineStr">
        <is>
          <t>22/12/2007</t>
        </is>
      </c>
      <c r="F589" s="66" t="inlineStr">
        <is>
          <t>LNH0925ND01</t>
        </is>
      </c>
      <c r="G589" s="90" t="n">
        <v>8415000</v>
      </c>
      <c r="H589" s="65">
        <f>VLOOKUP(B589,'[1]TONG HOP'!B$5:G$624,6,0)</f>
        <v/>
      </c>
      <c r="I589" s="65" t="n">
        <v>2103750</v>
      </c>
      <c r="J589" s="65" t="n"/>
      <c r="K589" s="65" t="n"/>
      <c r="L589" s="65" t="n"/>
      <c r="M589" s="65" t="n"/>
      <c r="N589" s="65" t="n"/>
      <c r="O589" s="65" t="n"/>
      <c r="P589" s="65" t="n"/>
      <c r="Q589" s="65" t="n"/>
      <c r="R589" s="65" t="n"/>
      <c r="S589" s="92">
        <f>G589-I589-R589-K589-M589-O589-Q589</f>
        <v/>
      </c>
      <c r="T589" s="92" t="inlineStr"/>
      <c r="U589" s="92" t="inlineStr"/>
      <c r="V589" s="69">
        <f>G589-SUM(I589,K589,M589,O589,Q589,U589)</f>
        <v/>
      </c>
      <c r="W589" s="65" t="n"/>
      <c r="X589" t="inlineStr">
        <is>
          <t>Khớp</t>
        </is>
      </c>
    </row>
    <row r="590">
      <c r="A590" s="65" t="n">
        <v>581</v>
      </c>
      <c r="B590" s="65" t="inlineStr">
        <is>
          <t>25808200247</t>
        </is>
      </c>
      <c r="C590" s="65" t="inlineStr">
        <is>
          <t>Lê Quang</t>
        </is>
      </c>
      <c r="D590" s="65" t="inlineStr">
        <is>
          <t>Huy</t>
        </is>
      </c>
      <c r="E590" s="65" t="inlineStr">
        <is>
          <t>06/01/2007</t>
        </is>
      </c>
      <c r="F590" s="66" t="inlineStr">
        <is>
          <t>LNH0925ND01</t>
        </is>
      </c>
      <c r="G590" s="90" t="n">
        <v>8415000</v>
      </c>
      <c r="H590" s="65">
        <f>VLOOKUP(B590,'[1]TONG HOP'!B$5:G$624,6,0)</f>
        <v/>
      </c>
      <c r="I590" s="65" t="n">
        <v>2103750</v>
      </c>
      <c r="J590" s="65" t="n"/>
      <c r="K590" s="65" t="n"/>
      <c r="L590" s="65" t="n"/>
      <c r="M590" s="65" t="n"/>
      <c r="N590" s="65" t="n"/>
      <c r="O590" s="65" t="n"/>
      <c r="P590" s="65" t="n"/>
      <c r="Q590" s="65" t="n"/>
      <c r="R590" s="65" t="n"/>
      <c r="S590" s="92">
        <f>G590-I590-R590-K590-M590-O590-Q590</f>
        <v/>
      </c>
      <c r="T590" s="92" t="inlineStr"/>
      <c r="U590" s="92" t="inlineStr"/>
      <c r="V590" s="69">
        <f>G590-SUM(I590,K590,M590,O590,Q590,U590)</f>
        <v/>
      </c>
      <c r="W590" s="65" t="n"/>
      <c r="X590" t="inlineStr">
        <is>
          <t>Khớp</t>
        </is>
      </c>
    </row>
    <row r="591">
      <c r="A591" s="65" t="n">
        <v>582</v>
      </c>
      <c r="B591" s="65" t="inlineStr">
        <is>
          <t>25807900016</t>
        </is>
      </c>
      <c r="C591" s="65" t="inlineStr">
        <is>
          <t>Nguyễn Duy</t>
        </is>
      </c>
      <c r="D591" s="65" t="inlineStr">
        <is>
          <t>Hùng</t>
        </is>
      </c>
      <c r="E591" s="65" t="inlineStr">
        <is>
          <t>24/12/2007</t>
        </is>
      </c>
      <c r="F591" s="66" t="inlineStr">
        <is>
          <t>LNH0925ND01</t>
        </is>
      </c>
      <c r="G591" s="90" t="n">
        <v>8415000</v>
      </c>
      <c r="H591" s="65">
        <f>VLOOKUP(B591,'[1]TONG HOP'!B$5:G$624,6,0)</f>
        <v/>
      </c>
      <c r="I591" s="65" t="n">
        <v>2103750</v>
      </c>
      <c r="J591" s="65" t="n"/>
      <c r="K591" s="65" t="n"/>
      <c r="L591" s="65">
        <f>VLOOKUP(B591,'[2]DS THANG 11'!A$3:E$616,5,0)</f>
        <v/>
      </c>
      <c r="M591" s="65" t="n">
        <v>2103750</v>
      </c>
      <c r="N591" s="65" t="n"/>
      <c r="O591" s="65" t="n"/>
      <c r="P591" s="65">
        <f>VLOOKUP(B591,'[3]TONG HOP '!B$5:O$666,14,0)</f>
        <v/>
      </c>
      <c r="Q591" s="65" t="n">
        <v>2103750</v>
      </c>
      <c r="R591" s="65" t="n"/>
      <c r="S591" s="92">
        <f>G591-I591-R591-K591-M591-O591-Q591</f>
        <v/>
      </c>
      <c r="T591" s="92" t="inlineStr"/>
      <c r="U591" s="92" t="inlineStr"/>
      <c r="V591" s="69">
        <f>G591-SUM(I591,K591,M591,O591,Q591,U591)</f>
        <v/>
      </c>
      <c r="W591" s="65" t="n"/>
      <c r="X591" t="inlineStr">
        <is>
          <t>Khớp</t>
        </is>
      </c>
    </row>
    <row r="592">
      <c r="A592" s="65" t="n">
        <v>583</v>
      </c>
      <c r="B592" s="65" t="inlineStr">
        <is>
          <t>25808200052</t>
        </is>
      </c>
      <c r="C592" s="65" t="inlineStr">
        <is>
          <t>Nguyễn Quang</t>
        </is>
      </c>
      <c r="D592" s="65" t="inlineStr">
        <is>
          <t>Huy</t>
        </is>
      </c>
      <c r="E592" s="65" t="inlineStr">
        <is>
          <t>29/01/2007</t>
        </is>
      </c>
      <c r="F592" s="66" t="inlineStr">
        <is>
          <t>LNH0925ND01</t>
        </is>
      </c>
      <c r="G592" s="90" t="n">
        <v>8415000</v>
      </c>
      <c r="H592" s="65">
        <f>VLOOKUP(B592,'[1]TONG HOP'!B$5:G$624,6,0)</f>
        <v/>
      </c>
      <c r="I592" s="65" t="n">
        <v>2103750</v>
      </c>
      <c r="J592" s="65" t="n"/>
      <c r="K592" s="65" t="n"/>
      <c r="L592" s="65">
        <f>VLOOKUP(B592,'[2]DS THANG 11'!A$3:E$616,5,0)</f>
        <v/>
      </c>
      <c r="M592" s="65" t="n">
        <v>2103750</v>
      </c>
      <c r="N592" s="65" t="n"/>
      <c r="O592" s="65" t="n"/>
      <c r="P592" s="65" t="n"/>
      <c r="Q592" s="65" t="n"/>
      <c r="R592" s="65" t="n"/>
      <c r="S592" s="92">
        <f>G592-I592-R592-K592-M592-O592-Q592</f>
        <v/>
      </c>
      <c r="T592" s="92" t="inlineStr">
        <is>
          <t>LNH0526NQ12</t>
        </is>
      </c>
      <c r="U592" s="92" t="n">
        <v>2103750</v>
      </c>
      <c r="V592" s="69">
        <f>G592-SUM(I592,K592,M592,O592,Q592,U592)</f>
        <v/>
      </c>
      <c r="W592" s="65" t="n"/>
      <c r="X592" t="inlineStr">
        <is>
          <t>Khớp</t>
        </is>
      </c>
    </row>
    <row r="593">
      <c r="A593" s="65" t="n">
        <v>584</v>
      </c>
      <c r="B593" s="65" t="inlineStr">
        <is>
          <t>25808900077</t>
        </is>
      </c>
      <c r="C593" s="65" t="inlineStr">
        <is>
          <t>Lâm Hoàng</t>
        </is>
      </c>
      <c r="D593" s="65" t="inlineStr">
        <is>
          <t>Mạnh</t>
        </is>
      </c>
      <c r="E593" s="65" t="inlineStr">
        <is>
          <t>29/03/2006</t>
        </is>
      </c>
      <c r="F593" s="66" t="inlineStr">
        <is>
          <t>LNH0925ND01</t>
        </is>
      </c>
      <c r="G593" s="90" t="n">
        <v>8415000</v>
      </c>
      <c r="H593" s="65">
        <f>VLOOKUP(B593,'[1]TONG HOP'!B$5:G$624,6,0)</f>
        <v/>
      </c>
      <c r="I593" s="65" t="n">
        <v>2103750</v>
      </c>
      <c r="J593" s="65" t="n"/>
      <c r="K593" s="65" t="n"/>
      <c r="L593" s="65" t="n"/>
      <c r="M593" s="65" t="n"/>
      <c r="N593" s="65" t="n"/>
      <c r="O593" s="65" t="n"/>
      <c r="P593" s="65">
        <f>VLOOKUP(B593,'[3]TONG HOP '!B$5:O$666,14,0)</f>
        <v/>
      </c>
      <c r="Q593" s="65" t="n">
        <v>2103750</v>
      </c>
      <c r="R593" s="65" t="n"/>
      <c r="S593" s="92">
        <f>G593-I593-R593-K593-M593-O593-Q593</f>
        <v/>
      </c>
      <c r="T593" s="92" t="inlineStr"/>
      <c r="U593" s="92" t="inlineStr"/>
      <c r="V593" s="69">
        <f>G593-SUM(I593,K593,M593,O593,Q593,U593)</f>
        <v/>
      </c>
      <c r="W593" s="65" t="n"/>
      <c r="X593" t="inlineStr">
        <is>
          <t>Khớp</t>
        </is>
      </c>
    </row>
    <row r="594">
      <c r="A594" s="65" t="n">
        <v>585</v>
      </c>
      <c r="B594" s="65" t="inlineStr">
        <is>
          <t>25809100019</t>
        </is>
      </c>
      <c r="C594" s="65" t="inlineStr">
        <is>
          <t>Lê Trần Anh</t>
        </is>
      </c>
      <c r="D594" s="65" t="inlineStr">
        <is>
          <t>Tuấn</t>
        </is>
      </c>
      <c r="E594" s="65" t="inlineStr">
        <is>
          <t>08/08/2007</t>
        </is>
      </c>
      <c r="F594" s="66" t="inlineStr">
        <is>
          <t>LNH0925ND01</t>
        </is>
      </c>
      <c r="G594" s="90" t="n">
        <v>4465000</v>
      </c>
      <c r="H594" s="65">
        <f>VLOOKUP(B594,'[1]TONG HOP'!B$5:G$624,6,0)</f>
        <v/>
      </c>
      <c r="I594" s="65" t="n">
        <v>2232500</v>
      </c>
      <c r="J594" s="65" t="n"/>
      <c r="K594" s="65" t="n"/>
      <c r="L594" s="65">
        <f>VLOOKUP(B594,'[2]DS THANG 11'!A$3:E$616,5,0)</f>
        <v/>
      </c>
      <c r="M594" s="65" t="n">
        <v>2232500</v>
      </c>
      <c r="N594" s="65" t="n"/>
      <c r="O594" s="65" t="n"/>
      <c r="P594" s="65" t="n"/>
      <c r="Q594" s="65" t="n"/>
      <c r="R594" s="65" t="n"/>
      <c r="S594" s="92">
        <f>G594-I594-R594-K594-M594-O594-Q594</f>
        <v/>
      </c>
      <c r="T594" s="92" t="inlineStr"/>
      <c r="U594" s="92" t="inlineStr"/>
      <c r="V594" s="69">
        <f>G594-SUM(I594,K594,M594,O594,Q594,U594)</f>
        <v/>
      </c>
      <c r="W594" s="65" t="n"/>
      <c r="X594" t="inlineStr">
        <is>
          <t>Khớp</t>
        </is>
      </c>
    </row>
    <row r="595">
      <c r="A595" s="65" t="n">
        <v>586</v>
      </c>
      <c r="B595" s="65" t="inlineStr">
        <is>
          <t>25801300009</t>
        </is>
      </c>
      <c r="C595" s="65" t="inlineStr">
        <is>
          <t>Nguyễn Ngọc Trung</t>
        </is>
      </c>
      <c r="D595" s="65" t="inlineStr">
        <is>
          <t>Hoàng</t>
        </is>
      </c>
      <c r="E595" s="65" t="inlineStr">
        <is>
          <t>09/03/2007</t>
        </is>
      </c>
      <c r="F595" s="66" t="inlineStr">
        <is>
          <t>LNH0925ND01</t>
        </is>
      </c>
      <c r="G595" s="90" t="n">
        <v>1000000</v>
      </c>
      <c r="H595" s="65" t="n"/>
      <c r="I595" s="65" t="n"/>
      <c r="J595" s="65" t="n"/>
      <c r="K595" s="65" t="n"/>
      <c r="L595" s="65" t="n"/>
      <c r="M595" s="65" t="n"/>
      <c r="N595" s="65" t="n"/>
      <c r="O595" s="65" t="n"/>
      <c r="P595" s="65" t="n"/>
      <c r="Q595" s="65" t="n"/>
      <c r="R595" s="65" t="n"/>
      <c r="S595" s="92">
        <f>G595-I595-R595-K595-M595-O595-Q595</f>
        <v/>
      </c>
      <c r="T595" s="92" t="inlineStr"/>
      <c r="U595" s="92" t="inlineStr"/>
      <c r="V595" s="69">
        <f>G595-SUM(I595,K595,M595,O595,Q595,U595)</f>
        <v/>
      </c>
      <c r="W595" s="65" t="n"/>
      <c r="X595" t="inlineStr">
        <is>
          <t>Khớp</t>
        </is>
      </c>
    </row>
    <row r="596">
      <c r="A596" s="65" t="n">
        <v>587</v>
      </c>
      <c r="B596" s="65" t="inlineStr">
        <is>
          <t>25802100007</t>
        </is>
      </c>
      <c r="C596" s="65" t="inlineStr">
        <is>
          <t>Võ Thành</t>
        </is>
      </c>
      <c r="D596" s="65" t="inlineStr">
        <is>
          <t>Đạt</t>
        </is>
      </c>
      <c r="E596" s="65" t="inlineStr">
        <is>
          <t>14/04/2007</t>
        </is>
      </c>
      <c r="F596" s="66" t="inlineStr">
        <is>
          <t>LNH0925ND01</t>
        </is>
      </c>
      <c r="G596" s="90" t="n">
        <v>4465000</v>
      </c>
      <c r="H596" s="65" t="n"/>
      <c r="I596" s="65" t="n"/>
      <c r="J596" s="65" t="n"/>
      <c r="K596" s="65" t="n"/>
      <c r="L596" s="65" t="n"/>
      <c r="M596" s="65" t="n"/>
      <c r="N596" s="65" t="n"/>
      <c r="O596" s="65" t="n"/>
      <c r="P596" s="65" t="n"/>
      <c r="Q596" s="65" t="n"/>
      <c r="R596" s="65" t="n"/>
      <c r="S596" s="92">
        <f>G596-I596-R596-K596-M596-O596-Q596</f>
        <v/>
      </c>
      <c r="T596" s="92" t="inlineStr"/>
      <c r="U596" s="92" t="inlineStr"/>
      <c r="V596" s="69">
        <f>G596-SUM(I596,K596,M596,O596,Q596,U596)</f>
        <v/>
      </c>
      <c r="W596" s="65" t="n"/>
      <c r="X596" t="inlineStr">
        <is>
          <t>Khớp</t>
        </is>
      </c>
    </row>
    <row r="597">
      <c r="A597" s="65" t="n">
        <v>588</v>
      </c>
      <c r="B597" s="65" t="inlineStr">
        <is>
          <t>25806000004</t>
        </is>
      </c>
      <c r="C597" s="65" t="inlineStr">
        <is>
          <t>Huỳnh Long</t>
        </is>
      </c>
      <c r="D597" s="65" t="inlineStr">
        <is>
          <t>Chương</t>
        </is>
      </c>
      <c r="E597" s="65" t="inlineStr">
        <is>
          <t>28/06/2007</t>
        </is>
      </c>
      <c r="F597" s="66" t="inlineStr">
        <is>
          <t>LNH0925ND01</t>
        </is>
      </c>
      <c r="G597" s="90" t="n">
        <v>8415000</v>
      </c>
      <c r="H597" s="65" t="n"/>
      <c r="I597" s="65" t="n"/>
      <c r="J597" s="65">
        <f>VLOOKUP(B597,[5]Sheet1!A$3:E$32,5,0)</f>
        <v/>
      </c>
      <c r="K597" s="65" t="n">
        <v>2103750</v>
      </c>
      <c r="L597" s="65">
        <f>VLOOKUP(B597,'[2]DS THANG 11'!A$3:E$616,5,0)</f>
        <v/>
      </c>
      <c r="M597" s="65" t="n">
        <v>2103750</v>
      </c>
      <c r="N597" s="65" t="n"/>
      <c r="O597" s="65" t="n"/>
      <c r="P597" s="65">
        <f>VLOOKUP(B597,'[3]TONG HOP '!B$5:O$666,14,0)</f>
        <v/>
      </c>
      <c r="Q597" s="65" t="n">
        <v>2103750</v>
      </c>
      <c r="R597" s="65" t="n"/>
      <c r="S597" s="92">
        <f>G597-I597-R597-K597-M597-O597-Q597</f>
        <v/>
      </c>
      <c r="T597" s="92" t="inlineStr">
        <is>
          <t>LNH0526NQ08</t>
        </is>
      </c>
      <c r="U597" s="92" t="n">
        <v>2103750</v>
      </c>
      <c r="V597" s="69">
        <f>G597-SUM(I597,K597,M597,O597,Q597,U597)</f>
        <v/>
      </c>
      <c r="W597" s="65" t="n"/>
      <c r="X597" t="inlineStr">
        <is>
          <t>Khớp</t>
        </is>
      </c>
    </row>
    <row r="598">
      <c r="A598" s="65" t="n">
        <v>589</v>
      </c>
      <c r="B598" s="65" t="inlineStr">
        <is>
          <t>25807000014</t>
        </is>
      </c>
      <c r="C598" s="65" t="inlineStr">
        <is>
          <t>Huỳnh Tấn</t>
        </is>
      </c>
      <c r="D598" s="65" t="inlineStr">
        <is>
          <t>Lộc</t>
        </is>
      </c>
      <c r="E598" s="65" t="inlineStr">
        <is>
          <t>08/07/2007</t>
        </is>
      </c>
      <c r="F598" s="66" t="inlineStr">
        <is>
          <t>LNH0925ND01</t>
        </is>
      </c>
      <c r="G598" s="90" t="n">
        <v>8415000</v>
      </c>
      <c r="H598" s="65">
        <f>VLOOKUP(B598,'[1]TONG HOP'!B$5:G$624,6,0)</f>
        <v/>
      </c>
      <c r="I598" s="65" t="n">
        <v>2103750</v>
      </c>
      <c r="J598" s="65" t="n"/>
      <c r="K598" s="65" t="n"/>
      <c r="L598" s="65">
        <f>VLOOKUP(B598,'[2]DS THANG 11'!A$3:E$616,5,0)</f>
        <v/>
      </c>
      <c r="M598" s="65" t="n">
        <v>2103750</v>
      </c>
      <c r="N598" s="65" t="n"/>
      <c r="O598" s="65" t="n"/>
      <c r="P598" s="65">
        <f>VLOOKUP(B598,'[3]TONG HOP '!B$5:O$666,14,0)</f>
        <v/>
      </c>
      <c r="Q598" s="65" t="n">
        <v>2103750</v>
      </c>
      <c r="R598" s="65" t="n"/>
      <c r="S598" s="92">
        <f>G598-I598-R598-K598-M598-O598-Q598</f>
        <v/>
      </c>
      <c r="T598" s="92" t="inlineStr"/>
      <c r="U598" s="92" t="inlineStr"/>
      <c r="V598" s="69">
        <f>G598-SUM(I598,K598,M598,O598,Q598,U598)</f>
        <v/>
      </c>
      <c r="W598" s="65" t="n"/>
      <c r="X598" t="inlineStr">
        <is>
          <t>Khớp</t>
        </is>
      </c>
    </row>
    <row r="599">
      <c r="A599" s="65" t="n">
        <v>590</v>
      </c>
      <c r="B599" s="65" t="inlineStr">
        <is>
          <t>25820700027</t>
        </is>
      </c>
      <c r="C599" s="65" t="inlineStr">
        <is>
          <t>Phạm Liễu Quỳnh</t>
        </is>
      </c>
      <c r="D599" s="65" t="inlineStr">
        <is>
          <t>Như</t>
        </is>
      </c>
      <c r="E599" s="65" t="inlineStr">
        <is>
          <t>27/03/2006</t>
        </is>
      </c>
      <c r="F599" s="66" t="inlineStr">
        <is>
          <t>LNH0925ND01</t>
        </is>
      </c>
      <c r="G599" s="90" t="n">
        <v>8415000</v>
      </c>
      <c r="H599" s="65" t="n"/>
      <c r="I599" s="65" t="n"/>
      <c r="J599" s="65" t="n"/>
      <c r="K599" s="65" t="n"/>
      <c r="L599" s="65">
        <f>VLOOKUP(B599,'[2]DS THANG 11'!A$3:E$616,5,0)</f>
        <v/>
      </c>
      <c r="M599" s="65" t="n">
        <v>2103750</v>
      </c>
      <c r="N599" s="65" t="n"/>
      <c r="O599" s="65" t="n"/>
      <c r="P599" s="65" t="n"/>
      <c r="Q599" s="65" t="n"/>
      <c r="R599" s="65" t="n"/>
      <c r="S599" s="92">
        <f>G599-I599-R599-K599-M599-O599-Q599</f>
        <v/>
      </c>
      <c r="T599" s="92" t="inlineStr"/>
      <c r="U599" s="92" t="inlineStr"/>
      <c r="V599" s="69">
        <f>G599-SUM(I599,K599,M599,O599,Q599,U599)</f>
        <v/>
      </c>
      <c r="W599" s="65" t="n"/>
      <c r="X599" t="inlineStr">
        <is>
          <t>Khớp</t>
        </is>
      </c>
    </row>
    <row r="600">
      <c r="A600" s="65" t="n">
        <v>591</v>
      </c>
      <c r="B600" s="65" t="inlineStr">
        <is>
          <t>25802800242</t>
        </is>
      </c>
      <c r="C600" s="65" t="inlineStr">
        <is>
          <t>Phạm Thùy Phương</t>
        </is>
      </c>
      <c r="D600" s="65" t="inlineStr">
        <is>
          <t>Thảo</t>
        </is>
      </c>
      <c r="E600" s="65" t="inlineStr">
        <is>
          <t>19/03/2006</t>
        </is>
      </c>
      <c r="F600" s="66" t="inlineStr">
        <is>
          <t>LNH0925ND01</t>
        </is>
      </c>
      <c r="G600" s="90" t="n">
        <v>4465000</v>
      </c>
      <c r="H600" s="65" t="n"/>
      <c r="I600" s="65" t="n"/>
      <c r="J600" s="65" t="n"/>
      <c r="K600" s="65" t="n"/>
      <c r="L600" s="65">
        <f>VLOOKUP(B600,'[2]DS THANG 11'!A$3:E$616,5,0)</f>
        <v/>
      </c>
      <c r="M600" s="65" t="n">
        <v>2232500</v>
      </c>
      <c r="N600" s="65" t="n"/>
      <c r="O600" s="65" t="n"/>
      <c r="P600" s="65" t="n"/>
      <c r="Q600" s="65" t="n"/>
      <c r="R600" s="65" t="n"/>
      <c r="S600" s="92">
        <f>G600-I600-R600-K600-M600-O600-Q600</f>
        <v/>
      </c>
      <c r="T600" s="92" t="inlineStr"/>
      <c r="U600" s="92" t="inlineStr"/>
      <c r="V600" s="69">
        <f>G600-SUM(I600,K600,M600,O600,Q600,U600)</f>
        <v/>
      </c>
      <c r="W600" s="65" t="n"/>
      <c r="X600" t="inlineStr">
        <is>
          <t>Khớp</t>
        </is>
      </c>
    </row>
    <row r="601">
      <c r="A601" s="65" t="n">
        <v>592</v>
      </c>
      <c r="B601" s="65" t="inlineStr">
        <is>
          <t>25802800019</t>
        </is>
      </c>
      <c r="C601" s="65" t="inlineStr">
        <is>
          <t>Ninh Gia</t>
        </is>
      </c>
      <c r="D601" s="65" t="inlineStr">
        <is>
          <t>Bảo</t>
        </is>
      </c>
      <c r="E601" s="65" t="inlineStr">
        <is>
          <t>15/10/2007</t>
        </is>
      </c>
      <c r="F601" s="66" t="inlineStr">
        <is>
          <t>LNH0925ND01</t>
        </is>
      </c>
      <c r="G601" s="90" t="n">
        <v>7540000</v>
      </c>
      <c r="H601" s="65" t="n"/>
      <c r="I601" s="65" t="n"/>
      <c r="J601" s="65" t="n"/>
      <c r="K601" s="65" t="n"/>
      <c r="L601" s="65">
        <f>VLOOKUP(B601,'[2]DS THANG 11'!A$3:E$616,5,0)</f>
        <v/>
      </c>
      <c r="M601" s="65" t="n">
        <v>2600000</v>
      </c>
      <c r="N601" s="65" t="n"/>
      <c r="O601" s="65" t="n"/>
      <c r="P601" s="65">
        <f>VLOOKUP(B601,'[3]TONG HOP '!B$5:O$666,14,0)</f>
        <v/>
      </c>
      <c r="Q601" s="65" t="n">
        <v>2470000</v>
      </c>
      <c r="R601" s="65" t="n"/>
      <c r="S601" s="92">
        <f>G601-I601-R601-K601-M601-O601-Q601</f>
        <v/>
      </c>
      <c r="T601" s="92" t="inlineStr"/>
      <c r="U601" s="92" t="inlineStr">
        <is>
          <t>xin bảo lưu, học lại lv3 tháng 5</t>
        </is>
      </c>
      <c r="V601" s="69">
        <f>G601-SUM(I601,K601,M601,O601,Q601,U601)</f>
        <v/>
      </c>
      <c r="W601" s="65" t="n"/>
      <c r="X601" t="inlineStr">
        <is>
          <t>Khớp</t>
        </is>
      </c>
    </row>
    <row r="602">
      <c r="A602" s="65" t="n">
        <v>593</v>
      </c>
      <c r="B602" s="65" t="inlineStr">
        <is>
          <t>25808200258</t>
        </is>
      </c>
      <c r="C602" s="65" t="inlineStr">
        <is>
          <t>Ngô Phúc</t>
        </is>
      </c>
      <c r="D602" s="65" t="inlineStr">
        <is>
          <t>Hải</t>
        </is>
      </c>
      <c r="E602" s="65" t="inlineStr">
        <is>
          <t>19/09/2007</t>
        </is>
      </c>
      <c r="F602" s="66" t="inlineStr">
        <is>
          <t>LNH0925ND01</t>
        </is>
      </c>
      <c r="G602" s="90" t="n">
        <v>8415000</v>
      </c>
      <c r="H602" s="65">
        <f>VLOOKUP(B602,'[1]TONG HOP'!B$5:G$624,6,0)</f>
        <v/>
      </c>
      <c r="I602" s="65" t="n">
        <v>2103750</v>
      </c>
      <c r="J602" s="65" t="n"/>
      <c r="K602" s="65" t="n"/>
      <c r="L602" s="65">
        <f>VLOOKUP(B602,'[2]DS THANG 11'!A$3:E$616,5,0)</f>
        <v/>
      </c>
      <c r="M602" s="65" t="n">
        <v>2103750</v>
      </c>
      <c r="N602" s="65" t="n"/>
      <c r="O602" s="65" t="n"/>
      <c r="P602" s="65">
        <f>VLOOKUP(B602,'[3]TONG HOP '!B$5:O$666,14,0)</f>
        <v/>
      </c>
      <c r="Q602" s="65" t="n">
        <v>2103750</v>
      </c>
      <c r="R602" s="65" t="n"/>
      <c r="S602" s="92">
        <f>G602-I602-R602-K602-M602-O602-Q602</f>
        <v/>
      </c>
      <c r="T602" s="92" t="inlineStr">
        <is>
          <t>LNH0526NQ12</t>
        </is>
      </c>
      <c r="U602" s="92" t="n">
        <v>2103750</v>
      </c>
      <c r="V602" s="69">
        <f>G602-SUM(I602,K602,M602,O602,Q602,U602)</f>
        <v/>
      </c>
      <c r="W602" s="65" t="n"/>
      <c r="X602" t="inlineStr">
        <is>
          <t>Khớp</t>
        </is>
      </c>
    </row>
    <row r="603">
      <c r="A603" s="65" t="n">
        <v>594</v>
      </c>
      <c r="B603" s="65" t="inlineStr">
        <is>
          <t>25801300027</t>
        </is>
      </c>
      <c r="C603" s="65" t="inlineStr">
        <is>
          <t>Đinh Lê Hân</t>
        </is>
      </c>
      <c r="D603" s="65" t="inlineStr">
        <is>
          <t>Nhi</t>
        </is>
      </c>
      <c r="E603" s="65" t="inlineStr">
        <is>
          <t>17/04/2007</t>
        </is>
      </c>
      <c r="F603" s="66" t="inlineStr">
        <is>
          <t>LNH0925ND01</t>
        </is>
      </c>
      <c r="G603" s="90" t="n">
        <v>1000000</v>
      </c>
      <c r="H603" s="65" t="n"/>
      <c r="I603" s="65" t="n"/>
      <c r="J603" s="65" t="n"/>
      <c r="K603" s="65" t="n"/>
      <c r="L603" s="65" t="n"/>
      <c r="M603" s="65" t="n"/>
      <c r="N603" s="65" t="n"/>
      <c r="O603" s="65" t="n"/>
      <c r="P603" s="65" t="n"/>
      <c r="Q603" s="65" t="n"/>
      <c r="R603" s="65" t="n"/>
      <c r="S603" s="92">
        <f>G603-I603-R603-K603-M603-O603-Q603</f>
        <v/>
      </c>
      <c r="T603" s="92" t="inlineStr"/>
      <c r="U603" s="92" t="inlineStr"/>
      <c r="V603" s="69">
        <f>G603-SUM(I603,K603,M603,O603,Q603,U603)</f>
        <v/>
      </c>
      <c r="W603" s="65" t="n"/>
      <c r="X603" t="inlineStr">
        <is>
          <t>Khớp</t>
        </is>
      </c>
    </row>
    <row r="604">
      <c r="A604" s="65" t="n">
        <v>595</v>
      </c>
      <c r="B604" s="65" t="inlineStr">
        <is>
          <t>25808200016</t>
        </is>
      </c>
      <c r="C604" s="65" t="inlineStr">
        <is>
          <t>Nguyễn Sơn</t>
        </is>
      </c>
      <c r="D604" s="65" t="inlineStr">
        <is>
          <t>Bảo</t>
        </is>
      </c>
      <c r="E604" s="65" t="inlineStr">
        <is>
          <t>28/07/2007</t>
        </is>
      </c>
      <c r="F604" s="66" t="inlineStr">
        <is>
          <t>LNH0925ND01</t>
        </is>
      </c>
      <c r="G604" s="90" t="n">
        <v>8415000</v>
      </c>
      <c r="H604" s="65" t="n"/>
      <c r="I604" s="65" t="n"/>
      <c r="J604" s="65" t="n"/>
      <c r="K604" s="65" t="n"/>
      <c r="L604" s="65">
        <f>VLOOKUP(B604,'[2]DS THANG 11'!A$3:E$616,5,0)</f>
        <v/>
      </c>
      <c r="M604" s="65" t="n">
        <v>2103750</v>
      </c>
      <c r="N604" s="65" t="n"/>
      <c r="O604" s="65" t="n"/>
      <c r="P604" s="65" t="n"/>
      <c r="Q604" s="65" t="n"/>
      <c r="R604" s="65" t="n"/>
      <c r="S604" s="92">
        <f>G604-I604-R604-K604-M604-O604-Q604</f>
        <v/>
      </c>
      <c r="T604" s="92" t="inlineStr">
        <is>
          <t>LNH0526NQ12</t>
        </is>
      </c>
      <c r="U604" s="92" t="n">
        <v>2103750</v>
      </c>
      <c r="V604" s="69">
        <f>G604-SUM(I604,K604,M604,O604,Q604,U604)</f>
        <v/>
      </c>
      <c r="W604" s="65" t="n"/>
      <c r="X604" t="inlineStr">
        <is>
          <t>Khớp</t>
        </is>
      </c>
    </row>
    <row r="605">
      <c r="A605" s="65" t="n">
        <v>596</v>
      </c>
      <c r="B605" s="65" t="inlineStr">
        <is>
          <t>25808900122</t>
        </is>
      </c>
      <c r="C605" s="65" t="inlineStr">
        <is>
          <t>Nguyễn Ngọc</t>
        </is>
      </c>
      <c r="D605" s="65" t="inlineStr">
        <is>
          <t>Thuận</t>
        </is>
      </c>
      <c r="E605" s="65" t="inlineStr">
        <is>
          <t>19/08/2007</t>
        </is>
      </c>
      <c r="F605" s="66" t="inlineStr">
        <is>
          <t>LNH0925ND01</t>
        </is>
      </c>
      <c r="G605" s="90" t="n">
        <v>8415000</v>
      </c>
      <c r="H605" s="65">
        <f>VLOOKUP(B605,'[1]TONG HOP'!B$5:G$624,6,0)</f>
        <v/>
      </c>
      <c r="I605" s="65" t="n">
        <v>2103750</v>
      </c>
      <c r="J605" s="65" t="n"/>
      <c r="K605" s="65" t="n"/>
      <c r="L605" s="65">
        <f>VLOOKUP(B605,'[2]DS THANG 11'!A$3:E$616,5,0)</f>
        <v/>
      </c>
      <c r="M605" s="65" t="n">
        <v>2103750</v>
      </c>
      <c r="N605" s="65" t="n"/>
      <c r="O605" s="65" t="n"/>
      <c r="P605" s="65">
        <f>VLOOKUP(B605,'[3]TONG HOP '!B$5:O$666,14,0)</f>
        <v/>
      </c>
      <c r="Q605" s="65" t="n">
        <v>2103750</v>
      </c>
      <c r="R605" s="65" t="n"/>
      <c r="S605" s="92">
        <f>G605-I605-R605-K605-M605-O605-Q605</f>
        <v/>
      </c>
      <c r="T605" s="92" t="inlineStr">
        <is>
          <t>LNH0526NQ09</t>
        </is>
      </c>
      <c r="U605" s="92" t="n">
        <v>2103750</v>
      </c>
      <c r="V605" s="69">
        <f>G605-SUM(I605,K605,M605,O605,Q605,U605)</f>
        <v/>
      </c>
      <c r="W605" s="65" t="n"/>
      <c r="X605" t="inlineStr">
        <is>
          <t>Khớp</t>
        </is>
      </c>
    </row>
    <row r="606">
      <c r="A606" s="65" t="n">
        <v>597</v>
      </c>
      <c r="B606" s="65" t="inlineStr">
        <is>
          <t>25800500312</t>
        </is>
      </c>
      <c r="C606" s="65" t="inlineStr">
        <is>
          <t>Lưu Khải</t>
        </is>
      </c>
      <c r="D606" s="65" t="inlineStr">
        <is>
          <t>Nguyên</t>
        </is>
      </c>
      <c r="E606" s="65" t="inlineStr">
        <is>
          <t>24/09/2007</t>
        </is>
      </c>
      <c r="F606" s="66" t="inlineStr">
        <is>
          <t>LNH0925ND01</t>
        </is>
      </c>
      <c r="G606" s="90" t="n">
        <v>8415000</v>
      </c>
      <c r="H606" s="65">
        <f>VLOOKUP(B606,'[1]TONG HOP'!B$5:G$624,6,0)</f>
        <v/>
      </c>
      <c r="I606" s="65" t="n">
        <v>2103750</v>
      </c>
      <c r="J606" s="65" t="n"/>
      <c r="K606" s="65" t="n"/>
      <c r="L606" s="65">
        <f>VLOOKUP(B606,'[2]DS THANG 11'!A$3:E$616,5,0)</f>
        <v/>
      </c>
      <c r="M606" s="65" t="n">
        <v>2103750</v>
      </c>
      <c r="N606" s="65" t="n"/>
      <c r="O606" s="65" t="n"/>
      <c r="P606" s="65" t="n"/>
      <c r="Q606" s="65" t="n"/>
      <c r="R606" s="65" t="n"/>
      <c r="S606" s="92">
        <f>G606-I606-R606-K606-M606-O606-Q606</f>
        <v/>
      </c>
      <c r="T606" s="92" t="inlineStr"/>
      <c r="U606" s="92" t="inlineStr"/>
      <c r="V606" s="69">
        <f>G606-SUM(I606,K606,M606,O606,Q606,U606)</f>
        <v/>
      </c>
      <c r="W606" s="65" t="n"/>
      <c r="X606" t="inlineStr">
        <is>
          <t>Khớp</t>
        </is>
      </c>
    </row>
    <row r="607">
      <c r="A607" s="65" t="n">
        <v>598</v>
      </c>
      <c r="B607" s="65" t="inlineStr">
        <is>
          <t>25801300028</t>
        </is>
      </c>
      <c r="C607" s="65" t="inlineStr">
        <is>
          <t>Nguyễn Thị Yến</t>
        </is>
      </c>
      <c r="D607" s="65" t="inlineStr">
        <is>
          <t>Nhi</t>
        </is>
      </c>
      <c r="E607" s="65" t="inlineStr">
        <is>
          <t>30/12/2007</t>
        </is>
      </c>
      <c r="F607" s="66" t="inlineStr">
        <is>
          <t>LNH0925ND01</t>
        </is>
      </c>
      <c r="G607" s="90" t="n">
        <v>8415000</v>
      </c>
      <c r="H607" s="65">
        <f>VLOOKUP(B607,'[1]TONG HOP'!B$5:G$624,6,0)</f>
        <v/>
      </c>
      <c r="I607" s="65" t="n">
        <v>2103750</v>
      </c>
      <c r="J607" s="65" t="n"/>
      <c r="K607" s="65" t="n"/>
      <c r="L607" s="65">
        <f>VLOOKUP(B607,'[2]DS THANG 11'!A$3:E$616,5,0)</f>
        <v/>
      </c>
      <c r="M607" s="65" t="n">
        <v>2103750</v>
      </c>
      <c r="N607" s="65" t="n"/>
      <c r="O607" s="65" t="n"/>
      <c r="P607" s="65">
        <f>VLOOKUP(B607,'[3]TONG HOP '!B$5:O$666,14,0)</f>
        <v/>
      </c>
      <c r="Q607" s="65" t="n">
        <v>2103750</v>
      </c>
      <c r="R607" s="65" t="n"/>
      <c r="S607" s="92">
        <f>G607-I607-R607-K607-M607-O607-Q607</f>
        <v/>
      </c>
      <c r="T607" s="92" t="inlineStr"/>
      <c r="U607" s="92" t="inlineStr"/>
      <c r="V607" s="69">
        <f>G607-SUM(I607,K607,M607,O607,Q607,U607)</f>
        <v/>
      </c>
      <c r="W607" s="65" t="n"/>
      <c r="X607" t="inlineStr">
        <is>
          <t>Khớp</t>
        </is>
      </c>
    </row>
    <row r="608">
      <c r="A608" s="65" t="n">
        <v>599</v>
      </c>
      <c r="B608" s="65" t="inlineStr">
        <is>
          <t>25802800289</t>
        </is>
      </c>
      <c r="C608" s="65" t="inlineStr">
        <is>
          <t>Nguyễn Thị Lan</t>
        </is>
      </c>
      <c r="D608" s="65" t="inlineStr">
        <is>
          <t>Tường</t>
        </is>
      </c>
      <c r="E608" s="65" t="inlineStr">
        <is>
          <t>19/03/2007</t>
        </is>
      </c>
      <c r="F608" s="66" t="inlineStr">
        <is>
          <t>LNH0925ND01</t>
        </is>
      </c>
      <c r="G608" s="90" t="n">
        <v>8415000</v>
      </c>
      <c r="H608" s="65">
        <f>VLOOKUP(B608,'[1]TONG HOP'!B$5:G$624,6,0)</f>
        <v/>
      </c>
      <c r="I608" s="65" t="n">
        <v>2103750</v>
      </c>
      <c r="J608" s="65" t="n"/>
      <c r="K608" s="65" t="n"/>
      <c r="L608" s="65">
        <f>VLOOKUP(B608,'[2]DS THANG 11'!A$3:E$616,5,0)</f>
        <v/>
      </c>
      <c r="M608" s="65" t="n">
        <v>2103750</v>
      </c>
      <c r="N608" s="65" t="n"/>
      <c r="O608" s="65" t="n"/>
      <c r="P608" s="65">
        <f>VLOOKUP(B608,'[3]TONG HOP '!B$5:O$666,14,0)</f>
        <v/>
      </c>
      <c r="Q608" s="65" t="n">
        <v>2103750</v>
      </c>
      <c r="R608" s="65" t="n"/>
      <c r="S608" s="92">
        <f>G608-I608-R608-K608-M608-O608-Q608</f>
        <v/>
      </c>
      <c r="T608" s="92" t="inlineStr"/>
      <c r="U608" s="92" t="inlineStr"/>
      <c r="V608" s="69">
        <f>G608-SUM(I608,K608,M608,O608,Q608,U608)</f>
        <v/>
      </c>
      <c r="W608" s="65" t="n"/>
      <c r="X608" t="inlineStr">
        <is>
          <t>Khớp</t>
        </is>
      </c>
    </row>
    <row r="609">
      <c r="A609" s="65" t="n">
        <v>600</v>
      </c>
      <c r="B609" s="65" t="inlineStr">
        <is>
          <t>25806100301</t>
        </is>
      </c>
      <c r="C609" s="65" t="inlineStr">
        <is>
          <t>Nguyễn Nhựt Song</t>
        </is>
      </c>
      <c r="D609" s="65" t="inlineStr">
        <is>
          <t>Toàn</t>
        </is>
      </c>
      <c r="E609" s="65" t="inlineStr">
        <is>
          <t>18/07/2007</t>
        </is>
      </c>
      <c r="F609" s="66" t="inlineStr">
        <is>
          <t>LNH0925ND01</t>
        </is>
      </c>
      <c r="G609" s="90" t="n">
        <v>8415000</v>
      </c>
      <c r="H609" s="65" t="n"/>
      <c r="I609" s="65" t="n"/>
      <c r="J609" s="65" t="n"/>
      <c r="K609" s="65" t="n"/>
      <c r="L609" s="65">
        <f>VLOOKUP(B609,'[2]DS THANG 11'!A$3:E$616,5,0)</f>
        <v/>
      </c>
      <c r="M609" s="65" t="n">
        <v>2103750</v>
      </c>
      <c r="N609" s="65" t="n"/>
      <c r="O609" s="65" t="n"/>
      <c r="P609" s="65" t="n"/>
      <c r="Q609" s="65" t="n"/>
      <c r="R609" s="65" t="n"/>
      <c r="S609" s="92">
        <f>G609-I609-R609-K609-M609-O609-Q609</f>
        <v/>
      </c>
      <c r="T609" s="92" t="inlineStr"/>
      <c r="U609" s="92" t="inlineStr"/>
      <c r="V609" s="69">
        <f>G609-SUM(I609,K609,M609,O609,Q609,U609)</f>
        <v/>
      </c>
      <c r="W609" s="65" t="n"/>
      <c r="X609" t="inlineStr">
        <is>
          <t>Khớp</t>
        </is>
      </c>
    </row>
    <row r="610">
      <c r="A610" s="65" t="n">
        <v>601</v>
      </c>
      <c r="B610" s="65" t="inlineStr">
        <is>
          <t>25807100002</t>
        </is>
      </c>
      <c r="C610" s="65" t="inlineStr">
        <is>
          <t>Lưu Nguyễn Hoàng</t>
        </is>
      </c>
      <c r="D610" s="65" t="inlineStr">
        <is>
          <t>Hà</t>
        </is>
      </c>
      <c r="E610" s="65" t="inlineStr">
        <is>
          <t>07/07/2007</t>
        </is>
      </c>
      <c r="F610" s="66" t="inlineStr">
        <is>
          <t>LNH0925ND01</t>
        </is>
      </c>
      <c r="G610" s="90" t="n">
        <v>4465000</v>
      </c>
      <c r="H610" s="65" t="n"/>
      <c r="I610" s="65" t="n"/>
      <c r="J610" s="65">
        <f>VLOOKUP(B610,[5]Sheet1!A$3:E$32,5,0)</f>
        <v/>
      </c>
      <c r="K610" s="65" t="n">
        <v>2232500</v>
      </c>
      <c r="L610" s="65">
        <f>VLOOKUP(B610,'[2]DS THANG 11'!A$3:E$616,5,0)</f>
        <v/>
      </c>
      <c r="M610" s="65" t="n">
        <v>2232500</v>
      </c>
      <c r="N610" s="65" t="n"/>
      <c r="O610" s="65" t="n"/>
      <c r="P610" s="65" t="n"/>
      <c r="Q610" s="65" t="n"/>
      <c r="R610" s="65" t="n"/>
      <c r="S610" s="92">
        <f>G610-I610-R610-K610-M610-O610-Q610</f>
        <v/>
      </c>
      <c r="T610" s="92" t="inlineStr"/>
      <c r="U610" s="92" t="inlineStr"/>
      <c r="V610" s="69">
        <f>G610-SUM(I610,K610,M610,O610,Q610,U610)</f>
        <v/>
      </c>
      <c r="W610" s="65" t="n"/>
      <c r="X610" t="inlineStr">
        <is>
          <t>Khớp</t>
        </is>
      </c>
    </row>
    <row r="611">
      <c r="A611" s="65" t="n">
        <v>602</v>
      </c>
      <c r="B611" s="65" t="inlineStr">
        <is>
          <t>25800400151</t>
        </is>
      </c>
      <c r="C611" s="65" t="inlineStr">
        <is>
          <t>Phạm Hoàng</t>
        </is>
      </c>
      <c r="D611" s="65" t="inlineStr">
        <is>
          <t>Thông</t>
        </is>
      </c>
      <c r="E611" s="65" t="inlineStr">
        <is>
          <t>18/05/2007</t>
        </is>
      </c>
      <c r="F611" s="66" t="inlineStr">
        <is>
          <t>LNH0925ND01</t>
        </is>
      </c>
      <c r="G611" s="90" t="n">
        <v>8415000</v>
      </c>
      <c r="H611" s="65">
        <f>VLOOKUP(B611,'[1]TONG HOP'!B$5:G$624,6,0)</f>
        <v/>
      </c>
      <c r="I611" s="65" t="n">
        <v>2103750</v>
      </c>
      <c r="J611" s="65" t="n"/>
      <c r="K611" s="65" t="n"/>
      <c r="L611" s="65">
        <f>VLOOKUP(B611,'[2]DS THANG 11'!A$3:E$616,5,0)</f>
        <v/>
      </c>
      <c r="M611" s="65" t="n">
        <v>2103750</v>
      </c>
      <c r="N611" s="65" t="n"/>
      <c r="O611" s="65" t="n"/>
      <c r="P611" s="65">
        <f>VLOOKUP(B611,'[3]TONG HOP '!B$5:O$666,14,0)</f>
        <v/>
      </c>
      <c r="Q611" s="65" t="n">
        <v>2103750</v>
      </c>
      <c r="R611" s="65" t="n"/>
      <c r="S611" s="92">
        <f>G611-I611-R611-K611-M611-O611-Q611</f>
        <v/>
      </c>
      <c r="T611" s="92" t="inlineStr"/>
      <c r="U611" s="92" t="inlineStr"/>
      <c r="V611" s="69">
        <f>G611-SUM(I611,K611,M611,O611,Q611,U611)</f>
        <v/>
      </c>
      <c r="W611" s="65" t="n"/>
      <c r="X611" t="inlineStr">
        <is>
          <t>Khớp</t>
        </is>
      </c>
    </row>
    <row r="612">
      <c r="A612" s="65" t="n">
        <v>603</v>
      </c>
      <c r="B612" s="65" t="inlineStr">
        <is>
          <t>25808200009</t>
        </is>
      </c>
      <c r="C612" s="65" t="inlineStr">
        <is>
          <t>Phan Huỳnh Thiên</t>
        </is>
      </c>
      <c r="D612" s="65" t="inlineStr">
        <is>
          <t>Ân</t>
        </is>
      </c>
      <c r="E612" s="65" t="inlineStr">
        <is>
          <t>11/11/2007</t>
        </is>
      </c>
      <c r="F612" s="66" t="inlineStr">
        <is>
          <t>LNH0925ND01</t>
        </is>
      </c>
      <c r="G612" s="90" t="n">
        <v>8415000</v>
      </c>
      <c r="H612" s="65" t="n"/>
      <c r="I612" s="65" t="n"/>
      <c r="J612" s="65" t="n"/>
      <c r="K612" s="65" t="n"/>
      <c r="L612" s="65">
        <f>VLOOKUP(B612,'[2]DS THANG 11'!A$3:E$616,5,0)</f>
        <v/>
      </c>
      <c r="M612" s="65" t="n">
        <v>2103750</v>
      </c>
      <c r="N612" s="65" t="n"/>
      <c r="O612" s="65" t="n"/>
      <c r="P612" s="65" t="n"/>
      <c r="Q612" s="65" t="n"/>
      <c r="R612" s="65" t="n"/>
      <c r="S612" s="92">
        <f>G612-I612-R612-K612-M612-O612-Q612</f>
        <v/>
      </c>
      <c r="T612" s="92" t="inlineStr"/>
      <c r="U612" s="92" t="inlineStr"/>
      <c r="V612" s="69">
        <f>G612-SUM(I612,K612,M612,O612,Q612,U612)</f>
        <v/>
      </c>
      <c r="W612" s="65" t="n"/>
      <c r="X612" t="inlineStr">
        <is>
          <t>Khớp</t>
        </is>
      </c>
    </row>
    <row r="613">
      <c r="A613" s="65" t="n">
        <v>604</v>
      </c>
      <c r="B613" s="65" t="inlineStr">
        <is>
          <t>25820200133</t>
        </is>
      </c>
      <c r="C613" s="65" t="inlineStr">
        <is>
          <t>Nguyễn Quang</t>
        </is>
      </c>
      <c r="D613" s="65" t="inlineStr">
        <is>
          <t>Đại</t>
        </is>
      </c>
      <c r="E613" s="65" t="inlineStr">
        <is>
          <t>17/04/2007</t>
        </is>
      </c>
      <c r="F613" s="66" t="inlineStr">
        <is>
          <t>LNH0925ND01</t>
        </is>
      </c>
      <c r="G613" s="90" t="n">
        <v>8415000</v>
      </c>
      <c r="H613" s="65">
        <f>VLOOKUP(B613,'[1]TONG HOP'!B$5:G$624,6,0)</f>
        <v/>
      </c>
      <c r="I613" s="65" t="n">
        <v>2103750</v>
      </c>
      <c r="J613" s="65" t="n"/>
      <c r="K613" s="65" t="n"/>
      <c r="L613" s="65">
        <f>VLOOKUP(B613,'[2]DS THANG 11'!A$3:E$616,5,0)</f>
        <v/>
      </c>
      <c r="M613" s="65" t="n">
        <v>2103750</v>
      </c>
      <c r="N613" s="65" t="n"/>
      <c r="O613" s="65" t="n"/>
      <c r="P613" s="65">
        <f>VLOOKUP(B613,'[3]TONG HOP '!B$5:O$666,14,0)</f>
        <v/>
      </c>
      <c r="Q613" s="65" t="n">
        <v>2103750</v>
      </c>
      <c r="R613" s="65" t="n"/>
      <c r="S613" s="92">
        <f>G613-I613-R613-K613-M613-O613-Q613</f>
        <v/>
      </c>
      <c r="T613" s="92" t="inlineStr"/>
      <c r="U613" s="92" t="inlineStr"/>
      <c r="V613" s="69">
        <f>G613-SUM(I613,K613,M613,O613,Q613,U613)</f>
        <v/>
      </c>
      <c r="W613" s="65" t="n"/>
      <c r="X613" t="inlineStr">
        <is>
          <t>Khớp</t>
        </is>
      </c>
    </row>
    <row r="614">
      <c r="A614" s="65" t="n">
        <v>605</v>
      </c>
      <c r="B614" s="65" t="inlineStr">
        <is>
          <t>25820200064</t>
        </is>
      </c>
      <c r="C614" s="65" t="inlineStr">
        <is>
          <t>Ngô Mạnh</t>
        </is>
      </c>
      <c r="D614" s="65" t="inlineStr">
        <is>
          <t>Tuấn</t>
        </is>
      </c>
      <c r="E614" s="65" t="inlineStr">
        <is>
          <t>17/01/2007</t>
        </is>
      </c>
      <c r="F614" s="66" t="inlineStr">
        <is>
          <t>LNH0925ND01</t>
        </is>
      </c>
      <c r="G614" s="90" t="n">
        <v>8415000</v>
      </c>
      <c r="H614" s="65" t="n"/>
      <c r="I614" s="65" t="n"/>
      <c r="J614" s="65">
        <f>VLOOKUP(B614,[5]Sheet1!A$3:E$32,5,0)</f>
        <v/>
      </c>
      <c r="K614" s="65" t="n">
        <v>2103750</v>
      </c>
      <c r="L614" s="65">
        <f>VLOOKUP(B614,'[2]DS THANG 11'!A$3:E$616,5,0)</f>
        <v/>
      </c>
      <c r="M614" s="65" t="n">
        <v>2103750</v>
      </c>
      <c r="N614" s="65" t="n"/>
      <c r="O614" s="65" t="n"/>
      <c r="P614" s="65">
        <f>VLOOKUP(B614,'[3]TONG HOP '!B$5:O$666,14,0)</f>
        <v/>
      </c>
      <c r="Q614" s="65" t="n">
        <v>2103750</v>
      </c>
      <c r="R614" s="65" t="n"/>
      <c r="S614" s="92">
        <f>G614-I614-R614-K614-M614-O614-Q614</f>
        <v/>
      </c>
      <c r="T614" s="92" t="inlineStr"/>
      <c r="U614" s="92" t="inlineStr"/>
      <c r="V614" s="69">
        <f>G614-SUM(I614,K614,M614,O614,Q614,U614)</f>
        <v/>
      </c>
      <c r="W614" s="65" t="n"/>
      <c r="X614" t="inlineStr">
        <is>
          <t>Khớp</t>
        </is>
      </c>
    </row>
    <row r="615">
      <c r="A615" s="65" t="n">
        <v>606</v>
      </c>
      <c r="B615" s="65" t="inlineStr">
        <is>
          <t>25807500028</t>
        </is>
      </c>
      <c r="C615" s="65" t="inlineStr">
        <is>
          <t>Tô Gia</t>
        </is>
      </c>
      <c r="D615" s="65" t="inlineStr">
        <is>
          <t>Hân</t>
        </is>
      </c>
      <c r="E615" s="65" t="inlineStr">
        <is>
          <t>10/03/2007</t>
        </is>
      </c>
      <c r="F615" s="66" t="inlineStr">
        <is>
          <t>LNH0925ND01</t>
        </is>
      </c>
      <c r="G615" s="90" t="n">
        <v>4465000</v>
      </c>
      <c r="H615" s="65">
        <f>VLOOKUP(B615,'[1]TONG HOP'!B$5:G$624,6,0)</f>
        <v/>
      </c>
      <c r="I615" s="65" t="n">
        <v>2232500</v>
      </c>
      <c r="J615" s="65" t="n"/>
      <c r="K615" s="65" t="n"/>
      <c r="L615" s="65">
        <f>VLOOKUP(B615,'[2]DS THANG 11'!A$3:E$616,5,0)</f>
        <v/>
      </c>
      <c r="M615" s="65" t="n">
        <v>2232500</v>
      </c>
      <c r="N615" s="65" t="n"/>
      <c r="O615" s="65" t="n"/>
      <c r="P615" s="65" t="n"/>
      <c r="Q615" s="65" t="n"/>
      <c r="R615" s="65" t="n"/>
      <c r="S615" s="92">
        <f>G615-I615-R615-K615-M615-O615-Q615</f>
        <v/>
      </c>
      <c r="T615" s="92" t="inlineStr">
        <is>
          <t>LNH0526NQ17</t>
        </is>
      </c>
      <c r="U615" s="92" t="n">
        <v>2470000</v>
      </c>
      <c r="V615" s="69">
        <f>G615-SUM(I615,K615,M615,O615,Q615,U615)</f>
        <v/>
      </c>
      <c r="W615" s="65" t="n"/>
      <c r="X615" t="inlineStr">
        <is>
          <t>Khớp</t>
        </is>
      </c>
    </row>
    <row r="616">
      <c r="A616" s="65" t="n">
        <v>607</v>
      </c>
      <c r="B616" s="65" t="inlineStr">
        <is>
          <t>25820300063</t>
        </is>
      </c>
      <c r="C616" s="65" t="inlineStr">
        <is>
          <t>Thái Thành</t>
        </is>
      </c>
      <c r="D616" s="65" t="inlineStr">
        <is>
          <t>Trí</t>
        </is>
      </c>
      <c r="E616" s="65" t="inlineStr">
        <is>
          <t>01/07/2007</t>
        </is>
      </c>
      <c r="F616" s="66" t="inlineStr">
        <is>
          <t>LNH0925ND01</t>
        </is>
      </c>
      <c r="G616" s="90" t="n">
        <v>4465000</v>
      </c>
      <c r="H616" s="65">
        <f>VLOOKUP(B616,'[1]TONG HOP'!B$5:G$624,6,0)</f>
        <v/>
      </c>
      <c r="I616" s="65" t="n">
        <v>2232500</v>
      </c>
      <c r="J616" s="65" t="n"/>
      <c r="K616" s="65" t="n"/>
      <c r="L616" s="65">
        <f>VLOOKUP(B616,'[2]DS THANG 11'!A$3:E$616,5,0)</f>
        <v/>
      </c>
      <c r="M616" s="65" t="n">
        <v>2232500</v>
      </c>
      <c r="N616" s="65" t="n"/>
      <c r="O616" s="65" t="n"/>
      <c r="P616" s="65" t="n"/>
      <c r="Q616" s="65" t="n"/>
      <c r="R616" s="65" t="n"/>
      <c r="S616" s="92">
        <f>G616-I616-R616-K616-M616-O616-Q616</f>
        <v/>
      </c>
      <c r="T616" s="92" t="inlineStr"/>
      <c r="U616" s="92" t="inlineStr"/>
      <c r="V616" s="69">
        <f>G616-SUM(I616,K616,M616,O616,Q616,U616)</f>
        <v/>
      </c>
      <c r="W616" s="65" t="n"/>
      <c r="X616" t="inlineStr">
        <is>
          <t>Khớp</t>
        </is>
      </c>
    </row>
    <row r="617">
      <c r="A617" s="65" t="n">
        <v>608</v>
      </c>
      <c r="B617" s="65" t="inlineStr">
        <is>
          <t>25800400097</t>
        </is>
      </c>
      <c r="C617" s="65" t="inlineStr">
        <is>
          <t>Lê Đức</t>
        </is>
      </c>
      <c r="D617" s="65" t="inlineStr">
        <is>
          <t>Lượng</t>
        </is>
      </c>
      <c r="E617" s="65" t="inlineStr">
        <is>
          <t>12/03/2007</t>
        </is>
      </c>
      <c r="F617" s="66" t="inlineStr">
        <is>
          <t>LNH0925ND01</t>
        </is>
      </c>
      <c r="G617" s="90" t="n">
        <v>1000000</v>
      </c>
      <c r="H617" s="65" t="n"/>
      <c r="I617" s="65" t="n"/>
      <c r="J617" s="65" t="n"/>
      <c r="K617" s="65" t="n"/>
      <c r="L617" s="65" t="n"/>
      <c r="M617" s="65" t="n"/>
      <c r="N617" s="65" t="n"/>
      <c r="O617" s="65" t="n"/>
      <c r="P617" s="65" t="n"/>
      <c r="Q617" s="65" t="n"/>
      <c r="R617" s="65" t="n"/>
      <c r="S617" s="92">
        <f>G617-I617-R617-K617-M617-O617-Q617</f>
        <v/>
      </c>
      <c r="T617" s="92" t="inlineStr"/>
      <c r="U617" s="92" t="inlineStr"/>
      <c r="V617" s="69">
        <f>G617-SUM(I617,K617,M617,O617,Q617,U617)</f>
        <v/>
      </c>
      <c r="W617" s="65" t="n"/>
      <c r="X617" t="inlineStr">
        <is>
          <t>Khớp</t>
        </is>
      </c>
    </row>
    <row r="618">
      <c r="A618" s="65" t="n">
        <v>609</v>
      </c>
      <c r="B618" s="65" t="inlineStr">
        <is>
          <t>25808200146</t>
        </is>
      </c>
      <c r="C618" s="65" t="inlineStr">
        <is>
          <t>Ngô Quốc</t>
        </is>
      </c>
      <c r="D618" s="65" t="inlineStr">
        <is>
          <t>Việt</t>
        </is>
      </c>
      <c r="E618" s="65" t="inlineStr">
        <is>
          <t>02/03/2007</t>
        </is>
      </c>
      <c r="F618" s="66" t="inlineStr">
        <is>
          <t>LNH0925ND01</t>
        </is>
      </c>
      <c r="G618" s="90" t="n">
        <v>1000000</v>
      </c>
      <c r="H618" s="65" t="n"/>
      <c r="I618" s="65" t="n"/>
      <c r="J618" s="65" t="n"/>
      <c r="K618" s="65" t="n"/>
      <c r="L618" s="65" t="n"/>
      <c r="M618" s="65" t="n"/>
      <c r="N618" s="65" t="n"/>
      <c r="O618" s="65" t="n"/>
      <c r="P618" s="65" t="n"/>
      <c r="Q618" s="65" t="n"/>
      <c r="R618" s="65" t="n"/>
      <c r="S618" s="92">
        <f>G618-I618-R618-K618-M618-O618-Q618</f>
        <v/>
      </c>
      <c r="T618" s="92" t="inlineStr"/>
      <c r="U618" s="92" t="inlineStr"/>
      <c r="V618" s="69">
        <f>G618-SUM(I618,K618,M618,O618,Q618,U618)</f>
        <v/>
      </c>
      <c r="W618" s="65" t="n"/>
      <c r="X618" t="inlineStr">
        <is>
          <t>Khớp</t>
        </is>
      </c>
    </row>
    <row r="619">
      <c r="A619" s="65" t="n">
        <v>610</v>
      </c>
      <c r="B619" s="65" t="inlineStr">
        <is>
          <t>25802800198</t>
        </is>
      </c>
      <c r="C619" s="65" t="inlineStr">
        <is>
          <t>Phạm Hoàng</t>
        </is>
      </c>
      <c r="D619" s="65" t="inlineStr">
        <is>
          <t>Phát</t>
        </is>
      </c>
      <c r="E619" s="65" t="inlineStr">
        <is>
          <t>05/09/2007</t>
        </is>
      </c>
      <c r="F619" s="66" t="inlineStr">
        <is>
          <t>LNH0925ND01</t>
        </is>
      </c>
      <c r="G619" s="90" t="n">
        <v>8415000</v>
      </c>
      <c r="H619" s="65">
        <f>VLOOKUP(B619,'[1]TONG HOP'!B$5:G$624,6,0)</f>
        <v/>
      </c>
      <c r="I619" s="65" t="n">
        <v>2103750</v>
      </c>
      <c r="J619" s="65" t="n"/>
      <c r="K619" s="65" t="n"/>
      <c r="L619" s="65">
        <f>VLOOKUP(B619,'[2]DS THANG 11'!A$3:E$616,5,0)</f>
        <v/>
      </c>
      <c r="M619" s="65" t="n">
        <v>2103750</v>
      </c>
      <c r="N619" s="65" t="n"/>
      <c r="O619" s="65" t="n"/>
      <c r="P619" s="65">
        <f>VLOOKUP(B619,'[3]TONG HOP '!B$5:O$666,14,0)</f>
        <v/>
      </c>
      <c r="Q619" s="65" t="n">
        <v>2103750</v>
      </c>
      <c r="R619" s="65" t="n"/>
      <c r="S619" s="92">
        <f>G619-I619-R619-K619-M619-O619-Q619</f>
        <v/>
      </c>
      <c r="T619" s="92" t="inlineStr">
        <is>
          <t>LNH0526NQ05</t>
        </is>
      </c>
      <c r="U619" s="92" t="n">
        <v>2103750</v>
      </c>
      <c r="V619" s="69">
        <f>G619-SUM(I619,K619,M619,O619,Q619,U619)</f>
        <v/>
      </c>
      <c r="W619" s="65" t="n"/>
      <c r="X619" t="inlineStr">
        <is>
          <t>Khớp</t>
        </is>
      </c>
    </row>
    <row r="620">
      <c r="A620" s="65" t="n">
        <v>611</v>
      </c>
      <c r="B620" s="65" t="inlineStr">
        <is>
          <t>25802800240</t>
        </is>
      </c>
      <c r="C620" s="65" t="inlineStr">
        <is>
          <t>Nguyễn Thị Hồng</t>
        </is>
      </c>
      <c r="D620" s="65" t="inlineStr">
        <is>
          <t>Thảo</t>
        </is>
      </c>
      <c r="E620" s="65" t="inlineStr">
        <is>
          <t>04/03/2007</t>
        </is>
      </c>
      <c r="F620" s="66" t="inlineStr">
        <is>
          <t>LNH0925ND01</t>
        </is>
      </c>
      <c r="G620" s="90" t="n">
        <v>4465000</v>
      </c>
      <c r="H620" s="65">
        <f>VLOOKUP(B620,'[1]TONG HOP'!B$5:G$624,6,0)</f>
        <v/>
      </c>
      <c r="I620" s="65" t="n">
        <v>2232500</v>
      </c>
      <c r="J620" s="65" t="n"/>
      <c r="K620" s="65" t="n"/>
      <c r="L620" s="65">
        <f>VLOOKUP(B620,'[2]DS THANG 11'!A$3:E$616,5,0)</f>
        <v/>
      </c>
      <c r="M620" s="65" t="n">
        <v>2232500</v>
      </c>
      <c r="N620" s="65" t="n"/>
      <c r="O620" s="65" t="n"/>
      <c r="P620" s="65" t="n"/>
      <c r="Q620" s="65" t="n"/>
      <c r="R620" s="65" t="n"/>
      <c r="S620" s="92">
        <f>G620-I620-R620-K620-M620-O620-Q620</f>
        <v/>
      </c>
      <c r="T620" s="92" t="inlineStr"/>
      <c r="U620" s="92" t="inlineStr"/>
      <c r="V620" s="69">
        <f>G620-SUM(I620,K620,M620,O620,Q620,U620)</f>
        <v/>
      </c>
      <c r="W620" s="65" t="n"/>
      <c r="X620" t="inlineStr">
        <is>
          <t>Khớp</t>
        </is>
      </c>
    </row>
    <row r="621">
      <c r="A621" s="65" t="n">
        <v>612</v>
      </c>
      <c r="B621" s="65" t="inlineStr">
        <is>
          <t>25808200269</t>
        </is>
      </c>
      <c r="C621" s="65" t="inlineStr">
        <is>
          <t>Nguyễn Thành</t>
        </is>
      </c>
      <c r="D621" s="65" t="inlineStr">
        <is>
          <t>Tiến</t>
        </is>
      </c>
      <c r="E621" s="65" t="inlineStr">
        <is>
          <t>04/09/2007</t>
        </is>
      </c>
      <c r="F621" s="66" t="inlineStr">
        <is>
          <t>LNH0925ND01</t>
        </is>
      </c>
      <c r="G621" s="90" t="n">
        <v>8415000</v>
      </c>
      <c r="H621" s="65">
        <f>VLOOKUP(B621,'[1]TONG HOP'!B$5:G$624,6,0)</f>
        <v/>
      </c>
      <c r="I621" s="65" t="n">
        <v>2103750</v>
      </c>
      <c r="J621" s="65" t="n"/>
      <c r="K621" s="65" t="n"/>
      <c r="L621" s="65">
        <f>VLOOKUP(B621,'[2]DS THANG 11'!A$3:E$616,5,0)</f>
        <v/>
      </c>
      <c r="M621" s="65" t="n">
        <v>2103750</v>
      </c>
      <c r="N621" s="65" t="n"/>
      <c r="O621" s="65" t="n"/>
      <c r="P621" s="65">
        <f>VLOOKUP(B621,'[3]TONG HOP '!B$5:O$666,14,0)</f>
        <v/>
      </c>
      <c r="Q621" s="65" t="n">
        <v>2103750</v>
      </c>
      <c r="R621" s="65" t="n"/>
      <c r="S621" s="92">
        <f>G621-I621-R621-K621-M621-O621-Q621</f>
        <v/>
      </c>
      <c r="T621" s="92" t="inlineStr"/>
      <c r="U621" s="92" t="inlineStr"/>
      <c r="V621" s="69">
        <f>G621-SUM(I621,K621,M621,O621,Q621,U621)</f>
        <v/>
      </c>
      <c r="W621" s="65" t="n"/>
      <c r="X621" t="inlineStr">
        <is>
          <t>Khớp</t>
        </is>
      </c>
    </row>
    <row r="622">
      <c r="A622" s="65" t="n">
        <v>613</v>
      </c>
      <c r="B622" s="65" t="inlineStr">
        <is>
          <t>25802800103</t>
        </is>
      </c>
      <c r="C622" s="65" t="inlineStr">
        <is>
          <t>Nguyễn Hồng</t>
        </is>
      </c>
      <c r="D622" s="65" t="inlineStr">
        <is>
          <t>Khang</t>
        </is>
      </c>
      <c r="E622" s="65" t="inlineStr">
        <is>
          <t>30/04/2007</t>
        </is>
      </c>
      <c r="F622" s="66" t="inlineStr">
        <is>
          <t>LNH0925ND01</t>
        </is>
      </c>
      <c r="G622" s="90" t="n">
        <v>8415000</v>
      </c>
      <c r="H622" s="65">
        <f>VLOOKUP(B622,'[1]TONG HOP'!B$5:G$624,6,0)</f>
        <v/>
      </c>
      <c r="I622" s="65" t="n">
        <v>2103750</v>
      </c>
      <c r="J622" s="65" t="n"/>
      <c r="K622" s="65" t="n"/>
      <c r="L622" s="65">
        <f>VLOOKUP(B622,'[2]DS THANG 11'!A$3:E$616,5,0)</f>
        <v/>
      </c>
      <c r="M622" s="65" t="n">
        <v>2103750</v>
      </c>
      <c r="N622" s="65" t="n"/>
      <c r="O622" s="65" t="n"/>
      <c r="P622" s="65">
        <f>VLOOKUP(B622,'[3]TONG HOP '!B$5:O$666,14,0)</f>
        <v/>
      </c>
      <c r="Q622" s="65" t="n">
        <v>2103750</v>
      </c>
      <c r="R622" s="65" t="n"/>
      <c r="S622" s="92">
        <f>G622-I622-R622-K622-M622-O622-Q622</f>
        <v/>
      </c>
      <c r="T622" s="92" t="inlineStr"/>
      <c r="U622" s="92" t="inlineStr"/>
      <c r="V622" s="69">
        <f>G622-SUM(I622,K622,M622,O622,Q622,U622)</f>
        <v/>
      </c>
      <c r="W622" s="65" t="n"/>
      <c r="X622" t="inlineStr">
        <is>
          <t>Khớp</t>
        </is>
      </c>
    </row>
    <row r="623">
      <c r="A623" s="65" t="n">
        <v>614</v>
      </c>
      <c r="B623" s="65" t="inlineStr">
        <is>
          <t>25820200051</t>
        </is>
      </c>
      <c r="C623" s="65" t="inlineStr">
        <is>
          <t>Nguyễn Trọng</t>
        </is>
      </c>
      <c r="D623" s="65" t="inlineStr">
        <is>
          <t>Phúc</t>
        </is>
      </c>
      <c r="E623" s="65" t="inlineStr">
        <is>
          <t>06/02/2007</t>
        </is>
      </c>
      <c r="F623" s="66" t="inlineStr">
        <is>
          <t>LNH0925ND01</t>
        </is>
      </c>
      <c r="G623" s="90">
        <f>1000000+7450000</f>
        <v/>
      </c>
      <c r="H623" s="65" t="n"/>
      <c r="I623" s="65" t="n"/>
      <c r="J623" s="65" t="n"/>
      <c r="K623" s="65" t="n"/>
      <c r="L623" s="65">
        <f>VLOOKUP(B623,'[2]DS THANG 11'!A$3:E$616,5,0)</f>
        <v/>
      </c>
      <c r="M623" s="65" t="n">
        <v>2103750</v>
      </c>
      <c r="N623" s="65" t="n"/>
      <c r="O623" s="65" t="n"/>
      <c r="P623" s="65">
        <f>VLOOKUP(B623,'[3]TONG HOP '!B$5:O$666,14,0)</f>
        <v/>
      </c>
      <c r="Q623" s="65" t="n">
        <v>2103750</v>
      </c>
      <c r="R623" s="65" t="n"/>
      <c r="S623" s="92">
        <f>G623-I623-R623-K623-M623-O623-Q623</f>
        <v/>
      </c>
      <c r="T623" s="92" t="inlineStr"/>
      <c r="U623" s="92" t="inlineStr"/>
      <c r="V623" s="69">
        <f>G623-SUM(I623,K623,M623,O623,Q623,U623)</f>
        <v/>
      </c>
      <c r="W623" s="65" t="n"/>
      <c r="X623" t="inlineStr">
        <is>
          <t>Khớp</t>
        </is>
      </c>
    </row>
    <row r="624">
      <c r="A624" s="65" t="n">
        <v>615</v>
      </c>
      <c r="B624" s="65" t="inlineStr">
        <is>
          <t>25808900039</t>
        </is>
      </c>
      <c r="C624" s="65" t="inlineStr">
        <is>
          <t>Võ Trương Kim</t>
        </is>
      </c>
      <c r="D624" s="65" t="inlineStr">
        <is>
          <t>Hoàn</t>
        </is>
      </c>
      <c r="E624" s="65" t="inlineStr">
        <is>
          <t>16/10/2007</t>
        </is>
      </c>
      <c r="F624" s="66" t="inlineStr">
        <is>
          <t>LNH0925ND01</t>
        </is>
      </c>
      <c r="G624" s="90" t="n">
        <v>1000000</v>
      </c>
      <c r="H624" s="65" t="n"/>
      <c r="I624" s="65" t="n"/>
      <c r="J624" s="65" t="n"/>
      <c r="K624" s="65" t="n"/>
      <c r="L624" s="65" t="n"/>
      <c r="M624" s="65" t="n"/>
      <c r="N624" s="65" t="n"/>
      <c r="O624" s="65" t="n"/>
      <c r="P624" s="65" t="n"/>
      <c r="Q624" s="65" t="n"/>
      <c r="R624" s="65" t="n"/>
      <c r="S624" s="92">
        <f>G624-I624-R624-K624-M624-O624-Q624</f>
        <v/>
      </c>
      <c r="T624" s="92" t="inlineStr"/>
      <c r="U624" s="92" t="inlineStr"/>
      <c r="V624" s="69">
        <f>G624-SUM(I624,K624,M624,O624,Q624,U624)</f>
        <v/>
      </c>
      <c r="W624" s="65" t="n"/>
      <c r="X624" t="inlineStr">
        <is>
          <t>Khớp</t>
        </is>
      </c>
    </row>
    <row r="625">
      <c r="A625" s="65" t="n">
        <v>616</v>
      </c>
      <c r="B625" s="65" t="inlineStr">
        <is>
          <t>25808900053</t>
        </is>
      </c>
      <c r="C625" s="65" t="inlineStr">
        <is>
          <t>Nguyễn Tuấn</t>
        </is>
      </c>
      <c r="D625" s="65" t="inlineStr">
        <is>
          <t>Khang</t>
        </is>
      </c>
      <c r="E625" s="65" t="inlineStr">
        <is>
          <t>25/06/2007</t>
        </is>
      </c>
      <c r="F625" s="66" t="inlineStr">
        <is>
          <t>LNH0925ND01</t>
        </is>
      </c>
      <c r="G625" s="90" t="n">
        <v>8415000</v>
      </c>
      <c r="H625" s="65">
        <f>VLOOKUP(B625,'[1]TONG HOP'!B$5:G$624,6,0)</f>
        <v/>
      </c>
      <c r="I625" s="65" t="n">
        <v>2103750</v>
      </c>
      <c r="J625" s="65" t="n"/>
      <c r="K625" s="65" t="n"/>
      <c r="L625" s="65">
        <f>VLOOKUP(B625,'[2]DS THANG 11'!A$3:E$616,5,0)</f>
        <v/>
      </c>
      <c r="M625" s="65" t="n">
        <v>2103750</v>
      </c>
      <c r="N625" s="65" t="n"/>
      <c r="O625" s="65" t="n"/>
      <c r="P625" s="65">
        <f>VLOOKUP(B625,'[3]TONG HOP '!B$5:O$666,14,0)</f>
        <v/>
      </c>
      <c r="Q625" s="65" t="n">
        <v>2103750</v>
      </c>
      <c r="R625" s="65" t="n"/>
      <c r="S625" s="92">
        <f>G625-I625-R625-K625-M625-O625-Q625</f>
        <v/>
      </c>
      <c r="T625" s="92" t="inlineStr">
        <is>
          <t>LNH0526NQ01</t>
        </is>
      </c>
      <c r="U625" s="92" t="n">
        <v>2103750</v>
      </c>
      <c r="V625" s="69">
        <f>G625-SUM(I625,K625,M625,O625,Q625,U625)</f>
        <v/>
      </c>
      <c r="W625" s="65" t="n"/>
      <c r="X625" t="inlineStr">
        <is>
          <t>Khớp</t>
        </is>
      </c>
    </row>
    <row r="626">
      <c r="A626" s="65" t="n">
        <v>617</v>
      </c>
      <c r="B626" s="65" t="inlineStr">
        <is>
          <t>25806000008</t>
        </is>
      </c>
      <c r="C626" s="65" t="inlineStr">
        <is>
          <t>Trịnh Thùy</t>
        </is>
      </c>
      <c r="D626" s="65" t="inlineStr">
        <is>
          <t>Dương</t>
        </is>
      </c>
      <c r="E626" s="65" t="inlineStr">
        <is>
          <t>03/04/2007</t>
        </is>
      </c>
      <c r="F626" s="66" t="inlineStr">
        <is>
          <t>LNH0925ND01</t>
        </is>
      </c>
      <c r="G626" s="90" t="n">
        <v>4465000</v>
      </c>
      <c r="H626" s="65" t="n"/>
      <c r="I626" s="65" t="n"/>
      <c r="J626" s="65" t="n"/>
      <c r="K626" s="65" t="n"/>
      <c r="L626" s="65">
        <f>VLOOKUP(B626,'[2]DS THANG 11'!A$3:E$616,5,0)</f>
        <v/>
      </c>
      <c r="M626" s="65" t="n">
        <v>2232500</v>
      </c>
      <c r="N626" s="65" t="n"/>
      <c r="O626" s="65" t="n"/>
      <c r="P626" s="65" t="n"/>
      <c r="Q626" s="65" t="n"/>
      <c r="R626" s="65" t="n"/>
      <c r="S626" s="92">
        <f>G626-I626-R626-K626-M626-O626-Q626</f>
        <v/>
      </c>
      <c r="T626" s="92" t="inlineStr"/>
      <c r="U626" s="92" t="inlineStr"/>
      <c r="V626" s="69">
        <f>G626-SUM(I626,K626,M626,O626,Q626,U626)</f>
        <v/>
      </c>
      <c r="W626" s="65" t="n"/>
      <c r="X626" t="inlineStr">
        <is>
          <t>Khớp</t>
        </is>
      </c>
    </row>
    <row r="627">
      <c r="A627" s="65" t="n">
        <v>618</v>
      </c>
      <c r="B627" s="65" t="inlineStr">
        <is>
          <t>25807700031</t>
        </is>
      </c>
      <c r="C627" s="65" t="inlineStr">
        <is>
          <t>Nguyễn Văn</t>
        </is>
      </c>
      <c r="D627" s="65" t="inlineStr">
        <is>
          <t>Hoàng</t>
        </is>
      </c>
      <c r="E627" s="65" t="inlineStr">
        <is>
          <t>03/12/2005</t>
        </is>
      </c>
      <c r="F627" s="66" t="inlineStr">
        <is>
          <t>LNH0925ND01</t>
        </is>
      </c>
      <c r="G627" s="90" t="n">
        <v>4465000</v>
      </c>
      <c r="H627" s="65">
        <f>VLOOKUP(B627,'[1]TONG HOP'!B$5:G$624,6,0)</f>
        <v/>
      </c>
      <c r="I627" s="65" t="n">
        <v>2232500</v>
      </c>
      <c r="J627" s="65" t="n"/>
      <c r="K627" s="65" t="n"/>
      <c r="L627" s="65">
        <f>VLOOKUP(B627,'[2]DS THANG 11'!A$3:E$616,5,0)</f>
        <v/>
      </c>
      <c r="M627" s="65" t="n">
        <v>2232500</v>
      </c>
      <c r="N627" s="65" t="n"/>
      <c r="O627" s="65" t="n"/>
      <c r="P627" s="65" t="n"/>
      <c r="Q627" s="65" t="n"/>
      <c r="R627" s="65" t="n"/>
      <c r="S627" s="92">
        <f>G627-I627-R627-K627-M627-O627-Q627</f>
        <v/>
      </c>
      <c r="T627" s="92" t="inlineStr"/>
      <c r="U627" s="92" t="inlineStr"/>
      <c r="V627" s="69">
        <f>G627-SUM(I627,K627,M627,O627,Q627,U627)</f>
        <v/>
      </c>
      <c r="W627" s="65" t="n"/>
      <c r="X627" t="inlineStr">
        <is>
          <t>Khớp</t>
        </is>
      </c>
    </row>
    <row r="628">
      <c r="A628" s="65" t="n">
        <v>619</v>
      </c>
      <c r="B628" s="65" t="inlineStr">
        <is>
          <t>25807500237</t>
        </is>
      </c>
      <c r="C628" s="65" t="inlineStr">
        <is>
          <t>Nguyễn Thành</t>
        </is>
      </c>
      <c r="D628" s="65" t="inlineStr">
        <is>
          <t>Luân</t>
        </is>
      </c>
      <c r="E628" s="65" t="inlineStr">
        <is>
          <t>04/04/2007</t>
        </is>
      </c>
      <c r="F628" s="66" t="inlineStr">
        <is>
          <t>LNH0925ND01</t>
        </is>
      </c>
      <c r="G628" s="90" t="n">
        <v>8415000</v>
      </c>
      <c r="H628" s="65">
        <f>VLOOKUP(B628,'[1]TONG HOP'!B$5:G$624,6,0)</f>
        <v/>
      </c>
      <c r="I628" s="65" t="n">
        <v>2103750</v>
      </c>
      <c r="J628" s="65" t="n"/>
      <c r="K628" s="65" t="n"/>
      <c r="L628" s="65">
        <f>VLOOKUP(B628,'[2]DS THANG 11'!A$3:E$616,5,0)</f>
        <v/>
      </c>
      <c r="M628" s="65" t="n">
        <v>2103750</v>
      </c>
      <c r="N628" s="65" t="n"/>
      <c r="O628" s="65" t="n"/>
      <c r="P628" s="65">
        <f>VLOOKUP(B628,'[3]TONG HOP '!B$5:O$666,14,0)</f>
        <v/>
      </c>
      <c r="Q628" s="65" t="n">
        <v>2103750</v>
      </c>
      <c r="R628" s="65" t="n"/>
      <c r="S628" s="92">
        <f>G628-I628-R628-K628-M628-O628-Q628</f>
        <v/>
      </c>
      <c r="T628" s="92" t="inlineStr">
        <is>
          <t>LNH0526NQ11</t>
        </is>
      </c>
      <c r="U628" s="92" t="n">
        <v>2103750</v>
      </c>
      <c r="V628" s="69">
        <f>G628-SUM(I628,K628,M628,O628,Q628,U628)</f>
        <v/>
      </c>
      <c r="W628" s="65" t="n"/>
      <c r="X628" t="inlineStr">
        <is>
          <t>Khớp</t>
        </is>
      </c>
    </row>
    <row r="629">
      <c r="A629" s="65" t="n">
        <v>620</v>
      </c>
      <c r="B629" s="65" t="inlineStr">
        <is>
          <t>25807600039</t>
        </is>
      </c>
      <c r="C629" s="65" t="inlineStr">
        <is>
          <t>Bùi Hoàng Yến</t>
        </is>
      </c>
      <c r="D629" s="65" t="inlineStr">
        <is>
          <t>Nhi</t>
        </is>
      </c>
      <c r="E629" s="65" t="inlineStr">
        <is>
          <t>17/03/2007</t>
        </is>
      </c>
      <c r="F629" s="66" t="inlineStr">
        <is>
          <t>LNH0925ND01</t>
        </is>
      </c>
      <c r="G629" s="90" t="n">
        <v>8415000</v>
      </c>
      <c r="H629" s="65">
        <f>VLOOKUP(B629,'[1]TONG HOP'!B$5:G$624,6,0)</f>
        <v/>
      </c>
      <c r="I629" s="65" t="n">
        <v>2103750</v>
      </c>
      <c r="J629" s="65" t="n"/>
      <c r="K629" s="65" t="n"/>
      <c r="L629" s="65">
        <f>VLOOKUP(B629,'[2]DS THANG 11'!A$3:E$616,5,0)</f>
        <v/>
      </c>
      <c r="M629" s="65" t="n">
        <v>2103750</v>
      </c>
      <c r="N629" s="65" t="n"/>
      <c r="O629" s="65" t="n"/>
      <c r="P629" s="65">
        <f>VLOOKUP(B629,'[3]TONG HOP '!B$5:O$666,14,0)</f>
        <v/>
      </c>
      <c r="Q629" s="65" t="n">
        <v>2103750</v>
      </c>
      <c r="R629" s="65" t="n"/>
      <c r="S629" s="92">
        <f>G629-I629-R629-K629-M629-O629-Q629</f>
        <v/>
      </c>
      <c r="T629" s="92" t="inlineStr">
        <is>
          <t>LNH0526NQ07</t>
        </is>
      </c>
      <c r="U629" s="92" t="n">
        <v>2103750</v>
      </c>
      <c r="V629" s="69">
        <f>G629-SUM(I629,K629,M629,O629,Q629,U629)</f>
        <v/>
      </c>
      <c r="W629" s="65" t="n"/>
      <c r="X629" t="inlineStr">
        <is>
          <t>Khớp</t>
        </is>
      </c>
    </row>
    <row r="630">
      <c r="A630" s="65" t="n">
        <v>621</v>
      </c>
      <c r="B630" s="65" t="inlineStr">
        <is>
          <t>25800400058</t>
        </is>
      </c>
      <c r="C630" s="65" t="inlineStr">
        <is>
          <t>Phan Ngọc Gia</t>
        </is>
      </c>
      <c r="D630" s="65" t="inlineStr">
        <is>
          <t>Huy</t>
        </is>
      </c>
      <c r="E630" s="65" t="inlineStr">
        <is>
          <t>21/09/2007</t>
        </is>
      </c>
      <c r="F630" s="66" t="inlineStr">
        <is>
          <t>LNH0925ND01</t>
        </is>
      </c>
      <c r="G630" s="90" t="n">
        <v>8415000</v>
      </c>
      <c r="H630" s="65">
        <f>VLOOKUP(B630,'[1]TONG HOP'!B$5:G$624,6,0)</f>
        <v/>
      </c>
      <c r="I630" s="65" t="n">
        <v>2103750</v>
      </c>
      <c r="J630" s="65" t="n"/>
      <c r="K630" s="65" t="n"/>
      <c r="L630" s="65">
        <f>VLOOKUP(B630,'[2]DS THANG 11'!A$3:E$616,5,0)</f>
        <v/>
      </c>
      <c r="M630" s="65" t="n">
        <v>2103750</v>
      </c>
      <c r="N630" s="65" t="n"/>
      <c r="O630" s="65" t="n"/>
      <c r="P630" s="65">
        <f>VLOOKUP(B630,'[3]TONG HOP '!B$5:O$666,14,0)</f>
        <v/>
      </c>
      <c r="Q630" s="65" t="n">
        <v>2103750</v>
      </c>
      <c r="R630" s="65" t="n"/>
      <c r="S630" s="92">
        <f>G630-I630-R630-K630-M630-O630-Q630</f>
        <v/>
      </c>
      <c r="T630" s="92" t="inlineStr"/>
      <c r="U630" s="92" t="inlineStr"/>
      <c r="V630" s="69">
        <f>G630-SUM(I630,K630,M630,O630,Q630,U630)</f>
        <v/>
      </c>
      <c r="W630" s="65" t="n"/>
      <c r="X630" t="inlineStr">
        <is>
          <t>Khớp</t>
        </is>
      </c>
    </row>
    <row r="631">
      <c r="A631" s="65" t="n">
        <v>622</v>
      </c>
      <c r="B631" s="65" t="inlineStr">
        <is>
          <t>25801300045</t>
        </is>
      </c>
      <c r="C631" s="65" t="inlineStr">
        <is>
          <t>Võ Quốc</t>
        </is>
      </c>
      <c r="D631" s="65" t="inlineStr">
        <is>
          <t>Vinh</t>
        </is>
      </c>
      <c r="E631" s="65" t="inlineStr">
        <is>
          <t>20/12/2007</t>
        </is>
      </c>
      <c r="F631" s="66" t="inlineStr">
        <is>
          <t>LNH0925ND01</t>
        </is>
      </c>
      <c r="G631" s="90" t="n">
        <v>8415000</v>
      </c>
      <c r="H631" s="65">
        <f>VLOOKUP(B631,'[1]TONG HOP'!B$5:G$624,6,0)</f>
        <v/>
      </c>
      <c r="I631" s="65" t="n">
        <v>2103750</v>
      </c>
      <c r="J631" s="65" t="n"/>
      <c r="K631" s="65" t="n"/>
      <c r="L631" s="65">
        <f>VLOOKUP(B631,'[2]DS THANG 11'!A$3:E$616,5,0)</f>
        <v/>
      </c>
      <c r="M631" s="65" t="n">
        <v>2103750</v>
      </c>
      <c r="N631" s="65" t="n"/>
      <c r="O631" s="65" t="n"/>
      <c r="P631" s="65" t="n"/>
      <c r="Q631" s="65" t="n"/>
      <c r="R631" s="65" t="n"/>
      <c r="S631" s="92">
        <f>G631-I631-R631-K631-M631-O631-Q631</f>
        <v/>
      </c>
      <c r="T631" s="92" t="inlineStr"/>
      <c r="U631" s="92" t="inlineStr"/>
      <c r="V631" s="69">
        <f>G631-SUM(I631,K631,M631,O631,Q631,U631)</f>
        <v/>
      </c>
      <c r="W631" s="65" t="n"/>
      <c r="X631" t="inlineStr">
        <is>
          <t>Khớp</t>
        </is>
      </c>
    </row>
    <row r="632">
      <c r="A632" s="65" t="n">
        <v>623</v>
      </c>
      <c r="B632" s="65" t="inlineStr">
        <is>
          <t>25802700083</t>
        </is>
      </c>
      <c r="C632" s="65" t="inlineStr">
        <is>
          <t>Trần Triệu</t>
        </is>
      </c>
      <c r="D632" s="65" t="inlineStr">
        <is>
          <t>Thiện</t>
        </is>
      </c>
      <c r="E632" s="65" t="inlineStr">
        <is>
          <t>12/02/2007</t>
        </is>
      </c>
      <c r="F632" s="66" t="inlineStr">
        <is>
          <t>LNH0925ND01</t>
        </is>
      </c>
      <c r="G632" s="90" t="n">
        <v>8415000</v>
      </c>
      <c r="H632" s="65">
        <f>VLOOKUP(B632,'[1]TONG HOP'!B$5:G$624,6,0)</f>
        <v/>
      </c>
      <c r="I632" s="65" t="n">
        <v>2103750</v>
      </c>
      <c r="J632" s="65" t="n"/>
      <c r="K632" s="65" t="n"/>
      <c r="L632" s="65">
        <f>VLOOKUP(B632,'[2]DS THANG 11'!A$3:E$616,5,0)</f>
        <v/>
      </c>
      <c r="M632" s="65" t="n">
        <v>2103750</v>
      </c>
      <c r="N632" s="65" t="n"/>
      <c r="O632" s="65" t="n"/>
      <c r="P632" s="65" t="n"/>
      <c r="Q632" s="65" t="n"/>
      <c r="R632" s="65" t="n"/>
      <c r="S632" s="92">
        <f>G632-I632-R632-K632-M632-O632-Q632</f>
        <v/>
      </c>
      <c r="T632" s="92" t="inlineStr"/>
      <c r="U632" s="92" t="inlineStr"/>
      <c r="V632" s="69">
        <f>G632-SUM(I632,K632,M632,O632,Q632,U632)</f>
        <v/>
      </c>
      <c r="W632" s="65" t="n"/>
      <c r="X632" t="inlineStr">
        <is>
          <t>Khớp</t>
        </is>
      </c>
    </row>
    <row r="633">
      <c r="A633" s="65" t="n">
        <v>624</v>
      </c>
      <c r="B633" s="65" t="inlineStr">
        <is>
          <t>25802600209</t>
        </is>
      </c>
      <c r="C633" s="65" t="inlineStr">
        <is>
          <t>Bạch Đoan</t>
        </is>
      </c>
      <c r="D633" s="65" t="inlineStr">
        <is>
          <t>Linh</t>
        </is>
      </c>
      <c r="E633" s="65" t="inlineStr">
        <is>
          <t>03/08/2007</t>
        </is>
      </c>
      <c r="F633" s="66" t="inlineStr">
        <is>
          <t>LNH0925ND01</t>
        </is>
      </c>
      <c r="G633" s="90" t="n">
        <v>4465000</v>
      </c>
      <c r="H633" s="65">
        <f>VLOOKUP(B633,'[1]TONG HOP'!B$5:G$624,6,0)</f>
        <v/>
      </c>
      <c r="I633" s="65" t="n">
        <v>2232500</v>
      </c>
      <c r="J633" s="65" t="n"/>
      <c r="K633" s="65" t="n"/>
      <c r="L633" s="65">
        <f>VLOOKUP(B633,'[2]DS THANG 11'!A$3:E$616,5,0)</f>
        <v/>
      </c>
      <c r="M633" s="65" t="n">
        <v>2232500</v>
      </c>
      <c r="N633" s="65" t="n"/>
      <c r="O633" s="65" t="n"/>
      <c r="P633" s="65" t="n"/>
      <c r="Q633" s="65" t="n"/>
      <c r="R633" s="65" t="n"/>
      <c r="S633" s="92">
        <f>G633-I633-R633-K633-M633-O633-Q633</f>
        <v/>
      </c>
      <c r="T633" s="92" t="inlineStr"/>
      <c r="U633" s="92" t="inlineStr"/>
      <c r="V633" s="69">
        <f>G633-SUM(I633,K633,M633,O633,Q633,U633)</f>
        <v/>
      </c>
      <c r="W633" s="65" t="n"/>
      <c r="X633" t="inlineStr">
        <is>
          <t>Khớp</t>
        </is>
      </c>
    </row>
    <row r="634">
      <c r="A634" s="65" t="n">
        <v>625</v>
      </c>
      <c r="B634" s="65" t="inlineStr">
        <is>
          <t>25808600033</t>
        </is>
      </c>
      <c r="C634" s="65" t="inlineStr">
        <is>
          <t>Phạm Thị Ngọc</t>
        </is>
      </c>
      <c r="D634" s="65" t="inlineStr">
        <is>
          <t>Hân</t>
        </is>
      </c>
      <c r="E634" s="65" t="inlineStr">
        <is>
          <t>30/09/2007</t>
        </is>
      </c>
      <c r="F634" s="66" t="inlineStr">
        <is>
          <t>LNH0925ND01</t>
        </is>
      </c>
      <c r="G634" s="90" t="n">
        <v>8415000</v>
      </c>
      <c r="H634" s="65">
        <f>VLOOKUP(B634,'[1]TONG HOP'!B$5:G$624,6,0)</f>
        <v/>
      </c>
      <c r="I634" s="65" t="n">
        <v>2103750</v>
      </c>
      <c r="J634" s="65" t="n"/>
      <c r="K634" s="65" t="n"/>
      <c r="L634" s="65">
        <f>VLOOKUP(B634,'[2]DS THANG 11'!A$3:E$616,5,0)</f>
        <v/>
      </c>
      <c r="M634" s="65" t="n">
        <v>2103750</v>
      </c>
      <c r="N634" s="65" t="n"/>
      <c r="O634" s="65" t="n"/>
      <c r="P634" s="65">
        <f>VLOOKUP(B634,'[3]TONG HOP '!B$5:O$666,14,0)</f>
        <v/>
      </c>
      <c r="Q634" s="65" t="n">
        <v>2103750</v>
      </c>
      <c r="R634" s="65" t="n"/>
      <c r="S634" s="92">
        <f>G634-I634-R634-K634-M634-O634-Q634</f>
        <v/>
      </c>
      <c r="T634" s="92" t="inlineStr"/>
      <c r="U634" s="92" t="inlineStr"/>
      <c r="V634" s="69">
        <f>G634-SUM(I634,K634,M634,O634,Q634,U634)</f>
        <v/>
      </c>
      <c r="W634" s="65" t="n"/>
      <c r="X634" t="inlineStr">
        <is>
          <t>Khớp</t>
        </is>
      </c>
    </row>
    <row r="635">
      <c r="A635" s="65" t="n">
        <v>626</v>
      </c>
      <c r="B635" s="65" t="inlineStr">
        <is>
          <t>25802800401</t>
        </is>
      </c>
      <c r="C635" s="65" t="inlineStr">
        <is>
          <t>Nguyễn Phan Phương</t>
        </is>
      </c>
      <c r="D635" s="65" t="inlineStr">
        <is>
          <t>Trúc</t>
        </is>
      </c>
      <c r="E635" s="65" t="inlineStr">
        <is>
          <t>03/12/2007</t>
        </is>
      </c>
      <c r="F635" s="66" t="inlineStr">
        <is>
          <t>LNH0925ND01</t>
        </is>
      </c>
      <c r="G635" s="90" t="n">
        <v>2100000</v>
      </c>
      <c r="H635" s="65" t="n"/>
      <c r="I635" s="65" t="n"/>
      <c r="J635" s="65" t="n"/>
      <c r="K635" s="65" t="n"/>
      <c r="L635" s="65" t="n"/>
      <c r="M635" s="65" t="n"/>
      <c r="N635" s="65" t="n"/>
      <c r="O635" s="65" t="n"/>
      <c r="P635" s="65" t="n"/>
      <c r="Q635" s="65" t="n"/>
      <c r="R635" s="65" t="n"/>
      <c r="S635" s="92">
        <f>G635-I635-R635-K635-M635-O635-Q635</f>
        <v/>
      </c>
      <c r="T635" s="92" t="inlineStr"/>
      <c r="U635" s="92" t="inlineStr"/>
      <c r="V635" s="69">
        <f>G635-SUM(I635,K635,M635,O635,Q635,U635)</f>
        <v/>
      </c>
      <c r="W635" s="65" t="n"/>
      <c r="X635" t="inlineStr">
        <is>
          <t>Khớp</t>
        </is>
      </c>
    </row>
    <row r="636">
      <c r="A636" s="65" t="n">
        <v>627</v>
      </c>
      <c r="B636" s="65" t="inlineStr">
        <is>
          <t>25808700211</t>
        </is>
      </c>
      <c r="C636" s="65" t="inlineStr">
        <is>
          <t>Nguyễn Thanh</t>
        </is>
      </c>
      <c r="D636" s="65" t="inlineStr">
        <is>
          <t>Phong</t>
        </is>
      </c>
      <c r="E636" s="65" t="inlineStr">
        <is>
          <t>22/10/2007</t>
        </is>
      </c>
      <c r="F636" s="66" t="inlineStr">
        <is>
          <t>LNH0925ND01</t>
        </is>
      </c>
      <c r="G636" s="90" t="n">
        <v>4465000</v>
      </c>
      <c r="H636" s="65">
        <f>VLOOKUP(B636,'[1]TONG HOP'!B$5:G$624,6,0)</f>
        <v/>
      </c>
      <c r="I636" s="65" t="n">
        <v>2232500</v>
      </c>
      <c r="J636" s="65" t="n"/>
      <c r="K636" s="65" t="n"/>
      <c r="L636" s="65">
        <f>VLOOKUP(B636,'[2]DS THANG 11'!A$3:E$616,5,0)</f>
        <v/>
      </c>
      <c r="M636" s="65" t="n">
        <v>2232500</v>
      </c>
      <c r="N636" s="65" t="n"/>
      <c r="O636" s="65" t="n"/>
      <c r="P636" s="65" t="n"/>
      <c r="Q636" s="65" t="n"/>
      <c r="R636" s="65" t="n"/>
      <c r="S636" s="92">
        <f>G636-I636-R636-K636-M636-O636-Q636</f>
        <v/>
      </c>
      <c r="T636" s="92" t="inlineStr">
        <is>
          <t>LNH0526NQ19</t>
        </is>
      </c>
      <c r="U636" s="92" t="n">
        <v>2470000</v>
      </c>
      <c r="V636" s="69">
        <f>G636-SUM(I636,K636,M636,O636,Q636,U636)</f>
        <v/>
      </c>
      <c r="W636" s="65" t="n"/>
      <c r="X636" t="inlineStr">
        <is>
          <t>Khớp</t>
        </is>
      </c>
    </row>
    <row r="637">
      <c r="A637" s="65" t="n">
        <v>628</v>
      </c>
      <c r="B637" s="65" t="inlineStr">
        <is>
          <t>25800400287</t>
        </is>
      </c>
      <c r="C637" s="65" t="inlineStr">
        <is>
          <t>Nguyễn Minh</t>
        </is>
      </c>
      <c r="D637" s="65" t="inlineStr">
        <is>
          <t>Hiếu</t>
        </is>
      </c>
      <c r="E637" s="65" t="inlineStr">
        <is>
          <t>17/01/2007</t>
        </is>
      </c>
      <c r="F637" s="66" t="inlineStr">
        <is>
          <t>LNH0925ND01</t>
        </is>
      </c>
      <c r="G637" s="90" t="n">
        <v>8415000</v>
      </c>
      <c r="H637" s="65">
        <f>VLOOKUP(B637,'[1]TONG HOP'!B$5:G$624,6,0)</f>
        <v/>
      </c>
      <c r="I637" s="65" t="n">
        <v>2103750</v>
      </c>
      <c r="J637" s="65" t="n"/>
      <c r="K637" s="65" t="n"/>
      <c r="L637" s="65">
        <f>VLOOKUP(B637,'[2]DS THANG 11'!A$3:E$616,5,0)</f>
        <v/>
      </c>
      <c r="M637" s="65" t="n">
        <v>2103750</v>
      </c>
      <c r="N637" s="65" t="n"/>
      <c r="O637" s="65" t="n"/>
      <c r="P637" s="65">
        <f>VLOOKUP(B637,'[3]TONG HOP '!B$5:O$666,14,0)</f>
        <v/>
      </c>
      <c r="Q637" s="65" t="n">
        <v>2103750</v>
      </c>
      <c r="R637" s="65" t="n"/>
      <c r="S637" s="92">
        <f>G637-I637-R637-K637-M637-O637-Q637</f>
        <v/>
      </c>
      <c r="T637" s="92" t="inlineStr">
        <is>
          <t>LNH0526NQ16</t>
        </is>
      </c>
      <c r="U637" s="92" t="n">
        <v>2103750</v>
      </c>
      <c r="V637" s="69">
        <f>G637-SUM(I637,K637,M637,O637,Q637,U637)</f>
        <v/>
      </c>
      <c r="W637" s="65" t="n"/>
      <c r="X637" t="inlineStr">
        <is>
          <t>Khớp</t>
        </is>
      </c>
    </row>
    <row r="638">
      <c r="A638" s="65" t="n">
        <v>629</v>
      </c>
      <c r="B638" s="65" t="inlineStr">
        <is>
          <t>25802800081</t>
        </is>
      </c>
      <c r="C638" s="65" t="inlineStr">
        <is>
          <t>Lê Xuân</t>
        </is>
      </c>
      <c r="D638" s="65" t="inlineStr">
        <is>
          <t>Hùng</t>
        </is>
      </c>
      <c r="E638" s="65" t="inlineStr">
        <is>
          <t>26/09/2007</t>
        </is>
      </c>
      <c r="F638" s="66" t="inlineStr">
        <is>
          <t>LNH0925ND01</t>
        </is>
      </c>
      <c r="G638" s="90" t="n">
        <v>8415000</v>
      </c>
      <c r="H638" s="65">
        <f>VLOOKUP(B638,'[1]TONG HOP'!B$5:G$624,6,0)</f>
        <v/>
      </c>
      <c r="I638" s="65" t="n">
        <v>2103750</v>
      </c>
      <c r="J638" s="65" t="n"/>
      <c r="K638" s="65" t="n"/>
      <c r="L638" s="65">
        <f>VLOOKUP(B638,'[2]DS THANG 11'!A$3:E$616,5,0)</f>
        <v/>
      </c>
      <c r="M638" s="65" t="n">
        <v>2103750</v>
      </c>
      <c r="N638" s="65" t="n"/>
      <c r="O638" s="65" t="n"/>
      <c r="P638" s="65">
        <f>VLOOKUP(B638,'[3]TONG HOP '!B$5:O$666,14,0)</f>
        <v/>
      </c>
      <c r="Q638" s="65" t="n">
        <v>2103750</v>
      </c>
      <c r="R638" s="65" t="n"/>
      <c r="S638" s="92">
        <f>G638-I638-R638-K638-M638-O638-Q638</f>
        <v/>
      </c>
      <c r="T638" s="92" t="inlineStr"/>
      <c r="U638" s="92" t="inlineStr"/>
      <c r="V638" s="69">
        <f>G638-SUM(I638,K638,M638,O638,Q638,U638)</f>
        <v/>
      </c>
      <c r="W638" s="65" t="n"/>
      <c r="X638" t="inlineStr">
        <is>
          <t>Khớp</t>
        </is>
      </c>
    </row>
    <row r="639">
      <c r="A639" s="65" t="n">
        <v>630</v>
      </c>
      <c r="B639" s="70" t="inlineStr">
        <is>
          <t>25800400009</t>
        </is>
      </c>
      <c r="C639" s="65" t="inlineStr">
        <is>
          <t>Lê Khắc</t>
        </is>
      </c>
      <c r="D639" s="65" t="inlineStr">
        <is>
          <t>Bảo</t>
        </is>
      </c>
      <c r="E639" s="65" t="inlineStr">
        <is>
          <t>06/11/2007</t>
        </is>
      </c>
      <c r="F639" s="66" t="inlineStr">
        <is>
          <t>LNH0925NL01</t>
        </is>
      </c>
      <c r="G639" s="90" t="n">
        <v>8415000</v>
      </c>
      <c r="H639" s="70">
        <f>VLOOKUP(B639,'[1]TONG HOP'!B$5:G$624,6,0)</f>
        <v/>
      </c>
      <c r="I639" s="65" t="n">
        <v>1530000</v>
      </c>
      <c r="J639" s="65" t="n"/>
      <c r="K639" s="65" t="n"/>
      <c r="L639" s="65">
        <f>VLOOKUP(B639,'[2]DS THANG 11'!A$3:E$616,5,0)</f>
        <v/>
      </c>
      <c r="M639" s="65" t="n">
        <v>1530000</v>
      </c>
      <c r="N639" s="65">
        <f>VLOOKUP(B639,'[4]TOEIC 01.26'!A$3:E$33,5,0)</f>
        <v/>
      </c>
      <c r="O639" s="65" t="n">
        <v>1530000</v>
      </c>
      <c r="P639" s="65">
        <f>VLOOKUP(B639,'[3]TONG HOP '!B$5:O$666,14,0)</f>
        <v/>
      </c>
      <c r="Q639" s="65" t="n">
        <v>1530000</v>
      </c>
      <c r="R639" s="65" t="n"/>
      <c r="S639" s="92">
        <f>G639-I639-R639-K639-M639-O639-Q639</f>
        <v/>
      </c>
      <c r="T639" s="92" t="inlineStr"/>
      <c r="U639" s="92" t="inlineStr"/>
      <c r="V639" s="69">
        <f>G639-SUM(I639,K639,M639,O639,Q639,U639)</f>
        <v/>
      </c>
      <c r="W639" s="65" t="n"/>
      <c r="X639" t="inlineStr">
        <is>
          <t>Khớp</t>
        </is>
      </c>
    </row>
    <row r="640">
      <c r="A640" s="65" t="n">
        <v>631</v>
      </c>
      <c r="B640" s="65" t="inlineStr">
        <is>
          <t>25808300031</t>
        </is>
      </c>
      <c r="C640" s="65" t="inlineStr">
        <is>
          <t>Nguyễn Ngọc Thiên</t>
        </is>
      </c>
      <c r="D640" s="65" t="inlineStr">
        <is>
          <t>Ngân</t>
        </is>
      </c>
      <c r="E640" s="65" t="inlineStr">
        <is>
          <t>22/08/2007</t>
        </is>
      </c>
      <c r="F640" s="66" t="inlineStr">
        <is>
          <t>LNH0925ND01</t>
        </is>
      </c>
      <c r="G640" s="90" t="n">
        <v>8415000</v>
      </c>
      <c r="H640" s="65">
        <f>VLOOKUP(B640,'[1]TONG HOP'!B$5:G$624,6,0)</f>
        <v/>
      </c>
      <c r="I640" s="65" t="n">
        <v>2103750</v>
      </c>
      <c r="J640" s="65" t="n"/>
      <c r="K640" s="65" t="n"/>
      <c r="L640" s="65">
        <f>VLOOKUP(B640,'[2]DS THANG 11'!A$3:E$616,5,0)</f>
        <v/>
      </c>
      <c r="M640" s="65" t="n">
        <v>2103750</v>
      </c>
      <c r="N640" s="65" t="n"/>
      <c r="O640" s="65" t="n"/>
      <c r="P640" s="65">
        <f>VLOOKUP(B640,'[3]TONG HOP '!B$5:O$666,14,0)</f>
        <v/>
      </c>
      <c r="Q640" s="65" t="n">
        <v>2103750</v>
      </c>
      <c r="R640" s="65" t="n"/>
      <c r="S640" s="92">
        <f>G640-I640-R640-K640-M640-O640-Q640</f>
        <v/>
      </c>
      <c r="T640" s="92" t="inlineStr"/>
      <c r="U640" s="92" t="inlineStr"/>
      <c r="V640" s="69">
        <f>G640-SUM(I640,K640,M640,O640,Q640,U640)</f>
        <v/>
      </c>
      <c r="W640" s="65" t="n"/>
      <c r="X640" t="inlineStr">
        <is>
          <t>Khớp</t>
        </is>
      </c>
    </row>
    <row r="641">
      <c r="A641" s="65" t="n">
        <v>632</v>
      </c>
      <c r="B641" s="65" t="inlineStr">
        <is>
          <t>25800400125</t>
        </is>
      </c>
      <c r="C641" s="65" t="inlineStr">
        <is>
          <t>Nguyễn Xuân</t>
        </is>
      </c>
      <c r="D641" s="65" t="inlineStr">
        <is>
          <t>Phú</t>
        </is>
      </c>
      <c r="E641" s="65" t="inlineStr">
        <is>
          <t>25/12/2007</t>
        </is>
      </c>
      <c r="F641" s="66" t="inlineStr">
        <is>
          <t>LNH0925ND01</t>
        </is>
      </c>
      <c r="G641" s="90" t="n">
        <v>8415000</v>
      </c>
      <c r="H641" s="65">
        <f>VLOOKUP(B641,'[1]TONG HOP'!B$5:G$624,6,0)</f>
        <v/>
      </c>
      <c r="I641" s="65" t="n">
        <v>2103750</v>
      </c>
      <c r="J641" s="65" t="n"/>
      <c r="K641" s="65" t="n"/>
      <c r="L641" s="65">
        <f>VLOOKUP(B641,'[2]DS THANG 11'!A$3:E$616,5,0)</f>
        <v/>
      </c>
      <c r="M641" s="65" t="n">
        <v>2103750</v>
      </c>
      <c r="N641" s="65" t="n"/>
      <c r="O641" s="65" t="n"/>
      <c r="P641" s="65">
        <f>VLOOKUP(B641,'[3]TONG HOP '!B$5:O$666,14,0)</f>
        <v/>
      </c>
      <c r="Q641" s="65" t="n">
        <v>2103750</v>
      </c>
      <c r="R641" s="65" t="n"/>
      <c r="S641" s="92">
        <f>G641-I641-R641-K641-M641-O641-Q641</f>
        <v/>
      </c>
      <c r="T641" s="92" t="inlineStr">
        <is>
          <t>LNH0526NQ06</t>
        </is>
      </c>
      <c r="U641" s="92" t="n">
        <v>2103750</v>
      </c>
      <c r="V641" s="69">
        <f>G641-SUM(I641,K641,M641,O641,Q641,U641)</f>
        <v/>
      </c>
      <c r="W641" s="65" t="n"/>
      <c r="X641" t="inlineStr">
        <is>
          <t>Khớp</t>
        </is>
      </c>
    </row>
    <row r="642">
      <c r="A642" s="65" t="n">
        <v>633</v>
      </c>
      <c r="B642" s="65" t="inlineStr">
        <is>
          <t>25808700176</t>
        </is>
      </c>
      <c r="C642" s="65" t="inlineStr">
        <is>
          <t>Nguyễn Bảo</t>
        </is>
      </c>
      <c r="D642" s="65" t="inlineStr">
        <is>
          <t>Uyên</t>
        </is>
      </c>
      <c r="E642" s="65" t="inlineStr">
        <is>
          <t>13/07/2007</t>
        </is>
      </c>
      <c r="F642" s="66" t="inlineStr">
        <is>
          <t>LNH0925ND01</t>
        </is>
      </c>
      <c r="G642" s="90" t="n">
        <v>8415000</v>
      </c>
      <c r="H642" s="65">
        <f>VLOOKUP(B642,'[1]TONG HOP'!B$5:G$624,6,0)</f>
        <v/>
      </c>
      <c r="I642" s="65" t="n">
        <v>2103750</v>
      </c>
      <c r="J642" s="65" t="n"/>
      <c r="K642" s="65" t="n"/>
      <c r="L642" s="65">
        <f>VLOOKUP(B642,'[2]DS THANG 11'!A$3:E$616,5,0)</f>
        <v/>
      </c>
      <c r="M642" s="65" t="n">
        <v>2103750</v>
      </c>
      <c r="N642" s="65" t="n"/>
      <c r="O642" s="65" t="n"/>
      <c r="P642" s="65">
        <f>VLOOKUP(B642,'[3]TONG HOP '!B$5:O$666,14,0)</f>
        <v/>
      </c>
      <c r="Q642" s="65" t="n">
        <v>2103750</v>
      </c>
      <c r="R642" s="65" t="n"/>
      <c r="S642" s="92">
        <f>G642-I642-R642-K642-M642-O642-Q642</f>
        <v/>
      </c>
      <c r="T642" s="92" t="inlineStr"/>
      <c r="U642" s="92" t="inlineStr"/>
      <c r="V642" s="69">
        <f>G642-SUM(I642,K642,M642,O642,Q642,U642)</f>
        <v/>
      </c>
      <c r="W642" s="65" t="n"/>
      <c r="X642" t="inlineStr">
        <is>
          <t>Khớp</t>
        </is>
      </c>
    </row>
    <row r="643">
      <c r="A643" s="65" t="n">
        <v>634</v>
      </c>
      <c r="B643" s="65" t="inlineStr">
        <is>
          <t>25802800165</t>
        </is>
      </c>
      <c r="C643" s="65" t="inlineStr">
        <is>
          <t>Nguyễn Kim</t>
        </is>
      </c>
      <c r="D643" s="65" t="inlineStr">
        <is>
          <t>Ngọc</t>
        </is>
      </c>
      <c r="E643" s="65" t="inlineStr">
        <is>
          <t>19/09/2007</t>
        </is>
      </c>
      <c r="F643" s="66" t="inlineStr">
        <is>
          <t>LNH0925ND01</t>
        </is>
      </c>
      <c r="G643" s="90" t="n">
        <v>8415000</v>
      </c>
      <c r="H643" s="65">
        <f>VLOOKUP(B643,'[1]TONG HOP'!B$5:G$624,6,0)</f>
        <v/>
      </c>
      <c r="I643" s="65" t="n">
        <v>2103750</v>
      </c>
      <c r="J643" s="65" t="n"/>
      <c r="K643" s="65" t="n"/>
      <c r="L643" s="65">
        <f>VLOOKUP(B643,'[2]DS THANG 11'!A$3:E$616,5,0)</f>
        <v/>
      </c>
      <c r="M643" s="65" t="n">
        <v>2103750</v>
      </c>
      <c r="N643" s="65" t="n"/>
      <c r="O643" s="65" t="n"/>
      <c r="P643" s="65">
        <f>VLOOKUP(B643,'[3]TONG HOP '!B$5:O$666,14,0)</f>
        <v/>
      </c>
      <c r="Q643" s="65" t="n">
        <v>2103750</v>
      </c>
      <c r="R643" s="65" t="n"/>
      <c r="S643" s="92">
        <f>G643-I643-R643-K643-M643-O643-Q643</f>
        <v/>
      </c>
      <c r="T643" s="92" t="inlineStr"/>
      <c r="U643" s="92" t="inlineStr"/>
      <c r="V643" s="69">
        <f>G643-SUM(I643,K643,M643,O643,Q643,U643)</f>
        <v/>
      </c>
      <c r="W643" s="65" t="n"/>
      <c r="X643" t="inlineStr">
        <is>
          <t>Khớp</t>
        </is>
      </c>
    </row>
    <row r="644">
      <c r="A644" s="65" t="n">
        <v>635</v>
      </c>
      <c r="B644" s="65" t="inlineStr">
        <is>
          <t>25801400608</t>
        </is>
      </c>
      <c r="C644" s="65" t="inlineStr">
        <is>
          <t>Trần Minh</t>
        </is>
      </c>
      <c r="D644" s="65" t="inlineStr">
        <is>
          <t>Thành</t>
        </is>
      </c>
      <c r="E644" s="65" t="inlineStr">
        <is>
          <t>16/12/2007</t>
        </is>
      </c>
      <c r="F644" s="66" t="inlineStr">
        <is>
          <t>LNH0925ND01</t>
        </is>
      </c>
      <c r="G644" s="90" t="n">
        <v>8415000</v>
      </c>
      <c r="H644" s="65">
        <f>VLOOKUP(B644,'[1]TONG HOP'!B$5:G$624,6,0)</f>
        <v/>
      </c>
      <c r="I644" s="65" t="n">
        <v>2103750</v>
      </c>
      <c r="J644" s="65" t="n"/>
      <c r="K644" s="65" t="n"/>
      <c r="L644" s="65">
        <f>VLOOKUP(B644,'[2]DS THANG 11'!A$3:E$616,5,0)</f>
        <v/>
      </c>
      <c r="M644" s="65" t="n">
        <v>2103750</v>
      </c>
      <c r="N644" s="65" t="n"/>
      <c r="O644" s="65" t="n"/>
      <c r="P644" s="65">
        <f>VLOOKUP(B644,'[3]TONG HOP '!B$5:O$666,14,0)</f>
        <v/>
      </c>
      <c r="Q644" s="65" t="n">
        <v>2103750</v>
      </c>
      <c r="R644" s="65" t="n"/>
      <c r="S644" s="92">
        <f>G644-I644-R644-K644-M644-O644-Q644</f>
        <v/>
      </c>
      <c r="T644" s="92" t="inlineStr">
        <is>
          <t>LNH0526NQ06</t>
        </is>
      </c>
      <c r="U644" s="92" t="n">
        <v>2103750</v>
      </c>
      <c r="V644" s="69">
        <f>G644-SUM(I644,K644,M644,O644,Q644,U644)</f>
        <v/>
      </c>
      <c r="W644" s="65" t="n"/>
      <c r="X644" t="inlineStr">
        <is>
          <t>Khớp</t>
        </is>
      </c>
    </row>
    <row r="645">
      <c r="A645" s="65" t="n">
        <v>636</v>
      </c>
      <c r="B645" s="65" t="inlineStr">
        <is>
          <t>25808200280</t>
        </is>
      </c>
      <c r="C645" s="65" t="inlineStr">
        <is>
          <t>Nguyễn Văn</t>
        </is>
      </c>
      <c r="D645" s="65" t="inlineStr">
        <is>
          <t>Triều</t>
        </is>
      </c>
      <c r="E645" s="65" t="inlineStr">
        <is>
          <t>12/12/2007</t>
        </is>
      </c>
      <c r="F645" s="66" t="inlineStr">
        <is>
          <t>LNH0925ND01</t>
        </is>
      </c>
      <c r="G645" s="90" t="n">
        <v>8415000</v>
      </c>
      <c r="H645" s="65">
        <f>VLOOKUP(B645,'[1]TONG HOP'!B$5:G$624,6,0)</f>
        <v/>
      </c>
      <c r="I645" s="65" t="n">
        <v>2103750</v>
      </c>
      <c r="J645" s="65" t="n"/>
      <c r="K645" s="65" t="n"/>
      <c r="L645" s="65">
        <f>VLOOKUP(B645,'[2]DS THANG 11'!A$3:E$616,5,0)</f>
        <v/>
      </c>
      <c r="M645" s="65" t="n">
        <v>2103750</v>
      </c>
      <c r="N645" s="65" t="n"/>
      <c r="O645" s="65" t="n"/>
      <c r="P645" s="65">
        <f>VLOOKUP(B645,'[3]TONG HOP '!B$5:O$666,14,0)</f>
        <v/>
      </c>
      <c r="Q645" s="65" t="n">
        <v>2103750</v>
      </c>
      <c r="R645" s="65" t="n"/>
      <c r="S645" s="92">
        <f>G645-I645-R645-K645-M645-O645-Q645</f>
        <v/>
      </c>
      <c r="T645" s="92" t="inlineStr"/>
      <c r="U645" s="92" t="inlineStr"/>
      <c r="V645" s="69">
        <f>G645-SUM(I645,K645,M645,O645,Q645,U645)</f>
        <v/>
      </c>
      <c r="W645" s="65" t="n"/>
      <c r="X645" t="inlineStr">
        <is>
          <t>Khớp</t>
        </is>
      </c>
    </row>
    <row r="646">
      <c r="A646" s="65" t="n">
        <v>637</v>
      </c>
      <c r="B646" s="65" t="inlineStr">
        <is>
          <t>25808700122</t>
        </is>
      </c>
      <c r="C646" s="65" t="inlineStr">
        <is>
          <t>Trần Như</t>
        </is>
      </c>
      <c r="D646" s="65" t="inlineStr">
        <is>
          <t>Ý</t>
        </is>
      </c>
      <c r="E646" s="65" t="inlineStr">
        <is>
          <t>21/04/2007</t>
        </is>
      </c>
      <c r="F646" s="66" t="inlineStr">
        <is>
          <t>LNH0925ND01</t>
        </is>
      </c>
      <c r="G646" s="90" t="n">
        <v>8415000</v>
      </c>
      <c r="H646" s="65">
        <f>VLOOKUP(B646,'[1]TONG HOP'!B$5:G$624,6,0)</f>
        <v/>
      </c>
      <c r="I646" s="65" t="n">
        <v>2103750</v>
      </c>
      <c r="J646" s="65" t="n"/>
      <c r="K646" s="65" t="n"/>
      <c r="L646" s="65">
        <f>VLOOKUP(B646,'[2]DS THANG 11'!A$3:E$616,5,0)</f>
        <v/>
      </c>
      <c r="M646" s="65" t="n">
        <v>2103750</v>
      </c>
      <c r="N646" s="65" t="n"/>
      <c r="O646" s="65" t="n"/>
      <c r="P646" s="65">
        <f>VLOOKUP(B646,'[3]TONG HOP '!B$5:O$666,14,0)</f>
        <v/>
      </c>
      <c r="Q646" s="65" t="n">
        <v>2103750</v>
      </c>
      <c r="R646" s="65" t="n"/>
      <c r="S646" s="92">
        <f>G646-I646-R646-K646-M646-O646-Q646</f>
        <v/>
      </c>
      <c r="T646" s="92" t="inlineStr"/>
      <c r="U646" s="92" t="inlineStr"/>
      <c r="V646" s="69">
        <f>G646-SUM(I646,K646,M646,O646,Q646,U646)</f>
        <v/>
      </c>
      <c r="W646" s="65" t="n"/>
      <c r="X646" t="inlineStr">
        <is>
          <t>Khớp</t>
        </is>
      </c>
    </row>
    <row r="647">
      <c r="A647" s="65" t="n">
        <v>638</v>
      </c>
      <c r="B647" s="65" t="inlineStr">
        <is>
          <t>25800400106</t>
        </is>
      </c>
      <c r="C647" s="65" t="inlineStr">
        <is>
          <t>Đặng Hiếu</t>
        </is>
      </c>
      <c r="D647" s="65" t="inlineStr">
        <is>
          <t>Nghĩa</t>
        </is>
      </c>
      <c r="E647" s="65" t="inlineStr">
        <is>
          <t>06/05/2007</t>
        </is>
      </c>
      <c r="F647" s="66" t="inlineStr">
        <is>
          <t>LNH0925ND01</t>
        </is>
      </c>
      <c r="G647" s="90" t="n">
        <v>8415000</v>
      </c>
      <c r="H647" s="65">
        <f>VLOOKUP(B647,'[1]TONG HOP'!B$5:G$624,6,0)</f>
        <v/>
      </c>
      <c r="I647" s="65" t="n">
        <v>2103750</v>
      </c>
      <c r="J647" s="65" t="n"/>
      <c r="K647" s="65" t="n"/>
      <c r="L647" s="65">
        <f>VLOOKUP(B647,'[2]DS THANG 11'!A$3:E$616,5,0)</f>
        <v/>
      </c>
      <c r="M647" s="65" t="n">
        <v>2103750</v>
      </c>
      <c r="N647" s="65" t="n"/>
      <c r="O647" s="65" t="n"/>
      <c r="P647" s="65">
        <f>VLOOKUP(B647,'[3]TONG HOP '!B$5:O$666,14,0)</f>
        <v/>
      </c>
      <c r="Q647" s="65" t="n">
        <v>2103750</v>
      </c>
      <c r="R647" s="65" t="n"/>
      <c r="S647" s="92">
        <f>G647-I647-R647-K647-M647-O647-Q647</f>
        <v/>
      </c>
      <c r="T647" s="92" t="inlineStr">
        <is>
          <t>LNH0526NQ18</t>
        </is>
      </c>
      <c r="U647" s="92" t="n">
        <v>2103750</v>
      </c>
      <c r="V647" s="69">
        <f>G647-SUM(I647,K647,M647,O647,Q647,U647)</f>
        <v/>
      </c>
      <c r="W647" s="65" t="n"/>
      <c r="X647" t="inlineStr">
        <is>
          <t>Khớp</t>
        </is>
      </c>
    </row>
    <row r="648">
      <c r="A648" s="65" t="n">
        <v>639</v>
      </c>
      <c r="B648" s="65" t="inlineStr">
        <is>
          <t>25808200096</t>
        </is>
      </c>
      <c r="C648" s="65" t="inlineStr">
        <is>
          <t>Nguyễn Đức</t>
        </is>
      </c>
      <c r="D648" s="65" t="inlineStr">
        <is>
          <t>Nhật</t>
        </is>
      </c>
      <c r="E648" s="65" t="inlineStr">
        <is>
          <t>05/07/2007</t>
        </is>
      </c>
      <c r="F648" s="66" t="inlineStr">
        <is>
          <t>LNH0925ND01</t>
        </is>
      </c>
      <c r="G648" s="90" t="n">
        <v>8415000</v>
      </c>
      <c r="H648" s="65">
        <f>VLOOKUP(B648,'[1]TONG HOP'!B$5:G$624,6,0)</f>
        <v/>
      </c>
      <c r="I648" s="65" t="n">
        <v>2103750</v>
      </c>
      <c r="J648" s="65" t="n"/>
      <c r="K648" s="65" t="n"/>
      <c r="L648" s="65">
        <f>VLOOKUP(B648,'[2]DS THANG 11'!A$3:E$616,5,0)</f>
        <v/>
      </c>
      <c r="M648" s="65" t="n">
        <v>2103750</v>
      </c>
      <c r="N648" s="65" t="n"/>
      <c r="O648" s="65" t="n"/>
      <c r="P648" s="65">
        <f>VLOOKUP(B648,'[3]TONG HOP '!B$5:O$666,14,0)</f>
        <v/>
      </c>
      <c r="Q648" s="65" t="n">
        <v>2103750</v>
      </c>
      <c r="R648" s="65" t="n"/>
      <c r="S648" s="92">
        <f>G648-I648-R648-K648-M648-O648-Q648</f>
        <v/>
      </c>
      <c r="T648" s="92" t="inlineStr">
        <is>
          <t>LNH0526NQ11</t>
        </is>
      </c>
      <c r="U648" s="92" t="n">
        <v>2103750</v>
      </c>
      <c r="V648" s="69">
        <f>G648-SUM(I648,K648,M648,O648,Q648,U648)</f>
        <v/>
      </c>
      <c r="W648" s="65" t="n"/>
      <c r="X648" t="inlineStr">
        <is>
          <t>Khớp</t>
        </is>
      </c>
    </row>
    <row r="649">
      <c r="A649" s="65" t="n">
        <v>640</v>
      </c>
      <c r="B649" s="65" t="inlineStr">
        <is>
          <t>25802100018</t>
        </is>
      </c>
      <c r="C649" s="65" t="inlineStr">
        <is>
          <t>Lê Anh</t>
        </is>
      </c>
      <c r="D649" s="65" t="inlineStr">
        <is>
          <t>Khoa</t>
        </is>
      </c>
      <c r="E649" s="65" t="inlineStr">
        <is>
          <t>19/12/2007</t>
        </is>
      </c>
      <c r="F649" s="66" t="inlineStr">
        <is>
          <t>LNH0925ND01</t>
        </is>
      </c>
      <c r="G649" s="90" t="n">
        <v>8415000</v>
      </c>
      <c r="H649" s="65">
        <f>VLOOKUP(B649,'[1]TONG HOP'!B$5:G$624,6,0)</f>
        <v/>
      </c>
      <c r="I649" s="65" t="n">
        <v>2103750</v>
      </c>
      <c r="J649" s="65" t="n"/>
      <c r="K649" s="65" t="n"/>
      <c r="L649" s="65">
        <f>VLOOKUP(B649,'[2]DS THANG 11'!A$3:E$616,5,0)</f>
        <v/>
      </c>
      <c r="M649" s="65" t="n">
        <v>2103750</v>
      </c>
      <c r="N649" s="65" t="n"/>
      <c r="O649" s="65" t="n"/>
      <c r="P649" s="65">
        <f>VLOOKUP(B649,'[3]TONG HOP '!B$5:O$666,14,0)</f>
        <v/>
      </c>
      <c r="Q649" s="65" t="n">
        <v>2103750</v>
      </c>
      <c r="R649" s="65" t="n"/>
      <c r="S649" s="92">
        <f>G649-I649-R649-K649-M649-O649-Q649</f>
        <v/>
      </c>
      <c r="T649" s="92" t="inlineStr"/>
      <c r="U649" s="92" t="inlineStr"/>
      <c r="V649" s="69">
        <f>G649-SUM(I649,K649,M649,O649,Q649,U649)</f>
        <v/>
      </c>
      <c r="W649" s="65" t="n"/>
      <c r="X649" t="inlineStr">
        <is>
          <t>Khớp</t>
        </is>
      </c>
    </row>
    <row r="650">
      <c r="A650" s="65" t="n">
        <v>641</v>
      </c>
      <c r="B650" s="65" t="inlineStr">
        <is>
          <t>25802800070</t>
        </is>
      </c>
      <c r="C650" s="65" t="inlineStr">
        <is>
          <t>Lê Thị Thu</t>
        </is>
      </c>
      <c r="D650" s="65" t="inlineStr">
        <is>
          <t>Hiền</t>
        </is>
      </c>
      <c r="E650" s="65" t="inlineStr">
        <is>
          <t>13/06/2007</t>
        </is>
      </c>
      <c r="F650" s="66" t="inlineStr">
        <is>
          <t>LNH0925ND01</t>
        </is>
      </c>
      <c r="G650" s="90" t="n">
        <v>8415000</v>
      </c>
      <c r="H650" s="65">
        <f>VLOOKUP(B650,'[1]TONG HOP'!B$5:G$624,6,0)</f>
        <v/>
      </c>
      <c r="I650" s="65" t="n">
        <v>2103750</v>
      </c>
      <c r="J650" s="65" t="n"/>
      <c r="K650" s="65" t="n"/>
      <c r="L650" s="65">
        <f>VLOOKUP(B650,'[2]DS THANG 11'!A$3:E$616,5,0)</f>
        <v/>
      </c>
      <c r="M650" s="65" t="n">
        <v>2103750</v>
      </c>
      <c r="N650" s="65" t="n"/>
      <c r="O650" s="65" t="n"/>
      <c r="P650" s="65">
        <f>VLOOKUP(B650,'[3]TONG HOP '!B$5:O$666,14,0)</f>
        <v/>
      </c>
      <c r="Q650" s="65" t="n">
        <v>2103750</v>
      </c>
      <c r="R650" s="65" t="n"/>
      <c r="S650" s="92">
        <f>G650-I650-R650-K650-M650-O650-Q650</f>
        <v/>
      </c>
      <c r="T650" s="92" t="inlineStr"/>
      <c r="U650" s="92" t="inlineStr"/>
      <c r="V650" s="69">
        <f>G650-SUM(I650,K650,M650,O650,Q650,U650)</f>
        <v/>
      </c>
      <c r="W650" s="65" t="n"/>
      <c r="X650" t="inlineStr">
        <is>
          <t>Khớp</t>
        </is>
      </c>
    </row>
    <row r="651">
      <c r="A651" s="65" t="n">
        <v>642</v>
      </c>
      <c r="B651" s="65" t="inlineStr">
        <is>
          <t>25808200111</t>
        </is>
      </c>
      <c r="C651" s="65" t="inlineStr">
        <is>
          <t>Phạm Hoàng Tài Ch</t>
        </is>
      </c>
      <c r="D651" s="65" t="inlineStr">
        <is>
          <t>Tâm</t>
        </is>
      </c>
      <c r="E651" s="65" t="inlineStr">
        <is>
          <t>18/07/2007</t>
        </is>
      </c>
      <c r="F651" s="66" t="inlineStr">
        <is>
          <t>LNH0925ND01</t>
        </is>
      </c>
      <c r="G651" s="90" t="n">
        <v>8415000</v>
      </c>
      <c r="H651" s="65">
        <f>VLOOKUP(B651,'[1]TONG HOP'!B$5:G$624,6,0)</f>
        <v/>
      </c>
      <c r="I651" s="65" t="n">
        <v>2103750</v>
      </c>
      <c r="J651" s="65" t="n"/>
      <c r="K651" s="65" t="n"/>
      <c r="L651" s="65">
        <f>VLOOKUP(B651,'[2]DS THANG 11'!A$3:E$616,5,0)</f>
        <v/>
      </c>
      <c r="M651" s="65" t="n">
        <v>2103750</v>
      </c>
      <c r="N651" s="65" t="n"/>
      <c r="O651" s="65" t="n"/>
      <c r="P651" s="65">
        <f>VLOOKUP(B651,'[3]TONG HOP '!B$5:O$666,14,0)</f>
        <v/>
      </c>
      <c r="Q651" s="65" t="n">
        <v>2103750</v>
      </c>
      <c r="R651" s="65" t="n"/>
      <c r="S651" s="92">
        <f>G651-I651-R651-K651-M651-O651-Q651</f>
        <v/>
      </c>
      <c r="T651" s="92" t="inlineStr"/>
      <c r="U651" s="92" t="inlineStr"/>
      <c r="V651" s="69">
        <f>G651-SUM(I651,K651,M651,O651,Q651,U651)</f>
        <v/>
      </c>
      <c r="W651" s="65" t="n"/>
      <c r="X651" t="inlineStr">
        <is>
          <t>Khớp</t>
        </is>
      </c>
    </row>
    <row r="652">
      <c r="A652" s="65" t="n">
        <v>643</v>
      </c>
      <c r="B652" s="65" t="inlineStr">
        <is>
          <t>25805900064</t>
        </is>
      </c>
      <c r="C652" s="65" t="inlineStr">
        <is>
          <t>Trần Ngọc Hoàng</t>
        </is>
      </c>
      <c r="D652" s="65" t="inlineStr">
        <is>
          <t>Uyên</t>
        </is>
      </c>
      <c r="E652" s="65" t="inlineStr">
        <is>
          <t>12/08/2007</t>
        </is>
      </c>
      <c r="F652" s="66" t="inlineStr">
        <is>
          <t>LNH0925ND01</t>
        </is>
      </c>
      <c r="G652" s="90" t="n">
        <v>8415000</v>
      </c>
      <c r="H652" s="65">
        <f>VLOOKUP(B652,'[1]TONG HOP'!B$5:G$624,6,0)</f>
        <v/>
      </c>
      <c r="I652" s="65" t="n">
        <v>2103750</v>
      </c>
      <c r="J652" s="65" t="n"/>
      <c r="K652" s="65" t="n"/>
      <c r="L652" s="65">
        <f>VLOOKUP(B652,'[2]DS THANG 11'!A$3:E$616,5,0)</f>
        <v/>
      </c>
      <c r="M652" s="65" t="n">
        <v>2103750</v>
      </c>
      <c r="N652" s="65" t="n"/>
      <c r="O652" s="65" t="n"/>
      <c r="P652" s="65">
        <f>VLOOKUP(B652,'[3]TONG HOP '!B$5:O$666,14,0)</f>
        <v/>
      </c>
      <c r="Q652" s="65" t="n">
        <v>2103750</v>
      </c>
      <c r="R652" s="65" t="n"/>
      <c r="S652" s="92">
        <f>G652-I652-R652-K652-M652-O652-Q652</f>
        <v/>
      </c>
      <c r="T652" s="92" t="inlineStr"/>
      <c r="U652" s="92" t="inlineStr"/>
      <c r="V652" s="69">
        <f>G652-SUM(I652,K652,M652,O652,Q652,U652)</f>
        <v/>
      </c>
      <c r="W652" s="65" t="n"/>
      <c r="X652" t="inlineStr">
        <is>
          <t>Khớp</t>
        </is>
      </c>
    </row>
    <row r="653">
      <c r="A653" s="65" t="n">
        <v>644</v>
      </c>
      <c r="B653" s="65" t="inlineStr">
        <is>
          <t>25820300088</t>
        </is>
      </c>
      <c r="C653" s="65" t="inlineStr">
        <is>
          <t>Nông Thanh</t>
        </is>
      </c>
      <c r="D653" s="65" t="inlineStr">
        <is>
          <t>Quyền</t>
        </is>
      </c>
      <c r="E653" s="65" t="inlineStr">
        <is>
          <t>15/02/2007</t>
        </is>
      </c>
      <c r="F653" s="66" t="inlineStr">
        <is>
          <t>LNH0925ND01</t>
        </is>
      </c>
      <c r="G653" s="90" t="n">
        <v>8415000</v>
      </c>
      <c r="H653" s="65">
        <f>VLOOKUP(B653,'[1]TONG HOP'!B$5:G$624,6,0)</f>
        <v/>
      </c>
      <c r="I653" s="65" t="n">
        <v>2103750</v>
      </c>
      <c r="J653" s="65" t="n"/>
      <c r="K653" s="65" t="n"/>
      <c r="L653" s="65">
        <f>VLOOKUP(B653,'[2]DS THANG 11'!A$3:E$616,5,0)</f>
        <v/>
      </c>
      <c r="M653" s="65" t="n">
        <v>2103750</v>
      </c>
      <c r="N653" s="65" t="n"/>
      <c r="O653" s="65" t="n"/>
      <c r="P653" s="65">
        <f>VLOOKUP(B653,'[3]TONG HOP '!B$5:O$666,14,0)</f>
        <v/>
      </c>
      <c r="Q653" s="65" t="n">
        <v>2103750</v>
      </c>
      <c r="R653" s="65" t="n"/>
      <c r="S653" s="92">
        <f>G653-I653-R653-K653-M653-O653-Q653</f>
        <v/>
      </c>
      <c r="T653" s="92" t="inlineStr"/>
      <c r="U653" s="92" t="inlineStr"/>
      <c r="V653" s="69">
        <f>G653-SUM(I653,K653,M653,O653,Q653,U653)</f>
        <v/>
      </c>
      <c r="W653" s="65" t="n"/>
      <c r="X653" t="inlineStr">
        <is>
          <t>Khớp</t>
        </is>
      </c>
    </row>
    <row r="654">
      <c r="A654" s="65" t="n">
        <v>645</v>
      </c>
      <c r="B654" s="65" t="inlineStr">
        <is>
          <t>25808900043</t>
        </is>
      </c>
      <c r="C654" s="65" t="inlineStr">
        <is>
          <t>Huỳnh Xuân</t>
        </is>
      </c>
      <c r="D654" s="65" t="inlineStr">
        <is>
          <t>Hùng</t>
        </is>
      </c>
      <c r="E654" s="65" t="inlineStr">
        <is>
          <t>16/08/2007</t>
        </is>
      </c>
      <c r="F654" s="66" t="inlineStr">
        <is>
          <t>LNH0925ND01</t>
        </is>
      </c>
      <c r="G654" s="90" t="n">
        <v>8415000</v>
      </c>
      <c r="H654" s="65">
        <f>VLOOKUP(B654,'[1]TONG HOP'!B$5:G$624,6,0)</f>
        <v/>
      </c>
      <c r="I654" s="65" t="n">
        <v>2103750</v>
      </c>
      <c r="J654" s="65" t="n"/>
      <c r="K654" s="65" t="n"/>
      <c r="L654" s="65">
        <f>VLOOKUP(B654,'[2]DS THANG 11'!A$3:E$616,5,0)</f>
        <v/>
      </c>
      <c r="M654" s="65" t="n">
        <v>2103750</v>
      </c>
      <c r="N654" s="65" t="n"/>
      <c r="O654" s="65" t="n"/>
      <c r="P654" s="65">
        <f>VLOOKUP(B654,'[3]TONG HOP '!B$5:O$666,14,0)</f>
        <v/>
      </c>
      <c r="Q654" s="65" t="n">
        <v>2103750</v>
      </c>
      <c r="R654" s="65" t="n"/>
      <c r="S654" s="92">
        <f>G654-I654-R654-K654-M654-O654-Q654</f>
        <v/>
      </c>
      <c r="T654" s="92" t="inlineStr">
        <is>
          <t>LNH0526NQ08</t>
        </is>
      </c>
      <c r="U654" s="92" t="n">
        <v>2103750</v>
      </c>
      <c r="V654" s="69">
        <f>G654-SUM(I654,K654,M654,O654,Q654,U654)</f>
        <v/>
      </c>
      <c r="W654" s="65" t="n"/>
      <c r="X654" t="inlineStr">
        <is>
          <t>Khớp</t>
        </is>
      </c>
    </row>
    <row r="655">
      <c r="A655" s="65" t="n">
        <v>646</v>
      </c>
      <c r="B655" s="65" t="inlineStr">
        <is>
          <t>25809600017</t>
        </is>
      </c>
      <c r="C655" s="65" t="inlineStr">
        <is>
          <t>Phan Nguyễn Anh</t>
        </is>
      </c>
      <c r="D655" s="65" t="inlineStr">
        <is>
          <t>Đức</t>
        </is>
      </c>
      <c r="E655" s="65" t="inlineStr">
        <is>
          <t>24/11/2007</t>
        </is>
      </c>
      <c r="F655" s="66" t="inlineStr">
        <is>
          <t>LNH0925ND01</t>
        </is>
      </c>
      <c r="G655" s="90" t="n">
        <v>8415000</v>
      </c>
      <c r="H655" s="65">
        <f>VLOOKUP(B655,'[1]TONG HOP'!B$5:G$624,6,0)</f>
        <v/>
      </c>
      <c r="I655" s="65" t="n">
        <v>2103750</v>
      </c>
      <c r="J655" s="65" t="n"/>
      <c r="K655" s="65" t="n"/>
      <c r="L655" s="65">
        <f>VLOOKUP(B655,'[2]DS THANG 11'!A$3:E$616,5,0)</f>
        <v/>
      </c>
      <c r="M655" s="65" t="n">
        <v>2103750</v>
      </c>
      <c r="N655" s="65" t="n"/>
      <c r="O655" s="65" t="n"/>
      <c r="P655" s="65">
        <f>VLOOKUP(B655,'[3]TONG HOP '!B$5:O$666,14,0)</f>
        <v/>
      </c>
      <c r="Q655" s="65" t="n">
        <v>2103750</v>
      </c>
      <c r="R655" s="65" t="n"/>
      <c r="S655" s="92">
        <f>G655-I655-R655-K655-M655-O655-Q655</f>
        <v/>
      </c>
      <c r="T655" s="92" t="inlineStr"/>
      <c r="U655" s="92" t="inlineStr"/>
      <c r="V655" s="69">
        <f>G655-SUM(I655,K655,M655,O655,Q655,U655)</f>
        <v/>
      </c>
      <c r="W655" s="65" t="n"/>
      <c r="X655" t="inlineStr">
        <is>
          <t>Khớp</t>
        </is>
      </c>
    </row>
    <row r="656">
      <c r="A656" s="65" t="n">
        <v>647</v>
      </c>
      <c r="B656" s="65" t="inlineStr">
        <is>
          <t>25806500015</t>
        </is>
      </c>
      <c r="C656" s="65" t="inlineStr">
        <is>
          <t>Đặng Tất</t>
        </is>
      </c>
      <c r="D656" s="65" t="inlineStr">
        <is>
          <t>Thắng</t>
        </is>
      </c>
      <c r="E656" s="65" t="inlineStr">
        <is>
          <t>16/05/2007</t>
        </is>
      </c>
      <c r="F656" s="66" t="inlineStr">
        <is>
          <t>LNH0925ND01</t>
        </is>
      </c>
      <c r="G656" s="90" t="n">
        <v>8415000</v>
      </c>
      <c r="H656" s="65">
        <f>VLOOKUP(B656,'[1]TONG HOP'!B$5:G$624,6,0)</f>
        <v/>
      </c>
      <c r="I656" s="65" t="n">
        <v>2103750</v>
      </c>
      <c r="J656" s="65" t="n"/>
      <c r="K656" s="65" t="n"/>
      <c r="L656" s="65" t="n"/>
      <c r="M656" s="65" t="n"/>
      <c r="N656" s="65" t="n"/>
      <c r="O656" s="65" t="n"/>
      <c r="P656" s="65">
        <f>VLOOKUP(B656,'[3]TONG HOP '!B$5:O$666,14,0)</f>
        <v/>
      </c>
      <c r="Q656" s="65" t="n">
        <v>2103750</v>
      </c>
      <c r="R656" s="65" t="n">
        <v>1005000</v>
      </c>
      <c r="S656" s="92">
        <f>G656-I656-R656-K656-M656-O656-Q656</f>
        <v/>
      </c>
      <c r="T656" s="92" t="inlineStr"/>
      <c r="U656" s="92" t="inlineStr"/>
      <c r="V656" s="69">
        <f>G656-SUM(I656,K656,M656,O656,Q656,U656)</f>
        <v/>
      </c>
      <c r="W656" s="65" t="inlineStr">
        <is>
          <t>Chuyển sang EDU - Đạt HB theo tờ trình 462 ngày 11/11/25 - giảm HB Level 1 - 2.1tr</t>
        </is>
      </c>
      <c r="X656" t="inlineStr">
        <is>
          <t>Khớp</t>
        </is>
      </c>
    </row>
    <row r="657">
      <c r="A657" s="65" t="n">
        <v>648</v>
      </c>
      <c r="B657" s="65" t="inlineStr">
        <is>
          <t>25808200125</t>
        </is>
      </c>
      <c r="C657" s="65" t="inlineStr">
        <is>
          <t>Dương Văn Minh</t>
        </is>
      </c>
      <c r="D657" s="65" t="inlineStr">
        <is>
          <t>Thông</t>
        </is>
      </c>
      <c r="E657" s="65" t="inlineStr">
        <is>
          <t>23/09/2007</t>
        </is>
      </c>
      <c r="F657" s="66" t="inlineStr">
        <is>
          <t>LNH0925ND01</t>
        </is>
      </c>
      <c r="G657" s="90" t="n">
        <v>8415000</v>
      </c>
      <c r="H657" s="65">
        <f>VLOOKUP(B657,'[1]TONG HOP'!B$5:G$624,6,0)</f>
        <v/>
      </c>
      <c r="I657" s="65" t="n">
        <v>2103750</v>
      </c>
      <c r="J657" s="65" t="n"/>
      <c r="K657" s="65" t="n"/>
      <c r="L657" s="65">
        <f>VLOOKUP(B657,'[2]DS THANG 11'!A$3:E$616,5,0)</f>
        <v/>
      </c>
      <c r="M657" s="65" t="n">
        <v>2103750</v>
      </c>
      <c r="N657" s="65" t="n"/>
      <c r="O657" s="65" t="n"/>
      <c r="P657" s="65">
        <f>VLOOKUP(B657,'[3]TONG HOP '!B$5:O$666,14,0)</f>
        <v/>
      </c>
      <c r="Q657" s="65" t="n">
        <v>2103750</v>
      </c>
      <c r="R657" s="65" t="n"/>
      <c r="S657" s="92">
        <f>G657-I657-R657-K657-M657-O657-Q657</f>
        <v/>
      </c>
      <c r="T657" s="92" t="inlineStr"/>
      <c r="U657" s="92" t="inlineStr"/>
      <c r="V657" s="69">
        <f>G657-SUM(I657,K657,M657,O657,Q657,U657)</f>
        <v/>
      </c>
      <c r="W657" s="65" t="n"/>
      <c r="X657" t="inlineStr">
        <is>
          <t>Khớp</t>
        </is>
      </c>
    </row>
    <row r="658">
      <c r="A658" s="65" t="n">
        <v>649</v>
      </c>
      <c r="B658" s="65" t="inlineStr">
        <is>
          <t>25801100001</t>
        </is>
      </c>
      <c r="C658" s="65" t="inlineStr">
        <is>
          <t>Đinh Tuấn</t>
        </is>
      </c>
      <c r="D658" s="65" t="inlineStr">
        <is>
          <t>Anh</t>
        </is>
      </c>
      <c r="E658" s="65" t="inlineStr">
        <is>
          <t>28/12/2007</t>
        </is>
      </c>
      <c r="F658" s="66" t="inlineStr">
        <is>
          <t>LNH0925ND01</t>
        </is>
      </c>
      <c r="G658" s="90" t="n">
        <v>8415000</v>
      </c>
      <c r="H658" s="65">
        <f>VLOOKUP(B658,'[1]TONG HOP'!B$5:G$624,6,0)</f>
        <v/>
      </c>
      <c r="I658" s="65" t="n">
        <v>2103750</v>
      </c>
      <c r="J658" s="65" t="n"/>
      <c r="K658" s="65" t="n"/>
      <c r="L658" s="65">
        <f>VLOOKUP(B658,'[2]DS THANG 11'!A$3:E$616,5,0)</f>
        <v/>
      </c>
      <c r="M658" s="65" t="n">
        <v>2103750</v>
      </c>
      <c r="N658" s="65" t="n"/>
      <c r="O658" s="65" t="n"/>
      <c r="P658" s="65">
        <f>VLOOKUP(B658,'[3]TONG HOP '!B$5:O$666,14,0)</f>
        <v/>
      </c>
      <c r="Q658" s="65" t="n">
        <v>2103750</v>
      </c>
      <c r="R658" s="65" t="n"/>
      <c r="S658" s="92">
        <f>G658-I658-R658-K658-M658-O658-Q658</f>
        <v/>
      </c>
      <c r="T658" s="92" t="inlineStr"/>
      <c r="U658" s="92" t="n">
        <v>2103750</v>
      </c>
      <c r="V658" s="69">
        <f>G658-SUM(I658,K658,M658,O658,Q658,U658)</f>
        <v/>
      </c>
      <c r="W658" s="65" t="n"/>
      <c r="X658" t="inlineStr">
        <is>
          <t>Khớp</t>
        </is>
      </c>
    </row>
    <row r="659">
      <c r="A659" s="65" t="n">
        <v>650</v>
      </c>
      <c r="B659" s="65" t="inlineStr">
        <is>
          <t>25808900132</t>
        </is>
      </c>
      <c r="C659" s="65" t="inlineStr">
        <is>
          <t>Phạm Thanh</t>
        </is>
      </c>
      <c r="D659" s="65" t="inlineStr">
        <is>
          <t>Toàn</t>
        </is>
      </c>
      <c r="E659" s="65" t="inlineStr">
        <is>
          <t>14/02/2007</t>
        </is>
      </c>
      <c r="F659" s="66" t="inlineStr">
        <is>
          <t>LNH0925ND01</t>
        </is>
      </c>
      <c r="G659" s="90" t="n">
        <v>8415000</v>
      </c>
      <c r="H659" s="65">
        <f>VLOOKUP(B659,'[1]TONG HOP'!B$5:G$624,6,0)</f>
        <v/>
      </c>
      <c r="I659" s="65" t="n">
        <v>2103750</v>
      </c>
      <c r="J659" s="65" t="n"/>
      <c r="K659" s="65" t="n"/>
      <c r="L659" s="65">
        <f>VLOOKUP(B659,'[2]DS THANG 11'!A$3:E$616,5,0)</f>
        <v/>
      </c>
      <c r="M659" s="65" t="n">
        <v>2103750</v>
      </c>
      <c r="N659" s="65" t="n"/>
      <c r="O659" s="65" t="n"/>
      <c r="P659" s="65">
        <f>VLOOKUP(B659,'[3]TONG HOP '!B$5:O$666,14,0)</f>
        <v/>
      </c>
      <c r="Q659" s="65" t="n">
        <v>2103750</v>
      </c>
      <c r="R659" s="65" t="n"/>
      <c r="S659" s="92">
        <f>G659-I659-R659-K659-M659-O659-Q659</f>
        <v/>
      </c>
      <c r="T659" s="92" t="inlineStr"/>
      <c r="U659" s="92" t="inlineStr"/>
      <c r="V659" s="69">
        <f>G659-SUM(I659,K659,M659,O659,Q659,U659)</f>
        <v/>
      </c>
      <c r="W659" s="65" t="n"/>
      <c r="X659" t="inlineStr">
        <is>
          <t>Khớp</t>
        </is>
      </c>
    </row>
    <row r="660">
      <c r="A660" s="65" t="n">
        <v>651</v>
      </c>
      <c r="B660" s="65" t="inlineStr">
        <is>
          <t>25802800010</t>
        </is>
      </c>
      <c r="C660" s="65" t="inlineStr">
        <is>
          <t>Phạm Thị Ngọc</t>
        </is>
      </c>
      <c r="D660" s="65" t="inlineStr">
        <is>
          <t>Anh</t>
        </is>
      </c>
      <c r="E660" s="65" t="inlineStr">
        <is>
          <t>27/09/2007</t>
        </is>
      </c>
      <c r="F660" s="66" t="inlineStr">
        <is>
          <t>LNH0925ND01</t>
        </is>
      </c>
      <c r="G660" s="90" t="n">
        <v>8415000</v>
      </c>
      <c r="H660" s="65">
        <f>VLOOKUP(B660,'[1]TONG HOP'!B$5:G$624,6,0)</f>
        <v/>
      </c>
      <c r="I660" s="65" t="n">
        <v>2103750</v>
      </c>
      <c r="J660" s="65" t="n"/>
      <c r="K660" s="65" t="n"/>
      <c r="L660" s="65" t="n"/>
      <c r="M660" s="65" t="n"/>
      <c r="N660" s="65" t="n"/>
      <c r="O660" s="65" t="n"/>
      <c r="P660" s="65">
        <f>VLOOKUP(B660,'[3]TONG HOP '!B$5:O$666,14,0)</f>
        <v/>
      </c>
      <c r="Q660" s="65" t="n">
        <v>2103750</v>
      </c>
      <c r="R660" s="65" t="n"/>
      <c r="S660" s="92">
        <f>G660-I660-R660-K660-M660-O660-Q660</f>
        <v/>
      </c>
      <c r="T660" s="92" t="inlineStr"/>
      <c r="U660" s="92" t="inlineStr"/>
      <c r="V660" s="69">
        <f>G660-SUM(I660,K660,M660,O660,Q660,U660)</f>
        <v/>
      </c>
      <c r="W660" s="65" t="n"/>
      <c r="X660" t="inlineStr">
        <is>
          <t>Khớp</t>
        </is>
      </c>
    </row>
    <row r="661">
      <c r="A661" s="65" t="n">
        <v>652</v>
      </c>
      <c r="B661" s="65" t="inlineStr">
        <is>
          <t>25800500005</t>
        </is>
      </c>
      <c r="C661" s="65" t="inlineStr">
        <is>
          <t>Lê Tuấn</t>
        </is>
      </c>
      <c r="D661" s="65" t="inlineStr">
        <is>
          <t>Anh</t>
        </is>
      </c>
      <c r="E661" s="65" t="inlineStr">
        <is>
          <t>27/05/2007</t>
        </is>
      </c>
      <c r="F661" s="66" t="inlineStr">
        <is>
          <t>LNH0925ND01</t>
        </is>
      </c>
      <c r="G661" s="90" t="n">
        <v>8415000</v>
      </c>
      <c r="H661" s="65">
        <f>VLOOKUP(B661,'[1]TONG HOP'!B$5:G$624,6,0)</f>
        <v/>
      </c>
      <c r="I661" s="65" t="n">
        <v>2103750</v>
      </c>
      <c r="J661" s="65" t="n"/>
      <c r="K661" s="65" t="n"/>
      <c r="L661" s="65">
        <f>VLOOKUP(B661,'[2]DS THANG 11'!A$3:E$616,5,0)</f>
        <v/>
      </c>
      <c r="M661" s="65" t="n">
        <v>2103750</v>
      </c>
      <c r="N661" s="65" t="n"/>
      <c r="O661" s="65" t="n"/>
      <c r="P661" s="65">
        <f>VLOOKUP(B661,'[3]TONG HOP '!B$5:O$666,14,0)</f>
        <v/>
      </c>
      <c r="Q661" s="65" t="n">
        <v>2103750</v>
      </c>
      <c r="R661" s="65" t="n"/>
      <c r="S661" s="92">
        <f>G661-I661-R661-K661-M661-O661-Q661</f>
        <v/>
      </c>
      <c r="T661" s="92" t="inlineStr"/>
      <c r="U661" s="92" t="inlineStr"/>
      <c r="V661" s="69">
        <f>G661-SUM(I661,K661,M661,O661,Q661,U661)</f>
        <v/>
      </c>
      <c r="W661" s="65" t="n"/>
      <c r="X661" t="inlineStr">
        <is>
          <t>Khớp</t>
        </is>
      </c>
    </row>
    <row r="662">
      <c r="A662" s="65" t="n">
        <v>653</v>
      </c>
      <c r="B662" s="65" t="inlineStr">
        <is>
          <t>25802100069</t>
        </is>
      </c>
      <c r="C662" s="65" t="inlineStr">
        <is>
          <t>Lương Bảo</t>
        </is>
      </c>
      <c r="D662" s="65" t="inlineStr">
        <is>
          <t>Huy</t>
        </is>
      </c>
      <c r="E662" s="65" t="inlineStr">
        <is>
          <t>16/02/2007</t>
        </is>
      </c>
      <c r="F662" s="66" t="inlineStr">
        <is>
          <t>LNH0925ND01</t>
        </is>
      </c>
      <c r="G662" s="90" t="n">
        <v>8415000</v>
      </c>
      <c r="H662" s="65">
        <f>VLOOKUP(B662,'[1]TONG HOP'!B$5:G$624,6,0)</f>
        <v/>
      </c>
      <c r="I662" s="65" t="n">
        <v>2103750</v>
      </c>
      <c r="J662" s="65" t="n"/>
      <c r="K662" s="65" t="n"/>
      <c r="L662" s="65">
        <f>VLOOKUP(B662,'[2]DS THANG 11'!A$3:E$616,5,0)</f>
        <v/>
      </c>
      <c r="M662" s="65" t="n">
        <v>2103750</v>
      </c>
      <c r="N662" s="65" t="n"/>
      <c r="O662" s="65" t="n"/>
      <c r="P662" s="65">
        <f>VLOOKUP(B662,'[3]TONG HOP '!B$5:O$666,14,0)</f>
        <v/>
      </c>
      <c r="Q662" s="65" t="n">
        <v>2103750</v>
      </c>
      <c r="R662" s="65" t="n"/>
      <c r="S662" s="92">
        <f>G662-I662-R662-K662-M662-O662-Q662</f>
        <v/>
      </c>
      <c r="T662" s="92" t="inlineStr">
        <is>
          <t>LNH0526NQ17</t>
        </is>
      </c>
      <c r="U662" s="92" t="n">
        <v>2103750</v>
      </c>
      <c r="V662" s="69">
        <f>G662-SUM(I662,K662,M662,O662,Q662,U662)</f>
        <v/>
      </c>
      <c r="W662" s="65" t="n"/>
      <c r="X662" t="inlineStr">
        <is>
          <t>Khớp</t>
        </is>
      </c>
    </row>
    <row r="663">
      <c r="A663" s="65" t="n">
        <v>654</v>
      </c>
      <c r="B663" s="65" t="inlineStr">
        <is>
          <t>25808200225</t>
        </is>
      </c>
      <c r="C663" s="65" t="inlineStr">
        <is>
          <t>Nguyễn Quốc</t>
        </is>
      </c>
      <c r="D663" s="65" t="inlineStr">
        <is>
          <t>Việt</t>
        </is>
      </c>
      <c r="E663" s="65" t="inlineStr">
        <is>
          <t>02/09/2006</t>
        </is>
      </c>
      <c r="F663" s="66" t="inlineStr">
        <is>
          <t>LNH0925ND01</t>
        </is>
      </c>
      <c r="G663" s="90" t="n">
        <v>8415000</v>
      </c>
      <c r="H663" s="65">
        <f>VLOOKUP(B663,'[1]TONG HOP'!B$5:G$624,6,0)</f>
        <v/>
      </c>
      <c r="I663" s="65" t="n">
        <v>2103750</v>
      </c>
      <c r="J663" s="65" t="n"/>
      <c r="K663" s="65" t="n"/>
      <c r="L663" s="65">
        <f>VLOOKUP(B663,'[2]DS THANG 11'!A$3:E$616,5,0)</f>
        <v/>
      </c>
      <c r="M663" s="65" t="n">
        <v>2103750</v>
      </c>
      <c r="N663" s="65" t="n"/>
      <c r="O663" s="65" t="n"/>
      <c r="P663" s="65">
        <f>VLOOKUP(B663,'[3]TONG HOP '!B$5:O$666,14,0)</f>
        <v/>
      </c>
      <c r="Q663" s="65" t="n">
        <v>2103750</v>
      </c>
      <c r="R663" s="65" t="n"/>
      <c r="S663" s="92">
        <f>G663-I663-R663-K663-M663-O663-Q663</f>
        <v/>
      </c>
      <c r="T663" s="92" t="inlineStr"/>
      <c r="U663" s="92" t="inlineStr"/>
      <c r="V663" s="69">
        <f>G663-SUM(I663,K663,M663,O663,Q663,U663)</f>
        <v/>
      </c>
      <c r="W663" s="65" t="n"/>
      <c r="X663" t="inlineStr">
        <is>
          <t>Khớp</t>
        </is>
      </c>
    </row>
    <row r="664">
      <c r="A664" s="65" t="n">
        <v>655</v>
      </c>
      <c r="B664" s="65" t="inlineStr">
        <is>
          <t>25808900047</t>
        </is>
      </c>
      <c r="C664" s="65" t="inlineStr">
        <is>
          <t>Nguyễn Kim</t>
        </is>
      </c>
      <c r="D664" s="65" t="inlineStr">
        <is>
          <t>Huy</t>
        </is>
      </c>
      <c r="E664" s="65" t="inlineStr">
        <is>
          <t>17/04/2007</t>
        </is>
      </c>
      <c r="F664" s="66" t="inlineStr">
        <is>
          <t>LNH0925ND01</t>
        </is>
      </c>
      <c r="G664" s="90" t="n">
        <v>8415000</v>
      </c>
      <c r="H664" s="65">
        <f>VLOOKUP(B664,'[1]TONG HOP'!B$5:G$624,6,0)</f>
        <v/>
      </c>
      <c r="I664" s="65" t="n">
        <v>2103750</v>
      </c>
      <c r="J664" s="65" t="n"/>
      <c r="K664" s="65" t="n"/>
      <c r="L664" s="65">
        <f>VLOOKUP(B664,'[2]DS THANG 11'!A$3:E$616,5,0)</f>
        <v/>
      </c>
      <c r="M664" s="65" t="n">
        <v>2103750</v>
      </c>
      <c r="N664" s="65" t="n"/>
      <c r="O664" s="65" t="n"/>
      <c r="P664" s="65">
        <f>VLOOKUP(B664,'[3]TONG HOP '!B$5:O$666,14,0)</f>
        <v/>
      </c>
      <c r="Q664" s="65" t="n">
        <v>2103750</v>
      </c>
      <c r="R664" s="65" t="n"/>
      <c r="S664" s="92">
        <f>G664-I664-R664-K664-M664-O664-Q664</f>
        <v/>
      </c>
      <c r="T664" s="92" t="inlineStr">
        <is>
          <t>LNH0526NG01</t>
        </is>
      </c>
      <c r="U664" s="92" t="n">
        <v>2103750</v>
      </c>
      <c r="V664" s="69">
        <f>G664-SUM(I664,K664,M664,O664,Q664,U664)</f>
        <v/>
      </c>
      <c r="W664" s="65" t="n"/>
      <c r="X664" t="inlineStr">
        <is>
          <t>Khớp</t>
        </is>
      </c>
    </row>
    <row r="665">
      <c r="A665" s="65" t="n">
        <v>656</v>
      </c>
      <c r="B665" s="65" t="inlineStr">
        <is>
          <t>25801800061</t>
        </is>
      </c>
      <c r="C665" s="65" t="inlineStr">
        <is>
          <t>Nguyễn Hoàng</t>
        </is>
      </c>
      <c r="D665" s="65" t="inlineStr">
        <is>
          <t>Sang</t>
        </is>
      </c>
      <c r="E665" s="65" t="inlineStr">
        <is>
          <t>27/12/2007</t>
        </is>
      </c>
      <c r="F665" s="66" t="inlineStr">
        <is>
          <t>LNH0925ND01</t>
        </is>
      </c>
      <c r="G665" s="90" t="n">
        <v>8415000</v>
      </c>
      <c r="H665" s="65">
        <f>VLOOKUP(B665,'[1]TONG HOP'!B$5:G$624,6,0)</f>
        <v/>
      </c>
      <c r="I665" s="65" t="n">
        <v>2103750</v>
      </c>
      <c r="J665" s="65" t="n"/>
      <c r="K665" s="65" t="n"/>
      <c r="L665" s="65">
        <f>VLOOKUP(B665,'[2]DS THANG 11'!A$3:E$616,5,0)</f>
        <v/>
      </c>
      <c r="M665" s="65" t="n">
        <v>2103750</v>
      </c>
      <c r="N665" s="65" t="n"/>
      <c r="O665" s="65" t="n"/>
      <c r="P665" s="65">
        <f>VLOOKUP(B665,'[3]TONG HOP '!B$5:O$666,14,0)</f>
        <v/>
      </c>
      <c r="Q665" s="65" t="n">
        <v>2103750</v>
      </c>
      <c r="R665" s="65" t="n"/>
      <c r="S665" s="92">
        <f>G665-I665-R665-K665-M665-O665-Q665</f>
        <v/>
      </c>
      <c r="T665" s="92" t="inlineStr">
        <is>
          <t>LNH0526NQ07</t>
        </is>
      </c>
      <c r="U665" s="92" t="n">
        <v>2103750</v>
      </c>
      <c r="V665" s="69">
        <f>G665-SUM(I665,K665,M665,O665,Q665,U665)</f>
        <v/>
      </c>
      <c r="W665" s="65" t="n"/>
      <c r="X665" t="inlineStr">
        <is>
          <t>Khớp</t>
        </is>
      </c>
    </row>
    <row r="666">
      <c r="A666" s="65" t="n">
        <v>657</v>
      </c>
      <c r="B666" s="65" t="inlineStr">
        <is>
          <t>25802600031</t>
        </is>
      </c>
      <c r="C666" s="65" t="inlineStr">
        <is>
          <t>Nguyễn Đặng Minh</t>
        </is>
      </c>
      <c r="D666" s="65" t="inlineStr">
        <is>
          <t>Đạt</t>
        </is>
      </c>
      <c r="E666" s="65" t="inlineStr">
        <is>
          <t>19/11/2007</t>
        </is>
      </c>
      <c r="F666" s="66" t="inlineStr">
        <is>
          <t>LNH0925ND01</t>
        </is>
      </c>
      <c r="G666" s="90" t="n">
        <v>8415000</v>
      </c>
      <c r="H666" s="65">
        <f>VLOOKUP(B666,'[1]TONG HOP'!B$5:G$624,6,0)</f>
        <v/>
      </c>
      <c r="I666" s="65" t="n">
        <v>2103750</v>
      </c>
      <c r="J666" s="65" t="n"/>
      <c r="K666" s="65" t="n"/>
      <c r="L666" s="65">
        <f>VLOOKUP(B666,'[2]DS THANG 11'!A$3:E$616,5,0)</f>
        <v/>
      </c>
      <c r="M666" s="65" t="n">
        <v>2103750</v>
      </c>
      <c r="N666" s="65" t="n"/>
      <c r="O666" s="65" t="n"/>
      <c r="P666" s="65">
        <f>VLOOKUP(B666,'[3]TONG HOP '!B$5:O$666,14,0)</f>
        <v/>
      </c>
      <c r="Q666" s="65" t="n">
        <v>2103750</v>
      </c>
      <c r="R666" s="65" t="n"/>
      <c r="S666" s="92">
        <f>G666-I666-R666-K666-M666-O666-Q666</f>
        <v/>
      </c>
      <c r="T666" s="92" t="inlineStr">
        <is>
          <t>LNH0526NQ01</t>
        </is>
      </c>
      <c r="U666" s="92" t="n">
        <v>2103750</v>
      </c>
      <c r="V666" s="69">
        <f>G666-SUM(I666,K666,M666,O666,Q666,U666)</f>
        <v/>
      </c>
      <c r="W666" s="65" t="n"/>
      <c r="X666" t="inlineStr">
        <is>
          <t>Khớp</t>
        </is>
      </c>
    </row>
    <row r="667">
      <c r="A667" s="65" t="n">
        <v>658</v>
      </c>
      <c r="B667" s="65" t="inlineStr">
        <is>
          <t>25801500098</t>
        </is>
      </c>
      <c r="C667" s="65" t="inlineStr">
        <is>
          <t>Nguyễn Đặng Minh</t>
        </is>
      </c>
      <c r="D667" s="65" t="inlineStr">
        <is>
          <t>Trí</t>
        </is>
      </c>
      <c r="E667" s="65" t="inlineStr">
        <is>
          <t>19/11/2007</t>
        </is>
      </c>
      <c r="F667" s="66" t="inlineStr">
        <is>
          <t>LNH0925ND01</t>
        </is>
      </c>
      <c r="G667" s="90" t="n">
        <v>8415000</v>
      </c>
      <c r="H667" s="65">
        <f>VLOOKUP(B667,'[1]TONG HOP'!B$5:G$624,6,0)</f>
        <v/>
      </c>
      <c r="I667" s="65" t="n">
        <v>2103750</v>
      </c>
      <c r="J667" s="65" t="n"/>
      <c r="K667" s="65" t="n"/>
      <c r="L667" s="65">
        <f>VLOOKUP(B667,'[2]DS THANG 11'!A$3:E$616,5,0)</f>
        <v/>
      </c>
      <c r="M667" s="65" t="n">
        <v>2103750</v>
      </c>
      <c r="N667" s="65" t="n"/>
      <c r="O667" s="65" t="n"/>
      <c r="P667" s="65">
        <f>VLOOKUP(B667,'[3]TONG HOP '!B$5:O$666,14,0)</f>
        <v/>
      </c>
      <c r="Q667" s="65" t="n">
        <v>2103750</v>
      </c>
      <c r="R667" s="65" t="n"/>
      <c r="S667" s="92">
        <f>G667-I667-R667-K667-M667-O667-Q667</f>
        <v/>
      </c>
      <c r="T667" s="92" t="inlineStr"/>
      <c r="U667" s="92" t="inlineStr"/>
      <c r="V667" s="69">
        <f>G667-SUM(I667,K667,M667,O667,Q667,U667)</f>
        <v/>
      </c>
      <c r="W667" s="65" t="n"/>
      <c r="X667" t="inlineStr">
        <is>
          <t>Khớp</t>
        </is>
      </c>
    </row>
    <row r="668">
      <c r="A668" s="65" t="n">
        <v>659</v>
      </c>
      <c r="B668" s="65" t="inlineStr">
        <is>
          <t>25808900109</t>
        </is>
      </c>
      <c r="C668" s="65" t="inlineStr">
        <is>
          <t>Lê Văn</t>
        </is>
      </c>
      <c r="D668" s="65" t="inlineStr">
        <is>
          <t>Tấn</t>
        </is>
      </c>
      <c r="E668" s="65" t="inlineStr">
        <is>
          <t>01/11/2007</t>
        </is>
      </c>
      <c r="F668" s="66" t="inlineStr">
        <is>
          <t>LNH0925ND01</t>
        </is>
      </c>
      <c r="G668" s="90" t="n">
        <v>8415000</v>
      </c>
      <c r="H668" s="65">
        <f>VLOOKUP(B668,'[1]TONG HOP'!B$5:G$624,6,0)</f>
        <v/>
      </c>
      <c r="I668" s="65" t="n">
        <v>2103750</v>
      </c>
      <c r="J668" s="65" t="n"/>
      <c r="K668" s="65" t="n"/>
      <c r="L668" s="65">
        <f>VLOOKUP(B668,'[2]DS THANG 11'!A$3:E$616,5,0)</f>
        <v/>
      </c>
      <c r="M668" s="65" t="n">
        <v>2103750</v>
      </c>
      <c r="N668" s="65" t="n"/>
      <c r="O668" s="65" t="n"/>
      <c r="P668" s="65">
        <f>VLOOKUP(B668,'[3]TONG HOP '!B$5:O$666,14,0)</f>
        <v/>
      </c>
      <c r="Q668" s="65" t="n">
        <v>2103750</v>
      </c>
      <c r="R668" s="65" t="n"/>
      <c r="S668" s="92">
        <f>G668-I668-R668-K668-M668-O668-Q668</f>
        <v/>
      </c>
      <c r="T668" s="92" t="inlineStr">
        <is>
          <t>LNH0526NQ09</t>
        </is>
      </c>
      <c r="U668" s="92" t="n">
        <v>2103750</v>
      </c>
      <c r="V668" s="69">
        <f>G668-SUM(I668,K668,M668,O668,Q668,U668)</f>
        <v/>
      </c>
      <c r="W668" s="65" t="n"/>
      <c r="X668" t="inlineStr">
        <is>
          <t>Khớp</t>
        </is>
      </c>
    </row>
    <row r="669">
      <c r="A669" s="65" t="n">
        <v>660</v>
      </c>
      <c r="B669" s="65" t="inlineStr">
        <is>
          <t>25808900014</t>
        </is>
      </c>
      <c r="C669" s="65" t="inlineStr">
        <is>
          <t>Trần Minh</t>
        </is>
      </c>
      <c r="D669" s="65" t="inlineStr">
        <is>
          <t>Chí</t>
        </is>
      </c>
      <c r="E669" s="65" t="inlineStr">
        <is>
          <t>10/10/2007</t>
        </is>
      </c>
      <c r="F669" s="66" t="inlineStr">
        <is>
          <t>LNH0925ND01</t>
        </is>
      </c>
      <c r="G669" s="90" t="n">
        <v>8415000</v>
      </c>
      <c r="H669" s="65">
        <f>VLOOKUP(B669,'[1]TONG HOP'!B$5:G$624,6,0)</f>
        <v/>
      </c>
      <c r="I669" s="65" t="n">
        <v>2103750</v>
      </c>
      <c r="J669" s="65" t="n"/>
      <c r="K669" s="65" t="n"/>
      <c r="L669" s="65">
        <f>VLOOKUP(B669,'[2]DS THANG 11'!A$3:E$616,5,0)</f>
        <v/>
      </c>
      <c r="M669" s="65" t="n">
        <v>2103750</v>
      </c>
      <c r="N669" s="65" t="n"/>
      <c r="O669" s="65" t="n"/>
      <c r="P669" s="65">
        <f>VLOOKUP(B669,'[3]TONG HOP '!B$5:O$666,14,0)</f>
        <v/>
      </c>
      <c r="Q669" s="65" t="n">
        <v>2103750</v>
      </c>
      <c r="R669" s="65" t="n"/>
      <c r="S669" s="92">
        <f>G669-I669-R669-K669-M669-O669-Q669</f>
        <v/>
      </c>
      <c r="T669" s="92" t="inlineStr"/>
      <c r="U669" s="92" t="inlineStr"/>
      <c r="V669" s="69">
        <f>G669-SUM(I669,K669,M669,O669,Q669,U669)</f>
        <v/>
      </c>
      <c r="W669" s="65" t="n"/>
      <c r="X669" t="inlineStr">
        <is>
          <t>Khớp</t>
        </is>
      </c>
    </row>
    <row r="670">
      <c r="A670" s="65" t="n">
        <v>661</v>
      </c>
      <c r="B670" s="65" t="inlineStr">
        <is>
          <t>25802800113</t>
        </is>
      </c>
      <c r="C670" s="65" t="inlineStr">
        <is>
          <t>Huỳnh Phạm Đăng</t>
        </is>
      </c>
      <c r="D670" s="65" t="inlineStr">
        <is>
          <t>Khoa</t>
        </is>
      </c>
      <c r="E670" s="65" t="inlineStr">
        <is>
          <t>29/12/2007</t>
        </is>
      </c>
      <c r="F670" s="66" t="inlineStr">
        <is>
          <t>LNH0925ND01</t>
        </is>
      </c>
      <c r="G670" s="90" t="n">
        <v>5000000</v>
      </c>
      <c r="H670" s="65">
        <f>VLOOKUP(B670,'[1]TONG HOP'!B$5:G$624,6,0)</f>
        <v/>
      </c>
      <c r="I670" s="65" t="n">
        <v>2232500</v>
      </c>
      <c r="J670" s="65" t="n"/>
      <c r="K670" s="65" t="n"/>
      <c r="L670" s="65">
        <f>VLOOKUP(B670,'[2]DS THANG 11'!A$3:E$616,5,0)</f>
        <v/>
      </c>
      <c r="M670" s="65" t="n">
        <v>2232500</v>
      </c>
      <c r="N670" s="65" t="n"/>
      <c r="O670" s="65" t="n"/>
      <c r="P670" s="65" t="n"/>
      <c r="Q670" s="65" t="n"/>
      <c r="R670" s="65" t="n"/>
      <c r="S670" s="92">
        <f>G670-I670-R670-K670-M670-O670-Q670</f>
        <v/>
      </c>
      <c r="T670" s="92" t="inlineStr"/>
      <c r="U670" s="92" t="inlineStr"/>
      <c r="V670" s="69">
        <f>G670-SUM(I670,K670,M670,O670,Q670,U670)</f>
        <v/>
      </c>
      <c r="W670" s="65" t="n"/>
      <c r="X670" t="inlineStr">
        <is>
          <t>Khớp</t>
        </is>
      </c>
    </row>
    <row r="671">
      <c r="A671" s="65" t="n">
        <v>662</v>
      </c>
      <c r="B671" s="65" t="inlineStr">
        <is>
          <t>25807800040</t>
        </is>
      </c>
      <c r="C671" s="65" t="inlineStr">
        <is>
          <t>Nguyễn Thế</t>
        </is>
      </c>
      <c r="D671" s="65" t="inlineStr">
        <is>
          <t>Hải</t>
        </is>
      </c>
      <c r="E671" s="65" t="inlineStr">
        <is>
          <t>04/06/2007</t>
        </is>
      </c>
      <c r="F671" s="66" t="inlineStr">
        <is>
          <t>LNH0925ND01</t>
        </is>
      </c>
      <c r="G671" s="90" t="n">
        <v>500000</v>
      </c>
      <c r="H671" s="65" t="n"/>
      <c r="I671" s="65" t="n"/>
      <c r="J671" s="65" t="n"/>
      <c r="K671" s="65" t="n"/>
      <c r="L671" s="65" t="n"/>
      <c r="M671" s="65" t="n"/>
      <c r="N671" s="65" t="n"/>
      <c r="O671" s="65" t="n"/>
      <c r="P671" s="65" t="n"/>
      <c r="Q671" s="65" t="n"/>
      <c r="R671" s="65" t="n"/>
      <c r="S671" s="92">
        <f>G671-I671-R671-K671-M671-O671-Q671</f>
        <v/>
      </c>
      <c r="T671" s="92" t="inlineStr"/>
      <c r="U671" s="92" t="inlineStr"/>
      <c r="V671" s="69">
        <f>G671-SUM(I671,K671,M671,O671,Q671,U671)</f>
        <v/>
      </c>
      <c r="W671" s="65" t="n"/>
      <c r="X671" t="inlineStr">
        <is>
          <t>Khớp</t>
        </is>
      </c>
    </row>
    <row r="672">
      <c r="A672" s="65" t="n">
        <v>663</v>
      </c>
      <c r="B672" s="65" t="inlineStr">
        <is>
          <t>25800500004</t>
        </is>
      </c>
      <c r="C672" s="65" t="inlineStr">
        <is>
          <t>Lê Nguyễn Việt</t>
        </is>
      </c>
      <c r="D672" s="65" t="inlineStr">
        <is>
          <t>Anh</t>
        </is>
      </c>
      <c r="E672" s="65" t="inlineStr">
        <is>
          <t>09/07/2007</t>
        </is>
      </c>
      <c r="F672" s="66" t="inlineStr">
        <is>
          <t>LNH0925ND01</t>
        </is>
      </c>
      <c r="G672" s="90" t="n">
        <v>1000000</v>
      </c>
      <c r="H672" s="65" t="n"/>
      <c r="I672" s="65" t="n"/>
      <c r="J672" s="65" t="n"/>
      <c r="K672" s="65" t="n"/>
      <c r="L672" s="65" t="n"/>
      <c r="M672" s="65" t="n"/>
      <c r="N672" s="65" t="n"/>
      <c r="O672" s="65" t="n"/>
      <c r="P672" s="65" t="n"/>
      <c r="Q672" s="65" t="n"/>
      <c r="R672" s="65" t="n"/>
      <c r="S672" s="92">
        <f>G672-I672-R672-K672-M672-O672-Q672</f>
        <v/>
      </c>
      <c r="T672" s="92" t="inlineStr"/>
      <c r="U672" s="92" t="inlineStr"/>
      <c r="V672" s="69">
        <f>G672-SUM(I672,K672,M672,O672,Q672,U672)</f>
        <v/>
      </c>
      <c r="W672" s="65" t="n"/>
      <c r="X672" t="inlineStr">
        <is>
          <t>Khớp</t>
        </is>
      </c>
    </row>
    <row r="673">
      <c r="A673" s="65" t="n">
        <v>664</v>
      </c>
      <c r="B673" s="65" t="inlineStr">
        <is>
          <t>25808200090</t>
        </is>
      </c>
      <c r="C673" s="65" t="inlineStr">
        <is>
          <t>Phan Tuấn</t>
        </is>
      </c>
      <c r="D673" s="65" t="inlineStr">
        <is>
          <t>Nghĩa</t>
        </is>
      </c>
      <c r="E673" s="65" t="inlineStr">
        <is>
          <t>02/12/2007</t>
        </is>
      </c>
      <c r="F673" s="66" t="inlineStr">
        <is>
          <t>LNH0925ND01</t>
        </is>
      </c>
      <c r="G673" s="90" t="n">
        <v>4465000</v>
      </c>
      <c r="H673" s="65">
        <f>VLOOKUP(B673,'[1]TONG HOP'!B$5:G$624,6,0)</f>
        <v/>
      </c>
      <c r="I673" s="65" t="n">
        <v>2232500</v>
      </c>
      <c r="J673" s="65" t="n"/>
      <c r="K673" s="65" t="n"/>
      <c r="L673" s="65" t="n"/>
      <c r="M673" s="65" t="n"/>
      <c r="N673" s="65" t="n"/>
      <c r="O673" s="65" t="n"/>
      <c r="P673" s="65">
        <f>VLOOKUP(B673,'[3]TONG HOP '!B$5:O$666,14,0)</f>
        <v/>
      </c>
      <c r="Q673" s="65" t="n">
        <v>2232500</v>
      </c>
      <c r="R673" s="65" t="n"/>
      <c r="S673" s="92">
        <f>G673-I673-R673-K673-M673-O673-Q673</f>
        <v/>
      </c>
      <c r="T673" s="92" t="inlineStr"/>
      <c r="U673" s="92" t="inlineStr"/>
      <c r="V673" s="69">
        <f>G673-SUM(I673,K673,M673,O673,Q673,U673)</f>
        <v/>
      </c>
      <c r="W673" s="65" t="n"/>
      <c r="X673" t="inlineStr">
        <is>
          <t>Khớp</t>
        </is>
      </c>
    </row>
    <row r="674">
      <c r="A674" s="65" t="n">
        <v>665</v>
      </c>
      <c r="B674" s="65" t="inlineStr">
        <is>
          <t>25802800351</t>
        </is>
      </c>
      <c r="C674" s="65" t="inlineStr">
        <is>
          <t>Nguyễn Duy</t>
        </is>
      </c>
      <c r="D674" s="65" t="inlineStr">
        <is>
          <t>Thắng</t>
        </is>
      </c>
      <c r="E674" s="65" t="inlineStr">
        <is>
          <t>19/08/2007</t>
        </is>
      </c>
      <c r="F674" s="66" t="inlineStr">
        <is>
          <t>LNH0925ND01</t>
        </is>
      </c>
      <c r="G674" s="90" t="n">
        <v>8415000</v>
      </c>
      <c r="H674" s="65">
        <f>VLOOKUP(B674,'[1]TONG HOP'!B$5:G$624,6,0)</f>
        <v/>
      </c>
      <c r="I674" s="65" t="n">
        <v>2103750</v>
      </c>
      <c r="J674" s="65" t="n"/>
      <c r="K674" s="65" t="n"/>
      <c r="L674" s="65">
        <f>VLOOKUP(B674,'[2]DS THANG 11'!A$3:E$616,5,0)</f>
        <v/>
      </c>
      <c r="M674" s="65" t="n">
        <v>2103750</v>
      </c>
      <c r="N674" s="65" t="n"/>
      <c r="O674" s="65" t="n"/>
      <c r="P674" s="65">
        <f>VLOOKUP(B674,'[3]TONG HOP '!B$5:O$666,14,0)</f>
        <v/>
      </c>
      <c r="Q674" s="65" t="n">
        <v>2103750</v>
      </c>
      <c r="R674" s="65" t="n"/>
      <c r="S674" s="92">
        <f>G674-I674-R674-K674-M674-O674-Q674</f>
        <v/>
      </c>
      <c r="T674" s="92" t="inlineStr">
        <is>
          <t>LNH0526NQ07</t>
        </is>
      </c>
      <c r="U674" s="92" t="n">
        <v>2103750</v>
      </c>
      <c r="V674" s="69">
        <f>G674-SUM(I674,K674,M674,O674,Q674,U674)</f>
        <v/>
      </c>
      <c r="W674" s="65" t="n"/>
      <c r="X674" t="inlineStr">
        <is>
          <t>Khớp</t>
        </is>
      </c>
    </row>
    <row r="675">
      <c r="A675" s="65" t="n">
        <v>666</v>
      </c>
      <c r="B675" s="65" t="inlineStr">
        <is>
          <t>25801800183</t>
        </is>
      </c>
      <c r="C675" s="65" t="inlineStr">
        <is>
          <t>Trần Thị Minh</t>
        </is>
      </c>
      <c r="D675" s="65" t="inlineStr">
        <is>
          <t>Tú</t>
        </is>
      </c>
      <c r="E675" s="65" t="inlineStr">
        <is>
          <t>14/02/2007</t>
        </is>
      </c>
      <c r="F675" s="66" t="inlineStr">
        <is>
          <t>LNH0925ND01</t>
        </is>
      </c>
      <c r="G675" s="90" t="n">
        <v>8415000</v>
      </c>
      <c r="H675" s="65">
        <f>VLOOKUP(B675,'[1]TONG HOP'!B$5:G$624,6,0)</f>
        <v/>
      </c>
      <c r="I675" s="65" t="n">
        <v>2103750</v>
      </c>
      <c r="J675" s="65" t="n"/>
      <c r="K675" s="65" t="n"/>
      <c r="L675" s="65">
        <f>VLOOKUP(B675,'[2]DS THANG 11'!A$3:E$616,5,0)</f>
        <v/>
      </c>
      <c r="M675" s="65" t="n">
        <v>2103750</v>
      </c>
      <c r="N675" s="65" t="n"/>
      <c r="O675" s="65" t="n"/>
      <c r="P675" s="65">
        <f>VLOOKUP(B675,'[3]TONG HOP '!B$5:O$666,14,0)</f>
        <v/>
      </c>
      <c r="Q675" s="65" t="n">
        <v>2103750</v>
      </c>
      <c r="R675" s="65" t="n"/>
      <c r="S675" s="92">
        <f>G675-I675-R675-K675-M675-O675-Q675</f>
        <v/>
      </c>
      <c r="T675" s="92" t="inlineStr"/>
      <c r="U675" s="92" t="inlineStr"/>
      <c r="V675" s="69">
        <f>G675-SUM(I675,K675,M675,O675,Q675,U675)</f>
        <v/>
      </c>
      <c r="W675" s="65" t="n"/>
      <c r="X675" t="inlineStr">
        <is>
          <t>Khớp</t>
        </is>
      </c>
    </row>
    <row r="676">
      <c r="A676" s="65" t="n">
        <v>667</v>
      </c>
      <c r="B676" s="65" t="inlineStr">
        <is>
          <t>25820200048</t>
        </is>
      </c>
      <c r="C676" s="65" t="inlineStr">
        <is>
          <t>Vũ Thiên</t>
        </is>
      </c>
      <c r="D676" s="65" t="inlineStr">
        <is>
          <t>Phú</t>
        </is>
      </c>
      <c r="E676" s="65" t="inlineStr">
        <is>
          <t>06/01/2007</t>
        </is>
      </c>
      <c r="F676" s="66" t="inlineStr">
        <is>
          <t>LNH0925ND01</t>
        </is>
      </c>
      <c r="G676" s="90" t="n">
        <v>1000000</v>
      </c>
      <c r="H676" s="65" t="n"/>
      <c r="I676" s="65" t="n"/>
      <c r="J676" s="65" t="n"/>
      <c r="K676" s="65" t="n"/>
      <c r="L676" s="65" t="n"/>
      <c r="M676" s="65" t="n"/>
      <c r="N676" s="65" t="n"/>
      <c r="O676" s="65" t="n"/>
      <c r="P676" s="65" t="n"/>
      <c r="Q676" s="65" t="n"/>
      <c r="R676" s="65" t="n"/>
      <c r="S676" s="92">
        <f>G676-I676-R676-K676-M676-O676-Q676</f>
        <v/>
      </c>
      <c r="T676" s="92" t="inlineStr"/>
      <c r="U676" s="92" t="inlineStr"/>
      <c r="V676" s="69">
        <f>G676-SUM(I676,K676,M676,O676,Q676,U676)</f>
        <v/>
      </c>
      <c r="W676" s="65" t="n"/>
      <c r="X676" t="inlineStr">
        <is>
          <t>Khớp</t>
        </is>
      </c>
    </row>
    <row r="677">
      <c r="A677" s="65" t="n">
        <v>668</v>
      </c>
      <c r="B677" s="65" t="inlineStr">
        <is>
          <t>25808200137</t>
        </is>
      </c>
      <c r="C677" s="65" t="inlineStr">
        <is>
          <t>Trần Minh</t>
        </is>
      </c>
      <c r="D677" s="65" t="inlineStr">
        <is>
          <t>Tú</t>
        </is>
      </c>
      <c r="E677" s="65" t="inlineStr">
        <is>
          <t>30/04/2007</t>
        </is>
      </c>
      <c r="F677" s="66" t="inlineStr">
        <is>
          <t>LNH0925ND01</t>
        </is>
      </c>
      <c r="G677" s="90" t="n">
        <v>8415000</v>
      </c>
      <c r="H677" s="65">
        <f>VLOOKUP(B677,'[1]TONG HOP'!B$5:G$624,6,0)</f>
        <v/>
      </c>
      <c r="I677" s="65" t="n">
        <v>2103750</v>
      </c>
      <c r="J677" s="65" t="n"/>
      <c r="K677" s="65" t="n"/>
      <c r="L677" s="65">
        <f>VLOOKUP(B677,'[2]DS THANG 11'!A$3:E$616,5,0)</f>
        <v/>
      </c>
      <c r="M677" s="65" t="n">
        <v>2103750</v>
      </c>
      <c r="N677" s="65" t="n"/>
      <c r="O677" s="65" t="n"/>
      <c r="P677" s="65">
        <f>VLOOKUP(B677,'[3]TONG HOP '!B$5:O$666,14,0)</f>
        <v/>
      </c>
      <c r="Q677" s="65" t="n">
        <v>2103750</v>
      </c>
      <c r="R677" s="65" t="n"/>
      <c r="S677" s="92">
        <f>G677-I677-R677-K677-M677-O677-Q677</f>
        <v/>
      </c>
      <c r="T677" s="92" t="inlineStr"/>
      <c r="U677" s="92" t="inlineStr"/>
      <c r="V677" s="69">
        <f>G677-SUM(I677,K677,M677,O677,Q677,U677)</f>
        <v/>
      </c>
      <c r="W677" s="65" t="n"/>
      <c r="X677" t="inlineStr">
        <is>
          <t>Khớp</t>
        </is>
      </c>
    </row>
    <row r="678">
      <c r="A678" s="65" t="n">
        <v>669</v>
      </c>
      <c r="B678" s="65" t="inlineStr">
        <is>
          <t>25820100086</t>
        </is>
      </c>
      <c r="C678" s="65" t="inlineStr">
        <is>
          <t>Nguyễn Tuấn</t>
        </is>
      </c>
      <c r="D678" s="65" t="inlineStr">
        <is>
          <t>Anh</t>
        </is>
      </c>
      <c r="E678" s="65" t="inlineStr">
        <is>
          <t>10/04/2007</t>
        </is>
      </c>
      <c r="F678" s="66" t="inlineStr">
        <is>
          <t>LNH0925ND01</t>
        </is>
      </c>
      <c r="G678" s="90" t="n">
        <v>4465000</v>
      </c>
      <c r="H678" s="65">
        <f>VLOOKUP(B678,'[1]TONG HOP'!B$5:G$624,6,0)</f>
        <v/>
      </c>
      <c r="I678" s="65" t="n">
        <v>2232500</v>
      </c>
      <c r="J678" s="65" t="n"/>
      <c r="K678" s="65" t="n"/>
      <c r="L678" s="65" t="n"/>
      <c r="M678" s="65" t="n"/>
      <c r="N678" s="65" t="n"/>
      <c r="O678" s="65" t="n"/>
      <c r="P678" s="65" t="n"/>
      <c r="Q678" s="65" t="n"/>
      <c r="R678" s="65" t="n"/>
      <c r="S678" s="92">
        <f>G678-I678-R678-K678-M678-O678-Q678</f>
        <v/>
      </c>
      <c r="T678" s="92" t="inlineStr"/>
      <c r="U678" s="92" t="inlineStr"/>
      <c r="V678" s="69">
        <f>G678-SUM(I678,K678,M678,O678,Q678,U678)</f>
        <v/>
      </c>
      <c r="W678" s="65" t="n"/>
      <c r="X678" t="inlineStr">
        <is>
          <t>Khớp</t>
        </is>
      </c>
    </row>
    <row r="679">
      <c r="A679" s="65" t="n">
        <v>670</v>
      </c>
      <c r="B679" s="65" t="inlineStr">
        <is>
          <t>25808300040</t>
        </is>
      </c>
      <c r="C679" s="65" t="inlineStr">
        <is>
          <t>Cao Chung Thái</t>
        </is>
      </c>
      <c r="D679" s="65" t="inlineStr">
        <is>
          <t>Sơn</t>
        </is>
      </c>
      <c r="E679" s="65" t="inlineStr">
        <is>
          <t>01/01/2003</t>
        </is>
      </c>
      <c r="F679" s="66" t="inlineStr">
        <is>
          <t>LNH0925ND01</t>
        </is>
      </c>
      <c r="G679" s="90" t="n">
        <v>8415000</v>
      </c>
      <c r="H679" s="65">
        <f>VLOOKUP(B679,'[1]TONG HOP'!B$5:G$624,6,0)</f>
        <v/>
      </c>
      <c r="I679" s="65" t="n">
        <v>2103750</v>
      </c>
      <c r="J679" s="65" t="n"/>
      <c r="K679" s="65" t="n"/>
      <c r="L679" s="65">
        <f>VLOOKUP(B679,'[2]DS THANG 11'!A$3:E$616,5,0)</f>
        <v/>
      </c>
      <c r="M679" s="65" t="n">
        <v>2103750</v>
      </c>
      <c r="N679" s="65" t="n"/>
      <c r="O679" s="65" t="n"/>
      <c r="P679" s="65">
        <f>VLOOKUP(B679,'[3]TONG HOP '!B$5:O$666,14,0)</f>
        <v/>
      </c>
      <c r="Q679" s="65" t="n">
        <v>2103750</v>
      </c>
      <c r="R679" s="65" t="n"/>
      <c r="S679" s="92">
        <f>G679-I679-R679-K679-M679-O679-Q679</f>
        <v/>
      </c>
      <c r="T679" s="92" t="inlineStr">
        <is>
          <t>LNH0526NQ07</t>
        </is>
      </c>
      <c r="U679" s="92" t="n">
        <v>2103750</v>
      </c>
      <c r="V679" s="69">
        <f>G679-SUM(I679,K679,M679,O679,Q679,U679)</f>
        <v/>
      </c>
      <c r="W679" s="65" t="n"/>
      <c r="X679" t="inlineStr">
        <is>
          <t>Khớp</t>
        </is>
      </c>
    </row>
    <row r="680">
      <c r="A680" s="65" t="n">
        <v>671</v>
      </c>
      <c r="B680" s="65" t="inlineStr">
        <is>
          <t>25807800050</t>
        </is>
      </c>
      <c r="C680" s="65" t="inlineStr">
        <is>
          <t>Võ Lương Nhật</t>
        </is>
      </c>
      <c r="D680" s="65" t="inlineStr">
        <is>
          <t>Hoàng</t>
        </is>
      </c>
      <c r="E680" s="65" t="inlineStr">
        <is>
          <t>25/06/2007</t>
        </is>
      </c>
      <c r="F680" s="66" t="inlineStr">
        <is>
          <t>LNH0925ND01</t>
        </is>
      </c>
      <c r="G680" s="90" t="n">
        <v>8415000</v>
      </c>
      <c r="H680" s="65">
        <f>VLOOKUP(B680,'[1]TONG HOP'!B$5:G$624,6,0)</f>
        <v/>
      </c>
      <c r="I680" s="65" t="n">
        <v>2103750</v>
      </c>
      <c r="J680" s="65" t="n"/>
      <c r="K680" s="65" t="n"/>
      <c r="L680" s="65">
        <f>VLOOKUP(B680,'[2]DS THANG 11'!A$3:E$616,5,0)</f>
        <v/>
      </c>
      <c r="M680" s="65" t="n">
        <v>2103750</v>
      </c>
      <c r="N680" s="65" t="n"/>
      <c r="O680" s="65" t="n"/>
      <c r="P680" s="65">
        <f>VLOOKUP(B680,'[3]TONG HOP '!B$5:O$666,14,0)</f>
        <v/>
      </c>
      <c r="Q680" s="65" t="n">
        <v>2103750</v>
      </c>
      <c r="R680" s="65" t="n"/>
      <c r="S680" s="92">
        <f>G680-I680-R680-K680-M680-O680-Q680</f>
        <v/>
      </c>
      <c r="T680" s="92" t="inlineStr">
        <is>
          <t>LNH0526NQ10</t>
        </is>
      </c>
      <c r="U680" s="92" t="n">
        <v>2103750</v>
      </c>
      <c r="V680" s="69">
        <f>G680-SUM(I680,K680,M680,O680,Q680,U680)</f>
        <v/>
      </c>
      <c r="W680" s="65" t="n"/>
      <c r="X680" t="inlineStr">
        <is>
          <t>Khớp</t>
        </is>
      </c>
    </row>
    <row r="681">
      <c r="A681" s="65" t="n">
        <v>672</v>
      </c>
      <c r="B681" s="65" t="inlineStr">
        <is>
          <t>25806000105</t>
        </is>
      </c>
      <c r="C681" s="65" t="inlineStr">
        <is>
          <t>Vũ Đỗ Như</t>
        </is>
      </c>
      <c r="D681" s="65" t="inlineStr">
        <is>
          <t>Quỳnh</t>
        </is>
      </c>
      <c r="E681" s="65" t="inlineStr">
        <is>
          <t>26/02/2007</t>
        </is>
      </c>
      <c r="F681" s="66" t="inlineStr">
        <is>
          <t>LNH0925ND01</t>
        </is>
      </c>
      <c r="G681" s="90" t="n">
        <v>8415000</v>
      </c>
      <c r="H681" s="65">
        <f>VLOOKUP(B681,'[1]TONG HOP'!B$5:G$624,6,0)</f>
        <v/>
      </c>
      <c r="I681" s="65" t="n">
        <v>2103750</v>
      </c>
      <c r="J681" s="65" t="n"/>
      <c r="K681" s="65" t="n"/>
      <c r="L681" s="65">
        <f>VLOOKUP(B681,'[2]DS THANG 11'!A$3:E$616,5,0)</f>
        <v/>
      </c>
      <c r="M681" s="65" t="n">
        <v>2103750</v>
      </c>
      <c r="N681" s="65" t="n"/>
      <c r="O681" s="65" t="n"/>
      <c r="P681" s="65">
        <f>VLOOKUP(B681,'[3]TONG HOP '!B$5:O$666,14,0)</f>
        <v/>
      </c>
      <c r="Q681" s="65" t="n">
        <v>2103750</v>
      </c>
      <c r="R681" s="65" t="n"/>
      <c r="S681" s="92">
        <f>G681-I681-R681-K681-M681-O681-Q681</f>
        <v/>
      </c>
      <c r="T681" s="92" t="inlineStr"/>
      <c r="U681" s="92" t="inlineStr"/>
      <c r="V681" s="69">
        <f>G681-SUM(I681,K681,M681,O681,Q681,U681)</f>
        <v/>
      </c>
      <c r="W681" s="65" t="n"/>
      <c r="X681" t="inlineStr">
        <is>
          <t>Khớp</t>
        </is>
      </c>
    </row>
    <row r="682">
      <c r="A682" s="65" t="n">
        <v>673</v>
      </c>
      <c r="B682" s="65" t="inlineStr">
        <is>
          <t>25807800153</t>
        </is>
      </c>
      <c r="C682" s="65" t="inlineStr">
        <is>
          <t>Hoàng Văn</t>
        </is>
      </c>
      <c r="D682" s="65" t="inlineStr">
        <is>
          <t>Trường</t>
        </is>
      </c>
      <c r="E682" s="65" t="inlineStr">
        <is>
          <t>11/04/2007</t>
        </is>
      </c>
      <c r="F682" s="66" t="inlineStr">
        <is>
          <t>LNH0925ND01</t>
        </is>
      </c>
      <c r="G682" s="90" t="n">
        <v>8415000</v>
      </c>
      <c r="H682" s="65" t="n"/>
      <c r="I682" s="65" t="n"/>
      <c r="J682" s="65" t="n"/>
      <c r="K682" s="65" t="n"/>
      <c r="L682" s="65" t="n"/>
      <c r="M682" s="65" t="n"/>
      <c r="N682" s="65" t="n"/>
      <c r="O682" s="65" t="n"/>
      <c r="P682" s="65" t="n"/>
      <c r="Q682" s="65" t="n"/>
      <c r="R682" s="65" t="n"/>
      <c r="S682" s="92">
        <f>G682-I682-R682-K682-M682-O682-Q682</f>
        <v/>
      </c>
      <c r="T682" s="92" t="inlineStr"/>
      <c r="U682" s="92" t="inlineStr"/>
      <c r="V682" s="69">
        <f>G682-SUM(I682,K682,M682,O682,Q682,U682)</f>
        <v/>
      </c>
      <c r="W682" s="65" t="n"/>
      <c r="X682" t="inlineStr">
        <is>
          <t>Khớp</t>
        </is>
      </c>
    </row>
    <row r="683">
      <c r="A683" s="65" t="n">
        <v>674</v>
      </c>
      <c r="B683" s="65" t="inlineStr">
        <is>
          <t>25820300085</t>
        </is>
      </c>
      <c r="C683" s="65" t="inlineStr">
        <is>
          <t>Nguyễn Hoàng Trọn</t>
        </is>
      </c>
      <c r="D683" s="65" t="inlineStr">
        <is>
          <t>Phú</t>
        </is>
      </c>
      <c r="E683" s="65" t="inlineStr">
        <is>
          <t>05/08/2007</t>
        </is>
      </c>
      <c r="F683" s="66" t="inlineStr">
        <is>
          <t>LNH0925ND01</t>
        </is>
      </c>
      <c r="G683" s="90" t="n">
        <v>8415000</v>
      </c>
      <c r="H683" s="65">
        <f>VLOOKUP(B683,'[1]TONG HOP'!B$5:G$624,6,0)</f>
        <v/>
      </c>
      <c r="I683" s="65" t="n">
        <v>2103750</v>
      </c>
      <c r="J683" s="65" t="n"/>
      <c r="K683" s="65" t="n"/>
      <c r="L683" s="65">
        <f>VLOOKUP(B683,'[2]DS THANG 11'!A$3:E$616,5,0)</f>
        <v/>
      </c>
      <c r="M683" s="65" t="n">
        <v>2103750</v>
      </c>
      <c r="N683" s="65" t="n"/>
      <c r="O683" s="65" t="n"/>
      <c r="P683" s="65">
        <f>VLOOKUP(B683,'[3]TONG HOP '!B$5:O$666,14,0)</f>
        <v/>
      </c>
      <c r="Q683" s="65" t="n">
        <v>2103750</v>
      </c>
      <c r="R683" s="65" t="n"/>
      <c r="S683" s="92">
        <f>G683-I683-R683-K683-M683-O683-Q683</f>
        <v/>
      </c>
      <c r="T683" s="92" t="inlineStr">
        <is>
          <t>LNH0526NQ19</t>
        </is>
      </c>
      <c r="U683" s="92" t="n">
        <v>2103750</v>
      </c>
      <c r="V683" s="69">
        <f>G683-SUM(I683,K683,M683,O683,Q683,U683)</f>
        <v/>
      </c>
      <c r="W683" s="65" t="n"/>
      <c r="X683" t="inlineStr">
        <is>
          <t>Khớp</t>
        </is>
      </c>
    </row>
    <row r="684">
      <c r="A684" s="65" t="n">
        <v>675</v>
      </c>
      <c r="B684" s="65" t="inlineStr">
        <is>
          <t>25808600090</t>
        </is>
      </c>
      <c r="C684" s="65" t="inlineStr">
        <is>
          <t>Đỗ Thị Minh</t>
        </is>
      </c>
      <c r="D684" s="65" t="inlineStr">
        <is>
          <t>Phương</t>
        </is>
      </c>
      <c r="E684" s="65" t="inlineStr">
        <is>
          <t>13/05/2007</t>
        </is>
      </c>
      <c r="F684" s="66" t="inlineStr">
        <is>
          <t>LNH0925ND01</t>
        </is>
      </c>
      <c r="G684" s="90" t="n">
        <v>8415000</v>
      </c>
      <c r="H684" s="65">
        <f>VLOOKUP(B684,'[1]TONG HOP'!B$5:G$624,6,0)</f>
        <v/>
      </c>
      <c r="I684" s="65" t="n">
        <v>2103750</v>
      </c>
      <c r="J684" s="65" t="n"/>
      <c r="K684" s="65" t="n"/>
      <c r="L684" s="65">
        <f>VLOOKUP(B684,'[2]DS THANG 11'!A$3:E$616,5,0)</f>
        <v/>
      </c>
      <c r="M684" s="65" t="n">
        <v>2103750</v>
      </c>
      <c r="N684" s="65" t="n"/>
      <c r="O684" s="65" t="n"/>
      <c r="P684" s="65" t="n"/>
      <c r="Q684" s="65" t="n"/>
      <c r="R684" s="65" t="n"/>
      <c r="S684" s="92">
        <f>G684-I684-R684-K684-M684-O684-Q684</f>
        <v/>
      </c>
      <c r="T684" s="92" t="inlineStr"/>
      <c r="U684" s="92" t="inlineStr"/>
      <c r="V684" s="69">
        <f>G684-SUM(I684,K684,M684,O684,Q684,U684)</f>
        <v/>
      </c>
      <c r="W684" s="65" t="n"/>
      <c r="X684" t="inlineStr">
        <is>
          <t>Khớp</t>
        </is>
      </c>
    </row>
    <row r="685">
      <c r="A685" s="65" t="n">
        <v>676</v>
      </c>
      <c r="B685" s="65" t="inlineStr">
        <is>
          <t>25808600067</t>
        </is>
      </c>
      <c r="C685" s="65" t="inlineStr">
        <is>
          <t>Võ Lê Thảo</t>
        </is>
      </c>
      <c r="D685" s="65" t="inlineStr">
        <is>
          <t>My</t>
        </is>
      </c>
      <c r="E685" s="65" t="inlineStr">
        <is>
          <t>12/10/2007</t>
        </is>
      </c>
      <c r="F685" s="66" t="inlineStr">
        <is>
          <t>LNH0925ND01</t>
        </is>
      </c>
      <c r="G685" s="90" t="n">
        <v>4465000</v>
      </c>
      <c r="H685" s="65">
        <f>VLOOKUP(B685,'[1]TONG HOP'!B$5:G$624,6,0)</f>
        <v/>
      </c>
      <c r="I685" s="65" t="n">
        <v>2232500</v>
      </c>
      <c r="J685" s="65" t="n"/>
      <c r="K685" s="65" t="n"/>
      <c r="L685" s="65">
        <f>VLOOKUP(B685,'[2]DS THANG 11'!A$3:E$616,5,0)</f>
        <v/>
      </c>
      <c r="M685" s="65" t="n">
        <v>2232500</v>
      </c>
      <c r="N685" s="65" t="n"/>
      <c r="O685" s="65" t="n"/>
      <c r="P685" s="65" t="n"/>
      <c r="Q685" s="65" t="n"/>
      <c r="R685" s="65" t="n"/>
      <c r="S685" s="92">
        <f>G685-I685-R685-K685-M685-O685-Q685</f>
        <v/>
      </c>
      <c r="T685" s="92" t="inlineStr"/>
      <c r="U685" s="92" t="inlineStr"/>
      <c r="V685" s="69">
        <f>G685-SUM(I685,K685,M685,O685,Q685,U685)</f>
        <v/>
      </c>
      <c r="W685" s="65" t="n"/>
      <c r="X685" t="inlineStr">
        <is>
          <t>Khớp</t>
        </is>
      </c>
    </row>
    <row r="686">
      <c r="A686" s="65" t="n">
        <v>677</v>
      </c>
      <c r="B686" s="65" t="inlineStr">
        <is>
          <t>25800400150</t>
        </is>
      </c>
      <c r="C686" s="65" t="inlineStr">
        <is>
          <t>Lưu Nguyễn Minh</t>
        </is>
      </c>
      <c r="D686" s="65" t="inlineStr">
        <is>
          <t>Thông</t>
        </is>
      </c>
      <c r="E686" s="65" t="inlineStr">
        <is>
          <t>11/04/2007</t>
        </is>
      </c>
      <c r="F686" s="66" t="inlineStr">
        <is>
          <t>LNH0925ND01</t>
        </is>
      </c>
      <c r="G686" s="90" t="n">
        <v>8415000</v>
      </c>
      <c r="H686" s="65">
        <f>VLOOKUP(B686,'[1]TONG HOP'!B$5:G$624,6,0)</f>
        <v/>
      </c>
      <c r="I686" s="65" t="n">
        <v>2103750</v>
      </c>
      <c r="J686" s="65" t="n"/>
      <c r="K686" s="65" t="n"/>
      <c r="L686" s="65">
        <f>VLOOKUP(B686,'[2]DS THANG 11'!A$3:E$616,5,0)</f>
        <v/>
      </c>
      <c r="M686" s="65" t="n">
        <v>2103750</v>
      </c>
      <c r="N686" s="65" t="n"/>
      <c r="O686" s="65" t="n"/>
      <c r="P686" s="65">
        <f>VLOOKUP(B686,'[3]TONG HOP '!B$5:O$666,14,0)</f>
        <v/>
      </c>
      <c r="Q686" s="65" t="n">
        <v>2103750</v>
      </c>
      <c r="R686" s="65" t="n"/>
      <c r="S686" s="92">
        <f>G686-I686-R686-K686-M686-O686-Q686</f>
        <v/>
      </c>
      <c r="T686" s="92" t="inlineStr"/>
      <c r="U686" s="92" t="inlineStr"/>
      <c r="V686" s="69">
        <f>G686-SUM(I686,K686,M686,O686,Q686,U686)</f>
        <v/>
      </c>
      <c r="W686" s="65" t="n"/>
      <c r="X686" t="inlineStr">
        <is>
          <t>Khớp</t>
        </is>
      </c>
    </row>
    <row r="687">
      <c r="A687" s="65" t="n">
        <v>678</v>
      </c>
      <c r="B687" s="65" t="inlineStr">
        <is>
          <t>25808600257</t>
        </is>
      </c>
      <c r="C687" s="65" t="inlineStr">
        <is>
          <t>Trần Anh</t>
        </is>
      </c>
      <c r="D687" s="65" t="inlineStr">
        <is>
          <t>Khoa</t>
        </is>
      </c>
      <c r="E687" s="65" t="inlineStr">
        <is>
          <t>22/05/2007</t>
        </is>
      </c>
      <c r="F687" s="66" t="inlineStr">
        <is>
          <t>LNH0925ND01</t>
        </is>
      </c>
      <c r="G687" s="90" t="n">
        <v>1000000</v>
      </c>
      <c r="H687" s="65" t="n"/>
      <c r="I687" s="65" t="n"/>
      <c r="J687" s="65" t="n"/>
      <c r="K687" s="65" t="n"/>
      <c r="L687" s="65" t="n"/>
      <c r="M687" s="65" t="n"/>
      <c r="N687" s="65" t="n"/>
      <c r="O687" s="65" t="n"/>
      <c r="P687" s="65" t="n"/>
      <c r="Q687" s="65" t="n"/>
      <c r="R687" s="65" t="n"/>
      <c r="S687" s="92">
        <f>G687-I687-R687-K687-M687-O687-Q687</f>
        <v/>
      </c>
      <c r="T687" s="92" t="inlineStr"/>
      <c r="U687" s="92" t="inlineStr"/>
      <c r="V687" s="69">
        <f>G687-SUM(I687,K687,M687,O687,Q687,U687)</f>
        <v/>
      </c>
      <c r="W687" s="65" t="n"/>
      <c r="X687" t="inlineStr">
        <is>
          <t>Khớp</t>
        </is>
      </c>
    </row>
    <row r="688">
      <c r="A688" s="65" t="n">
        <v>679</v>
      </c>
      <c r="B688" s="65" t="inlineStr">
        <is>
          <t>25801200066</t>
        </is>
      </c>
      <c r="C688" s="65" t="inlineStr">
        <is>
          <t>Lê Nguyễn Hoài</t>
        </is>
      </c>
      <c r="D688" s="65" t="inlineStr">
        <is>
          <t>Thương</t>
        </is>
      </c>
      <c r="E688" s="65" t="inlineStr">
        <is>
          <t>30/08/2007</t>
        </is>
      </c>
      <c r="F688" s="66" t="inlineStr">
        <is>
          <t>LNH0925ND01</t>
        </is>
      </c>
      <c r="G688" s="90" t="n">
        <v>8415000</v>
      </c>
      <c r="H688" s="65">
        <f>VLOOKUP(B688,'[1]TONG HOP'!B$5:G$624,6,0)</f>
        <v/>
      </c>
      <c r="I688" s="65" t="n">
        <v>2103750</v>
      </c>
      <c r="J688" s="65" t="n"/>
      <c r="K688" s="65" t="n"/>
      <c r="L688" s="65">
        <f>VLOOKUP(B688,'[2]DS THANG 11'!A$3:E$616,5,0)</f>
        <v/>
      </c>
      <c r="M688" s="65" t="n">
        <v>2103750</v>
      </c>
      <c r="N688" s="65" t="n"/>
      <c r="O688" s="65" t="n"/>
      <c r="P688" s="65">
        <f>VLOOKUP(B688,'[3]TONG HOP '!B$5:O$666,14,0)</f>
        <v/>
      </c>
      <c r="Q688" s="65" t="n">
        <v>2103750</v>
      </c>
      <c r="R688" s="65" t="n"/>
      <c r="S688" s="92">
        <f>G688-I688-R688-K688-M688-O688-Q688</f>
        <v/>
      </c>
      <c r="T688" s="92" t="inlineStr">
        <is>
          <t>LNH0526NQ19</t>
        </is>
      </c>
      <c r="U688" s="92" t="n">
        <v>2103750</v>
      </c>
      <c r="V688" s="69">
        <f>G688-SUM(I688,K688,M688,O688,Q688,U688)</f>
        <v/>
      </c>
      <c r="W688" s="65" t="n"/>
      <c r="X688" t="inlineStr">
        <is>
          <t>Khớp</t>
        </is>
      </c>
    </row>
    <row r="689">
      <c r="A689" s="65" t="n">
        <v>680</v>
      </c>
      <c r="B689" s="65" t="inlineStr">
        <is>
          <t>25806800069</t>
        </is>
      </c>
      <c r="C689" s="65" t="inlineStr">
        <is>
          <t>Phạm Thị Đào</t>
        </is>
      </c>
      <c r="D689" s="65" t="inlineStr">
        <is>
          <t>Thu</t>
        </is>
      </c>
      <c r="E689" s="65" t="inlineStr">
        <is>
          <t>31/08/2007</t>
        </is>
      </c>
      <c r="F689" s="66" t="inlineStr">
        <is>
          <t>LNH0925ND01</t>
        </is>
      </c>
      <c r="G689" s="90" t="n">
        <v>8415000</v>
      </c>
      <c r="H689" s="65">
        <f>VLOOKUP(B689,'[1]TONG HOP'!B$5:G$624,6,0)</f>
        <v/>
      </c>
      <c r="I689" s="65" t="n">
        <v>2103750</v>
      </c>
      <c r="J689" s="65" t="n"/>
      <c r="K689" s="65" t="n"/>
      <c r="L689" s="65">
        <f>VLOOKUP(B689,'[2]DS THANG 11'!A$3:E$616,5,0)</f>
        <v/>
      </c>
      <c r="M689" s="65" t="n">
        <v>2103750</v>
      </c>
      <c r="N689" s="65" t="n"/>
      <c r="O689" s="65" t="n"/>
      <c r="P689" s="65">
        <f>VLOOKUP(B689,'[3]TONG HOP '!B$5:O$666,14,0)</f>
        <v/>
      </c>
      <c r="Q689" s="65" t="n">
        <v>2103750</v>
      </c>
      <c r="R689" s="65" t="n"/>
      <c r="S689" s="92">
        <f>G689-I689-R689-K689-M689-O689-Q689</f>
        <v/>
      </c>
      <c r="T689" s="92" t="inlineStr"/>
      <c r="U689" s="92" t="inlineStr"/>
      <c r="V689" s="69">
        <f>G689-SUM(I689,K689,M689,O689,Q689,U689)</f>
        <v/>
      </c>
      <c r="W689" s="65" t="n"/>
      <c r="X689" t="inlineStr">
        <is>
          <t>Khớp</t>
        </is>
      </c>
    </row>
    <row r="690">
      <c r="A690" s="65" t="n">
        <v>681</v>
      </c>
      <c r="B690" s="65" t="inlineStr">
        <is>
          <t>25800400025</t>
        </is>
      </c>
      <c r="C690" s="65" t="inlineStr">
        <is>
          <t>Nguyễn Hoàng</t>
        </is>
      </c>
      <c r="D690" s="65" t="inlineStr">
        <is>
          <t>Duy</t>
        </is>
      </c>
      <c r="E690" s="65" t="inlineStr">
        <is>
          <t>22/07/2007</t>
        </is>
      </c>
      <c r="F690" s="66" t="inlineStr">
        <is>
          <t>LNH0925ND01</t>
        </is>
      </c>
      <c r="G690" s="90" t="n">
        <v>1000000</v>
      </c>
      <c r="H690" s="65" t="n"/>
      <c r="I690" s="65" t="n"/>
      <c r="J690" s="65" t="n"/>
      <c r="K690" s="65" t="n"/>
      <c r="L690" s="65" t="n"/>
      <c r="M690" s="65" t="n"/>
      <c r="N690" s="65" t="n"/>
      <c r="O690" s="65" t="n"/>
      <c r="P690" s="65" t="n"/>
      <c r="Q690" s="65" t="n"/>
      <c r="R690" s="65" t="n"/>
      <c r="S690" s="92">
        <f>G690-I690-R690-K690-M690-O690-Q690</f>
        <v/>
      </c>
      <c r="T690" s="92" t="inlineStr"/>
      <c r="U690" s="92" t="inlineStr"/>
      <c r="V690" s="69">
        <f>G690-SUM(I690,K690,M690,O690,Q690,U690)</f>
        <v/>
      </c>
      <c r="W690" s="65" t="n"/>
      <c r="X690" t="inlineStr">
        <is>
          <t>Khớp</t>
        </is>
      </c>
    </row>
    <row r="691">
      <c r="A691" s="65" t="n">
        <v>682</v>
      </c>
      <c r="B691" s="65" t="inlineStr">
        <is>
          <t>25802800255</t>
        </is>
      </c>
      <c r="C691" s="65" t="inlineStr">
        <is>
          <t>Phạm Nguyễn Anh</t>
        </is>
      </c>
      <c r="D691" s="65" t="inlineStr">
        <is>
          <t>Thư</t>
        </is>
      </c>
      <c r="E691" s="65" t="inlineStr">
        <is>
          <t>22/04/2007</t>
        </is>
      </c>
      <c r="F691" s="66" t="inlineStr">
        <is>
          <t>LNH0925ND01</t>
        </is>
      </c>
      <c r="G691" s="90" t="n">
        <v>4465000</v>
      </c>
      <c r="H691" s="65">
        <f>VLOOKUP(B691,'[1]TONG HOP'!B$5:G$624,6,0)</f>
        <v/>
      </c>
      <c r="I691" s="65" t="n">
        <v>2232500</v>
      </c>
      <c r="J691" s="65" t="n"/>
      <c r="K691" s="65" t="n"/>
      <c r="L691" s="65">
        <f>VLOOKUP(B691,'[2]DS THANG 11'!A$3:E$616,5,0)</f>
        <v/>
      </c>
      <c r="M691" s="65" t="n">
        <v>2232500</v>
      </c>
      <c r="N691" s="65" t="n"/>
      <c r="O691" s="65" t="n"/>
      <c r="P691" s="65" t="n"/>
      <c r="Q691" s="65" t="n"/>
      <c r="R691" s="65" t="n"/>
      <c r="S691" s="92">
        <f>G691-I691-R691-K691-M691-O691-Q691</f>
        <v/>
      </c>
      <c r="T691" s="92" t="inlineStr"/>
      <c r="U691" s="92" t="inlineStr"/>
      <c r="V691" s="69">
        <f>G691-SUM(I691,K691,M691,O691,Q691,U691)</f>
        <v/>
      </c>
      <c r="W691" s="65" t="n"/>
      <c r="X691" t="inlineStr">
        <is>
          <t>Khớp</t>
        </is>
      </c>
    </row>
    <row r="692">
      <c r="A692" s="65" t="n">
        <v>683</v>
      </c>
      <c r="B692" s="65" t="inlineStr">
        <is>
          <t>25801300005</t>
        </is>
      </c>
      <c r="C692" s="65" t="inlineStr">
        <is>
          <t>Mai Ngọc</t>
        </is>
      </c>
      <c r="D692" s="65" t="inlineStr">
        <is>
          <t>Cẩn</t>
        </is>
      </c>
      <c r="E692" s="65" t="inlineStr">
        <is>
          <t>18/06/2006</t>
        </is>
      </c>
      <c r="F692" s="66" t="inlineStr">
        <is>
          <t>LNH0925ND01</t>
        </is>
      </c>
      <c r="G692" s="90" t="n">
        <v>1000000</v>
      </c>
      <c r="H692" s="65" t="n"/>
      <c r="I692" s="65" t="n"/>
      <c r="J692" s="65" t="n"/>
      <c r="K692" s="65" t="n"/>
      <c r="L692" s="65" t="n"/>
      <c r="M692" s="65" t="n"/>
      <c r="N692" s="65" t="n"/>
      <c r="O692" s="65" t="n"/>
      <c r="P692" s="65" t="n"/>
      <c r="Q692" s="65" t="n"/>
      <c r="R692" s="65" t="n"/>
      <c r="S692" s="92">
        <f>G692-I692-R692-K692-M692-O692-Q692</f>
        <v/>
      </c>
      <c r="T692" s="92" t="inlineStr"/>
      <c r="U692" s="92" t="inlineStr"/>
      <c r="V692" s="69">
        <f>G692-SUM(I692,K692,M692,O692,Q692,U692)</f>
        <v/>
      </c>
      <c r="W692" s="65" t="n"/>
      <c r="X692" t="inlineStr">
        <is>
          <t>Khớp</t>
        </is>
      </c>
    </row>
    <row r="693">
      <c r="A693" s="65" t="n">
        <v>684</v>
      </c>
      <c r="B693" s="65" t="inlineStr">
        <is>
          <t>25802100067</t>
        </is>
      </c>
      <c r="C693" s="65" t="inlineStr">
        <is>
          <t>Nguyễn Hà Hạnh</t>
        </is>
      </c>
      <c r="D693" s="65" t="inlineStr">
        <is>
          <t>Phương</t>
        </is>
      </c>
      <c r="E693" s="65" t="inlineStr">
        <is>
          <t>11/07/2007</t>
        </is>
      </c>
      <c r="F693" s="66" t="inlineStr">
        <is>
          <t>LNH0925ND01</t>
        </is>
      </c>
      <c r="G693" s="90">
        <f>1000000+7415000</f>
        <v/>
      </c>
      <c r="H693" s="65" t="n"/>
      <c r="I693" s="65" t="n"/>
      <c r="J693" s="65" t="n"/>
      <c r="K693" s="65" t="n"/>
      <c r="L693" s="65">
        <f>VLOOKUP(B693,'[2]DS THANG 11'!A$3:E$616,5,0)</f>
        <v/>
      </c>
      <c r="M693" s="65" t="n">
        <v>2103750</v>
      </c>
      <c r="N693" s="65" t="n"/>
      <c r="O693" s="65" t="n"/>
      <c r="P693" s="65">
        <f>VLOOKUP(B693,'[3]TONG HOP '!B$5:O$666,14,0)</f>
        <v/>
      </c>
      <c r="Q693" s="65" t="n">
        <v>2103750</v>
      </c>
      <c r="R693" s="65" t="n"/>
      <c r="S693" s="92">
        <f>G693-I693-R693-K693-M693-O693-Q693</f>
        <v/>
      </c>
      <c r="T693" s="92" t="inlineStr">
        <is>
          <t>LNH0526NQ12</t>
        </is>
      </c>
      <c r="U693" s="92" t="n">
        <v>2103750</v>
      </c>
      <c r="V693" s="69">
        <f>G693-SUM(I693,K693,M693,O693,Q693,U693)</f>
        <v/>
      </c>
      <c r="W693" s="65" t="n"/>
      <c r="X693" t="inlineStr">
        <is>
          <t>Khớp</t>
        </is>
      </c>
    </row>
    <row r="694">
      <c r="A694" s="65" t="n">
        <v>685</v>
      </c>
      <c r="B694" s="65" t="inlineStr">
        <is>
          <t>25802700103</t>
        </is>
      </c>
      <c r="C694" s="65" t="inlineStr">
        <is>
          <t>Văn Thị Cẩm</t>
        </is>
      </c>
      <c r="D694" s="65" t="inlineStr">
        <is>
          <t>Tú</t>
        </is>
      </c>
      <c r="E694" s="65" t="inlineStr">
        <is>
          <t>02/05/2007</t>
        </is>
      </c>
      <c r="F694" s="66" t="inlineStr">
        <is>
          <t>LNH0925ND01</t>
        </is>
      </c>
      <c r="G694" s="90" t="n">
        <v>8415000</v>
      </c>
      <c r="H694" s="65" t="n"/>
      <c r="I694" s="65" t="n"/>
      <c r="J694" s="65" t="n"/>
      <c r="K694" s="65" t="n"/>
      <c r="L694" s="65" t="n"/>
      <c r="M694" s="65" t="n"/>
      <c r="N694" s="65" t="n"/>
      <c r="O694" s="65" t="n"/>
      <c r="P694" s="65" t="n"/>
      <c r="Q694" s="65" t="n"/>
      <c r="R694" s="65" t="n"/>
      <c r="S694" s="92">
        <f>G694-I694-R694-K694-M694-O694-Q694</f>
        <v/>
      </c>
      <c r="T694" s="92" t="inlineStr"/>
      <c r="U694" s="92" t="inlineStr"/>
      <c r="V694" s="69">
        <f>G694-SUM(I694,K694,M694,O694,Q694,U694)</f>
        <v/>
      </c>
      <c r="W694" s="65" t="n"/>
      <c r="X694" t="inlineStr">
        <is>
          <t>Khớp</t>
        </is>
      </c>
    </row>
    <row r="695">
      <c r="A695" s="65" t="n">
        <v>686</v>
      </c>
      <c r="B695" s="65" t="inlineStr">
        <is>
          <t>25800400290</t>
        </is>
      </c>
      <c r="C695" s="65" t="inlineStr">
        <is>
          <t>Nguyễn Trường</t>
        </is>
      </c>
      <c r="D695" s="65" t="inlineStr">
        <is>
          <t>Tín</t>
        </is>
      </c>
      <c r="E695" s="65" t="inlineStr">
        <is>
          <t>01/01/2007</t>
        </is>
      </c>
      <c r="F695" s="66" t="inlineStr">
        <is>
          <t>LNH0925ND01</t>
        </is>
      </c>
      <c r="G695" s="90" t="n">
        <v>8415000</v>
      </c>
      <c r="H695" s="65">
        <f>VLOOKUP(B695,'[1]TONG HOP'!B$5:G$624,6,0)</f>
        <v/>
      </c>
      <c r="I695" s="65" t="n">
        <v>2103750</v>
      </c>
      <c r="J695" s="65" t="n"/>
      <c r="K695" s="65" t="n"/>
      <c r="L695" s="65">
        <f>VLOOKUP(B695,'[2]DS THANG 11'!A$3:E$616,5,0)</f>
        <v/>
      </c>
      <c r="M695" s="65" t="n">
        <v>2103750</v>
      </c>
      <c r="N695" s="65" t="n"/>
      <c r="O695" s="65" t="n"/>
      <c r="P695" s="65">
        <f>VLOOKUP(B695,'[3]TONG HOP '!B$5:O$666,14,0)</f>
        <v/>
      </c>
      <c r="Q695" s="65" t="n">
        <v>2103750</v>
      </c>
      <c r="R695" s="65" t="n"/>
      <c r="S695" s="92">
        <f>G695-I695-R695-K695-M695-O695-Q695</f>
        <v/>
      </c>
      <c r="T695" s="92" t="inlineStr"/>
      <c r="U695" s="92" t="inlineStr"/>
      <c r="V695" s="69">
        <f>G695-SUM(I695,K695,M695,O695,Q695,U695)</f>
        <v/>
      </c>
      <c r="W695" s="65" t="n"/>
      <c r="X695" t="inlineStr">
        <is>
          <t>Khớp</t>
        </is>
      </c>
    </row>
    <row r="696">
      <c r="A696" s="65" t="n">
        <v>687</v>
      </c>
      <c r="B696" s="65" t="inlineStr">
        <is>
          <t>25808700006</t>
        </is>
      </c>
      <c r="C696" s="65" t="inlineStr">
        <is>
          <t>Lê Chí</t>
        </is>
      </c>
      <c r="D696" s="65" t="inlineStr">
        <is>
          <t>Bảo</t>
        </is>
      </c>
      <c r="E696" s="65" t="inlineStr">
        <is>
          <t>05/01/2007</t>
        </is>
      </c>
      <c r="F696" s="66" t="inlineStr">
        <is>
          <t>LNH0925ND01</t>
        </is>
      </c>
      <c r="G696" s="90" t="n">
        <v>8415000</v>
      </c>
      <c r="H696" s="65">
        <f>VLOOKUP(B696,'[1]TONG HOP'!B$5:G$624,6,0)</f>
        <v/>
      </c>
      <c r="I696" s="65" t="n">
        <v>2103750</v>
      </c>
      <c r="J696" s="65" t="n"/>
      <c r="K696" s="65" t="n"/>
      <c r="L696" s="65">
        <f>VLOOKUP(B696,'[2]DS THANG 11'!A$3:E$616,5,0)</f>
        <v/>
      </c>
      <c r="M696" s="65" t="n">
        <v>2103750</v>
      </c>
      <c r="N696" s="65" t="n"/>
      <c r="O696" s="65" t="n"/>
      <c r="P696" s="65">
        <f>VLOOKUP(B696,'[3]TONG HOP '!B$5:O$666,14,0)</f>
        <v/>
      </c>
      <c r="Q696" s="65" t="n">
        <v>2103750</v>
      </c>
      <c r="R696" s="65" t="n"/>
      <c r="S696" s="92">
        <f>G696-I696-R696-K696-M696-O696-Q696</f>
        <v/>
      </c>
      <c r="T696" s="92" t="inlineStr"/>
      <c r="U696" s="92" t="inlineStr"/>
      <c r="V696" s="69">
        <f>G696-SUM(I696,K696,M696,O696,Q696,U696)</f>
        <v/>
      </c>
      <c r="W696" s="65" t="n"/>
      <c r="X696" t="inlineStr">
        <is>
          <t>Khớp</t>
        </is>
      </c>
    </row>
    <row r="697">
      <c r="A697" s="65" t="n">
        <v>688</v>
      </c>
      <c r="B697" s="65" t="inlineStr">
        <is>
          <t>25808900152</t>
        </is>
      </c>
      <c r="C697" s="65" t="inlineStr">
        <is>
          <t>Võ Thành</t>
        </is>
      </c>
      <c r="D697" s="65" t="inlineStr">
        <is>
          <t>Vinh</t>
        </is>
      </c>
      <c r="E697" s="65" t="inlineStr">
        <is>
          <t>05/06/2007</t>
        </is>
      </c>
      <c r="F697" s="66" t="inlineStr">
        <is>
          <t>LNH0925ND01</t>
        </is>
      </c>
      <c r="G697" s="90" t="n">
        <v>8415000</v>
      </c>
      <c r="H697" s="65">
        <f>VLOOKUP(B697,'[1]TONG HOP'!B$5:G$624,6,0)</f>
        <v/>
      </c>
      <c r="I697" s="65" t="n">
        <v>2103750</v>
      </c>
      <c r="J697" s="65" t="n"/>
      <c r="K697" s="65" t="n"/>
      <c r="L697" s="65">
        <f>VLOOKUP(B697,'[2]DS THANG 11'!A$3:E$616,5,0)</f>
        <v/>
      </c>
      <c r="M697" s="65" t="n">
        <v>2103750</v>
      </c>
      <c r="N697" s="65" t="n"/>
      <c r="O697" s="65" t="n"/>
      <c r="P697" s="65">
        <f>VLOOKUP(B697,'[3]TONG HOP '!B$5:O$666,14,0)</f>
        <v/>
      </c>
      <c r="Q697" s="65" t="n">
        <v>2103750</v>
      </c>
      <c r="R697" s="65" t="n"/>
      <c r="S697" s="92">
        <f>G697-I697-R697-K697-M697-O697-Q697</f>
        <v/>
      </c>
      <c r="T697" s="92" t="inlineStr"/>
      <c r="U697" s="92" t="inlineStr"/>
      <c r="V697" s="69">
        <f>G697-SUM(I697,K697,M697,O697,Q697,U697)</f>
        <v/>
      </c>
      <c r="W697" s="65" t="n"/>
      <c r="X697" t="inlineStr">
        <is>
          <t>Khớp</t>
        </is>
      </c>
    </row>
    <row r="698">
      <c r="A698" s="65" t="n">
        <v>689</v>
      </c>
      <c r="B698" s="65" t="inlineStr">
        <is>
          <t>25802800436</t>
        </is>
      </c>
      <c r="C698" s="65" t="inlineStr">
        <is>
          <t>Phan Minh</t>
        </is>
      </c>
      <c r="D698" s="65" t="inlineStr">
        <is>
          <t>Phát</t>
        </is>
      </c>
      <c r="E698" s="65" t="inlineStr">
        <is>
          <t>31/03/2007</t>
        </is>
      </c>
      <c r="F698" s="66" t="inlineStr">
        <is>
          <t>LNH0925ND01</t>
        </is>
      </c>
      <c r="G698" s="90" t="n">
        <v>1000000</v>
      </c>
      <c r="H698" s="65" t="n"/>
      <c r="I698" s="65" t="n"/>
      <c r="J698" s="65" t="n"/>
      <c r="K698" s="65" t="n"/>
      <c r="L698" s="65" t="n"/>
      <c r="M698" s="65" t="n"/>
      <c r="N698" s="65" t="n"/>
      <c r="O698" s="65" t="n"/>
      <c r="P698" s="65" t="n"/>
      <c r="Q698" s="65" t="n"/>
      <c r="R698" s="65" t="n"/>
      <c r="S698" s="92">
        <f>G698-I698-R698-K698-M698-O698-Q698</f>
        <v/>
      </c>
      <c r="T698" s="92" t="inlineStr"/>
      <c r="U698" s="92" t="inlineStr"/>
      <c r="V698" s="69">
        <f>G698-SUM(I698,K698,M698,O698,Q698,U698)</f>
        <v/>
      </c>
      <c r="W698" s="65" t="n"/>
      <c r="X698" t="inlineStr">
        <is>
          <t>Khớp</t>
        </is>
      </c>
    </row>
    <row r="699">
      <c r="A699" s="65" t="n">
        <v>690</v>
      </c>
      <c r="B699" s="65" t="inlineStr">
        <is>
          <t>25808900050</t>
        </is>
      </c>
      <c r="C699" s="65" t="inlineStr">
        <is>
          <t>Trần Năng</t>
        </is>
      </c>
      <c r="D699" s="65" t="inlineStr">
        <is>
          <t>Hưng</t>
        </is>
      </c>
      <c r="E699" s="65" t="inlineStr">
        <is>
          <t>16/12/2007</t>
        </is>
      </c>
      <c r="F699" s="66" t="inlineStr">
        <is>
          <t>LNH0925ND01</t>
        </is>
      </c>
      <c r="G699" s="90" t="n">
        <v>8415000</v>
      </c>
      <c r="H699" s="65" t="n"/>
      <c r="I699" s="65" t="n"/>
      <c r="J699" s="65" t="n"/>
      <c r="K699" s="65" t="n"/>
      <c r="L699" s="65">
        <f>VLOOKUP(B699,'[2]DS THANG 11'!A$3:E$616,5,0)</f>
        <v/>
      </c>
      <c r="M699" s="65" t="n">
        <v>2103750</v>
      </c>
      <c r="N699" s="65" t="n"/>
      <c r="O699" s="65" t="n"/>
      <c r="P699" s="65">
        <f>VLOOKUP(B699,'[3]TONG HOP '!B$5:O$666,14,0)</f>
        <v/>
      </c>
      <c r="Q699" s="65" t="n">
        <v>2103750</v>
      </c>
      <c r="R699" s="65" t="n"/>
      <c r="S699" s="92">
        <f>G699-I699-R699-K699-M699-O699-Q699</f>
        <v/>
      </c>
      <c r="T699" s="92" t="inlineStr">
        <is>
          <t>LNH0526NG01</t>
        </is>
      </c>
      <c r="U699" s="92" t="n">
        <v>2103750</v>
      </c>
      <c r="V699" s="69">
        <f>G699-SUM(I699,K699,M699,O699,Q699,U699)</f>
        <v/>
      </c>
      <c r="W699" s="65" t="n"/>
      <c r="X699" t="inlineStr">
        <is>
          <t>Khớp</t>
        </is>
      </c>
    </row>
    <row r="700">
      <c r="A700" s="65" t="n">
        <v>691</v>
      </c>
      <c r="B700" s="65" t="inlineStr">
        <is>
          <t>25807500045</t>
        </is>
      </c>
      <c r="C700" s="65" t="inlineStr">
        <is>
          <t>Trần Quang</t>
        </is>
      </c>
      <c r="D700" s="65" t="inlineStr">
        <is>
          <t>Huy</t>
        </is>
      </c>
      <c r="E700" s="65" t="inlineStr">
        <is>
          <t>27/02/2007</t>
        </is>
      </c>
      <c r="F700" s="66" t="inlineStr">
        <is>
          <t>LNH0925ND01</t>
        </is>
      </c>
      <c r="G700" s="90" t="n">
        <v>1000000</v>
      </c>
      <c r="H700" s="65" t="n"/>
      <c r="I700" s="65" t="n"/>
      <c r="J700" s="65" t="n"/>
      <c r="K700" s="65" t="n"/>
      <c r="L700" s="65" t="n"/>
      <c r="M700" s="65" t="n"/>
      <c r="N700" s="65" t="n"/>
      <c r="O700" s="65" t="n"/>
      <c r="P700" s="65" t="n"/>
      <c r="Q700" s="65" t="n"/>
      <c r="R700" s="65" t="n"/>
      <c r="S700" s="92">
        <f>G700-I700-R700-K700-M700-O700-Q700</f>
        <v/>
      </c>
      <c r="T700" s="92" t="inlineStr"/>
      <c r="U700" s="92" t="inlineStr"/>
      <c r="V700" s="69">
        <f>G700-SUM(I700,K700,M700,O700,Q700,U700)</f>
        <v/>
      </c>
      <c r="W700" s="65" t="n"/>
      <c r="X700" t="inlineStr">
        <is>
          <t>Khớp</t>
        </is>
      </c>
    </row>
    <row r="701">
      <c r="A701" s="65" t="n">
        <v>692</v>
      </c>
      <c r="B701" s="65" t="inlineStr">
        <is>
          <t>25805900007</t>
        </is>
      </c>
      <c r="C701" s="65" t="inlineStr">
        <is>
          <t>Nguyễn Thị Hiền</t>
        </is>
      </c>
      <c r="D701" s="65" t="inlineStr">
        <is>
          <t>Diệu</t>
        </is>
      </c>
      <c r="E701" s="65" t="inlineStr">
        <is>
          <t>22/11/2007</t>
        </is>
      </c>
      <c r="F701" s="66" t="inlineStr">
        <is>
          <t>LNH0925ND01</t>
        </is>
      </c>
      <c r="G701" s="90" t="n">
        <v>8415000</v>
      </c>
      <c r="H701" s="65" t="n"/>
      <c r="I701" s="65" t="n"/>
      <c r="J701" s="65" t="n"/>
      <c r="K701" s="65" t="n"/>
      <c r="L701" s="65" t="n"/>
      <c r="M701" s="65" t="n"/>
      <c r="N701" s="65" t="n"/>
      <c r="O701" s="65" t="n"/>
      <c r="P701" s="65" t="n"/>
      <c r="Q701" s="65" t="n"/>
      <c r="R701" s="65" t="n"/>
      <c r="S701" s="92">
        <f>G701-I701-R701-K701-M701-O701-Q701</f>
        <v/>
      </c>
      <c r="T701" s="92" t="inlineStr"/>
      <c r="U701" s="92" t="inlineStr"/>
      <c r="V701" s="69">
        <f>G701-SUM(I701,K701,M701,O701,Q701,U701)</f>
        <v/>
      </c>
      <c r="W701" s="65" t="n"/>
      <c r="X701" t="inlineStr">
        <is>
          <t>Khớp</t>
        </is>
      </c>
    </row>
    <row r="702">
      <c r="A702" s="65" t="n">
        <v>693</v>
      </c>
      <c r="B702" s="65" t="inlineStr">
        <is>
          <t>25800400052</t>
        </is>
      </c>
      <c r="C702" s="65" t="inlineStr">
        <is>
          <t>Châu Gia</t>
        </is>
      </c>
      <c r="D702" s="65" t="inlineStr">
        <is>
          <t>Huy</t>
        </is>
      </c>
      <c r="E702" s="65" t="inlineStr">
        <is>
          <t>05/12/2007</t>
        </is>
      </c>
      <c r="F702" s="66" t="inlineStr">
        <is>
          <t>LNH0925ND01</t>
        </is>
      </c>
      <c r="G702" s="90" t="n">
        <v>8415000</v>
      </c>
      <c r="H702" s="65">
        <f>VLOOKUP(B702,'[1]TONG HOP'!B$5:G$624,6,0)</f>
        <v/>
      </c>
      <c r="I702" s="65" t="n">
        <v>2103750</v>
      </c>
      <c r="J702" s="65" t="n"/>
      <c r="K702" s="65" t="n"/>
      <c r="L702" s="65">
        <f>VLOOKUP(B702,'[2]DS THANG 11'!A$3:E$616,5,0)</f>
        <v/>
      </c>
      <c r="M702" s="65" t="n">
        <v>2103750</v>
      </c>
      <c r="N702" s="65" t="n"/>
      <c r="O702" s="65" t="n"/>
      <c r="P702" s="65">
        <f>VLOOKUP(B702,'[3]TONG HOP '!B$5:O$666,14,0)</f>
        <v/>
      </c>
      <c r="Q702" s="65" t="n">
        <v>2103750</v>
      </c>
      <c r="R702" s="65" t="n"/>
      <c r="S702" s="92">
        <f>G702-I702-R702-K702-M702-O702-Q702</f>
        <v/>
      </c>
      <c r="T702" s="92" t="inlineStr">
        <is>
          <t>LNH0526NQ12</t>
        </is>
      </c>
      <c r="U702" s="92" t="n">
        <v>2103750</v>
      </c>
      <c r="V702" s="69">
        <f>G702-SUM(I702,K702,M702,O702,Q702,U702)</f>
        <v/>
      </c>
      <c r="W702" s="65" t="n"/>
      <c r="X702" t="inlineStr">
        <is>
          <t>Khớp</t>
        </is>
      </c>
    </row>
    <row r="703">
      <c r="A703" s="65" t="n">
        <v>694</v>
      </c>
      <c r="B703" s="65" t="inlineStr">
        <is>
          <t>25800400245</t>
        </is>
      </c>
      <c r="C703" s="65" t="inlineStr">
        <is>
          <t>Châu Anh</t>
        </is>
      </c>
      <c r="D703" s="65" t="inlineStr">
        <is>
          <t>Kiệt</t>
        </is>
      </c>
      <c r="E703" s="65" t="inlineStr">
        <is>
          <t>05/12/2007</t>
        </is>
      </c>
      <c r="F703" s="66" t="inlineStr">
        <is>
          <t>LNH0925ND01</t>
        </is>
      </c>
      <c r="G703" s="90" t="n">
        <v>8415000</v>
      </c>
      <c r="H703" s="65">
        <f>VLOOKUP(B703,'[1]TONG HOP'!B$5:G$624,6,0)</f>
        <v/>
      </c>
      <c r="I703" s="65" t="n">
        <v>2103750</v>
      </c>
      <c r="J703" s="65" t="n"/>
      <c r="K703" s="65" t="n"/>
      <c r="L703" s="65">
        <f>VLOOKUP(B703,'[2]DS THANG 11'!A$3:E$616,5,0)</f>
        <v/>
      </c>
      <c r="M703" s="65" t="n">
        <v>2103750</v>
      </c>
      <c r="N703" s="65" t="n"/>
      <c r="O703" s="65" t="n"/>
      <c r="P703" s="65">
        <f>VLOOKUP(B703,'[3]TONG HOP '!B$5:O$666,14,0)</f>
        <v/>
      </c>
      <c r="Q703" s="65" t="n">
        <v>2103750</v>
      </c>
      <c r="R703" s="65" t="n"/>
      <c r="S703" s="92">
        <f>G703-I703-R703-K703-M703-O703-Q703</f>
        <v/>
      </c>
      <c r="T703" s="92" t="inlineStr">
        <is>
          <t>LNH0526NQ14</t>
        </is>
      </c>
      <c r="U703" s="92" t="n">
        <v>2103750</v>
      </c>
      <c r="V703" s="69">
        <f>G703-SUM(I703,K703,M703,O703,Q703,U703)</f>
        <v/>
      </c>
      <c r="W703" s="65" t="n"/>
      <c r="X703" t="inlineStr">
        <is>
          <t>Khớp</t>
        </is>
      </c>
    </row>
    <row r="704">
      <c r="A704" s="65" t="n">
        <v>695</v>
      </c>
      <c r="B704" s="65" t="inlineStr">
        <is>
          <t>25802600064</t>
        </is>
      </c>
      <c r="C704" s="65" t="inlineStr">
        <is>
          <t>Huỳnh Quốc</t>
        </is>
      </c>
      <c r="D704" s="65" t="inlineStr">
        <is>
          <t>Lãm</t>
        </is>
      </c>
      <c r="E704" s="65" t="inlineStr">
        <is>
          <t>20/12/2007</t>
        </is>
      </c>
      <c r="F704" s="66" t="inlineStr">
        <is>
          <t>LNH0925ND01</t>
        </is>
      </c>
      <c r="G704" s="90" t="n">
        <v>8415000</v>
      </c>
      <c r="H704" s="65">
        <f>VLOOKUP(B704,'[1]TONG HOP'!B$5:G$624,6,0)</f>
        <v/>
      </c>
      <c r="I704" s="65" t="n">
        <v>2103750</v>
      </c>
      <c r="J704" s="65" t="n"/>
      <c r="K704" s="65" t="n"/>
      <c r="L704" s="65">
        <f>VLOOKUP(B704,'[2]DS THANG 11'!A$3:E$616,5,0)</f>
        <v/>
      </c>
      <c r="M704" s="65" t="n">
        <v>2103750</v>
      </c>
      <c r="N704" s="65" t="n"/>
      <c r="O704" s="65" t="n"/>
      <c r="P704" s="65">
        <f>VLOOKUP(B704,'[3]TONG HOP '!B$5:O$666,14,0)</f>
        <v/>
      </c>
      <c r="Q704" s="65" t="n">
        <v>2103750</v>
      </c>
      <c r="R704" s="65" t="n"/>
      <c r="S704" s="92">
        <f>G704-I704-R704-K704-M704-O704-Q704</f>
        <v/>
      </c>
      <c r="T704" s="92" t="inlineStr">
        <is>
          <t>LNH0526NQ05</t>
        </is>
      </c>
      <c r="U704" s="92" t="n">
        <v>2103750</v>
      </c>
      <c r="V704" s="69">
        <f>G704-SUM(I704,K704,M704,O704,Q704,U704)</f>
        <v/>
      </c>
      <c r="W704" s="65" t="n"/>
      <c r="X704" t="inlineStr">
        <is>
          <t>Khớp</t>
        </is>
      </c>
    </row>
    <row r="705">
      <c r="A705" s="65" t="n">
        <v>696</v>
      </c>
      <c r="B705" s="65" t="inlineStr">
        <is>
          <t>25802600105</t>
        </is>
      </c>
      <c r="C705" s="65" t="inlineStr">
        <is>
          <t>Vưu Thanh</t>
        </is>
      </c>
      <c r="D705" s="65" t="inlineStr">
        <is>
          <t>Sơn</t>
        </is>
      </c>
      <c r="E705" s="65" t="inlineStr">
        <is>
          <t>24/09/2007</t>
        </is>
      </c>
      <c r="F705" s="66" t="inlineStr">
        <is>
          <t>LNH0925ND01</t>
        </is>
      </c>
      <c r="G705" s="90" t="n">
        <v>8415000</v>
      </c>
      <c r="H705" s="65">
        <f>VLOOKUP(B705,'[1]TONG HOP'!B$5:G$624,6,0)</f>
        <v/>
      </c>
      <c r="I705" s="65" t="n">
        <v>2103750</v>
      </c>
      <c r="J705" s="65" t="n"/>
      <c r="K705" s="65" t="n"/>
      <c r="L705" s="65">
        <f>VLOOKUP(B705,'[2]DS THANG 11'!A$3:E$616,5,0)</f>
        <v/>
      </c>
      <c r="M705" s="65" t="n">
        <v>2103750</v>
      </c>
      <c r="N705" s="65" t="n"/>
      <c r="O705" s="65" t="n"/>
      <c r="P705" s="65">
        <f>VLOOKUP(B705,'[3]TONG HOP '!B$5:O$666,14,0)</f>
        <v/>
      </c>
      <c r="Q705" s="65" t="n">
        <v>2103750</v>
      </c>
      <c r="R705" s="65" t="n"/>
      <c r="S705" s="92">
        <f>G705-I705-R705-K705-M705-O705-Q705</f>
        <v/>
      </c>
      <c r="T705" s="92" t="inlineStr"/>
      <c r="U705" s="92" t="inlineStr"/>
      <c r="V705" s="69">
        <f>G705-SUM(I705,K705,M705,O705,Q705,U705)</f>
        <v/>
      </c>
      <c r="W705" s="65" t="n"/>
      <c r="X705" t="inlineStr">
        <is>
          <t>Khớp</t>
        </is>
      </c>
    </row>
    <row r="706">
      <c r="A706" s="65" t="n">
        <v>697</v>
      </c>
      <c r="B706" s="65" t="inlineStr">
        <is>
          <t>25808900052</t>
        </is>
      </c>
      <c r="C706" s="65" t="inlineStr">
        <is>
          <t>Nguyễn Bảo</t>
        </is>
      </c>
      <c r="D706" s="65" t="inlineStr">
        <is>
          <t>Khang</t>
        </is>
      </c>
      <c r="E706" s="65" t="inlineStr">
        <is>
          <t>14/02/2007</t>
        </is>
      </c>
      <c r="F706" s="66" t="inlineStr">
        <is>
          <t>LNH0925ND01</t>
        </is>
      </c>
      <c r="G706" s="90" t="n">
        <v>1000000</v>
      </c>
      <c r="H706" s="65" t="n"/>
      <c r="I706" s="65" t="n"/>
      <c r="J706" s="65" t="n"/>
      <c r="K706" s="65" t="n"/>
      <c r="L706" s="65" t="n"/>
      <c r="M706" s="65" t="n"/>
      <c r="N706" s="65" t="n"/>
      <c r="O706" s="65" t="n"/>
      <c r="P706" s="65" t="n"/>
      <c r="Q706" s="65" t="n"/>
      <c r="R706" s="65" t="n"/>
      <c r="S706" s="92">
        <f>G706-I706-R706-K706-M706-O706-Q706</f>
        <v/>
      </c>
      <c r="T706" s="92" t="inlineStr"/>
      <c r="U706" s="92" t="inlineStr"/>
      <c r="V706" s="69">
        <f>G706-SUM(I706,K706,M706,O706,Q706,U706)</f>
        <v/>
      </c>
      <c r="W706" s="65" t="n"/>
      <c r="X706" t="inlineStr">
        <is>
          <t>Khớp</t>
        </is>
      </c>
    </row>
    <row r="707">
      <c r="A707" s="65" t="n">
        <v>698</v>
      </c>
      <c r="B707" s="65" t="inlineStr">
        <is>
          <t>25820200049</t>
        </is>
      </c>
      <c r="C707" s="65" t="inlineStr">
        <is>
          <t>Dương Vũ</t>
        </is>
      </c>
      <c r="D707" s="65" t="inlineStr">
        <is>
          <t>Phúc</t>
        </is>
      </c>
      <c r="E707" s="65" t="inlineStr">
        <is>
          <t>22/09/2007</t>
        </is>
      </c>
      <c r="F707" s="66" t="inlineStr">
        <is>
          <t>LNH0925ND01</t>
        </is>
      </c>
      <c r="G707" s="90" t="n">
        <v>1000000</v>
      </c>
      <c r="H707" s="65" t="n"/>
      <c r="I707" s="65" t="n"/>
      <c r="J707" s="65" t="n"/>
      <c r="K707" s="65" t="n"/>
      <c r="L707" s="65" t="n"/>
      <c r="M707" s="65" t="n"/>
      <c r="N707" s="65" t="n"/>
      <c r="O707" s="65" t="n"/>
      <c r="P707" s="65" t="n"/>
      <c r="Q707" s="65" t="n"/>
      <c r="R707" s="65" t="n"/>
      <c r="S707" s="92">
        <f>G707-I707-R707-K707-M707-O707-Q707</f>
        <v/>
      </c>
      <c r="T707" s="92" t="inlineStr"/>
      <c r="U707" s="92" t="inlineStr"/>
      <c r="V707" s="69">
        <f>G707-SUM(I707,K707,M707,O707,Q707,U707)</f>
        <v/>
      </c>
      <c r="W707" s="65" t="n"/>
      <c r="X707" t="inlineStr">
        <is>
          <t>Khớp</t>
        </is>
      </c>
    </row>
    <row r="708">
      <c r="A708" s="65" t="n">
        <v>699</v>
      </c>
      <c r="B708" s="65" t="inlineStr">
        <is>
          <t>25820700004</t>
        </is>
      </c>
      <c r="C708" s="65" t="inlineStr">
        <is>
          <t>Trần Quỳnh</t>
        </is>
      </c>
      <c r="D708" s="65" t="inlineStr">
        <is>
          <t>Anh</t>
        </is>
      </c>
      <c r="E708" s="65" t="inlineStr">
        <is>
          <t>29/09/2007</t>
        </is>
      </c>
      <c r="F708" s="66" t="inlineStr">
        <is>
          <t>LNH0925ND01</t>
        </is>
      </c>
      <c r="G708" s="90" t="n">
        <v>8415000</v>
      </c>
      <c r="H708" s="65">
        <f>VLOOKUP(B708,'[1]TONG HOP'!B$5:G$624,6,0)</f>
        <v/>
      </c>
      <c r="I708" s="65" t="n">
        <v>2103750</v>
      </c>
      <c r="J708" s="65" t="n"/>
      <c r="K708" s="65" t="n"/>
      <c r="L708" s="65">
        <f>VLOOKUP(B708,'[2]DS THANG 11'!A$3:E$616,5,0)</f>
        <v/>
      </c>
      <c r="M708" s="65" t="n">
        <v>2103750</v>
      </c>
      <c r="N708" s="65" t="n"/>
      <c r="O708" s="65" t="n"/>
      <c r="P708" s="65">
        <f>VLOOKUP(B708,'[3]TONG HOP '!B$5:O$666,14,0)</f>
        <v/>
      </c>
      <c r="Q708" s="65" t="n">
        <v>2103750</v>
      </c>
      <c r="R708" s="65" t="n"/>
      <c r="S708" s="92">
        <f>G708-I708-R708-K708-M708-O708-Q708</f>
        <v/>
      </c>
      <c r="T708" s="92" t="inlineStr"/>
      <c r="U708" s="92" t="n">
        <v>2103750</v>
      </c>
      <c r="V708" s="69">
        <f>G708-SUM(I708,K708,M708,O708,Q708,U708)</f>
        <v/>
      </c>
      <c r="W708" s="65" t="n"/>
      <c r="X708" t="inlineStr">
        <is>
          <t>Khớp</t>
        </is>
      </c>
    </row>
    <row r="709">
      <c r="A709" s="65" t="n">
        <v>700</v>
      </c>
      <c r="B709" s="65" t="inlineStr">
        <is>
          <t>25808200108</t>
        </is>
      </c>
      <c r="C709" s="65" t="inlineStr">
        <is>
          <t>Tô Phước</t>
        </is>
      </c>
      <c r="D709" s="65" t="inlineStr">
        <is>
          <t>Sang</t>
        </is>
      </c>
      <c r="E709" s="65" t="inlineStr">
        <is>
          <t>14/05/2007</t>
        </is>
      </c>
      <c r="F709" s="66" t="inlineStr">
        <is>
          <t>LNH0925ND01</t>
        </is>
      </c>
      <c r="G709" s="90" t="n">
        <v>8415000</v>
      </c>
      <c r="H709" s="65">
        <f>VLOOKUP(B709,'[1]TONG HOP'!B$5:G$624,6,0)</f>
        <v/>
      </c>
      <c r="I709" s="65" t="n">
        <v>2103750</v>
      </c>
      <c r="J709" s="65" t="n"/>
      <c r="K709" s="65" t="n"/>
      <c r="L709" s="65">
        <f>VLOOKUP(B709,'[2]DS THANG 11'!A$3:E$616,5,0)</f>
        <v/>
      </c>
      <c r="M709" s="65" t="n">
        <v>2103750</v>
      </c>
      <c r="N709" s="65" t="n"/>
      <c r="O709" s="65" t="n"/>
      <c r="P709" s="65">
        <f>VLOOKUP(B709,'[3]TONG HOP '!B$5:O$666,14,0)</f>
        <v/>
      </c>
      <c r="Q709" s="65" t="n">
        <v>2103750</v>
      </c>
      <c r="R709" s="65" t="n"/>
      <c r="S709" s="92">
        <f>G709-I709-R709-K709-M709-O709-Q709</f>
        <v/>
      </c>
      <c r="T709" s="92" t="inlineStr"/>
      <c r="U709" s="92" t="inlineStr"/>
      <c r="V709" s="69">
        <f>G709-SUM(I709,K709,M709,O709,Q709,U709)</f>
        <v/>
      </c>
      <c r="W709" s="65" t="n"/>
      <c r="X709" t="inlineStr">
        <is>
          <t>Khớp</t>
        </is>
      </c>
    </row>
    <row r="710">
      <c r="A710" s="65" t="n">
        <v>701</v>
      </c>
      <c r="B710" s="65" t="inlineStr">
        <is>
          <t>25800400019</t>
        </is>
      </c>
      <c r="C710" s="65" t="inlineStr">
        <is>
          <t>Cao Quang</t>
        </is>
      </c>
      <c r="D710" s="65" t="inlineStr">
        <is>
          <t>Biên</t>
        </is>
      </c>
      <c r="E710" s="65" t="inlineStr">
        <is>
          <t>11/12/2007</t>
        </is>
      </c>
      <c r="F710" s="66" t="inlineStr">
        <is>
          <t>LNH0925ND01</t>
        </is>
      </c>
      <c r="G710" s="90" t="n">
        <v>2100000</v>
      </c>
      <c r="H710" s="65">
        <f>VLOOKUP(B710,'[1]TONG HOP'!B$5:G$624,6,0)</f>
        <v/>
      </c>
      <c r="I710" s="65" t="n">
        <v>2100000</v>
      </c>
      <c r="J710" s="65" t="n"/>
      <c r="K710" s="65" t="n"/>
      <c r="L710" s="65" t="n"/>
      <c r="M710" s="65" t="n"/>
      <c r="N710" s="65" t="n"/>
      <c r="O710" s="65" t="n"/>
      <c r="P710" s="65" t="n"/>
      <c r="Q710" s="65" t="n"/>
      <c r="R710" s="65" t="n"/>
      <c r="S710" s="92">
        <f>G710-I710-R710-K710-M710-O710-Q710</f>
        <v/>
      </c>
      <c r="T710" s="92" t="inlineStr"/>
      <c r="U710" s="92" t="inlineStr"/>
      <c r="V710" s="69">
        <f>G710-SUM(I710,K710,M710,O710,Q710,U710)</f>
        <v/>
      </c>
      <c r="W710" s="65" t="n"/>
      <c r="X710" t="inlineStr">
        <is>
          <t>Khớp</t>
        </is>
      </c>
    </row>
    <row r="711">
      <c r="A711" s="65" t="n">
        <v>702</v>
      </c>
      <c r="B711" s="65" t="inlineStr">
        <is>
          <t>25808900246</t>
        </is>
      </c>
      <c r="C711" s="65" t="inlineStr">
        <is>
          <t>Trần Thanh</t>
        </is>
      </c>
      <c r="D711" s="65" t="inlineStr">
        <is>
          <t>An</t>
        </is>
      </c>
      <c r="E711" s="65" t="inlineStr">
        <is>
          <t>17/02/2007</t>
        </is>
      </c>
      <c r="F711" s="66" t="inlineStr">
        <is>
          <t>LNH0925ND01</t>
        </is>
      </c>
      <c r="G711" s="90" t="n">
        <v>2100000</v>
      </c>
      <c r="H711" s="65">
        <f>VLOOKUP(B711,'[1]TONG HOP'!B$5:G$624,6,0)</f>
        <v/>
      </c>
      <c r="I711" s="65" t="n">
        <v>2100000</v>
      </c>
      <c r="J711" s="65" t="n"/>
      <c r="K711" s="65" t="n"/>
      <c r="L711" s="65" t="n"/>
      <c r="M711" s="65" t="n"/>
      <c r="N711" s="65" t="n"/>
      <c r="O711" s="65" t="n"/>
      <c r="P711" s="65" t="n"/>
      <c r="Q711" s="65" t="n"/>
      <c r="R711" s="65" t="n"/>
      <c r="S711" s="92">
        <f>G711-I711-R711-K711-M711-O711-Q711</f>
        <v/>
      </c>
      <c r="T711" s="92" t="inlineStr"/>
      <c r="U711" s="92" t="inlineStr"/>
      <c r="V711" s="69">
        <f>G711-SUM(I711,K711,M711,O711,Q711,U711)</f>
        <v/>
      </c>
      <c r="W711" s="65" t="n"/>
      <c r="X711" t="inlineStr">
        <is>
          <t>Khớp</t>
        </is>
      </c>
    </row>
    <row r="712">
      <c r="A712" s="65" t="n">
        <v>703</v>
      </c>
      <c r="B712" s="65" t="inlineStr">
        <is>
          <t>25807400006</t>
        </is>
      </c>
      <c r="C712" s="65" t="inlineStr">
        <is>
          <t>Nguyễn Văn</t>
        </is>
      </c>
      <c r="D712" s="65" t="inlineStr">
        <is>
          <t>Hưng</t>
        </is>
      </c>
      <c r="E712" s="65" t="inlineStr">
        <is>
          <t>04/01/2004</t>
        </is>
      </c>
      <c r="F712" s="66" t="inlineStr">
        <is>
          <t>LNH0925ND01</t>
        </is>
      </c>
      <c r="G712" s="90" t="n">
        <v>2100000</v>
      </c>
      <c r="H712" s="65">
        <f>VLOOKUP(B712,'[1]TONG HOP'!B$5:G$624,6,0)</f>
        <v/>
      </c>
      <c r="I712" s="65" t="n">
        <v>2100000</v>
      </c>
      <c r="J712" s="65" t="n"/>
      <c r="K712" s="65" t="n"/>
      <c r="L712" s="65" t="n"/>
      <c r="M712" s="65" t="n"/>
      <c r="N712" s="65" t="n"/>
      <c r="O712" s="65" t="n"/>
      <c r="P712" s="65" t="n"/>
      <c r="Q712" s="65" t="n"/>
      <c r="R712" s="65" t="n"/>
      <c r="S712" s="92">
        <f>G712-I712-R712-K712-M712-O712-Q712</f>
        <v/>
      </c>
      <c r="T712" s="92" t="inlineStr"/>
      <c r="U712" s="92" t="inlineStr"/>
      <c r="V712" s="69">
        <f>G712-SUM(I712,K712,M712,O712,Q712,U712)</f>
        <v/>
      </c>
      <c r="W712" s="65" t="n"/>
      <c r="X712" t="inlineStr">
        <is>
          <t>Khớp</t>
        </is>
      </c>
    </row>
    <row r="713">
      <c r="A713" s="65" t="n">
        <v>704</v>
      </c>
      <c r="B713" s="65" t="inlineStr">
        <is>
          <t>25806800097</t>
        </is>
      </c>
      <c r="C713" s="65" t="inlineStr">
        <is>
          <t>Hồ Nguyễn Hải</t>
        </is>
      </c>
      <c r="D713" s="65" t="inlineStr">
        <is>
          <t>Anh</t>
        </is>
      </c>
      <c r="E713" s="65" t="inlineStr">
        <is>
          <t>17/03/2007</t>
        </is>
      </c>
      <c r="F713" s="66" t="inlineStr">
        <is>
          <t>LNH0925ND01</t>
        </is>
      </c>
      <c r="G713" s="90" t="n">
        <v>2100000</v>
      </c>
      <c r="H713" s="65">
        <f>VLOOKUP(B713,'[1]TONG HOP'!B$5:G$624,6,0)</f>
        <v/>
      </c>
      <c r="I713" s="65" t="n">
        <v>2100000</v>
      </c>
      <c r="J713" s="65" t="n"/>
      <c r="K713" s="65" t="n"/>
      <c r="L713" s="65" t="n"/>
      <c r="M713" s="65" t="n"/>
      <c r="N713" s="65" t="n"/>
      <c r="O713" s="65" t="n"/>
      <c r="P713" s="65" t="n"/>
      <c r="Q713" s="65" t="n"/>
      <c r="R713" s="65" t="n"/>
      <c r="S713" s="92">
        <f>G713-I713-R713-K713-M713-O713-Q713</f>
        <v/>
      </c>
      <c r="T713" s="92" t="inlineStr"/>
      <c r="U713" s="92" t="inlineStr"/>
      <c r="V713" s="69">
        <f>G713-SUM(I713,K713,M713,O713,Q713,U713)</f>
        <v/>
      </c>
      <c r="W713" s="65" t="n"/>
      <c r="X713" t="inlineStr">
        <is>
          <t>Khớp</t>
        </is>
      </c>
    </row>
    <row r="714">
      <c r="A714" s="65" t="n">
        <v>705</v>
      </c>
      <c r="B714" s="65" t="inlineStr">
        <is>
          <t>25808900138</t>
        </is>
      </c>
      <c r="C714" s="65" t="inlineStr">
        <is>
          <t>Vũ Minh</t>
        </is>
      </c>
      <c r="D714" s="65" t="inlineStr">
        <is>
          <t>Triết</t>
        </is>
      </c>
      <c r="E714" s="65" t="inlineStr">
        <is>
          <t>01/01/2007</t>
        </is>
      </c>
      <c r="F714" s="66" t="inlineStr">
        <is>
          <t>LNH0925ND01</t>
        </is>
      </c>
      <c r="G714" s="90" t="n">
        <v>4465000</v>
      </c>
      <c r="H714" s="65">
        <f>VLOOKUP(B714,'[1]TONG HOP'!B$5:G$624,6,0)</f>
        <v/>
      </c>
      <c r="I714" s="65" t="n">
        <v>2232500</v>
      </c>
      <c r="J714" s="65" t="n"/>
      <c r="K714" s="65" t="n"/>
      <c r="L714" s="65">
        <f>VLOOKUP(B714,'[2]DS THANG 11'!A$3:E$616,5,0)</f>
        <v/>
      </c>
      <c r="M714" s="65" t="n">
        <v>2232500</v>
      </c>
      <c r="N714" s="65" t="n"/>
      <c r="O714" s="65" t="n"/>
      <c r="P714" s="65" t="n"/>
      <c r="Q714" s="65" t="n"/>
      <c r="R714" s="65" t="n"/>
      <c r="S714" s="92">
        <f>G714-I714-R714-K714-M714-O714-Q714</f>
        <v/>
      </c>
      <c r="T714" s="92" t="inlineStr"/>
      <c r="U714" s="92" t="inlineStr"/>
      <c r="V714" s="69">
        <f>G714-SUM(I714,K714,M714,O714,Q714,U714)</f>
        <v/>
      </c>
      <c r="W714" s="65" t="n"/>
      <c r="X714" t="inlineStr">
        <is>
          <t>Khớp</t>
        </is>
      </c>
    </row>
    <row r="715">
      <c r="A715" s="65" t="n">
        <v>706</v>
      </c>
      <c r="B715" s="65" t="inlineStr">
        <is>
          <t>25802400007</t>
        </is>
      </c>
      <c r="C715" s="65" t="inlineStr">
        <is>
          <t>Lê Gia</t>
        </is>
      </c>
      <c r="D715" s="65" t="inlineStr">
        <is>
          <t>Hân</t>
        </is>
      </c>
      <c r="E715" s="65" t="inlineStr">
        <is>
          <t>15/04/2007</t>
        </is>
      </c>
      <c r="F715" s="66" t="inlineStr">
        <is>
          <t>LNH0925ND01</t>
        </is>
      </c>
      <c r="G715" s="90" t="n">
        <v>4940000</v>
      </c>
      <c r="H715" s="65" t="n"/>
      <c r="I715" s="65" t="n"/>
      <c r="J715" s="65" t="n"/>
      <c r="K715" s="65" t="n"/>
      <c r="L715" s="65" t="n"/>
      <c r="M715" s="65" t="n"/>
      <c r="N715" s="65" t="n"/>
      <c r="O715" s="65" t="n"/>
      <c r="P715" s="65">
        <f>VLOOKUP(B715,'[3]TONG HOP '!B$5:O$666,14,0)</f>
        <v/>
      </c>
      <c r="Q715" s="65" t="n">
        <v>2470000</v>
      </c>
      <c r="R715" s="65" t="n"/>
      <c r="S715" s="92">
        <f>G715-I715-R715-K715-M715-O715-Q715</f>
        <v/>
      </c>
      <c r="T715" s="92" t="inlineStr"/>
      <c r="U715" s="92" t="inlineStr"/>
      <c r="V715" s="69">
        <f>G715-SUM(I715,K715,M715,O715,Q715,U715)</f>
        <v/>
      </c>
      <c r="W715" s="65" t="n"/>
      <c r="X715" t="inlineStr">
        <is>
          <t>Khớp</t>
        </is>
      </c>
    </row>
    <row r="716">
      <c r="A716" s="65" t="n">
        <v>707</v>
      </c>
      <c r="B716" s="65" t="inlineStr">
        <is>
          <t>25820200060</t>
        </is>
      </c>
      <c r="C716" s="65" t="inlineStr">
        <is>
          <t>Phạm Trọng</t>
        </is>
      </c>
      <c r="D716" s="65" t="inlineStr">
        <is>
          <t>Toàn</t>
        </is>
      </c>
      <c r="E716" s="65" t="inlineStr">
        <is>
          <t>24/06/2007</t>
        </is>
      </c>
      <c r="F716" s="66" t="inlineStr">
        <is>
          <t>LNH0925ND01</t>
        </is>
      </c>
      <c r="G716" s="90" t="n">
        <v>8415000</v>
      </c>
      <c r="H716" s="65">
        <f>VLOOKUP(B716,'[1]TONG HOP'!B$5:G$624,6,0)</f>
        <v/>
      </c>
      <c r="I716" s="65" t="n">
        <v>2103750</v>
      </c>
      <c r="J716" s="65" t="n"/>
      <c r="K716" s="65" t="n"/>
      <c r="L716" s="65">
        <f>VLOOKUP(B716,'[2]DS THANG 11'!A$3:E$616,5,0)</f>
        <v/>
      </c>
      <c r="M716" s="65" t="n">
        <v>2103750</v>
      </c>
      <c r="N716" s="65" t="n"/>
      <c r="O716" s="65" t="n"/>
      <c r="P716" s="65">
        <f>VLOOKUP(B716,'[3]TONG HOP '!B$5:O$666,14,0)</f>
        <v/>
      </c>
      <c r="Q716" s="65" t="n">
        <v>2103750</v>
      </c>
      <c r="R716" s="65" t="n"/>
      <c r="S716" s="92">
        <f>G716-I716-R716-K716-M716-O716-Q716</f>
        <v/>
      </c>
      <c r="T716" s="92" t="inlineStr"/>
      <c r="U716" s="92" t="inlineStr"/>
      <c r="V716" s="69">
        <f>G716-SUM(I716,K716,M716,O716,Q716,U716)</f>
        <v/>
      </c>
      <c r="W716" s="65" t="n"/>
      <c r="X716" t="inlineStr">
        <is>
          <t>Khớp</t>
        </is>
      </c>
    </row>
    <row r="717">
      <c r="A717" s="65" t="n">
        <v>708</v>
      </c>
      <c r="B717" s="65" t="inlineStr">
        <is>
          <t>25805800054</t>
        </is>
      </c>
      <c r="C717" s="65" t="inlineStr">
        <is>
          <t>Lê Hoàng</t>
        </is>
      </c>
      <c r="D717" s="65" t="inlineStr">
        <is>
          <t>Anh</t>
        </is>
      </c>
      <c r="E717" s="65" t="inlineStr">
        <is>
          <t>02/11/2007</t>
        </is>
      </c>
      <c r="F717" s="66" t="inlineStr">
        <is>
          <t>LNH0925ND01</t>
        </is>
      </c>
      <c r="G717" s="90" t="n">
        <v>8415000</v>
      </c>
      <c r="H717" s="65">
        <f>VLOOKUP(B717,'[1]TONG HOP'!B$5:G$624,6,0)</f>
        <v/>
      </c>
      <c r="I717" s="65" t="n">
        <v>2103750</v>
      </c>
      <c r="J717" s="65" t="n"/>
      <c r="K717" s="65" t="n"/>
      <c r="L717" s="65">
        <f>VLOOKUP(B717,'[2]DS THANG 11'!A$3:E$616,5,0)</f>
        <v/>
      </c>
      <c r="M717" s="65" t="n">
        <v>2103750</v>
      </c>
      <c r="N717" s="65" t="n"/>
      <c r="O717" s="65" t="n"/>
      <c r="P717" s="65">
        <f>VLOOKUP(B717,'[3]TONG HOP '!B$5:O$666,14,0)</f>
        <v/>
      </c>
      <c r="Q717" s="65" t="n">
        <v>2103750</v>
      </c>
      <c r="R717" s="65" t="n"/>
      <c r="S717" s="92">
        <f>G717-I717-R717-K717-M717-O717-Q717</f>
        <v/>
      </c>
      <c r="T717" s="92" t="inlineStr"/>
      <c r="U717" s="92" t="inlineStr"/>
      <c r="V717" s="69">
        <f>G717-SUM(I717,K717,M717,O717,Q717,U717)</f>
        <v/>
      </c>
      <c r="W717" s="65" t="n"/>
      <c r="X717" t="inlineStr">
        <is>
          <t>Khớp</t>
        </is>
      </c>
    </row>
    <row r="718">
      <c r="A718" s="65" t="n">
        <v>709</v>
      </c>
      <c r="B718" s="65" t="inlineStr">
        <is>
          <t>25802700087</t>
        </is>
      </c>
      <c r="C718" s="65" t="inlineStr">
        <is>
          <t>Nguyễn Thị Anh</t>
        </is>
      </c>
      <c r="D718" s="65" t="inlineStr">
        <is>
          <t>Thư</t>
        </is>
      </c>
      <c r="E718" s="65" t="inlineStr">
        <is>
          <t>18/04/2007</t>
        </is>
      </c>
      <c r="F718" s="66" t="inlineStr">
        <is>
          <t>LNH0925ND01</t>
        </is>
      </c>
      <c r="G718" s="90" t="n">
        <v>8415000</v>
      </c>
      <c r="H718" s="65" t="n"/>
      <c r="I718" s="65" t="n"/>
      <c r="J718" s="65" t="n"/>
      <c r="K718" s="65" t="n"/>
      <c r="L718" s="65" t="n"/>
      <c r="M718" s="65" t="n"/>
      <c r="N718" s="65" t="n"/>
      <c r="O718" s="65" t="n"/>
      <c r="P718" s="65" t="n"/>
      <c r="Q718" s="65" t="n"/>
      <c r="R718" s="65" t="n"/>
      <c r="S718" s="92">
        <f>G718-I718-R718-K718-M718-O718-Q718</f>
        <v/>
      </c>
      <c r="T718" s="92" t="inlineStr"/>
      <c r="U718" s="92" t="inlineStr"/>
      <c r="V718" s="69">
        <f>G718-SUM(I718,K718,M718,O718,Q718,U718)</f>
        <v/>
      </c>
      <c r="W718" s="65" t="n"/>
      <c r="X718" t="inlineStr">
        <is>
          <t>Khớp</t>
        </is>
      </c>
    </row>
    <row r="719">
      <c r="A719" s="65" t="n">
        <v>710</v>
      </c>
      <c r="B719" s="65" t="inlineStr">
        <is>
          <t>25802700147</t>
        </is>
      </c>
      <c r="C719" s="65" t="inlineStr">
        <is>
          <t>Vũ Nguyễn Thu</t>
        </is>
      </c>
      <c r="D719" s="65" t="inlineStr">
        <is>
          <t>Yến</t>
        </is>
      </c>
      <c r="E719" s="65" t="inlineStr">
        <is>
          <t>24/01/2007</t>
        </is>
      </c>
      <c r="F719" s="66" t="inlineStr">
        <is>
          <t>LNH0925ND01</t>
        </is>
      </c>
      <c r="G719" s="90" t="n">
        <v>8415000</v>
      </c>
      <c r="H719" s="65">
        <f>VLOOKUP(B719,'[1]TONG HOP'!B$5:G$624,6,0)</f>
        <v/>
      </c>
      <c r="I719" s="65" t="n">
        <v>2103750</v>
      </c>
      <c r="J719" s="65" t="n"/>
      <c r="K719" s="65" t="n"/>
      <c r="L719" s="65">
        <f>VLOOKUP(B719,'[2]DS THANG 11'!A$3:E$616,5,0)</f>
        <v/>
      </c>
      <c r="M719" s="65" t="n">
        <v>2103750</v>
      </c>
      <c r="N719" s="65" t="n"/>
      <c r="O719" s="65" t="n"/>
      <c r="P719" s="65">
        <f>VLOOKUP(B719,'[3]TONG HOP '!B$5:O$666,14,0)</f>
        <v/>
      </c>
      <c r="Q719" s="65" t="n">
        <v>2103750</v>
      </c>
      <c r="R719" s="65" t="n"/>
      <c r="S719" s="92">
        <f>G719-I719-R719-K719-M719-O719-Q719</f>
        <v/>
      </c>
      <c r="T719" s="92" t="inlineStr"/>
      <c r="U719" s="92" t="inlineStr"/>
      <c r="V719" s="69">
        <f>G719-SUM(I719,K719,M719,O719,Q719,U719)</f>
        <v/>
      </c>
      <c r="W719" s="65" t="n"/>
      <c r="X719" t="inlineStr">
        <is>
          <t>Khớp</t>
        </is>
      </c>
    </row>
    <row r="720">
      <c r="A720" s="65" t="n">
        <v>711</v>
      </c>
      <c r="B720" s="65" t="inlineStr">
        <is>
          <t>25807800067</t>
        </is>
      </c>
      <c r="C720" s="65" t="inlineStr">
        <is>
          <t>Lê Trà Bảo</t>
        </is>
      </c>
      <c r="D720" s="65" t="inlineStr">
        <is>
          <t>Khôi</t>
        </is>
      </c>
      <c r="E720" s="65" t="inlineStr">
        <is>
          <t>27/11/2007</t>
        </is>
      </c>
      <c r="F720" s="66" t="inlineStr">
        <is>
          <t>LNH0925ND01</t>
        </is>
      </c>
      <c r="G720" s="90" t="n">
        <v>8415000</v>
      </c>
      <c r="H720" s="65" t="n"/>
      <c r="I720" s="65" t="n"/>
      <c r="J720" s="65">
        <f>VLOOKUP(B720,[5]Sheet1!A$3:E$32,5,0)</f>
        <v/>
      </c>
      <c r="K720" s="65" t="n">
        <v>2103750</v>
      </c>
      <c r="L720" s="65">
        <f>VLOOKUP(B720,'[2]DS THANG 11'!A$3:E$616,5,0)</f>
        <v/>
      </c>
      <c r="M720" s="65" t="n">
        <v>2103750</v>
      </c>
      <c r="N720" s="65" t="n"/>
      <c r="O720" s="65" t="n"/>
      <c r="P720" s="65">
        <f>VLOOKUP(B720,'[3]TONG HOP '!B$5:O$666,14,0)</f>
        <v/>
      </c>
      <c r="Q720" s="65" t="n">
        <v>2103750</v>
      </c>
      <c r="R720" s="65" t="n"/>
      <c r="S720" s="92">
        <f>G720-I720-R720-K720-M720-O720-Q720</f>
        <v/>
      </c>
      <c r="T720" s="92" t="inlineStr">
        <is>
          <t>LNH0526NQ14</t>
        </is>
      </c>
      <c r="U720" s="92" t="n">
        <v>2103750</v>
      </c>
      <c r="V720" s="69">
        <f>G720-SUM(I720,K720,M720,O720,Q720,U720)</f>
        <v/>
      </c>
      <c r="W720" s="65" t="n"/>
      <c r="X720" t="inlineStr">
        <is>
          <t>Khớp</t>
        </is>
      </c>
    </row>
    <row r="721">
      <c r="A721" s="65" t="n">
        <v>712</v>
      </c>
      <c r="B721" s="65" t="inlineStr">
        <is>
          <t>25808700180</t>
        </is>
      </c>
      <c r="C721" s="65" t="inlineStr">
        <is>
          <t>Đinh Thế</t>
        </is>
      </c>
      <c r="D721" s="65" t="inlineStr">
        <is>
          <t>Hiển</t>
        </is>
      </c>
      <c r="E721" s="65" t="inlineStr">
        <is>
          <t>12/11/2007</t>
        </is>
      </c>
      <c r="F721" s="66" t="inlineStr">
        <is>
          <t>LNH0925ND01</t>
        </is>
      </c>
      <c r="G721" s="90" t="n">
        <v>8415000</v>
      </c>
      <c r="H721" s="65">
        <f>VLOOKUP(B721,'[1]TONG HOP'!B$5:G$624,6,0)</f>
        <v/>
      </c>
      <c r="I721" s="65" t="n">
        <v>2103750</v>
      </c>
      <c r="J721" s="65" t="n"/>
      <c r="K721" s="65" t="n"/>
      <c r="L721" s="65">
        <f>VLOOKUP(B721,'[2]DS THANG 11'!A$3:E$616,5,0)</f>
        <v/>
      </c>
      <c r="M721" s="65" t="n">
        <v>2103750</v>
      </c>
      <c r="N721" s="65" t="n"/>
      <c r="O721" s="65" t="n"/>
      <c r="P721" s="65" t="n"/>
      <c r="Q721" s="65" t="n"/>
      <c r="R721" s="65" t="n"/>
      <c r="S721" s="92">
        <f>G721-I721-R721-K721-M721-O721-Q721</f>
        <v/>
      </c>
      <c r="T721" s="92" t="inlineStr">
        <is>
          <t>LNH0526NG02</t>
        </is>
      </c>
      <c r="U721" s="92" t="n">
        <v>2103750</v>
      </c>
      <c r="V721" s="69">
        <f>G721-SUM(I721,K721,M721,O721,Q721,U721)</f>
        <v/>
      </c>
      <c r="W721" s="65" t="n"/>
      <c r="X721" t="inlineStr">
        <is>
          <t>Khớp</t>
        </is>
      </c>
    </row>
    <row r="722">
      <c r="A722" s="65" t="n">
        <v>714</v>
      </c>
      <c r="B722" s="65" t="inlineStr">
        <is>
          <t>25807900042</t>
        </is>
      </c>
      <c r="C722" s="65" t="inlineStr">
        <is>
          <t>Trần Nhật</t>
        </is>
      </c>
      <c r="D722" s="65" t="inlineStr">
        <is>
          <t>Quang</t>
        </is>
      </c>
      <c r="E722" s="65" t="inlineStr">
        <is>
          <t>01/08/2007</t>
        </is>
      </c>
      <c r="F722" s="66" t="inlineStr">
        <is>
          <t>LNH0925ND01</t>
        </is>
      </c>
      <c r="G722" s="90" t="n">
        <v>8415000</v>
      </c>
      <c r="H722" s="65">
        <f>VLOOKUP(B722,'[1]TONG HOP'!B$5:G$624,6,0)</f>
        <v/>
      </c>
      <c r="I722" s="65" t="n">
        <v>2103750</v>
      </c>
      <c r="J722" s="65" t="n"/>
      <c r="K722" s="65" t="n"/>
      <c r="L722" s="65">
        <f>VLOOKUP(B722,'[2]DS THANG 11'!A$3:E$616,5,0)</f>
        <v/>
      </c>
      <c r="M722" s="65" t="n">
        <v>2103750</v>
      </c>
      <c r="N722" s="65" t="n"/>
      <c r="O722" s="65" t="n"/>
      <c r="P722" s="65">
        <f>VLOOKUP(B722,'[3]TONG HOP '!B$5:O$666,14,0)</f>
        <v/>
      </c>
      <c r="Q722" s="65" t="n">
        <v>2103750</v>
      </c>
      <c r="R722" s="65" t="n"/>
      <c r="S722" s="92">
        <f>G722-I722-R722-K722-M722-O722-Q722</f>
        <v/>
      </c>
      <c r="T722" s="92" t="inlineStr">
        <is>
          <t>LNH0526NQ15</t>
        </is>
      </c>
      <c r="U722" s="92" t="n">
        <v>2103750</v>
      </c>
      <c r="V722" s="69">
        <f>G722-SUM(I722,K722,M722,O722,Q722,U722)</f>
        <v/>
      </c>
      <c r="W722" s="65" t="n"/>
      <c r="X722" t="inlineStr">
        <is>
          <t>Khớp</t>
        </is>
      </c>
    </row>
    <row r="723">
      <c r="A723" s="65" t="n">
        <v>715</v>
      </c>
      <c r="B723" s="65" t="inlineStr">
        <is>
          <t>25807500061</t>
        </is>
      </c>
      <c r="C723" s="65" t="inlineStr">
        <is>
          <t>Huỳnh Hồng</t>
        </is>
      </c>
      <c r="D723" s="65" t="inlineStr">
        <is>
          <t>Loan</t>
        </is>
      </c>
      <c r="E723" s="65" t="inlineStr">
        <is>
          <t>16/11/2007</t>
        </is>
      </c>
      <c r="F723" s="66" t="inlineStr">
        <is>
          <t>LNH0925ND01</t>
        </is>
      </c>
      <c r="G723" s="90" t="n">
        <v>8415000</v>
      </c>
      <c r="H723" s="65" t="n"/>
      <c r="I723" s="65" t="n"/>
      <c r="J723" s="65" t="n"/>
      <c r="K723" s="65" t="n"/>
      <c r="L723" s="65" t="n"/>
      <c r="M723" s="65" t="n"/>
      <c r="N723" s="65" t="n"/>
      <c r="O723" s="65" t="n"/>
      <c r="P723" s="65" t="n"/>
      <c r="Q723" s="65" t="n"/>
      <c r="R723" s="65" t="n"/>
      <c r="S723" s="92">
        <f>G723-I723-R723-K723-M723-O723-Q723</f>
        <v/>
      </c>
      <c r="T723" s="92" t="inlineStr"/>
      <c r="U723" s="92" t="inlineStr"/>
      <c r="V723" s="69">
        <f>G723-SUM(I723,K723,M723,O723,Q723,U723)</f>
        <v/>
      </c>
      <c r="W723" s="65" t="n"/>
      <c r="X723" t="inlineStr">
        <is>
          <t>Khớp</t>
        </is>
      </c>
    </row>
    <row r="724">
      <c r="A724" s="65" t="n">
        <v>716</v>
      </c>
      <c r="B724" s="65" t="inlineStr">
        <is>
          <t>25801900280</t>
        </is>
      </c>
      <c r="C724" s="65" t="inlineStr">
        <is>
          <t>Trần Nguyễn Hoàng</t>
        </is>
      </c>
      <c r="D724" s="65" t="inlineStr">
        <is>
          <t>Phúc</t>
        </is>
      </c>
      <c r="E724" s="65" t="inlineStr">
        <is>
          <t>09/12/2007</t>
        </is>
      </c>
      <c r="F724" s="66" t="inlineStr">
        <is>
          <t>LNH0925ND01</t>
        </is>
      </c>
      <c r="G724" s="90" t="n">
        <v>8415000</v>
      </c>
      <c r="H724" s="65">
        <f>VLOOKUP(B724,'[1]TONG HOP'!B$5:G$624,6,0)</f>
        <v/>
      </c>
      <c r="I724" s="65" t="n">
        <v>2103750</v>
      </c>
      <c r="J724" s="65" t="n"/>
      <c r="K724" s="65" t="n"/>
      <c r="L724" s="65">
        <f>VLOOKUP(B724,'[2]DS THANG 11'!A$3:E$616,5,0)</f>
        <v/>
      </c>
      <c r="M724" s="65" t="n">
        <v>2103750</v>
      </c>
      <c r="N724" s="65" t="n"/>
      <c r="O724" s="65" t="n"/>
      <c r="P724" s="65">
        <f>VLOOKUP(B724,'[3]TONG HOP '!B$5:O$666,14,0)</f>
        <v/>
      </c>
      <c r="Q724" s="65" t="n">
        <v>2103750</v>
      </c>
      <c r="R724" s="65" t="n"/>
      <c r="S724" s="92">
        <f>G724-I724-R724-K724-M724-O724-Q724</f>
        <v/>
      </c>
      <c r="T724" s="92" t="inlineStr"/>
      <c r="U724" s="92" t="inlineStr"/>
      <c r="V724" s="69">
        <f>G724-SUM(I724,K724,M724,O724,Q724,U724)</f>
        <v/>
      </c>
      <c r="W724" s="65" t="n"/>
      <c r="X724" t="inlineStr">
        <is>
          <t>Khớp</t>
        </is>
      </c>
    </row>
    <row r="725">
      <c r="A725" s="65" t="n">
        <v>717</v>
      </c>
      <c r="B725" s="65" t="inlineStr">
        <is>
          <t>25807800156</t>
        </is>
      </c>
      <c r="C725" s="65" t="inlineStr">
        <is>
          <t>Lê Trần Quốc</t>
        </is>
      </c>
      <c r="D725" s="65" t="inlineStr">
        <is>
          <t>Tuấn</t>
        </is>
      </c>
      <c r="E725" s="65" t="inlineStr">
        <is>
          <t>02/07/2007</t>
        </is>
      </c>
      <c r="F725" s="66" t="inlineStr">
        <is>
          <t>LNH0925ND01</t>
        </is>
      </c>
      <c r="G725" s="90" t="n">
        <v>8415000</v>
      </c>
      <c r="H725" s="65">
        <f>VLOOKUP(B725,'[1]TONG HOP'!B$5:G$624,6,0)</f>
        <v/>
      </c>
      <c r="I725" s="65" t="n">
        <v>2103750</v>
      </c>
      <c r="J725" s="65" t="n"/>
      <c r="K725" s="65" t="n"/>
      <c r="L725" s="65">
        <f>VLOOKUP(B725,'[2]DS THANG 11'!A$3:E$616,5,0)</f>
        <v/>
      </c>
      <c r="M725" s="65" t="n">
        <v>2103750</v>
      </c>
      <c r="N725" s="65" t="n"/>
      <c r="O725" s="65" t="n"/>
      <c r="P725" s="65">
        <f>VLOOKUP(B725,'[3]TONG HOP '!B$5:O$666,14,0)</f>
        <v/>
      </c>
      <c r="Q725" s="65" t="n">
        <v>2103750</v>
      </c>
      <c r="R725" s="65" t="n"/>
      <c r="S725" s="92">
        <f>G725-I725-R725-K725-M725-O725-Q725</f>
        <v/>
      </c>
      <c r="T725" s="92" t="inlineStr"/>
      <c r="U725" s="92" t="inlineStr"/>
      <c r="V725" s="69">
        <f>G725-SUM(I725,K725,M725,O725,Q725,U725)</f>
        <v/>
      </c>
      <c r="W725" s="65" t="n"/>
      <c r="X725" t="inlineStr">
        <is>
          <t>Khớp</t>
        </is>
      </c>
    </row>
    <row r="726">
      <c r="A726" s="65" t="n">
        <v>718</v>
      </c>
      <c r="B726" s="65" t="inlineStr">
        <is>
          <t>25807500037</t>
        </is>
      </c>
      <c r="C726" s="65" t="inlineStr">
        <is>
          <t>Phạm Minh</t>
        </is>
      </c>
      <c r="D726" s="65" t="inlineStr">
        <is>
          <t>Hoàng</t>
        </is>
      </c>
      <c r="E726" s="65" t="inlineStr">
        <is>
          <t>31/10/2007</t>
        </is>
      </c>
      <c r="F726" s="66" t="inlineStr">
        <is>
          <t>LNH0925ND01</t>
        </is>
      </c>
      <c r="G726" s="90" t="n">
        <v>8415000</v>
      </c>
      <c r="H726" s="65">
        <f>VLOOKUP(B726,'[1]TONG HOP'!B$5:G$624,6,0)</f>
        <v/>
      </c>
      <c r="I726" s="65" t="n">
        <v>2103750</v>
      </c>
      <c r="J726" s="65" t="n"/>
      <c r="K726" s="65" t="n"/>
      <c r="L726" s="65">
        <f>VLOOKUP(B726,'[2]DS THANG 11'!A$3:E$616,5,0)</f>
        <v/>
      </c>
      <c r="M726" s="65" t="n">
        <v>2103750</v>
      </c>
      <c r="N726" s="65" t="n"/>
      <c r="O726" s="65" t="n"/>
      <c r="P726" s="65" t="n"/>
      <c r="Q726" s="65" t="n"/>
      <c r="R726" s="65" t="n"/>
      <c r="S726" s="92">
        <f>G726-I726-R726-K726-M726-O726-Q726</f>
        <v/>
      </c>
      <c r="T726" s="92" t="inlineStr"/>
      <c r="U726" s="92" t="inlineStr"/>
      <c r="V726" s="69">
        <f>G726-SUM(I726,K726,M726,O726,Q726,U726)</f>
        <v/>
      </c>
      <c r="W726" s="65" t="n"/>
      <c r="X726" t="inlineStr">
        <is>
          <t>Khớp</t>
        </is>
      </c>
    </row>
    <row r="727">
      <c r="A727" s="65" t="n">
        <v>719</v>
      </c>
      <c r="B727" s="65" t="inlineStr">
        <is>
          <t>25820700070</t>
        </is>
      </c>
      <c r="C727" s="65" t="inlineStr">
        <is>
          <t>Bùi Thị Kim</t>
        </is>
      </c>
      <c r="D727" s="65" t="inlineStr">
        <is>
          <t>Ngân</t>
        </is>
      </c>
      <c r="E727" s="65" t="inlineStr">
        <is>
          <t>12/10/2007</t>
        </is>
      </c>
      <c r="F727" s="66" t="inlineStr">
        <is>
          <t>LNH0925ND01</t>
        </is>
      </c>
      <c r="G727" s="90" t="n">
        <v>8415000</v>
      </c>
      <c r="H727" s="65">
        <f>VLOOKUP(B727,'[1]TONG HOP'!B$5:G$624,6,0)</f>
        <v/>
      </c>
      <c r="I727" s="65" t="n">
        <v>2103750</v>
      </c>
      <c r="J727" s="65" t="n"/>
      <c r="K727" s="65" t="n"/>
      <c r="L727" s="65" t="n"/>
      <c r="M727" s="65" t="n"/>
      <c r="N727" s="65" t="n"/>
      <c r="O727" s="65" t="n"/>
      <c r="P727" s="65" t="n"/>
      <c r="Q727" s="65" t="n"/>
      <c r="R727" s="65" t="n"/>
      <c r="S727" s="92">
        <f>G727-I727-R727-K727-M727-O727-Q727</f>
        <v/>
      </c>
      <c r="T727" s="92" t="inlineStr"/>
      <c r="U727" s="92" t="inlineStr"/>
      <c r="V727" s="69">
        <f>G727-SUM(I727,K727,M727,O727,Q727,U727)</f>
        <v/>
      </c>
      <c r="W727" s="65" t="n"/>
      <c r="X727" t="inlineStr">
        <is>
          <t>Khớp</t>
        </is>
      </c>
    </row>
    <row r="728">
      <c r="A728" s="65" t="n">
        <v>720</v>
      </c>
      <c r="B728" s="65" t="inlineStr">
        <is>
          <t>25801700078</t>
        </is>
      </c>
      <c r="C728" s="65" t="inlineStr">
        <is>
          <t>Lê Hà Thuý</t>
        </is>
      </c>
      <c r="D728" s="65" t="inlineStr">
        <is>
          <t>My</t>
        </is>
      </c>
      <c r="E728" s="65" t="inlineStr">
        <is>
          <t>04/08/2006</t>
        </is>
      </c>
      <c r="F728" s="66" t="inlineStr">
        <is>
          <t>LNH0925ND01</t>
        </is>
      </c>
      <c r="G728" s="90" t="n">
        <v>1000000</v>
      </c>
      <c r="H728" s="65" t="n"/>
      <c r="I728" s="65" t="n"/>
      <c r="J728" s="65" t="n"/>
      <c r="K728" s="65" t="n"/>
      <c r="L728" s="65" t="n"/>
      <c r="M728" s="65" t="n"/>
      <c r="N728" s="65" t="n"/>
      <c r="O728" s="65" t="n"/>
      <c r="P728" s="65" t="n"/>
      <c r="Q728" s="65" t="n"/>
      <c r="R728" s="65" t="n"/>
      <c r="S728" s="92">
        <f>G728-I728-R728-K728-M728-O728-Q728</f>
        <v/>
      </c>
      <c r="T728" s="92" t="inlineStr"/>
      <c r="U728" s="92" t="inlineStr"/>
      <c r="V728" s="69">
        <f>G728-SUM(I728,K728,M728,O728,Q728,U728)</f>
        <v/>
      </c>
      <c r="W728" s="65" t="n"/>
      <c r="X728" t="inlineStr">
        <is>
          <t>Khớp</t>
        </is>
      </c>
    </row>
    <row r="729">
      <c r="A729" s="65" t="n">
        <v>721</v>
      </c>
      <c r="B729" s="65" t="inlineStr">
        <is>
          <t>25802800177</t>
        </is>
      </c>
      <c r="C729" s="65" t="inlineStr">
        <is>
          <t>Tô Đức</t>
        </is>
      </c>
      <c r="D729" s="65" t="inlineStr">
        <is>
          <t>Nguyên</t>
        </is>
      </c>
      <c r="E729" s="65" t="inlineStr">
        <is>
          <t>21/01/2007</t>
        </is>
      </c>
      <c r="F729" s="66" t="inlineStr">
        <is>
          <t>LNH0925ND01</t>
        </is>
      </c>
      <c r="G729" s="90" t="n">
        <v>8415000</v>
      </c>
      <c r="H729" s="65">
        <f>VLOOKUP(B729,'[1]TONG HOP'!B$5:G$624,6,0)</f>
        <v/>
      </c>
      <c r="I729" s="65" t="n">
        <v>2103750</v>
      </c>
      <c r="J729" s="65" t="n"/>
      <c r="K729" s="65" t="n"/>
      <c r="L729" s="65">
        <f>VLOOKUP(B729,'[2]DS THANG 11'!A$3:E$616,5,0)</f>
        <v/>
      </c>
      <c r="M729" s="65" t="n">
        <v>2103750</v>
      </c>
      <c r="N729" s="65" t="n"/>
      <c r="O729" s="65" t="n"/>
      <c r="P729" s="65">
        <f>VLOOKUP(B729,'[3]TONG HOP '!B$5:O$666,14,0)</f>
        <v/>
      </c>
      <c r="Q729" s="65" t="n">
        <v>2103750</v>
      </c>
      <c r="R729" s="65" t="n"/>
      <c r="S729" s="92">
        <f>G729-I729-R729-K729-M729-O729-Q729</f>
        <v/>
      </c>
      <c r="T729" s="92" t="inlineStr">
        <is>
          <t>LNH0526NQ05</t>
        </is>
      </c>
      <c r="U729" s="92" t="n">
        <v>2103750</v>
      </c>
      <c r="V729" s="69">
        <f>G729-SUM(I729,K729,M729,O729,Q729,U729)</f>
        <v/>
      </c>
      <c r="W729" s="65" t="n"/>
      <c r="X729" t="inlineStr">
        <is>
          <t>Khớp</t>
        </is>
      </c>
    </row>
    <row r="730">
      <c r="A730" s="65" t="n">
        <v>722</v>
      </c>
      <c r="B730" s="65" t="inlineStr">
        <is>
          <t>25806000112</t>
        </is>
      </c>
      <c r="C730" s="65" t="inlineStr">
        <is>
          <t>Nguyễn Ngọc</t>
        </is>
      </c>
      <c r="D730" s="65" t="inlineStr">
        <is>
          <t>Trâm</t>
        </is>
      </c>
      <c r="E730" s="65" t="inlineStr">
        <is>
          <t>03/02/2007</t>
        </is>
      </c>
      <c r="F730" s="66" t="inlineStr">
        <is>
          <t>LNH0925ND01</t>
        </is>
      </c>
      <c r="G730" s="90" t="n">
        <v>8415000</v>
      </c>
      <c r="H730" s="65">
        <f>VLOOKUP(B730,'[1]TONG HOP'!B$5:G$624,6,0)</f>
        <v/>
      </c>
      <c r="I730" s="65" t="n">
        <v>2103750</v>
      </c>
      <c r="J730" s="65" t="n"/>
      <c r="K730" s="65" t="n"/>
      <c r="L730" s="65">
        <f>VLOOKUP(B730,'[2]DS THANG 11'!A$3:E$616,5,0)</f>
        <v/>
      </c>
      <c r="M730" s="65" t="n">
        <v>2103750</v>
      </c>
      <c r="N730" s="65" t="n"/>
      <c r="O730" s="65" t="n"/>
      <c r="P730" s="65">
        <f>VLOOKUP(B730,'[3]TONG HOP '!B$5:O$666,14,0)</f>
        <v/>
      </c>
      <c r="Q730" s="65" t="n">
        <v>2103750</v>
      </c>
      <c r="R730" s="65" t="n"/>
      <c r="S730" s="92">
        <f>G730-I730-R730-K730-M730-O730-Q730</f>
        <v/>
      </c>
      <c r="T730" s="92" t="inlineStr">
        <is>
          <t>LNH0526NQ04</t>
        </is>
      </c>
      <c r="U730" s="92" t="n">
        <v>2103750</v>
      </c>
      <c r="V730" s="69">
        <f>G730-SUM(I730,K730,M730,O730,Q730,U730)</f>
        <v/>
      </c>
      <c r="W730" s="65" t="n"/>
      <c r="X730" t="inlineStr">
        <is>
          <t>Khớp</t>
        </is>
      </c>
    </row>
    <row r="731">
      <c r="A731" s="65" t="n">
        <v>723</v>
      </c>
      <c r="B731" s="65" t="inlineStr">
        <is>
          <t>25802800006</t>
        </is>
      </c>
      <c r="C731" s="65" t="inlineStr">
        <is>
          <t>Lê Hồng</t>
        </is>
      </c>
      <c r="D731" s="65" t="inlineStr">
        <is>
          <t>Anh</t>
        </is>
      </c>
      <c r="E731" s="65" t="inlineStr">
        <is>
          <t>07/10/2007</t>
        </is>
      </c>
      <c r="F731" s="66" t="inlineStr">
        <is>
          <t>LNH0925ND01</t>
        </is>
      </c>
      <c r="G731" s="90" t="n">
        <v>8415000</v>
      </c>
      <c r="H731" s="65">
        <f>VLOOKUP(B731,'[1]TONG HOP'!B$5:G$624,6,0)</f>
        <v/>
      </c>
      <c r="I731" s="65" t="n">
        <v>2103750</v>
      </c>
      <c r="J731" s="65" t="n"/>
      <c r="K731" s="65" t="n"/>
      <c r="L731" s="65">
        <f>VLOOKUP(B731,'[2]DS THANG 11'!A$3:E$616,5,0)</f>
        <v/>
      </c>
      <c r="M731" s="65" t="n">
        <v>2103750</v>
      </c>
      <c r="N731" s="65" t="n"/>
      <c r="O731" s="65" t="n"/>
      <c r="P731" s="65">
        <f>VLOOKUP(B731,'[3]TONG HOP '!B$5:O$666,14,0)</f>
        <v/>
      </c>
      <c r="Q731" s="65" t="n">
        <v>2103750</v>
      </c>
      <c r="R731" s="65" t="n"/>
      <c r="S731" s="92">
        <f>G731-I731-R731-K731-M731-O731-Q731</f>
        <v/>
      </c>
      <c r="T731" s="92" t="inlineStr">
        <is>
          <t>LNH0526NQ08</t>
        </is>
      </c>
      <c r="U731" s="92" t="n">
        <v>2103750</v>
      </c>
      <c r="V731" s="69">
        <f>G731-SUM(I731,K731,M731,O731,Q731,U731)</f>
        <v/>
      </c>
      <c r="W731" s="65" t="n"/>
      <c r="X731" t="inlineStr">
        <is>
          <t>Khớp</t>
        </is>
      </c>
    </row>
    <row r="732">
      <c r="A732" s="65" t="n">
        <v>724</v>
      </c>
      <c r="B732" s="65" t="inlineStr">
        <is>
          <t>25800400051</t>
        </is>
      </c>
      <c r="C732" s="65" t="inlineStr">
        <is>
          <t>Nguyễn Lâm</t>
        </is>
      </c>
      <c r="D732" s="65" t="inlineStr">
        <is>
          <t>Hùng</t>
        </is>
      </c>
      <c r="E732" s="65" t="inlineStr">
        <is>
          <t>24/10/2007</t>
        </is>
      </c>
      <c r="F732" s="66" t="inlineStr">
        <is>
          <t>LNH0925ND01</t>
        </is>
      </c>
      <c r="G732" s="90" t="n">
        <v>8415000</v>
      </c>
      <c r="H732" s="65">
        <f>VLOOKUP(B732,'[1]TONG HOP'!B$5:G$624,6,0)</f>
        <v/>
      </c>
      <c r="I732" s="65" t="n">
        <v>2103750</v>
      </c>
      <c r="J732" s="65" t="n"/>
      <c r="K732" s="65" t="n"/>
      <c r="L732" s="65">
        <f>VLOOKUP(B732,'[2]DS THANG 11'!A$3:E$616,5,0)</f>
        <v/>
      </c>
      <c r="M732" s="65" t="n">
        <v>2103750</v>
      </c>
      <c r="N732" s="65" t="n"/>
      <c r="O732" s="65" t="n"/>
      <c r="P732" s="65">
        <f>VLOOKUP(B732,'[3]TONG HOP '!B$5:O$666,14,0)</f>
        <v/>
      </c>
      <c r="Q732" s="65" t="n">
        <v>2103750</v>
      </c>
      <c r="R732" s="65" t="n"/>
      <c r="S732" s="92">
        <f>G732-I732-R732-K732-M732-O732-Q732</f>
        <v/>
      </c>
      <c r="T732" s="92" t="inlineStr">
        <is>
          <t>LNH0526NQ15</t>
        </is>
      </c>
      <c r="U732" s="92" t="n">
        <v>2103750</v>
      </c>
      <c r="V732" s="69">
        <f>G732-SUM(I732,K732,M732,O732,Q732,U732)</f>
        <v/>
      </c>
      <c r="W732" s="65" t="n"/>
      <c r="X732" t="inlineStr">
        <is>
          <t>Khớp</t>
        </is>
      </c>
    </row>
    <row r="733">
      <c r="A733" s="65" t="n">
        <v>725</v>
      </c>
      <c r="B733" s="65" t="inlineStr">
        <is>
          <t>25805900063</t>
        </is>
      </c>
      <c r="C733" s="65" t="inlineStr">
        <is>
          <t>Dương Phương</t>
        </is>
      </c>
      <c r="D733" s="65" t="inlineStr">
        <is>
          <t>Uyên</t>
        </is>
      </c>
      <c r="E733" s="65" t="inlineStr">
        <is>
          <t>05/12/2007</t>
        </is>
      </c>
      <c r="F733" s="66" t="inlineStr">
        <is>
          <t>LNH0925ND01</t>
        </is>
      </c>
      <c r="G733" s="90" t="n">
        <v>8415000</v>
      </c>
      <c r="H733" s="65">
        <f>VLOOKUP(B733,'[1]TONG HOP'!B$5:G$624,6,0)</f>
        <v/>
      </c>
      <c r="I733" s="65" t="n">
        <v>2103750</v>
      </c>
      <c r="J733" s="65" t="n"/>
      <c r="K733" s="65" t="n"/>
      <c r="L733" s="65">
        <f>VLOOKUP(B733,'[2]DS THANG 11'!A$3:E$616,5,0)</f>
        <v/>
      </c>
      <c r="M733" s="65" t="n">
        <v>2103750</v>
      </c>
      <c r="N733" s="65" t="n"/>
      <c r="O733" s="65" t="n"/>
      <c r="P733" s="65">
        <f>VLOOKUP(B733,'[3]TONG HOP '!B$5:O$666,14,0)</f>
        <v/>
      </c>
      <c r="Q733" s="65" t="n">
        <v>2103750</v>
      </c>
      <c r="R733" s="65" t="n"/>
      <c r="S733" s="92">
        <f>G733-I733-R733-K733-M733-O733-Q733</f>
        <v/>
      </c>
      <c r="T733" s="92" t="inlineStr"/>
      <c r="U733" s="92" t="inlineStr"/>
      <c r="V733" s="69">
        <f>G733-SUM(I733,K733,M733,O733,Q733,U733)</f>
        <v/>
      </c>
      <c r="W733" s="65" t="n"/>
      <c r="X733" t="inlineStr">
        <is>
          <t>Khớp</t>
        </is>
      </c>
    </row>
    <row r="734">
      <c r="A734" s="65" t="n">
        <v>726</v>
      </c>
      <c r="B734" s="65" t="inlineStr">
        <is>
          <t>25809600027</t>
        </is>
      </c>
      <c r="C734" s="65" t="inlineStr">
        <is>
          <t>Trần Lương Gia</t>
        </is>
      </c>
      <c r="D734" s="65" t="inlineStr">
        <is>
          <t>Khiêm</t>
        </is>
      </c>
      <c r="E734" s="65" t="inlineStr">
        <is>
          <t>30/08/2007</t>
        </is>
      </c>
      <c r="F734" s="66" t="inlineStr">
        <is>
          <t>LNH0925ND01</t>
        </is>
      </c>
      <c r="G734" s="90" t="n">
        <v>1000000</v>
      </c>
      <c r="H734" s="65" t="n"/>
      <c r="I734" s="65" t="n"/>
      <c r="J734" s="65" t="n"/>
      <c r="K734" s="65" t="n"/>
      <c r="L734" s="65" t="n"/>
      <c r="M734" s="65" t="n"/>
      <c r="N734" s="65" t="n"/>
      <c r="O734" s="65" t="n"/>
      <c r="P734" s="65" t="n"/>
      <c r="Q734" s="65" t="n"/>
      <c r="R734" s="65" t="n"/>
      <c r="S734" s="92">
        <f>G734-I734-R734-K734-M734-O734-Q734</f>
        <v/>
      </c>
      <c r="T734" s="92" t="inlineStr"/>
      <c r="U734" s="92" t="inlineStr"/>
      <c r="V734" s="69">
        <f>G734-SUM(I734,K734,M734,O734,Q734,U734)</f>
        <v/>
      </c>
      <c r="W734" s="65" t="n"/>
      <c r="X734" t="inlineStr">
        <is>
          <t>Khớp</t>
        </is>
      </c>
    </row>
    <row r="735">
      <c r="A735" s="65" t="n">
        <v>727</v>
      </c>
      <c r="B735" s="65" t="inlineStr">
        <is>
          <t>25800400294</t>
        </is>
      </c>
      <c r="C735" s="65" t="inlineStr">
        <is>
          <t>Đinh Ngọc Xuân</t>
        </is>
      </c>
      <c r="D735" s="65" t="inlineStr">
        <is>
          <t>Giang</t>
        </is>
      </c>
      <c r="E735" s="65" t="inlineStr">
        <is>
          <t>10/03/2007</t>
        </is>
      </c>
      <c r="F735" s="66" t="inlineStr">
        <is>
          <t>LNH0925ND01</t>
        </is>
      </c>
      <c r="G735" s="90">
        <f>1000000+7450000</f>
        <v/>
      </c>
      <c r="H735" s="65" t="n"/>
      <c r="I735" s="65" t="n"/>
      <c r="J735" s="65" t="n"/>
      <c r="K735" s="65" t="n"/>
      <c r="L735" s="65">
        <f>VLOOKUP(B735,'[2]DS THANG 11'!A$3:E$616,5,0)</f>
        <v/>
      </c>
      <c r="M735" s="65" t="n">
        <v>2103750</v>
      </c>
      <c r="N735" s="65" t="n"/>
      <c r="O735" s="65" t="n"/>
      <c r="P735" s="65">
        <f>VLOOKUP(B735,'[3]TONG HOP '!B$5:O$666,14,0)</f>
        <v/>
      </c>
      <c r="Q735" s="65" t="n">
        <v>2103750</v>
      </c>
      <c r="R735" s="65" t="n"/>
      <c r="S735" s="92">
        <f>G735-I735-R735-K735-M735-O735-Q735</f>
        <v/>
      </c>
      <c r="T735" s="92" t="inlineStr"/>
      <c r="U735" s="92" t="inlineStr"/>
      <c r="V735" s="69">
        <f>G735-SUM(I735,K735,M735,O735,Q735,U735)</f>
        <v/>
      </c>
      <c r="W735" s="65" t="n"/>
      <c r="X735" t="inlineStr">
        <is>
          <t>Khớp</t>
        </is>
      </c>
    </row>
    <row r="736">
      <c r="A736" s="65" t="n">
        <v>728</v>
      </c>
      <c r="B736" s="65" t="inlineStr">
        <is>
          <t>25802600218</t>
        </is>
      </c>
      <c r="C736" s="65" t="inlineStr">
        <is>
          <t>Nguyễn Thị Vân</t>
        </is>
      </c>
      <c r="D736" s="65" t="inlineStr">
        <is>
          <t>Anh</t>
        </is>
      </c>
      <c r="E736" s="65" t="inlineStr">
        <is>
          <t>06/10/2007</t>
        </is>
      </c>
      <c r="F736" s="66" t="inlineStr">
        <is>
          <t>LNH0925ND01</t>
        </is>
      </c>
      <c r="G736" s="90" t="n">
        <v>4465000</v>
      </c>
      <c r="H736" s="65">
        <f>VLOOKUP(B736,'[1]TONG HOP'!B$5:G$624,6,0)</f>
        <v/>
      </c>
      <c r="I736" s="65" t="n">
        <v>2232500</v>
      </c>
      <c r="J736" s="65" t="n"/>
      <c r="K736" s="65" t="n"/>
      <c r="L736" s="65">
        <f>VLOOKUP(B736,'[2]DS THANG 11'!A$3:E$616,5,0)</f>
        <v/>
      </c>
      <c r="M736" s="65" t="n">
        <v>2232500</v>
      </c>
      <c r="N736" s="65" t="n"/>
      <c r="O736" s="65" t="n"/>
      <c r="P736" s="65" t="n"/>
      <c r="Q736" s="65" t="n"/>
      <c r="R736" s="65" t="n"/>
      <c r="S736" s="92">
        <f>G736-I736-R736-K736-M736-O736-Q736</f>
        <v/>
      </c>
      <c r="T736" s="92" t="inlineStr"/>
      <c r="U736" s="92" t="inlineStr"/>
      <c r="V736" s="69">
        <f>G736-SUM(I736,K736,M736,O736,Q736,U736)</f>
        <v/>
      </c>
      <c r="W736" s="65" t="n"/>
      <c r="X736" t="inlineStr">
        <is>
          <t>Khớp</t>
        </is>
      </c>
    </row>
    <row r="737">
      <c r="A737" s="65" t="n">
        <v>729</v>
      </c>
      <c r="B737" s="65" t="inlineStr">
        <is>
          <t>25801000042</t>
        </is>
      </c>
      <c r="C737" s="65" t="inlineStr">
        <is>
          <t>Nguyễn Hoàng Anh</t>
        </is>
      </c>
      <c r="D737" s="65" t="inlineStr">
        <is>
          <t>Thư</t>
        </is>
      </c>
      <c r="E737" s="65" t="inlineStr">
        <is>
          <t>01/06/2007</t>
        </is>
      </c>
      <c r="F737" s="66" t="inlineStr">
        <is>
          <t>LNH0925ND01</t>
        </is>
      </c>
      <c r="G737" s="90" t="n">
        <v>1000000</v>
      </c>
      <c r="H737" s="65" t="n"/>
      <c r="I737" s="65" t="n"/>
      <c r="J737" s="65" t="n"/>
      <c r="K737" s="65" t="n"/>
      <c r="L737" s="65" t="n"/>
      <c r="M737" s="65" t="n"/>
      <c r="N737" s="65" t="n"/>
      <c r="O737" s="65" t="n"/>
      <c r="P737" s="65" t="n"/>
      <c r="Q737" s="65" t="n"/>
      <c r="R737" s="65" t="n"/>
      <c r="S737" s="92">
        <f>G737-I737-R737-K737-M737-O737-Q737</f>
        <v/>
      </c>
      <c r="T737" s="92" t="inlineStr"/>
      <c r="U737" s="92" t="inlineStr"/>
      <c r="V737" s="69">
        <f>G737-SUM(I737,K737,M737,O737,Q737,U737)</f>
        <v/>
      </c>
      <c r="W737" s="65" t="n"/>
      <c r="X737" t="inlineStr">
        <is>
          <t>Khớp</t>
        </is>
      </c>
    </row>
    <row r="738">
      <c r="A738" s="65" t="n">
        <v>730</v>
      </c>
      <c r="B738" s="65" t="inlineStr">
        <is>
          <t>25802600208</t>
        </is>
      </c>
      <c r="C738" s="65" t="inlineStr">
        <is>
          <t>Phan Anh</t>
        </is>
      </c>
      <c r="D738" s="65" t="inlineStr">
        <is>
          <t>Thư</t>
        </is>
      </c>
      <c r="E738" s="65" t="inlineStr">
        <is>
          <t>19/05/2007</t>
        </is>
      </c>
      <c r="F738" s="66" t="inlineStr">
        <is>
          <t>LNH0925ND01</t>
        </is>
      </c>
      <c r="G738" s="90" t="n">
        <v>8415000</v>
      </c>
      <c r="H738" s="65">
        <f>VLOOKUP(B738,'[1]TONG HOP'!B$5:G$624,6,0)</f>
        <v/>
      </c>
      <c r="I738" s="65" t="n">
        <v>2103750</v>
      </c>
      <c r="J738" s="65" t="n"/>
      <c r="K738" s="65" t="n"/>
      <c r="L738" s="65">
        <f>VLOOKUP(B738,'[2]DS THANG 11'!A$3:E$616,5,0)</f>
        <v/>
      </c>
      <c r="M738" s="65" t="n">
        <v>2103750</v>
      </c>
      <c r="N738" s="65" t="n"/>
      <c r="O738" s="65" t="n"/>
      <c r="P738" s="65" t="n"/>
      <c r="Q738" s="65" t="n"/>
      <c r="R738" s="65" t="n"/>
      <c r="S738" s="92">
        <f>G738-I738-R738-K738-M738-O738-Q738</f>
        <v/>
      </c>
      <c r="T738" s="92" t="inlineStr"/>
      <c r="U738" s="92" t="inlineStr"/>
      <c r="V738" s="69">
        <f>G738-SUM(I738,K738,M738,O738,Q738,U738)</f>
        <v/>
      </c>
      <c r="W738" s="65" t="n"/>
      <c r="X738" t="inlineStr">
        <is>
          <t>Khớp</t>
        </is>
      </c>
    </row>
    <row r="739">
      <c r="A739" s="65" t="n">
        <v>731</v>
      </c>
      <c r="B739" s="65" t="inlineStr">
        <is>
          <t>25808600245</t>
        </is>
      </c>
      <c r="C739" s="65" t="inlineStr">
        <is>
          <t>Phan Minh</t>
        </is>
      </c>
      <c r="D739" s="65" t="inlineStr">
        <is>
          <t>Thư</t>
        </is>
      </c>
      <c r="E739" s="65" t="inlineStr">
        <is>
          <t>19/05/2007</t>
        </is>
      </c>
      <c r="F739" s="66" t="inlineStr">
        <is>
          <t>LNH0925ND01</t>
        </is>
      </c>
      <c r="G739" s="90" t="n">
        <v>8415000</v>
      </c>
      <c r="H739" s="65">
        <f>VLOOKUP(B739,'[1]TONG HOP'!B$5:G$624,6,0)</f>
        <v/>
      </c>
      <c r="I739" s="65" t="n">
        <v>2103750</v>
      </c>
      <c r="J739" s="65" t="n"/>
      <c r="K739" s="65" t="n"/>
      <c r="L739" s="65">
        <f>VLOOKUP(B739,'[2]DS THANG 11'!A$3:E$616,5,0)</f>
        <v/>
      </c>
      <c r="M739" s="65" t="n">
        <v>2103750</v>
      </c>
      <c r="N739" s="65" t="n"/>
      <c r="O739" s="65" t="n"/>
      <c r="P739" s="65">
        <f>VLOOKUP(B739,'[3]TONG HOP '!B$5:O$666,14,0)</f>
        <v/>
      </c>
      <c r="Q739" s="65" t="n">
        <v>2103750</v>
      </c>
      <c r="R739" s="65" t="n"/>
      <c r="S739" s="92">
        <f>G739-I739-R739-K739-M739-O739-Q739</f>
        <v/>
      </c>
      <c r="T739" s="92" t="inlineStr">
        <is>
          <t>LNH0526NQ02</t>
        </is>
      </c>
      <c r="U739" s="92" t="n">
        <v>2103750</v>
      </c>
      <c r="V739" s="69">
        <f>G739-SUM(I739,K739,M739,O739,Q739,U739)</f>
        <v/>
      </c>
      <c r="W739" s="65" t="n"/>
      <c r="X739" t="inlineStr">
        <is>
          <t>Khớp</t>
        </is>
      </c>
    </row>
    <row r="740">
      <c r="A740" s="65" t="n">
        <v>732</v>
      </c>
      <c r="B740" s="65" t="inlineStr">
        <is>
          <t>25802800015</t>
        </is>
      </c>
      <c r="C740" s="65" t="inlineStr">
        <is>
          <t>Nguyễn Ngọc Bảo</t>
        </is>
      </c>
      <c r="D740" s="65" t="inlineStr">
        <is>
          <t>Ân</t>
        </is>
      </c>
      <c r="E740" s="65" t="inlineStr">
        <is>
          <t>24/02/2007</t>
        </is>
      </c>
      <c r="F740" s="66" t="inlineStr">
        <is>
          <t>LNH0925ND01</t>
        </is>
      </c>
      <c r="G740" s="90" t="n">
        <v>8415000</v>
      </c>
      <c r="H740" s="65">
        <f>VLOOKUP(B740,'[1]TONG HOP'!B$5:G$624,6,0)</f>
        <v/>
      </c>
      <c r="I740" s="65" t="n">
        <v>2103750</v>
      </c>
      <c r="J740" s="65" t="n"/>
      <c r="K740" s="65" t="n"/>
      <c r="L740" s="65">
        <f>VLOOKUP(B740,'[2]DS THANG 11'!A$3:E$616,5,0)</f>
        <v/>
      </c>
      <c r="M740" s="65" t="n">
        <v>2103750</v>
      </c>
      <c r="N740" s="65" t="n"/>
      <c r="O740" s="65" t="n"/>
      <c r="P740" s="65">
        <f>VLOOKUP(B740,'[3]TONG HOP '!B$5:O$666,14,0)</f>
        <v/>
      </c>
      <c r="Q740" s="65" t="n">
        <v>2103750</v>
      </c>
      <c r="R740" s="65" t="n"/>
      <c r="S740" s="92">
        <f>G740-I740-R740-K740-M740-O740-Q740</f>
        <v/>
      </c>
      <c r="T740" s="92" t="inlineStr"/>
      <c r="U740" s="92" t="n">
        <v>2103750</v>
      </c>
      <c r="V740" s="69">
        <f>G740-SUM(I740,K740,M740,O740,Q740,U740)</f>
        <v/>
      </c>
      <c r="W740" s="65" t="n"/>
      <c r="X740" t="inlineStr">
        <is>
          <t>Khớp</t>
        </is>
      </c>
    </row>
    <row r="741">
      <c r="A741" s="65" t="n">
        <v>733</v>
      </c>
      <c r="B741" s="65" t="inlineStr">
        <is>
          <t>25803800087</t>
        </is>
      </c>
      <c r="C741" s="65" t="inlineStr">
        <is>
          <t>Cao Hoàng</t>
        </is>
      </c>
      <c r="D741" s="65" t="inlineStr">
        <is>
          <t>Minh</t>
        </is>
      </c>
      <c r="E741" s="65" t="inlineStr">
        <is>
          <t>23/01/2003</t>
        </is>
      </c>
      <c r="F741" s="66" t="inlineStr">
        <is>
          <t>LNH0925ND01</t>
        </is>
      </c>
      <c r="G741" s="90" t="n">
        <v>1000000</v>
      </c>
      <c r="H741" s="65" t="n"/>
      <c r="I741" s="65" t="n"/>
      <c r="J741" s="65" t="n"/>
      <c r="K741" s="65" t="n"/>
      <c r="L741" s="65" t="n"/>
      <c r="M741" s="65" t="n"/>
      <c r="N741" s="65" t="n"/>
      <c r="O741" s="65" t="n"/>
      <c r="P741" s="65" t="n"/>
      <c r="Q741" s="65" t="n"/>
      <c r="R741" s="65" t="n"/>
      <c r="S741" s="92">
        <f>G741-I741-R741-K741-M741-O741-Q741</f>
        <v/>
      </c>
      <c r="T741" s="92" t="inlineStr"/>
      <c r="U741" s="92" t="inlineStr"/>
      <c r="V741" s="69">
        <f>G741-SUM(I741,K741,M741,O741,Q741,U741)</f>
        <v/>
      </c>
      <c r="W741" s="65" t="n"/>
      <c r="X741" t="inlineStr">
        <is>
          <t>Khớp</t>
        </is>
      </c>
    </row>
    <row r="742">
      <c r="A742" s="65" t="n">
        <v>734</v>
      </c>
      <c r="B742" s="65" t="inlineStr">
        <is>
          <t>25800400218</t>
        </is>
      </c>
      <c r="C742" s="65" t="inlineStr">
        <is>
          <t>Tạ Minh</t>
        </is>
      </c>
      <c r="D742" s="65" t="inlineStr">
        <is>
          <t>Tân</t>
        </is>
      </c>
      <c r="E742" s="65" t="inlineStr">
        <is>
          <t>08/12/2007</t>
        </is>
      </c>
      <c r="F742" s="66" t="inlineStr">
        <is>
          <t>LNH0925ND01</t>
        </is>
      </c>
      <c r="G742" s="90" t="n">
        <v>8415000</v>
      </c>
      <c r="H742" s="65" t="n"/>
      <c r="I742" s="65" t="n"/>
      <c r="J742" s="65" t="n"/>
      <c r="K742" s="65" t="n"/>
      <c r="L742" s="65">
        <f>VLOOKUP(B742,'[2]DS THANG 11'!A$3:E$616,5,0)</f>
        <v/>
      </c>
      <c r="M742" s="65" t="n">
        <v>2103750</v>
      </c>
      <c r="N742" s="65" t="n"/>
      <c r="O742" s="65" t="n"/>
      <c r="P742" s="65">
        <f>VLOOKUP(B742,'[3]TONG HOP '!B$5:O$666,14,0)</f>
        <v/>
      </c>
      <c r="Q742" s="65" t="n">
        <v>2103750</v>
      </c>
      <c r="R742" s="65" t="n"/>
      <c r="S742" s="92">
        <f>G742-I742-R742-K742-M742-O742-Q742</f>
        <v/>
      </c>
      <c r="T742" s="92" t="inlineStr">
        <is>
          <t>LNH0526NQ15</t>
        </is>
      </c>
      <c r="U742" s="92" t="n">
        <v>2103750</v>
      </c>
      <c r="V742" s="69">
        <f>G742-SUM(I742,K742,M742,O742,Q742,U742)</f>
        <v/>
      </c>
      <c r="W742" s="65" t="n"/>
      <c r="X742" t="inlineStr">
        <is>
          <t>Khớp</t>
        </is>
      </c>
    </row>
    <row r="743">
      <c r="A743" s="65" t="n">
        <v>735</v>
      </c>
      <c r="B743" s="65" t="inlineStr">
        <is>
          <t>25809600031</t>
        </is>
      </c>
      <c r="C743" s="65" t="inlineStr">
        <is>
          <t>Rơ Châm</t>
        </is>
      </c>
      <c r="D743" s="65" t="inlineStr">
        <is>
          <t>Khuyn</t>
        </is>
      </c>
      <c r="E743" s="65" t="inlineStr">
        <is>
          <t>24/01/2006</t>
        </is>
      </c>
      <c r="F743" s="66" t="inlineStr">
        <is>
          <t>LNH0925ND01</t>
        </is>
      </c>
      <c r="G743" s="90" t="n">
        <v>1000000</v>
      </c>
      <c r="H743" s="65" t="n"/>
      <c r="I743" s="65" t="n"/>
      <c r="J743" s="65" t="n"/>
      <c r="K743" s="65" t="n"/>
      <c r="L743" s="65" t="n"/>
      <c r="M743" s="65" t="n"/>
      <c r="N743" s="65" t="n"/>
      <c r="O743" s="65" t="n"/>
      <c r="P743" s="65" t="n"/>
      <c r="Q743" s="65" t="n"/>
      <c r="R743" s="65" t="n"/>
      <c r="S743" s="92">
        <f>G743-I743-R743-K743-M743-O743-Q743</f>
        <v/>
      </c>
      <c r="T743" s="92" t="inlineStr"/>
      <c r="U743" s="92" t="inlineStr"/>
      <c r="V743" s="69">
        <f>G743-SUM(I743,K743,M743,O743,Q743,U743)</f>
        <v/>
      </c>
      <c r="W743" s="65" t="n"/>
      <c r="X743" t="inlineStr">
        <is>
          <t>Khớp</t>
        </is>
      </c>
    </row>
    <row r="744">
      <c r="A744" s="65" t="n">
        <v>736</v>
      </c>
      <c r="B744" s="65" t="inlineStr">
        <is>
          <t>25801400646</t>
        </is>
      </c>
      <c r="C744" s="65" t="inlineStr">
        <is>
          <t>Nguyễn Hoàng</t>
        </is>
      </c>
      <c r="D744" s="65" t="inlineStr">
        <is>
          <t>Minh</t>
        </is>
      </c>
      <c r="E744" s="65" t="inlineStr">
        <is>
          <t>02/11/2007</t>
        </is>
      </c>
      <c r="F744" s="66" t="inlineStr">
        <is>
          <t>LNH0925ND01</t>
        </is>
      </c>
      <c r="G744" s="90" t="n">
        <v>1000000</v>
      </c>
      <c r="H744" s="65" t="n"/>
      <c r="I744" s="65" t="n"/>
      <c r="J744" s="65" t="n"/>
      <c r="K744" s="65" t="n"/>
      <c r="L744" s="65" t="n"/>
      <c r="M744" s="65" t="n"/>
      <c r="N744" s="65" t="n"/>
      <c r="O744" s="65" t="n"/>
      <c r="P744" s="65" t="n"/>
      <c r="Q744" s="65" t="n"/>
      <c r="R744" s="65" t="n"/>
      <c r="S744" s="92">
        <f>G744-I744-R744-K744-M744-O744-Q744</f>
        <v/>
      </c>
      <c r="T744" s="92" t="inlineStr"/>
      <c r="U744" s="92" t="inlineStr"/>
      <c r="V744" s="69">
        <f>G744-SUM(I744,K744,M744,O744,Q744,U744)</f>
        <v/>
      </c>
      <c r="W744" s="65" t="n"/>
      <c r="X744" t="inlineStr">
        <is>
          <t>Khớp</t>
        </is>
      </c>
    </row>
    <row r="745">
      <c r="A745" s="65" t="n">
        <v>737</v>
      </c>
      <c r="B745" s="65" t="inlineStr">
        <is>
          <t>25807500054</t>
        </is>
      </c>
      <c r="C745" s="65" t="inlineStr">
        <is>
          <t>Đặng Mỹ</t>
        </is>
      </c>
      <c r="D745" s="65" t="inlineStr">
        <is>
          <t>Kiều</t>
        </is>
      </c>
      <c r="E745" s="65" t="inlineStr">
        <is>
          <t>16/04/2007</t>
        </is>
      </c>
      <c r="F745" s="66" t="inlineStr">
        <is>
          <t>LNH0925ND01</t>
        </is>
      </c>
      <c r="G745" s="90" t="n">
        <v>8415000</v>
      </c>
      <c r="H745" s="65">
        <f>VLOOKUP(B745,'[1]TONG HOP'!B$5:G$624,6,0)</f>
        <v/>
      </c>
      <c r="I745" s="65" t="n">
        <v>2103750</v>
      </c>
      <c r="J745" s="65" t="n"/>
      <c r="K745" s="65" t="n"/>
      <c r="L745" s="65">
        <f>VLOOKUP(B745,'[2]DS THANG 11'!A$3:E$616,5,0)</f>
        <v/>
      </c>
      <c r="M745" s="65" t="n">
        <v>2103750</v>
      </c>
      <c r="N745" s="65" t="n"/>
      <c r="O745" s="65" t="n"/>
      <c r="P745" s="65">
        <f>VLOOKUP(B745,'[3]TONG HOP '!B$5:O$666,14,0)</f>
        <v/>
      </c>
      <c r="Q745" s="65" t="n">
        <v>2103750</v>
      </c>
      <c r="R745" s="65" t="n"/>
      <c r="S745" s="92">
        <f>G745-I745-R745-K745-M745-O745-Q745</f>
        <v/>
      </c>
      <c r="T745" s="92" t="inlineStr">
        <is>
          <t>LNH0526NQ15</t>
        </is>
      </c>
      <c r="U745" s="92" t="n">
        <v>2103750</v>
      </c>
      <c r="V745" s="69">
        <f>G745-SUM(I745,K745,M745,O745,Q745,U745)</f>
        <v/>
      </c>
      <c r="W745" s="65" t="n"/>
      <c r="X745" t="inlineStr">
        <is>
          <t>Khớp</t>
        </is>
      </c>
    </row>
    <row r="746">
      <c r="A746" s="65" t="n">
        <v>738</v>
      </c>
      <c r="B746" s="65" t="inlineStr">
        <is>
          <t>25807800116</t>
        </is>
      </c>
      <c r="C746" s="65" t="inlineStr">
        <is>
          <t>Nguyễn Trần Minh</t>
        </is>
      </c>
      <c r="D746" s="65" t="inlineStr">
        <is>
          <t>Quân</t>
        </is>
      </c>
      <c r="E746" s="65" t="inlineStr">
        <is>
          <t>09/09/2007</t>
        </is>
      </c>
      <c r="F746" s="66" t="inlineStr">
        <is>
          <t>LNH0925ND01</t>
        </is>
      </c>
      <c r="G746" s="90" t="n">
        <v>4465000</v>
      </c>
      <c r="H746" s="65">
        <f>VLOOKUP(B746,'[1]TONG HOP'!B$5:G$624,6,0)</f>
        <v/>
      </c>
      <c r="I746" s="65" t="n">
        <v>2232500</v>
      </c>
      <c r="J746" s="65" t="n"/>
      <c r="K746" s="65" t="n"/>
      <c r="L746" s="65">
        <f>VLOOKUP(B746,'[2]DS THANG 11'!A$3:E$616,5,0)</f>
        <v/>
      </c>
      <c r="M746" s="65" t="n">
        <v>2232500</v>
      </c>
      <c r="N746" s="65" t="n"/>
      <c r="O746" s="65" t="n"/>
      <c r="P746" s="65" t="n"/>
      <c r="Q746" s="65" t="n"/>
      <c r="R746" s="65" t="n"/>
      <c r="S746" s="92">
        <f>G746-I746-R746-K746-M746-O746-Q746</f>
        <v/>
      </c>
      <c r="T746" s="92" t="inlineStr"/>
      <c r="U746" s="92" t="inlineStr"/>
      <c r="V746" s="69">
        <f>G746-SUM(I746,K746,M746,O746,Q746,U746)</f>
        <v/>
      </c>
      <c r="W746" s="65" t="n"/>
      <c r="X746" t="inlineStr">
        <is>
          <t>Khớp</t>
        </is>
      </c>
    </row>
    <row r="747">
      <c r="A747" s="65" t="n">
        <v>739</v>
      </c>
      <c r="B747" s="65" t="inlineStr">
        <is>
          <t>25802800018</t>
        </is>
      </c>
      <c r="C747" s="65" t="inlineStr">
        <is>
          <t>Nguyễn Duy</t>
        </is>
      </c>
      <c r="D747" s="65" t="inlineStr">
        <is>
          <t>Bảo</t>
        </is>
      </c>
      <c r="E747" s="65" t="inlineStr">
        <is>
          <t>30/03/2007</t>
        </is>
      </c>
      <c r="F747" s="66" t="inlineStr">
        <is>
          <t>LNH0925ND01</t>
        </is>
      </c>
      <c r="G747" s="90" t="n">
        <v>7540000</v>
      </c>
      <c r="H747" s="65" t="n"/>
      <c r="I747" s="65" t="n"/>
      <c r="J747" s="65" t="n"/>
      <c r="K747" s="65" t="n"/>
      <c r="L747" s="65" t="n"/>
      <c r="M747" s="65" t="n"/>
      <c r="N747" s="65" t="n"/>
      <c r="O747" s="65" t="n"/>
      <c r="P747" s="65" t="n"/>
      <c r="Q747" s="65" t="n"/>
      <c r="R747" s="65" t="n"/>
      <c r="S747" s="92">
        <f>G747-I747-R747-K747-M747-O747-Q747</f>
        <v/>
      </c>
      <c r="T747" s="92" t="inlineStr"/>
      <c r="U747" s="92" t="inlineStr"/>
      <c r="V747" s="69">
        <f>G747-SUM(I747,K747,M747,O747,Q747,U747)</f>
        <v/>
      </c>
      <c r="W747" s="65" t="n"/>
      <c r="X747" t="inlineStr">
        <is>
          <t>Khớp</t>
        </is>
      </c>
    </row>
    <row r="748">
      <c r="A748" s="65" t="n">
        <v>740</v>
      </c>
      <c r="B748" s="65" t="inlineStr">
        <is>
          <t>25808900231</t>
        </is>
      </c>
      <c r="C748" s="65" t="inlineStr">
        <is>
          <t>Vũ Trung</t>
        </is>
      </c>
      <c r="D748" s="65" t="inlineStr">
        <is>
          <t>Nguyên</t>
        </is>
      </c>
      <c r="E748" s="65" t="inlineStr">
        <is>
          <t>04/11/2007</t>
        </is>
      </c>
      <c r="F748" s="66" t="inlineStr">
        <is>
          <t>LNH0925ND01</t>
        </is>
      </c>
      <c r="G748" s="90" t="n">
        <v>8415000</v>
      </c>
      <c r="H748" s="65">
        <f>VLOOKUP(B748,'[1]TONG HOP'!B$5:G$624,6,0)</f>
        <v/>
      </c>
      <c r="I748" s="65" t="n">
        <v>2103750</v>
      </c>
      <c r="J748" s="65" t="n"/>
      <c r="K748" s="65" t="n"/>
      <c r="L748" s="65">
        <f>VLOOKUP(B748,'[2]DS THANG 11'!A$3:E$616,5,0)</f>
        <v/>
      </c>
      <c r="M748" s="65" t="n">
        <v>1530000</v>
      </c>
      <c r="N748" s="65">
        <f>VLOOKUP(B748,'[4]TOEIC 01.26'!A$3:E$33,5,0)</f>
        <v/>
      </c>
      <c r="O748" s="65" t="n">
        <v>1530000</v>
      </c>
      <c r="P748" s="65">
        <f>VLOOKUP(B748,'[3]TONG HOP '!B$5:O$666,14,0)</f>
        <v/>
      </c>
      <c r="Q748" s="65" t="n">
        <v>1530000</v>
      </c>
      <c r="R748" s="65" t="n"/>
      <c r="S748" s="92">
        <f>G748-I748-R748-K748-M748-O748-Q748</f>
        <v/>
      </c>
      <c r="T748" s="92" t="inlineStr"/>
      <c r="U748" s="92" t="inlineStr"/>
      <c r="V748" s="69">
        <f>G748-SUM(I748,K748,M748,O748,Q748,U748)</f>
        <v/>
      </c>
      <c r="W748" s="65" t="n"/>
      <c r="X748" t="inlineStr">
        <is>
          <t>Khớp</t>
        </is>
      </c>
    </row>
    <row r="749">
      <c r="A749" s="65" t="n">
        <v>741</v>
      </c>
      <c r="B749" s="65" t="inlineStr">
        <is>
          <t>25801100089</t>
        </is>
      </c>
      <c r="C749" s="65" t="inlineStr">
        <is>
          <t>Trần Thị</t>
        </is>
      </c>
      <c r="D749" s="65" t="inlineStr">
        <is>
          <t>Hà</t>
        </is>
      </c>
      <c r="E749" s="65" t="inlineStr">
        <is>
          <t>14/05/1995</t>
        </is>
      </c>
      <c r="F749" s="66" t="inlineStr">
        <is>
          <t>LNH0925ND01</t>
        </is>
      </c>
      <c r="G749" s="90" t="n">
        <v>8415000</v>
      </c>
      <c r="H749" s="65">
        <f>VLOOKUP(B749,'[1]TONG HOP'!B$5:G$624,6,0)</f>
        <v/>
      </c>
      <c r="I749" s="65" t="n">
        <v>2103750</v>
      </c>
      <c r="J749" s="65" t="n"/>
      <c r="K749" s="65" t="n"/>
      <c r="L749" s="65">
        <f>VLOOKUP(B749,'[2]DS THANG 11'!A$3:E$616,5,0)</f>
        <v/>
      </c>
      <c r="M749" s="65" t="n">
        <v>2103750</v>
      </c>
      <c r="N749" s="65" t="n"/>
      <c r="O749" s="65" t="n"/>
      <c r="P749" s="65">
        <f>VLOOKUP(B749,'[3]TONG HOP '!B$5:O$666,14,0)</f>
        <v/>
      </c>
      <c r="Q749" s="65" t="n">
        <v>2103750</v>
      </c>
      <c r="R749" s="65" t="n"/>
      <c r="S749" s="92">
        <f>G749-I749-R749-K749-M749-O749-Q749</f>
        <v/>
      </c>
      <c r="T749" s="92" t="inlineStr">
        <is>
          <t>LNH0526NG01</t>
        </is>
      </c>
      <c r="U749" s="92" t="n">
        <v>2103750</v>
      </c>
      <c r="V749" s="69">
        <f>G749-SUM(I749,K749,M749,O749,Q749,U749)</f>
        <v/>
      </c>
      <c r="W749" s="65" t="n"/>
      <c r="X749" t="inlineStr">
        <is>
          <t>Khớp</t>
        </is>
      </c>
    </row>
    <row r="750">
      <c r="A750" s="65" t="n">
        <v>742</v>
      </c>
      <c r="B750" s="65" t="inlineStr">
        <is>
          <t>25801100107</t>
        </is>
      </c>
      <c r="C750" s="65" t="inlineStr">
        <is>
          <t>Phan Thị Thuý</t>
        </is>
      </c>
      <c r="D750" s="65" t="inlineStr">
        <is>
          <t>Vi</t>
        </is>
      </c>
      <c r="E750" s="65" t="inlineStr">
        <is>
          <t>15/02/1994</t>
        </is>
      </c>
      <c r="F750" s="66" t="inlineStr">
        <is>
          <t>LNH0925ND01</t>
        </is>
      </c>
      <c r="G750" s="90" t="n">
        <v>8415000</v>
      </c>
      <c r="H750" s="65">
        <f>VLOOKUP(B750,'[1]TONG HOP'!B$5:G$624,6,0)</f>
        <v/>
      </c>
      <c r="I750" s="65" t="n">
        <v>2103750</v>
      </c>
      <c r="J750" s="65" t="n"/>
      <c r="K750" s="65" t="n"/>
      <c r="L750" s="65">
        <f>VLOOKUP(B750,'[2]DS THANG 11'!A$3:E$616,5,0)</f>
        <v/>
      </c>
      <c r="M750" s="65" t="n">
        <v>2103750</v>
      </c>
      <c r="N750" s="65" t="n"/>
      <c r="O750" s="65" t="n"/>
      <c r="P750" s="65">
        <f>VLOOKUP(B750,'[3]TONG HOP '!B$5:O$666,14,0)</f>
        <v/>
      </c>
      <c r="Q750" s="65" t="n">
        <v>2103750</v>
      </c>
      <c r="R750" s="65" t="n"/>
      <c r="S750" s="92">
        <f>G750-I750-R750-K750-M750-O750-Q750</f>
        <v/>
      </c>
      <c r="T750" s="92" t="inlineStr"/>
      <c r="U750" s="92" t="inlineStr"/>
      <c r="V750" s="69">
        <f>G750-SUM(I750,K750,M750,O750,Q750,U750)</f>
        <v/>
      </c>
      <c r="W750" s="65" t="n"/>
      <c r="X750" t="inlineStr">
        <is>
          <t>Khớp</t>
        </is>
      </c>
    </row>
    <row r="751">
      <c r="A751" s="65" t="n">
        <v>743</v>
      </c>
      <c r="B751" s="65" t="inlineStr">
        <is>
          <t>25801300026</t>
        </is>
      </c>
      <c r="C751" s="65" t="inlineStr">
        <is>
          <t>Lê Minh</t>
        </is>
      </c>
      <c r="D751" s="65" t="inlineStr">
        <is>
          <t>Nhật</t>
        </is>
      </c>
      <c r="E751" s="65" t="inlineStr">
        <is>
          <t>27/04/2007</t>
        </is>
      </c>
      <c r="F751" s="66" t="inlineStr">
        <is>
          <t>LNH0925ND01</t>
        </is>
      </c>
      <c r="G751" s="90" t="n">
        <v>8415000</v>
      </c>
      <c r="H751" s="65" t="n"/>
      <c r="I751" s="65" t="n"/>
      <c r="J751" s="65" t="n"/>
      <c r="K751" s="65" t="n"/>
      <c r="L751" s="65">
        <f>VLOOKUP(B751,'[2]DS THANG 11'!A$3:E$616,5,0)</f>
        <v/>
      </c>
      <c r="M751" s="65" t="n">
        <v>2103750</v>
      </c>
      <c r="N751" s="65" t="n"/>
      <c r="O751" s="65" t="n"/>
      <c r="P751" s="65" t="n"/>
      <c r="Q751" s="65" t="n"/>
      <c r="R751" s="65" t="n"/>
      <c r="S751" s="92">
        <f>G751-I751-R751-K751-M751-O751-Q751</f>
        <v/>
      </c>
      <c r="T751" s="92" t="inlineStr"/>
      <c r="U751" s="92" t="inlineStr"/>
      <c r="V751" s="69">
        <f>G751-SUM(I751,K751,M751,O751,Q751,U751)</f>
        <v/>
      </c>
      <c r="W751" s="65" t="n"/>
      <c r="X751" t="inlineStr">
        <is>
          <t>Khớp</t>
        </is>
      </c>
    </row>
    <row r="752">
      <c r="A752" s="65" t="n">
        <v>744</v>
      </c>
      <c r="B752" s="65" t="inlineStr">
        <is>
          <t>25807500007</t>
        </is>
      </c>
      <c r="C752" s="65" t="inlineStr">
        <is>
          <t>Nguyen Thi Mai</t>
        </is>
      </c>
      <c r="D752" s="65" t="inlineStr">
        <is>
          <t>Anh</t>
        </is>
      </c>
      <c r="E752" s="65" t="inlineStr">
        <is>
          <t xml:space="preserve">  -   -</t>
        </is>
      </c>
      <c r="F752" s="66" t="inlineStr">
        <is>
          <t>LNH0925ND01</t>
        </is>
      </c>
      <c r="G752" s="90" t="n">
        <v>8415000</v>
      </c>
      <c r="H752" s="65">
        <f>VLOOKUP(B752,'[1]TONG HOP'!B$5:G$624,6,0)</f>
        <v/>
      </c>
      <c r="I752" s="65" t="n">
        <v>2103750</v>
      </c>
      <c r="J752" s="65" t="n"/>
      <c r="K752" s="65" t="n"/>
      <c r="L752" s="65">
        <f>VLOOKUP(B752,'[2]DS THANG 11'!A$3:E$616,5,0)</f>
        <v/>
      </c>
      <c r="M752" s="65" t="n">
        <v>2103750</v>
      </c>
      <c r="N752" s="65" t="n"/>
      <c r="O752" s="65" t="n"/>
      <c r="P752" s="65">
        <f>VLOOKUP(B752,'[3]TONG HOP '!B$5:O$666,14,0)</f>
        <v/>
      </c>
      <c r="Q752" s="65" t="n">
        <v>2103750</v>
      </c>
      <c r="R752" s="65" t="n"/>
      <c r="S752" s="92">
        <f>G752-I752-R752-K752-M752-O752-Q752</f>
        <v/>
      </c>
      <c r="T752" s="92" t="inlineStr">
        <is>
          <t>LNH0526NQ13</t>
        </is>
      </c>
      <c r="U752" s="92" t="n">
        <v>2103750</v>
      </c>
      <c r="V752" s="69">
        <f>G752-SUM(I752,K752,M752,O752,Q752,U752)</f>
        <v/>
      </c>
      <c r="W752" s="65" t="n"/>
      <c r="X752" t="inlineStr">
        <is>
          <t>Khớp</t>
        </is>
      </c>
    </row>
    <row r="753">
      <c r="A753" s="65" t="n">
        <v>745</v>
      </c>
      <c r="B753" s="65" t="inlineStr">
        <is>
          <t>25800600343</t>
        </is>
      </c>
      <c r="C753" s="65" t="inlineStr">
        <is>
          <t>Nguyễn Đăng</t>
        </is>
      </c>
      <c r="D753" s="65" t="inlineStr">
        <is>
          <t>Khoa</t>
        </is>
      </c>
      <c r="E753" s="65" t="inlineStr">
        <is>
          <t>12/09/2007</t>
        </is>
      </c>
      <c r="F753" s="66" t="inlineStr">
        <is>
          <t>LNH0925ND01</t>
        </is>
      </c>
      <c r="G753" s="90" t="n">
        <v>8415000</v>
      </c>
      <c r="H753" s="65">
        <f>VLOOKUP(B753,'[1]TONG HOP'!B$5:G$624,6,0)</f>
        <v/>
      </c>
      <c r="I753" s="65" t="n">
        <v>2103750</v>
      </c>
      <c r="J753" s="65" t="n"/>
      <c r="K753" s="65" t="n"/>
      <c r="L753" s="65">
        <f>VLOOKUP(B753,'[2]DS THANG 11'!A$3:E$616,5,0)</f>
        <v/>
      </c>
      <c r="M753" s="65" t="n">
        <v>2103750</v>
      </c>
      <c r="N753" s="65" t="n"/>
      <c r="O753" s="65" t="n"/>
      <c r="P753" s="65">
        <f>VLOOKUP(B753,'[3]TONG HOP '!B$5:O$666,14,0)</f>
        <v/>
      </c>
      <c r="Q753" s="65" t="n">
        <v>2103750</v>
      </c>
      <c r="R753" s="65" t="n"/>
      <c r="S753" s="92">
        <f>G753-I753-R753-K753-M753-O753-Q753</f>
        <v/>
      </c>
      <c r="T753" s="92" t="inlineStr">
        <is>
          <t>LNH0526NQ20</t>
        </is>
      </c>
      <c r="U753" s="92" t="n">
        <v>2103750</v>
      </c>
      <c r="V753" s="69">
        <f>G753-SUM(I753,K753,M753,O753,Q753,U753)</f>
        <v/>
      </c>
      <c r="W753" s="65" t="n"/>
      <c r="X753" t="inlineStr">
        <is>
          <t>Khớp</t>
        </is>
      </c>
    </row>
    <row r="754">
      <c r="A754" s="65" t="n">
        <v>746</v>
      </c>
      <c r="B754" s="65" t="inlineStr">
        <is>
          <t>25800500093</t>
        </is>
      </c>
      <c r="C754" s="65" t="inlineStr">
        <is>
          <t>Nguyễn Trần Đăng</t>
        </is>
      </c>
      <c r="D754" s="65" t="inlineStr">
        <is>
          <t>Khoa</t>
        </is>
      </c>
      <c r="E754" s="65" t="inlineStr">
        <is>
          <t>21/09/2007</t>
        </is>
      </c>
      <c r="F754" s="66" t="inlineStr">
        <is>
          <t>LNH0925ND01</t>
        </is>
      </c>
      <c r="G754" s="90" t="n">
        <v>8415000</v>
      </c>
      <c r="H754" s="65" t="n"/>
      <c r="I754" s="65" t="n"/>
      <c r="J754" s="65">
        <f>VLOOKUP(B754,[5]Sheet1!A$3:E$32,5,0)</f>
        <v/>
      </c>
      <c r="K754" s="65" t="n">
        <v>2103750</v>
      </c>
      <c r="L754" s="65">
        <f>VLOOKUP(B754,'[2]DS THANG 11'!A$3:E$616,5,0)</f>
        <v/>
      </c>
      <c r="M754" s="65" t="n">
        <v>2103750</v>
      </c>
      <c r="N754" s="65" t="n"/>
      <c r="O754" s="65" t="n"/>
      <c r="P754" s="65">
        <f>VLOOKUP(B754,'[3]TONG HOP '!B$5:O$666,14,0)</f>
        <v/>
      </c>
      <c r="Q754" s="65" t="n">
        <v>2103750</v>
      </c>
      <c r="R754" s="65" t="n"/>
      <c r="S754" s="92">
        <f>G754-I754-R754-K754-M754-O754-Q754</f>
        <v/>
      </c>
      <c r="T754" s="92" t="inlineStr">
        <is>
          <t>LNH0526NQ16</t>
        </is>
      </c>
      <c r="U754" s="92" t="n">
        <v>2103750</v>
      </c>
      <c r="V754" s="69">
        <f>G754-SUM(I754,K754,M754,O754,Q754,U754)</f>
        <v/>
      </c>
      <c r="W754" s="65" t="n"/>
      <c r="X754" t="inlineStr">
        <is>
          <t>Khớp</t>
        </is>
      </c>
    </row>
    <row r="755">
      <c r="A755" s="65" t="n">
        <v>747</v>
      </c>
      <c r="B755" s="65" t="inlineStr">
        <is>
          <t>25800400122</t>
        </is>
      </c>
      <c r="C755" s="65" t="inlineStr">
        <is>
          <t>Đặng Nguyễn Hoàng</t>
        </is>
      </c>
      <c r="D755" s="65" t="inlineStr">
        <is>
          <t>Phú</t>
        </is>
      </c>
      <c r="E755" s="65" t="inlineStr">
        <is>
          <t>11/04/2005</t>
        </is>
      </c>
      <c r="F755" s="66" t="inlineStr">
        <is>
          <t>LNH0925ND01</t>
        </is>
      </c>
      <c r="G755" s="90" t="n">
        <v>8415000</v>
      </c>
      <c r="H755" s="65">
        <f>VLOOKUP(B755,'[1]TONG HOP'!B$5:G$624,6,0)</f>
        <v/>
      </c>
      <c r="I755" s="65" t="n">
        <v>2103750</v>
      </c>
      <c r="J755" s="65" t="n"/>
      <c r="K755" s="65" t="n"/>
      <c r="L755" s="65">
        <f>VLOOKUP(B755,'[2]DS THANG 11'!A$3:E$616,5,0)</f>
        <v/>
      </c>
      <c r="M755" s="65" t="n">
        <v>2103750</v>
      </c>
      <c r="N755" s="65" t="n"/>
      <c r="O755" s="65" t="n"/>
      <c r="P755" s="65">
        <f>VLOOKUP(B755,'[3]TONG HOP '!B$5:O$666,14,0)</f>
        <v/>
      </c>
      <c r="Q755" s="65" t="n">
        <v>2103750</v>
      </c>
      <c r="R755" s="65" t="n"/>
      <c r="S755" s="92">
        <f>G755-I755-R755-K755-M755-O755-Q755</f>
        <v/>
      </c>
      <c r="T755" s="92" t="inlineStr">
        <is>
          <t>LNH0526NQ17</t>
        </is>
      </c>
      <c r="U755" s="92" t="n">
        <v>2103750</v>
      </c>
      <c r="V755" s="69">
        <f>G755-SUM(I755,K755,M755,O755,Q755,U755)</f>
        <v/>
      </c>
      <c r="W755" s="65" t="n"/>
      <c r="X755" t="inlineStr">
        <is>
          <t>Khớp</t>
        </is>
      </c>
    </row>
    <row r="756">
      <c r="A756" s="65" t="n">
        <v>748</v>
      </c>
      <c r="B756" s="65" t="inlineStr">
        <is>
          <t>25801800089</t>
        </is>
      </c>
      <c r="C756" s="65" t="inlineStr">
        <is>
          <t>Nguyễn Ngọc Như</t>
        </is>
      </c>
      <c r="D756" s="65" t="inlineStr">
        <is>
          <t>Ý</t>
        </is>
      </c>
      <c r="E756" s="65" t="inlineStr">
        <is>
          <t>29/01/2007</t>
        </is>
      </c>
      <c r="F756" s="66" t="inlineStr">
        <is>
          <t>LNH0925ND01</t>
        </is>
      </c>
      <c r="G756" s="90" t="n">
        <v>8415000</v>
      </c>
      <c r="H756" s="65">
        <f>VLOOKUP(B756,'[1]TONG HOP'!B$5:G$624,6,0)</f>
        <v/>
      </c>
      <c r="I756" s="65" t="n">
        <v>2103750</v>
      </c>
      <c r="J756" s="65" t="n"/>
      <c r="K756" s="65" t="n"/>
      <c r="L756" s="65">
        <f>VLOOKUP(B756,'[2]DS THANG 11'!A$3:E$616,5,0)</f>
        <v/>
      </c>
      <c r="M756" s="65" t="n">
        <v>2103750</v>
      </c>
      <c r="N756" s="65" t="n"/>
      <c r="O756" s="65" t="n"/>
      <c r="P756" s="65">
        <f>VLOOKUP(B756,'[3]TONG HOP '!B$5:O$666,14,0)</f>
        <v/>
      </c>
      <c r="Q756" s="65" t="n">
        <v>2103750</v>
      </c>
      <c r="R756" s="65" t="n"/>
      <c r="S756" s="92">
        <f>G756-I756-R756-K756-M756-O756-Q756</f>
        <v/>
      </c>
      <c r="T756" s="92" t="inlineStr"/>
      <c r="U756" s="92" t="inlineStr"/>
      <c r="V756" s="69">
        <f>G756-SUM(I756,K756,M756,O756,Q756,U756)</f>
        <v/>
      </c>
      <c r="W756" s="65" t="n"/>
      <c r="X756" t="inlineStr">
        <is>
          <t>Khớp</t>
        </is>
      </c>
    </row>
    <row r="757">
      <c r="A757" s="65" t="n">
        <v>749</v>
      </c>
      <c r="B757" s="65" t="inlineStr">
        <is>
          <t>25802700016</t>
        </is>
      </c>
      <c r="C757" s="65" t="inlineStr">
        <is>
          <t>Nguyễn Quốc</t>
        </is>
      </c>
      <c r="D757" s="65" t="inlineStr">
        <is>
          <t>Đạt</t>
        </is>
      </c>
      <c r="E757" s="65" t="inlineStr">
        <is>
          <t>10/05/2007</t>
        </is>
      </c>
      <c r="F757" s="66" t="inlineStr">
        <is>
          <t>LNH0925ND01</t>
        </is>
      </c>
      <c r="G757" s="90" t="n">
        <v>8415000</v>
      </c>
      <c r="H757" s="65" t="n"/>
      <c r="I757" s="65" t="n"/>
      <c r="J757" s="65" t="n"/>
      <c r="K757" s="65" t="n"/>
      <c r="L757" s="65">
        <f>VLOOKUP(B757,'[2]DS THANG 11'!A$3:E$616,5,0)</f>
        <v/>
      </c>
      <c r="M757" s="65" t="n">
        <v>2103750</v>
      </c>
      <c r="N757" s="65" t="n"/>
      <c r="O757" s="65" t="n"/>
      <c r="P757" s="65" t="n"/>
      <c r="Q757" s="65" t="n"/>
      <c r="R757" s="65" t="n"/>
      <c r="S757" s="92">
        <f>G757-I757-R757-K757-M757-O757-Q757</f>
        <v/>
      </c>
      <c r="T757" s="92" t="inlineStr"/>
      <c r="U757" s="92" t="inlineStr"/>
      <c r="V757" s="69">
        <f>G757-SUM(I757,K757,M757,O757,Q757,U757)</f>
        <v/>
      </c>
      <c r="W757" s="65" t="n"/>
      <c r="X757" t="inlineStr">
        <is>
          <t>Khớp</t>
        </is>
      </c>
    </row>
    <row r="758">
      <c r="A758" s="65" t="n">
        <v>750</v>
      </c>
      <c r="B758" s="65" t="inlineStr">
        <is>
          <t>25803800058</t>
        </is>
      </c>
      <c r="C758" s="65" t="inlineStr">
        <is>
          <t>Giang Quốc</t>
        </is>
      </c>
      <c r="D758" s="65" t="inlineStr">
        <is>
          <t>Thịnh</t>
        </is>
      </c>
      <c r="E758" s="65" t="inlineStr">
        <is>
          <t>18/06/2007</t>
        </is>
      </c>
      <c r="F758" s="66" t="inlineStr">
        <is>
          <t>LNH0925ND01</t>
        </is>
      </c>
      <c r="G758" s="90" t="n">
        <v>8415000</v>
      </c>
      <c r="H758" s="65">
        <f>VLOOKUP(B758,'[1]TONG HOP'!B$5:G$624,6,0)</f>
        <v/>
      </c>
      <c r="I758" s="65" t="n">
        <v>2103750</v>
      </c>
      <c r="J758" s="65" t="n"/>
      <c r="K758" s="65" t="n"/>
      <c r="L758" s="65">
        <f>VLOOKUP(B758,'[2]DS THANG 11'!A$3:E$616,5,0)</f>
        <v/>
      </c>
      <c r="M758" s="65" t="n">
        <v>2103750</v>
      </c>
      <c r="N758" s="65" t="n"/>
      <c r="O758" s="65" t="n"/>
      <c r="P758" s="65">
        <f>VLOOKUP(B758,'[3]TONG HOP '!B$5:O$666,14,0)</f>
        <v/>
      </c>
      <c r="Q758" s="65" t="n">
        <v>2103750</v>
      </c>
      <c r="R758" s="65" t="n"/>
      <c r="S758" s="92">
        <f>G758-I758-R758-K758-M758-O758-Q758</f>
        <v/>
      </c>
      <c r="T758" s="92" t="inlineStr"/>
      <c r="U758" s="92" t="inlineStr"/>
      <c r="V758" s="69">
        <f>G758-SUM(I758,K758,M758,O758,Q758,U758)</f>
        <v/>
      </c>
      <c r="W758" s="65" t="n"/>
      <c r="X758" t="inlineStr">
        <is>
          <t>Khớp</t>
        </is>
      </c>
    </row>
    <row r="759">
      <c r="A759" s="65" t="n">
        <v>751</v>
      </c>
      <c r="B759" s="65" t="inlineStr">
        <is>
          <t>25807900120</t>
        </is>
      </c>
      <c r="C759" s="65" t="inlineStr">
        <is>
          <t>Trần Đức</t>
        </is>
      </c>
      <c r="D759" s="65" t="inlineStr">
        <is>
          <t>Phát</t>
        </is>
      </c>
      <c r="E759" s="65" t="inlineStr">
        <is>
          <t>12/03/2007</t>
        </is>
      </c>
      <c r="F759" s="66" t="inlineStr">
        <is>
          <t>LNH0925ND01</t>
        </is>
      </c>
      <c r="G759" s="90" t="n">
        <v>8415000</v>
      </c>
      <c r="H759" s="65">
        <f>VLOOKUP(B759,'[1]TONG HOP'!B$5:G$624,6,0)</f>
        <v/>
      </c>
      <c r="I759" s="65" t="n">
        <v>2103750</v>
      </c>
      <c r="J759" s="65" t="n"/>
      <c r="K759" s="65" t="n"/>
      <c r="L759" s="65">
        <f>VLOOKUP(B759,'[2]DS THANG 11'!A$3:E$616,5,0)</f>
        <v/>
      </c>
      <c r="M759" s="65" t="n">
        <v>2103750</v>
      </c>
      <c r="N759" s="65" t="n"/>
      <c r="O759" s="65" t="n"/>
      <c r="P759" s="65">
        <f>VLOOKUP(B759,'[3]TONG HOP '!B$5:O$666,14,0)</f>
        <v/>
      </c>
      <c r="Q759" s="65" t="n">
        <v>2103750</v>
      </c>
      <c r="R759" s="65" t="n"/>
      <c r="S759" s="92">
        <f>G759-I759-R759-K759-M759-O759-Q759</f>
        <v/>
      </c>
      <c r="T759" s="92" t="inlineStr"/>
      <c r="U759" s="92" t="inlineStr"/>
      <c r="V759" s="69">
        <f>G759-SUM(I759,K759,M759,O759,Q759,U759)</f>
        <v/>
      </c>
      <c r="W759" s="65" t="n"/>
      <c r="X759" t="inlineStr">
        <is>
          <t>Khớp</t>
        </is>
      </c>
    </row>
    <row r="760">
      <c r="A760" s="65" t="n">
        <v>752</v>
      </c>
      <c r="B760" s="65" t="inlineStr">
        <is>
          <t>25809400036</t>
        </is>
      </c>
      <c r="C760" s="65" t="inlineStr">
        <is>
          <t>Lê Thanh</t>
        </is>
      </c>
      <c r="D760" s="65" t="inlineStr">
        <is>
          <t>Bình</t>
        </is>
      </c>
      <c r="E760" s="65" t="inlineStr">
        <is>
          <t>04/06/2007</t>
        </is>
      </c>
      <c r="F760" s="66" t="inlineStr">
        <is>
          <t>LNH0925ND01</t>
        </is>
      </c>
      <c r="G760" s="90" t="n">
        <v>8415000</v>
      </c>
      <c r="H760" s="65" t="n"/>
      <c r="I760" s="65" t="n"/>
      <c r="J760" s="65" t="n"/>
      <c r="K760" s="65" t="n"/>
      <c r="L760" s="65">
        <f>VLOOKUP(B760,'[2]DS THANG 11'!A$3:E$616,5,0)</f>
        <v/>
      </c>
      <c r="M760" s="65" t="n">
        <v>2103750</v>
      </c>
      <c r="N760" s="65" t="n"/>
      <c r="O760" s="65" t="n"/>
      <c r="P760" s="65" t="n"/>
      <c r="Q760" s="65" t="n"/>
      <c r="R760" s="65" t="n"/>
      <c r="S760" s="92">
        <f>G760-I760-R760-K760-M760-O760-Q760</f>
        <v/>
      </c>
      <c r="T760" s="92" t="inlineStr"/>
      <c r="U760" s="92" t="inlineStr"/>
      <c r="V760" s="69">
        <f>G760-SUM(I760,K760,M760,O760,Q760,U760)</f>
        <v/>
      </c>
      <c r="W760" s="65" t="n"/>
      <c r="X760" t="inlineStr">
        <is>
          <t>Khớp</t>
        </is>
      </c>
    </row>
    <row r="761">
      <c r="A761" s="65" t="n">
        <v>753</v>
      </c>
      <c r="B761" s="65" t="inlineStr">
        <is>
          <t>25801200058</t>
        </is>
      </c>
      <c r="C761" s="65" t="inlineStr">
        <is>
          <t>Nguyễn Phương</t>
        </is>
      </c>
      <c r="D761" s="65" t="inlineStr">
        <is>
          <t>Vĩnh</t>
        </is>
      </c>
      <c r="E761" s="65" t="inlineStr">
        <is>
          <t>28/03/2006</t>
        </is>
      </c>
      <c r="F761" s="66" t="inlineStr">
        <is>
          <t>LNH0925ND01</t>
        </is>
      </c>
      <c r="G761" s="90" t="n">
        <v>8415000</v>
      </c>
      <c r="H761" s="65">
        <f>VLOOKUP(B761,'[1]TONG HOP'!B$5:G$624,6,0)</f>
        <v/>
      </c>
      <c r="I761" s="65" t="n">
        <v>2103750</v>
      </c>
      <c r="J761" s="65" t="n"/>
      <c r="K761" s="65" t="n"/>
      <c r="L761" s="65">
        <f>VLOOKUP(B761,'[2]DS THANG 11'!A$3:E$616,5,0)</f>
        <v/>
      </c>
      <c r="M761" s="65" t="n">
        <v>2103750</v>
      </c>
      <c r="N761" s="65" t="n"/>
      <c r="O761" s="65" t="n"/>
      <c r="P761" s="65">
        <f>VLOOKUP(B761,'[3]TONG HOP '!B$5:O$666,14,0)</f>
        <v/>
      </c>
      <c r="Q761" s="65" t="n">
        <v>2103750</v>
      </c>
      <c r="R761" s="65" t="n"/>
      <c r="S761" s="92">
        <f>G761-I761-R761-K761-M761-O761-Q761</f>
        <v/>
      </c>
      <c r="T761" s="92" t="inlineStr"/>
      <c r="U761" s="92" t="inlineStr"/>
      <c r="V761" s="69">
        <f>G761-SUM(I761,K761,M761,O761,Q761,U761)</f>
        <v/>
      </c>
      <c r="W761" s="65" t="n"/>
      <c r="X761" t="inlineStr">
        <is>
          <t>Khớp</t>
        </is>
      </c>
    </row>
    <row r="762">
      <c r="A762" s="65" t="n">
        <v>754</v>
      </c>
      <c r="B762" s="65" t="inlineStr">
        <is>
          <t>25820300056</t>
        </is>
      </c>
      <c r="C762" s="65" t="inlineStr">
        <is>
          <t>Võ Duy</t>
        </is>
      </c>
      <c r="D762" s="65" t="inlineStr">
        <is>
          <t>Thành</t>
        </is>
      </c>
      <c r="E762" s="65" t="inlineStr">
        <is>
          <t>11/07/2007</t>
        </is>
      </c>
      <c r="F762" s="66" t="inlineStr">
        <is>
          <t>LNH0925ND01</t>
        </is>
      </c>
      <c r="G762" s="90" t="n">
        <v>8415000</v>
      </c>
      <c r="H762" s="65">
        <f>VLOOKUP(B762,'[1]TONG HOP'!B$5:G$624,6,0)</f>
        <v/>
      </c>
      <c r="I762" s="65" t="n">
        <v>2103750</v>
      </c>
      <c r="J762" s="65" t="n"/>
      <c r="K762" s="65" t="n"/>
      <c r="L762" s="65">
        <f>VLOOKUP(B762,'[2]DS THANG 11'!A$3:E$616,5,0)</f>
        <v/>
      </c>
      <c r="M762" s="65" t="n">
        <v>2103750</v>
      </c>
      <c r="N762" s="65" t="n"/>
      <c r="O762" s="65" t="n"/>
      <c r="P762" s="65">
        <f>VLOOKUP(B762,'[3]TONG HOP '!B$5:O$666,14,0)</f>
        <v/>
      </c>
      <c r="Q762" s="65" t="n">
        <v>2103750</v>
      </c>
      <c r="R762" s="65" t="n"/>
      <c r="S762" s="92">
        <f>G762-I762-R762-K762-M762-O762-Q762</f>
        <v/>
      </c>
      <c r="T762" s="92" t="inlineStr">
        <is>
          <t>LNH0526NQ20</t>
        </is>
      </c>
      <c r="U762" s="92" t="n">
        <v>2103750</v>
      </c>
      <c r="V762" s="69">
        <f>G762-SUM(I762,K762,M762,O762,Q762,U762)</f>
        <v/>
      </c>
      <c r="W762" s="65" t="n"/>
      <c r="X762" t="inlineStr">
        <is>
          <t>Khớp</t>
        </is>
      </c>
    </row>
    <row r="763">
      <c r="A763" s="65" t="n">
        <v>755</v>
      </c>
      <c r="B763" s="65" t="inlineStr">
        <is>
          <t>25802800249</t>
        </is>
      </c>
      <c r="C763" s="65" t="inlineStr">
        <is>
          <t>Trần Hồng Hoàng</t>
        </is>
      </c>
      <c r="D763" s="65" t="inlineStr">
        <is>
          <t>Thịnh</t>
        </is>
      </c>
      <c r="E763" s="65" t="inlineStr">
        <is>
          <t>23/06/2007</t>
        </is>
      </c>
      <c r="F763" s="66" t="inlineStr">
        <is>
          <t>LNH0925ND01</t>
        </is>
      </c>
      <c r="G763" s="90" t="n">
        <v>1000000</v>
      </c>
      <c r="H763" s="65" t="n"/>
      <c r="I763" s="65" t="n"/>
      <c r="J763" s="65" t="n"/>
      <c r="K763" s="65" t="n"/>
      <c r="L763" s="65" t="n"/>
      <c r="M763" s="65" t="n"/>
      <c r="N763" s="65" t="n"/>
      <c r="O763" s="65" t="n"/>
      <c r="P763" s="65" t="n"/>
      <c r="Q763" s="65" t="n"/>
      <c r="R763" s="65" t="n"/>
      <c r="S763" s="92">
        <f>G763-I763-R763-K763-M763-O763-Q763</f>
        <v/>
      </c>
      <c r="T763" s="92" t="inlineStr"/>
      <c r="U763" s="92" t="inlineStr"/>
      <c r="V763" s="69">
        <f>G763-SUM(I763,K763,M763,O763,Q763,U763)</f>
        <v/>
      </c>
      <c r="W763" s="65" t="n"/>
      <c r="X763" t="inlineStr">
        <is>
          <t>Khớp</t>
        </is>
      </c>
    </row>
    <row r="764">
      <c r="A764" s="65" t="n">
        <v>756</v>
      </c>
      <c r="B764" s="65" t="inlineStr">
        <is>
          <t>25802700203</t>
        </is>
      </c>
      <c r="C764" s="65" t="inlineStr">
        <is>
          <t>Đỗ Nguyễn Thu</t>
        </is>
      </c>
      <c r="D764" s="65" t="inlineStr">
        <is>
          <t>Nguyệt</t>
        </is>
      </c>
      <c r="E764" s="65" t="inlineStr">
        <is>
          <t>09/10/2007</t>
        </is>
      </c>
      <c r="F764" s="66" t="inlineStr">
        <is>
          <t>LNH0925ND01</t>
        </is>
      </c>
      <c r="G764" s="90" t="n">
        <v>8415000</v>
      </c>
      <c r="H764" s="65">
        <f>VLOOKUP(B764,'[1]TONG HOP'!B$5:G$624,6,0)</f>
        <v/>
      </c>
      <c r="I764" s="65" t="n">
        <v>2103750</v>
      </c>
      <c r="J764" s="65" t="n"/>
      <c r="K764" s="65" t="n"/>
      <c r="L764" s="65">
        <f>VLOOKUP(B764,'[2]DS THANG 11'!A$3:E$616,5,0)</f>
        <v/>
      </c>
      <c r="M764" s="65" t="n">
        <v>2103750</v>
      </c>
      <c r="N764" s="65" t="n"/>
      <c r="O764" s="65" t="n"/>
      <c r="P764" s="65">
        <f>VLOOKUP(B764,'[3]TONG HOP '!B$5:O$666,14,0)</f>
        <v/>
      </c>
      <c r="Q764" s="65" t="n">
        <v>2103750</v>
      </c>
      <c r="R764" s="65" t="n"/>
      <c r="S764" s="92">
        <f>G764-I764-R764-K764-M764-O764-Q764</f>
        <v/>
      </c>
      <c r="T764" s="92" t="inlineStr"/>
      <c r="U764" s="92" t="inlineStr"/>
      <c r="V764" s="69">
        <f>G764-SUM(I764,K764,M764,O764,Q764,U764)</f>
        <v/>
      </c>
      <c r="W764" s="65" t="n"/>
      <c r="X764" t="inlineStr">
        <is>
          <t>Khớp</t>
        </is>
      </c>
    </row>
    <row r="765">
      <c r="A765" s="65" t="n">
        <v>757</v>
      </c>
      <c r="B765" s="65" t="inlineStr">
        <is>
          <t>25808700221</t>
        </is>
      </c>
      <c r="C765" s="65" t="inlineStr">
        <is>
          <t>Huỳnh Phúc</t>
        </is>
      </c>
      <c r="D765" s="65" t="inlineStr">
        <is>
          <t>Chiến</t>
        </is>
      </c>
      <c r="E765" s="65" t="inlineStr">
        <is>
          <t>05/07/2007</t>
        </is>
      </c>
      <c r="F765" s="66" t="inlineStr">
        <is>
          <t>LNH0925ND01</t>
        </is>
      </c>
      <c r="G765" s="90" t="n">
        <v>8415000</v>
      </c>
      <c r="H765" s="65">
        <f>VLOOKUP(B765,'[1]TONG HOP'!B$5:G$624,6,0)</f>
        <v/>
      </c>
      <c r="I765" s="65" t="n">
        <v>2103750</v>
      </c>
      <c r="J765" s="65" t="n"/>
      <c r="K765" s="65" t="n"/>
      <c r="L765" s="65">
        <f>VLOOKUP(B765,'[2]DS THANG 11'!A$3:E$616,5,0)</f>
        <v/>
      </c>
      <c r="M765" s="65" t="n">
        <v>2103750</v>
      </c>
      <c r="N765" s="65" t="n"/>
      <c r="O765" s="65" t="n"/>
      <c r="P765" s="65">
        <f>VLOOKUP(B765,'[3]TONG HOP '!B$5:O$666,14,0)</f>
        <v/>
      </c>
      <c r="Q765" s="65" t="n">
        <v>2103750</v>
      </c>
      <c r="R765" s="65" t="n"/>
      <c r="S765" s="92">
        <f>G765-I765-R765-K765-M765-O765-Q765</f>
        <v/>
      </c>
      <c r="T765" s="92" t="inlineStr">
        <is>
          <t>LNH0526NQ06</t>
        </is>
      </c>
      <c r="U765" s="92" t="n">
        <v>2103750</v>
      </c>
      <c r="V765" s="69">
        <f>G765-SUM(I765,K765,M765,O765,Q765,U765)</f>
        <v/>
      </c>
      <c r="W765" s="65" t="n"/>
      <c r="X765" t="inlineStr">
        <is>
          <t>Khớp</t>
        </is>
      </c>
    </row>
    <row r="766">
      <c r="A766" s="65" t="n">
        <v>758</v>
      </c>
      <c r="B766" s="65" t="inlineStr">
        <is>
          <t>25808600027</t>
        </is>
      </c>
      <c r="C766" s="65" t="inlineStr">
        <is>
          <t>Lê Thu Hải</t>
        </is>
      </c>
      <c r="D766" s="65" t="inlineStr">
        <is>
          <t>Hà</t>
        </is>
      </c>
      <c r="E766" s="65" t="inlineStr">
        <is>
          <t>06/10/2007</t>
        </is>
      </c>
      <c r="F766" s="66" t="inlineStr">
        <is>
          <t>LNH0925ND01</t>
        </is>
      </c>
      <c r="G766" s="90" t="n">
        <v>7540000</v>
      </c>
      <c r="H766" s="65" t="n"/>
      <c r="I766" s="65" t="n"/>
      <c r="J766" s="65" t="n"/>
      <c r="K766" s="65" t="n"/>
      <c r="L766" s="65">
        <f>VLOOKUP(B766,'[2]DS THANG 11'!A$3:E$616,5,0)</f>
        <v/>
      </c>
      <c r="M766" s="65" t="n">
        <v>2600000</v>
      </c>
      <c r="N766" s="65" t="n"/>
      <c r="O766" s="65" t="n"/>
      <c r="P766" s="65">
        <f>VLOOKUP(B766,'[3]TONG HOP '!B$5:O$666,14,0)</f>
        <v/>
      </c>
      <c r="Q766" s="65" t="n">
        <v>2470000</v>
      </c>
      <c r="R766" s="65" t="n"/>
      <c r="S766" s="92">
        <f>G766-I766-R766-K766-M766-O766-Q766</f>
        <v/>
      </c>
      <c r="T766" s="92" t="inlineStr"/>
      <c r="U766" s="92" t="inlineStr"/>
      <c r="V766" s="69">
        <f>G766-SUM(I766,K766,M766,O766,Q766,U766)</f>
        <v/>
      </c>
      <c r="W766" s="65" t="n"/>
      <c r="X766" t="inlineStr">
        <is>
          <t>Khớp</t>
        </is>
      </c>
    </row>
    <row r="767">
      <c r="A767" s="65" t="n">
        <v>759</v>
      </c>
      <c r="B767" s="65" t="inlineStr">
        <is>
          <t>25800600765</t>
        </is>
      </c>
      <c r="C767" s="65" t="inlineStr">
        <is>
          <t>Phan Anh</t>
        </is>
      </c>
      <c r="D767" s="65" t="inlineStr">
        <is>
          <t>Tuấn</t>
        </is>
      </c>
      <c r="E767" s="65" t="inlineStr">
        <is>
          <t>29/08/2007</t>
        </is>
      </c>
      <c r="F767" s="66" t="inlineStr">
        <is>
          <t>LNH0925ND01</t>
        </is>
      </c>
      <c r="G767" s="90" t="n">
        <v>8415000</v>
      </c>
      <c r="H767" s="65">
        <f>VLOOKUP(B767,'[1]TONG HOP'!B$5:G$624,6,0)</f>
        <v/>
      </c>
      <c r="I767" s="65" t="n">
        <v>2103750</v>
      </c>
      <c r="J767" s="65" t="n"/>
      <c r="K767" s="65" t="n"/>
      <c r="L767" s="65">
        <f>VLOOKUP(B767,'[2]DS THANG 11'!A$3:E$616,5,0)</f>
        <v/>
      </c>
      <c r="M767" s="65" t="n">
        <v>2103750</v>
      </c>
      <c r="N767" s="65" t="n"/>
      <c r="O767" s="65" t="n"/>
      <c r="P767" s="65">
        <f>VLOOKUP(B767,'[3]TONG HOP '!B$5:O$666,14,0)</f>
        <v/>
      </c>
      <c r="Q767" s="65" t="n">
        <v>2103750</v>
      </c>
      <c r="R767" s="65" t="n"/>
      <c r="S767" s="92">
        <f>G767-I767-R767-K767-M767-O767-Q767</f>
        <v/>
      </c>
      <c r="T767" s="92" t="inlineStr"/>
      <c r="U767" s="92" t="inlineStr"/>
      <c r="V767" s="69">
        <f>G767-SUM(I767,K767,M767,O767,Q767,U767)</f>
        <v/>
      </c>
      <c r="W767" s="65" t="n"/>
      <c r="X767" t="inlineStr">
        <is>
          <t>Khớp</t>
        </is>
      </c>
    </row>
    <row r="768">
      <c r="A768" s="65" t="n">
        <v>760</v>
      </c>
      <c r="B768" s="65" t="inlineStr">
        <is>
          <t>25808100045</t>
        </is>
      </c>
      <c r="C768" s="65" t="inlineStr">
        <is>
          <t>Nguyễn Hoàng</t>
        </is>
      </c>
      <c r="D768" s="65" t="inlineStr">
        <is>
          <t>Quân</t>
        </is>
      </c>
      <c r="E768" s="65" t="inlineStr">
        <is>
          <t>26/09/2007</t>
        </is>
      </c>
      <c r="F768" s="66" t="inlineStr">
        <is>
          <t>LNH0925ND01</t>
        </is>
      </c>
      <c r="G768" s="90" t="n">
        <v>8415000</v>
      </c>
      <c r="H768" s="65" t="n"/>
      <c r="I768" s="65" t="n"/>
      <c r="J768" s="65">
        <f>VLOOKUP(B768,[5]Sheet1!A$3:E$32,5,0)</f>
        <v/>
      </c>
      <c r="K768" s="65" t="n">
        <v>2103750</v>
      </c>
      <c r="L768" s="65">
        <f>VLOOKUP(B768,'[2]DS THANG 11'!A$3:E$616,5,0)</f>
        <v/>
      </c>
      <c r="M768" s="65" t="n">
        <v>2103750</v>
      </c>
      <c r="N768" s="65" t="n"/>
      <c r="O768" s="65" t="n"/>
      <c r="P768" s="65">
        <f>VLOOKUP(B768,'[3]TONG HOP '!B$5:O$666,14,0)</f>
        <v/>
      </c>
      <c r="Q768" s="65" t="n">
        <v>2103750</v>
      </c>
      <c r="R768" s="65" t="n"/>
      <c r="S768" s="92">
        <f>G768-I768-R768-K768-M768-O768-Q768</f>
        <v/>
      </c>
      <c r="T768" s="92" t="inlineStr"/>
      <c r="U768" s="92" t="inlineStr"/>
      <c r="V768" s="69">
        <f>G768-SUM(I768,K768,M768,O768,Q768,U768)</f>
        <v/>
      </c>
      <c r="W768" s="65" t="n"/>
      <c r="X768" t="inlineStr">
        <is>
          <t>Khớp</t>
        </is>
      </c>
    </row>
    <row r="769">
      <c r="A769" s="65" t="n">
        <v>761</v>
      </c>
      <c r="B769" s="65" t="inlineStr">
        <is>
          <t>25808900243</t>
        </is>
      </c>
      <c r="C769" s="65" t="inlineStr">
        <is>
          <t>Đỗ Ngọc</t>
        </is>
      </c>
      <c r="D769" s="65" t="inlineStr">
        <is>
          <t>An</t>
        </is>
      </c>
      <c r="E769" s="65" t="inlineStr">
        <is>
          <t>06/11/2007</t>
        </is>
      </c>
      <c r="F769" s="66" t="inlineStr">
        <is>
          <t>LNH0925ND01</t>
        </is>
      </c>
      <c r="G769" s="90" t="n">
        <v>8415000</v>
      </c>
      <c r="H769" s="65">
        <f>VLOOKUP(B769,'[1]TONG HOP'!B$5:G$624,6,0)</f>
        <v/>
      </c>
      <c r="I769" s="65" t="n">
        <v>2103750</v>
      </c>
      <c r="J769" s="65" t="n"/>
      <c r="K769" s="65" t="n"/>
      <c r="L769" s="65">
        <f>VLOOKUP(B769,'[2]DS THANG 11'!A$3:E$616,5,0)</f>
        <v/>
      </c>
      <c r="M769" s="65" t="n">
        <v>2103750</v>
      </c>
      <c r="N769" s="65" t="n"/>
      <c r="O769" s="65" t="n"/>
      <c r="P769" s="65">
        <f>VLOOKUP(B769,'[3]TONG HOP '!B$5:O$666,14,0)</f>
        <v/>
      </c>
      <c r="Q769" s="65" t="n">
        <v>2103750</v>
      </c>
      <c r="R769" s="65" t="n"/>
      <c r="S769" s="92">
        <f>G769-I769-R769-K769-M769-O769-Q769</f>
        <v/>
      </c>
      <c r="T769" s="92" t="inlineStr"/>
      <c r="U769" s="92" t="n">
        <v>2103750</v>
      </c>
      <c r="V769" s="69">
        <f>G769-SUM(I769,K769,M769,O769,Q769,U769)</f>
        <v/>
      </c>
      <c r="W769" s="65" t="n"/>
      <c r="X769" t="inlineStr">
        <is>
          <t>Khớp</t>
        </is>
      </c>
    </row>
    <row r="770">
      <c r="A770" s="65" t="n">
        <v>762</v>
      </c>
      <c r="B770" s="65" t="inlineStr">
        <is>
          <t>25808600014</t>
        </is>
      </c>
      <c r="C770" s="65" t="inlineStr">
        <is>
          <t>Chen Chien</t>
        </is>
      </c>
      <c r="D770" s="65" t="inlineStr">
        <is>
          <t>Chih</t>
        </is>
      </c>
      <c r="E770" s="65" t="inlineStr">
        <is>
          <t>17/05/2005</t>
        </is>
      </c>
      <c r="F770" s="66" t="inlineStr">
        <is>
          <t>LNH0925ND01</t>
        </is>
      </c>
      <c r="G770" s="90" t="n">
        <v>8415000</v>
      </c>
      <c r="H770" s="65">
        <f>VLOOKUP(B770,'[1]TONG HOP'!B$5:G$624,6,0)</f>
        <v/>
      </c>
      <c r="I770" s="65" t="n">
        <v>2103750</v>
      </c>
      <c r="J770" s="65" t="n"/>
      <c r="K770" s="65" t="n"/>
      <c r="L770" s="65">
        <f>VLOOKUP(B770,'[2]DS THANG 11'!A$3:E$616,5,0)</f>
        <v/>
      </c>
      <c r="M770" s="65" t="n">
        <v>2103750</v>
      </c>
      <c r="N770" s="65" t="n"/>
      <c r="O770" s="65" t="n"/>
      <c r="P770" s="65">
        <f>VLOOKUP(B770,'[3]TONG HOP '!B$5:O$666,14,0)</f>
        <v/>
      </c>
      <c r="Q770" s="65" t="n">
        <v>2103750</v>
      </c>
      <c r="R770" s="65" t="n"/>
      <c r="S770" s="92">
        <f>G770-I770-R770-K770-M770-O770-Q770</f>
        <v/>
      </c>
      <c r="T770" s="92" t="inlineStr">
        <is>
          <t>LNH0526NQ09</t>
        </is>
      </c>
      <c r="U770" s="92" t="n">
        <v>2103750</v>
      </c>
      <c r="V770" s="69">
        <f>G770-SUM(I770,K770,M770,O770,Q770,U770)</f>
        <v/>
      </c>
      <c r="W770" s="65" t="n"/>
      <c r="X770" t="inlineStr">
        <is>
          <t>Khớp</t>
        </is>
      </c>
    </row>
    <row r="771">
      <c r="A771" s="65" t="n">
        <v>763</v>
      </c>
      <c r="B771" s="65" t="inlineStr">
        <is>
          <t>25802800020</t>
        </is>
      </c>
      <c r="C771" s="65" t="inlineStr">
        <is>
          <t>Trương Nguyễn Gia</t>
        </is>
      </c>
      <c r="D771" s="65" t="inlineStr">
        <is>
          <t>Bảo</t>
        </is>
      </c>
      <c r="E771" s="65" t="inlineStr">
        <is>
          <t>13/08/2007</t>
        </is>
      </c>
      <c r="F771" s="66" t="inlineStr">
        <is>
          <t>LNH0925ND01</t>
        </is>
      </c>
      <c r="G771" s="90" t="n">
        <v>8415000</v>
      </c>
      <c r="H771" s="65">
        <f>VLOOKUP(B771,'[1]TONG HOP'!B$5:G$624,6,0)</f>
        <v/>
      </c>
      <c r="I771" s="65" t="n">
        <v>2103750</v>
      </c>
      <c r="J771" s="65" t="n"/>
      <c r="K771" s="65" t="n"/>
      <c r="L771" s="65">
        <f>VLOOKUP(B771,'[2]DS THANG 11'!A$3:E$616,5,0)</f>
        <v/>
      </c>
      <c r="M771" s="65" t="n">
        <v>2103750</v>
      </c>
      <c r="N771" s="65" t="n"/>
      <c r="O771" s="65" t="n"/>
      <c r="P771" s="65">
        <f>VLOOKUP(B771,'[3]TONG HOP '!B$5:O$666,14,0)</f>
        <v/>
      </c>
      <c r="Q771" s="65" t="n">
        <v>2103750</v>
      </c>
      <c r="R771" s="65" t="n"/>
      <c r="S771" s="92">
        <f>G771-I771-R771-K771-M771-O771-Q771</f>
        <v/>
      </c>
      <c r="T771" s="92" t="inlineStr">
        <is>
          <t>LNH0526NQ09</t>
        </is>
      </c>
      <c r="U771" s="92" t="n">
        <v>2103750</v>
      </c>
      <c r="V771" s="69">
        <f>G771-SUM(I771,K771,M771,O771,Q771,U771)</f>
        <v/>
      </c>
      <c r="W771" s="65" t="n"/>
      <c r="X771" t="inlineStr">
        <is>
          <t>Khớp</t>
        </is>
      </c>
    </row>
    <row r="772">
      <c r="A772" s="65" t="n">
        <v>764</v>
      </c>
      <c r="B772" s="65" t="inlineStr">
        <is>
          <t>25807500069</t>
        </is>
      </c>
      <c r="C772" s="65" t="inlineStr">
        <is>
          <t>Ly Hue</t>
        </is>
      </c>
      <c r="D772" s="65" t="inlineStr">
        <is>
          <t>Man</t>
        </is>
      </c>
      <c r="E772" s="65" t="inlineStr">
        <is>
          <t xml:space="preserve">  -   -</t>
        </is>
      </c>
      <c r="F772" s="66" t="inlineStr">
        <is>
          <t>LNH0925ND01</t>
        </is>
      </c>
      <c r="G772" s="90" t="n">
        <v>8415000</v>
      </c>
      <c r="H772" s="65">
        <f>VLOOKUP(B772,'[1]TONG HOP'!B$5:G$624,6,0)</f>
        <v/>
      </c>
      <c r="I772" s="65" t="n">
        <v>2103750</v>
      </c>
      <c r="J772" s="65" t="n"/>
      <c r="K772" s="65" t="n"/>
      <c r="L772" s="65">
        <f>VLOOKUP(B772,'[2]DS THANG 11'!A$3:E$616,5,0)</f>
        <v/>
      </c>
      <c r="M772" s="65" t="n">
        <v>2103750</v>
      </c>
      <c r="N772" s="65" t="n"/>
      <c r="O772" s="65" t="n"/>
      <c r="P772" s="65">
        <f>VLOOKUP(B772,'[3]TONG HOP '!B$5:O$666,14,0)</f>
        <v/>
      </c>
      <c r="Q772" s="65" t="n">
        <v>2103750</v>
      </c>
      <c r="R772" s="65" t="n"/>
      <c r="S772" s="92">
        <f>G772-I772-R772-K772-M772-O772-Q772</f>
        <v/>
      </c>
      <c r="T772" s="92" t="inlineStr">
        <is>
          <t>LNH0526NQ12</t>
        </is>
      </c>
      <c r="U772" s="92" t="n">
        <v>2103750</v>
      </c>
      <c r="V772" s="69">
        <f>G772-SUM(I772,K772,M772,O772,Q772,U772)</f>
        <v/>
      </c>
      <c r="W772" s="65" t="n"/>
      <c r="X772" t="inlineStr">
        <is>
          <t>Khớp</t>
        </is>
      </c>
    </row>
    <row r="773">
      <c r="A773" s="65" t="n">
        <v>765</v>
      </c>
      <c r="B773" s="65" t="inlineStr">
        <is>
          <t>25808500274</t>
        </is>
      </c>
      <c r="C773" s="65" t="inlineStr">
        <is>
          <t>Nguyễn Trọng</t>
        </is>
      </c>
      <c r="D773" s="65" t="inlineStr">
        <is>
          <t>Phát</t>
        </is>
      </c>
      <c r="E773" s="65" t="inlineStr">
        <is>
          <t>22/12/2007</t>
        </is>
      </c>
      <c r="F773" s="66" t="inlineStr">
        <is>
          <t>LNH0925ND01</t>
        </is>
      </c>
      <c r="G773" s="90" t="n">
        <v>2100000</v>
      </c>
      <c r="H773" s="65">
        <f>VLOOKUP(B773,'[1]TONG HOP'!B$5:G$624,6,0)</f>
        <v/>
      </c>
      <c r="I773" s="65" t="n">
        <v>2100000</v>
      </c>
      <c r="J773" s="65" t="n"/>
      <c r="K773" s="65" t="n"/>
      <c r="L773" s="65" t="n"/>
      <c r="M773" s="65" t="n"/>
      <c r="N773" s="65" t="n"/>
      <c r="O773" s="65" t="n"/>
      <c r="P773" s="65" t="n"/>
      <c r="Q773" s="65" t="n"/>
      <c r="R773" s="65" t="n"/>
      <c r="S773" s="92">
        <f>G773-I773-R773-K773-M773-O773-Q773</f>
        <v/>
      </c>
      <c r="T773" s="92" t="inlineStr">
        <is>
          <t>LNH0526NQ16</t>
        </is>
      </c>
      <c r="U773" s="92" t="n">
        <v>2600000</v>
      </c>
      <c r="V773" s="69">
        <f>G773-SUM(I773,K773,M773,O773,Q773,U773)</f>
        <v/>
      </c>
      <c r="W773" s="65" t="n"/>
      <c r="X773" t="inlineStr">
        <is>
          <t>Khớp</t>
        </is>
      </c>
    </row>
    <row r="774">
      <c r="A774" s="65" t="n">
        <v>766</v>
      </c>
      <c r="B774" s="65" t="inlineStr">
        <is>
          <t>25807800075</t>
        </is>
      </c>
      <c r="C774" s="65" t="inlineStr">
        <is>
          <t>Lê Trọng</t>
        </is>
      </c>
      <c r="D774" s="65" t="inlineStr">
        <is>
          <t>Long</t>
        </is>
      </c>
      <c r="E774" s="65" t="inlineStr">
        <is>
          <t>26/11/2007</t>
        </is>
      </c>
      <c r="F774" s="66" t="inlineStr">
        <is>
          <t>LNH0925ND01</t>
        </is>
      </c>
      <c r="G774" s="90" t="n">
        <v>8415000</v>
      </c>
      <c r="H774" s="65">
        <f>VLOOKUP(B774,'[1]TONG HOP'!B$5:G$624,6,0)</f>
        <v/>
      </c>
      <c r="I774" s="65" t="n">
        <v>2103750</v>
      </c>
      <c r="J774" s="65" t="n"/>
      <c r="K774" s="65" t="n"/>
      <c r="L774" s="65">
        <f>VLOOKUP(B774,'[2]DS THANG 11'!A$3:E$616,5,0)</f>
        <v/>
      </c>
      <c r="M774" s="65" t="n">
        <v>2103750</v>
      </c>
      <c r="N774" s="65" t="n"/>
      <c r="O774" s="65" t="n"/>
      <c r="P774" s="65" t="n"/>
      <c r="Q774" s="65" t="n"/>
      <c r="R774" s="65" t="n"/>
      <c r="S774" s="92">
        <f>G774-I774-R774-K774-M774-O774-Q774</f>
        <v/>
      </c>
      <c r="T774" s="92" t="inlineStr"/>
      <c r="U774" s="92" t="inlineStr"/>
      <c r="V774" s="69">
        <f>G774-SUM(I774,K774,M774,O774,Q774,U774)</f>
        <v/>
      </c>
      <c r="W774" s="65" t="n"/>
      <c r="X774" t="inlineStr">
        <is>
          <t>Khớp</t>
        </is>
      </c>
    </row>
    <row r="775">
      <c r="A775" s="65" t="n">
        <v>767</v>
      </c>
      <c r="B775" s="65" t="inlineStr">
        <is>
          <t>25808600105</t>
        </is>
      </c>
      <c r="C775" s="65" t="inlineStr">
        <is>
          <t>Lê Minh</t>
        </is>
      </c>
      <c r="D775" s="65" t="inlineStr">
        <is>
          <t>Tâm</t>
        </is>
      </c>
      <c r="E775" s="65" t="inlineStr">
        <is>
          <t>23/10/2007</t>
        </is>
      </c>
      <c r="F775" s="66" t="inlineStr">
        <is>
          <t>LNH0925ND01</t>
        </is>
      </c>
      <c r="G775" s="90" t="n">
        <v>8415000</v>
      </c>
      <c r="H775" s="65">
        <f>VLOOKUP(B775,'[1]TONG HOP'!B$5:G$624,6,0)</f>
        <v/>
      </c>
      <c r="I775" s="65" t="n">
        <v>2103750</v>
      </c>
      <c r="J775" s="65" t="n"/>
      <c r="K775" s="65" t="n"/>
      <c r="L775" s="65">
        <f>VLOOKUP(B775,'[2]DS THANG 11'!A$3:E$616,5,0)</f>
        <v/>
      </c>
      <c r="M775" s="65" t="n">
        <v>2103750</v>
      </c>
      <c r="N775" s="65" t="n"/>
      <c r="O775" s="65" t="n"/>
      <c r="P775" s="65" t="n"/>
      <c r="Q775" s="65" t="n"/>
      <c r="R775" s="65" t="n"/>
      <c r="S775" s="92">
        <f>G775-I775-R775-K775-M775-O775-Q775</f>
        <v/>
      </c>
      <c r="T775" s="92" t="inlineStr"/>
      <c r="U775" s="92" t="inlineStr"/>
      <c r="V775" s="69">
        <f>G775-SUM(I775,K775,M775,O775,Q775,U775)</f>
        <v/>
      </c>
      <c r="W775" s="65" t="n"/>
      <c r="X775" t="inlineStr">
        <is>
          <t>Khớp</t>
        </is>
      </c>
    </row>
    <row r="776">
      <c r="A776" s="65" t="n">
        <v>768</v>
      </c>
      <c r="B776" s="65" t="inlineStr">
        <is>
          <t>25807700110</t>
        </is>
      </c>
      <c r="C776" s="65" t="inlineStr">
        <is>
          <t>Nguyễn Minh</t>
        </is>
      </c>
      <c r="D776" s="65" t="inlineStr">
        <is>
          <t>Thuận</t>
        </is>
      </c>
      <c r="E776" s="65" t="inlineStr">
        <is>
          <t>08/12/2004</t>
        </is>
      </c>
      <c r="F776" s="66" t="inlineStr">
        <is>
          <t>LNH0925ND01</t>
        </is>
      </c>
      <c r="G776" s="90" t="n">
        <v>8415000</v>
      </c>
      <c r="H776" s="65">
        <f>VLOOKUP(B776,'[1]TONG HOP'!B$5:G$624,6,0)</f>
        <v/>
      </c>
      <c r="I776" s="65" t="n">
        <v>2103750</v>
      </c>
      <c r="J776" s="65" t="n"/>
      <c r="K776" s="65" t="n"/>
      <c r="L776" s="65" t="n"/>
      <c r="M776" s="65" t="n"/>
      <c r="N776" s="65" t="n"/>
      <c r="O776" s="65" t="n"/>
      <c r="P776" s="65" t="n"/>
      <c r="Q776" s="65" t="n"/>
      <c r="R776" s="65" t="n"/>
      <c r="S776" s="92">
        <f>G776-I776-R776-K776-M776-O776-Q776</f>
        <v/>
      </c>
      <c r="T776" s="92" t="inlineStr"/>
      <c r="U776" s="92" t="inlineStr"/>
      <c r="V776" s="69">
        <f>G776-SUM(I776,K776,M776,O776,Q776,U776)</f>
        <v/>
      </c>
      <c r="W776" s="65" t="n"/>
      <c r="X776" t="inlineStr">
        <is>
          <t>Khớp</t>
        </is>
      </c>
    </row>
    <row r="777">
      <c r="A777" s="65" t="n">
        <v>769</v>
      </c>
      <c r="B777" s="65" t="inlineStr">
        <is>
          <t>25806300027</t>
        </is>
      </c>
      <c r="C777" s="65" t="inlineStr">
        <is>
          <t>Phạm Ngọc Phương</t>
        </is>
      </c>
      <c r="D777" s="65" t="inlineStr">
        <is>
          <t>Nam</t>
        </is>
      </c>
      <c r="E777" s="65" t="inlineStr">
        <is>
          <t>13/10/2007</t>
        </is>
      </c>
      <c r="F777" s="66" t="inlineStr">
        <is>
          <t>LNH0925ND01</t>
        </is>
      </c>
      <c r="G777" s="90" t="n">
        <v>8415000</v>
      </c>
      <c r="H777" s="65" t="n"/>
      <c r="I777" s="65" t="n"/>
      <c r="J777" s="65">
        <f>VLOOKUP(B777,[5]Sheet1!A$3:E$32,5,0)</f>
        <v/>
      </c>
      <c r="K777" s="65" t="n">
        <v>2103750</v>
      </c>
      <c r="L777" s="65">
        <f>VLOOKUP(B777,'[2]DS THANG 11'!A$3:E$616,5,0)</f>
        <v/>
      </c>
      <c r="M777" s="65" t="n">
        <v>2103750</v>
      </c>
      <c r="N777" s="65" t="n"/>
      <c r="O777" s="65" t="n"/>
      <c r="P777" s="65">
        <f>VLOOKUP(B777,'[3]TONG HOP '!B$5:O$666,14,0)</f>
        <v/>
      </c>
      <c r="Q777" s="65" t="n">
        <v>2103750</v>
      </c>
      <c r="R777" s="65" t="n"/>
      <c r="S777" s="92">
        <f>G777-I777-R777-K777-M777-O777-Q777</f>
        <v/>
      </c>
      <c r="T777" s="92" t="inlineStr">
        <is>
          <t>LNH0526NG02</t>
        </is>
      </c>
      <c r="U777" s="92" t="n">
        <v>2103750</v>
      </c>
      <c r="V777" s="69">
        <f>G777-SUM(I777,K777,M777,O777,Q777,U777)</f>
        <v/>
      </c>
      <c r="W777" s="65" t="n"/>
      <c r="X777" t="inlineStr">
        <is>
          <t>Khớp</t>
        </is>
      </c>
    </row>
    <row r="778">
      <c r="A778" s="65" t="n">
        <v>770</v>
      </c>
      <c r="B778" s="65" t="inlineStr">
        <is>
          <t>25820200119</t>
        </is>
      </c>
      <c r="C778" s="65" t="inlineStr">
        <is>
          <t>Nguyễn Minh</t>
        </is>
      </c>
      <c r="D778" s="65" t="inlineStr">
        <is>
          <t>Hiếu</t>
        </is>
      </c>
      <c r="E778" s="65" t="inlineStr">
        <is>
          <t>27/11/2007</t>
        </is>
      </c>
      <c r="F778" s="66" t="inlineStr">
        <is>
          <t>LNH0925ND01</t>
        </is>
      </c>
      <c r="G778" s="90" t="n">
        <v>5000000</v>
      </c>
      <c r="H778" s="65">
        <f>VLOOKUP(B778,'[1]TONG HOP'!B$5:G$624,6,0)</f>
        <v/>
      </c>
      <c r="I778" s="65" t="n">
        <v>2232500</v>
      </c>
      <c r="J778" s="65" t="n"/>
      <c r="K778" s="65" t="n"/>
      <c r="L778" s="65">
        <f>VLOOKUP(B778,'[2]DS THANG 11'!A$3:E$616,5,0)</f>
        <v/>
      </c>
      <c r="M778" s="65" t="n">
        <v>2232500</v>
      </c>
      <c r="N778" s="65" t="n"/>
      <c r="O778" s="65" t="n"/>
      <c r="P778" s="65" t="n"/>
      <c r="Q778" s="65" t="n"/>
      <c r="R778" s="75" t="n">
        <v>535000</v>
      </c>
      <c r="S778" s="92">
        <f>G778-I778-R778-K778-M778-O778-Q778</f>
        <v/>
      </c>
      <c r="T778" s="92" t="inlineStr"/>
      <c r="U778" s="92" t="inlineStr"/>
      <c r="V778" s="69">
        <f>G778-SUM(I778,K778,M778,O778,Q778,U778)</f>
        <v/>
      </c>
      <c r="W778" s="65" t="inlineStr">
        <is>
          <t>Dư 535k - rút HP T01/2026</t>
        </is>
      </c>
      <c r="X778" t="inlineStr">
        <is>
          <t>Khớp</t>
        </is>
      </c>
    </row>
    <row r="779">
      <c r="A779" s="65" t="n">
        <v>771</v>
      </c>
      <c r="B779" s="65" t="inlineStr">
        <is>
          <t>25808200123</t>
        </is>
      </c>
      <c r="C779" s="65" t="inlineStr">
        <is>
          <t>Lê Ngọc</t>
        </is>
      </c>
      <c r="D779" s="65" t="inlineStr">
        <is>
          <t>Thiện</t>
        </is>
      </c>
      <c r="E779" s="65" t="inlineStr">
        <is>
          <t>01/08/2007</t>
        </is>
      </c>
      <c r="F779" s="66" t="inlineStr">
        <is>
          <t>LNH0925ND01</t>
        </is>
      </c>
      <c r="G779" s="90" t="n">
        <v>8415000</v>
      </c>
      <c r="H779" s="65">
        <f>VLOOKUP(B779,'[1]TONG HOP'!B$5:G$624,6,0)</f>
        <v/>
      </c>
      <c r="I779" s="65" t="n">
        <v>2103750</v>
      </c>
      <c r="J779" s="65" t="n"/>
      <c r="K779" s="65" t="n"/>
      <c r="L779" s="65">
        <f>VLOOKUP(B779,'[2]DS THANG 11'!A$3:E$616,5,0)</f>
        <v/>
      </c>
      <c r="M779" s="65" t="n">
        <v>2103750</v>
      </c>
      <c r="N779" s="65" t="n"/>
      <c r="O779" s="65" t="n"/>
      <c r="P779" s="65">
        <f>VLOOKUP(B779,'[3]TONG HOP '!B$5:O$666,14,0)</f>
        <v/>
      </c>
      <c r="Q779" s="65" t="n">
        <v>2103750</v>
      </c>
      <c r="R779" s="65" t="n"/>
      <c r="S779" s="92">
        <f>G779-I779-R779-K779-M779-O779-Q779</f>
        <v/>
      </c>
      <c r="T779" s="92" t="inlineStr">
        <is>
          <t>LNH0526NQ16</t>
        </is>
      </c>
      <c r="U779" s="92" t="n">
        <v>2103750</v>
      </c>
      <c r="V779" s="69">
        <f>G779-SUM(I779,K779,M779,O779,Q779,U779)</f>
        <v/>
      </c>
      <c r="W779" s="65" t="n"/>
      <c r="X779" t="inlineStr">
        <is>
          <t>Khớp</t>
        </is>
      </c>
    </row>
    <row r="780">
      <c r="A780" s="65" t="n">
        <v>772</v>
      </c>
      <c r="B780" s="65" t="inlineStr">
        <is>
          <t>25806300034</t>
        </is>
      </c>
      <c r="C780" s="65" t="inlineStr">
        <is>
          <t>Phạm Minh</t>
        </is>
      </c>
      <c r="D780" s="65" t="inlineStr">
        <is>
          <t>Sang</t>
        </is>
      </c>
      <c r="E780" s="65" t="inlineStr">
        <is>
          <t>02/11/2006</t>
        </is>
      </c>
      <c r="F780" s="66" t="inlineStr">
        <is>
          <t>LNH0925ND01</t>
        </is>
      </c>
      <c r="G780" s="90" t="n">
        <v>2100000</v>
      </c>
      <c r="H780" s="65">
        <f>VLOOKUP(B780,'[1]TONG HOP'!B$5:G$624,6,0)</f>
        <v/>
      </c>
      <c r="I780" s="65" t="n">
        <v>2100000</v>
      </c>
      <c r="J780" s="65" t="n"/>
      <c r="K780" s="65" t="n"/>
      <c r="L780" s="65" t="n"/>
      <c r="M780" s="65" t="n"/>
      <c r="N780" s="65" t="n"/>
      <c r="O780" s="65" t="n"/>
      <c r="P780" s="65" t="n"/>
      <c r="Q780" s="65" t="n"/>
      <c r="R780" s="65" t="n"/>
      <c r="S780" s="92">
        <f>G780-I780-R780-K780-M780-O780-Q780</f>
        <v/>
      </c>
      <c r="T780" s="92" t="inlineStr"/>
      <c r="U780" s="92" t="inlineStr"/>
      <c r="V780" s="69">
        <f>G780-SUM(I780,K780,M780,O780,Q780,U780)</f>
        <v/>
      </c>
      <c r="W780" s="65" t="n"/>
      <c r="X780" t="inlineStr">
        <is>
          <t>Khớp</t>
        </is>
      </c>
    </row>
    <row r="781">
      <c r="A781" s="65" t="n">
        <v>773</v>
      </c>
      <c r="B781" s="65" t="inlineStr">
        <is>
          <t>25808600269</t>
        </is>
      </c>
      <c r="C781" s="65" t="inlineStr">
        <is>
          <t>Trần Nguyễn Thái</t>
        </is>
      </c>
      <c r="D781" s="65" t="inlineStr">
        <is>
          <t>Linh</t>
        </is>
      </c>
      <c r="E781" s="65" t="inlineStr">
        <is>
          <t>31/03/2007</t>
        </is>
      </c>
      <c r="F781" s="66" t="inlineStr">
        <is>
          <t>LNH0925ND01</t>
        </is>
      </c>
      <c r="G781" s="90" t="n">
        <v>8415000</v>
      </c>
      <c r="H781" s="65">
        <f>VLOOKUP(B781,'[1]TONG HOP'!B$5:G$624,6,0)</f>
        <v/>
      </c>
      <c r="I781" s="65" t="n">
        <v>2103750</v>
      </c>
      <c r="J781" s="65" t="n"/>
      <c r="K781" s="65" t="n"/>
      <c r="L781" s="65" t="n"/>
      <c r="M781" s="65" t="n"/>
      <c r="N781" s="65" t="n"/>
      <c r="O781" s="65" t="n"/>
      <c r="P781" s="65" t="n"/>
      <c r="Q781" s="65" t="n"/>
      <c r="R781" s="65" t="n"/>
      <c r="S781" s="92">
        <f>G781-I781-R781-K781-M781-O781-Q781</f>
        <v/>
      </c>
      <c r="T781" s="92" t="inlineStr"/>
      <c r="U781" s="92" t="inlineStr">
        <is>
          <t xml:space="preserve">Xin bảo lưu </t>
        </is>
      </c>
      <c r="V781" s="69">
        <f>G781-SUM(I781,K781,M781,O781,Q781,U781)</f>
        <v/>
      </c>
      <c r="W781" s="65" t="n"/>
      <c r="X781" t="inlineStr">
        <is>
          <t>Khớp</t>
        </is>
      </c>
    </row>
    <row r="782">
      <c r="A782" s="65" t="n">
        <v>774</v>
      </c>
      <c r="B782" s="65" t="inlineStr">
        <is>
          <t>25807700074</t>
        </is>
      </c>
      <c r="C782" s="65" t="inlineStr">
        <is>
          <t>Phạm Lương</t>
        </is>
      </c>
      <c r="D782" s="65" t="inlineStr">
        <is>
          <t>Toàn</t>
        </is>
      </c>
      <c r="E782" s="65" t="inlineStr">
        <is>
          <t>06/10/2007</t>
        </is>
      </c>
      <c r="F782" s="66" t="inlineStr">
        <is>
          <t>LNH0925ND01</t>
        </is>
      </c>
      <c r="G782" s="90" t="n">
        <v>8415000</v>
      </c>
      <c r="H782" s="65">
        <f>VLOOKUP(B782,'[1]TONG HOP'!B$5:G$624,6,0)</f>
        <v/>
      </c>
      <c r="I782" s="65" t="n">
        <v>2103750</v>
      </c>
      <c r="J782" s="65" t="n"/>
      <c r="K782" s="65" t="n"/>
      <c r="L782" s="65">
        <f>VLOOKUP(B782,'[2]DS THANG 11'!A$3:E$616,5,0)</f>
        <v/>
      </c>
      <c r="M782" s="65" t="n">
        <v>2103750</v>
      </c>
      <c r="N782" s="65" t="n"/>
      <c r="O782" s="65" t="n"/>
      <c r="P782" s="65">
        <f>VLOOKUP(B782,'[3]TONG HOP '!B$5:O$666,14,0)</f>
        <v/>
      </c>
      <c r="Q782" s="65" t="n">
        <v>2103750</v>
      </c>
      <c r="R782" s="65" t="n"/>
      <c r="S782" s="92">
        <f>G782-I782-R782-K782-M782-O782-Q782</f>
        <v/>
      </c>
      <c r="T782" s="92" t="inlineStr"/>
      <c r="U782" s="92" t="inlineStr"/>
      <c r="V782" s="69">
        <f>G782-SUM(I782,K782,M782,O782,Q782,U782)</f>
        <v/>
      </c>
      <c r="W782" s="65" t="n"/>
      <c r="X782" t="inlineStr">
        <is>
          <t>Khớp</t>
        </is>
      </c>
    </row>
    <row r="783">
      <c r="A783" s="65" t="n">
        <v>775</v>
      </c>
      <c r="B783" s="65" t="inlineStr">
        <is>
          <t>25808700047</t>
        </is>
      </c>
      <c r="C783" s="65" t="inlineStr">
        <is>
          <t>Nguyen Mai Nhat</t>
        </is>
      </c>
      <c r="D783" s="65" t="inlineStr">
        <is>
          <t>Linh</t>
        </is>
      </c>
      <c r="E783" s="65" t="inlineStr">
        <is>
          <t>11/05/2007</t>
        </is>
      </c>
      <c r="F783" s="66" t="inlineStr">
        <is>
          <t>LNH0925ND01</t>
        </is>
      </c>
      <c r="G783" s="90" t="n">
        <v>8415000</v>
      </c>
      <c r="H783" s="76" t="inlineStr">
        <is>
          <t xml:space="preserve">LNH0925ND14 </t>
        </is>
      </c>
      <c r="I783" s="65" t="n">
        <v>2103750</v>
      </c>
      <c r="J783" s="65" t="n"/>
      <c r="K783" s="65" t="n"/>
      <c r="L783" s="65">
        <f>VLOOKUP(B783,'[2]DS THANG 11'!A$3:E$616,5,0)</f>
        <v/>
      </c>
      <c r="M783" s="65" t="n">
        <v>2103750</v>
      </c>
      <c r="N783" s="65" t="n"/>
      <c r="O783" s="65" t="n"/>
      <c r="P783" s="65">
        <f>VLOOKUP(B783,'[3]TONG HOP '!B$5:O$666,14,0)</f>
        <v/>
      </c>
      <c r="Q783" s="65" t="n">
        <v>2103750</v>
      </c>
      <c r="R783" s="65" t="n"/>
      <c r="S783" s="92">
        <f>G783-I783-R783-K783-M783-O783-Q783</f>
        <v/>
      </c>
      <c r="T783" s="92" t="inlineStr"/>
      <c r="U783" s="92" t="inlineStr"/>
      <c r="V783" s="69">
        <f>G783-SUM(I783,K783,M783,O783,Q783,U783)</f>
        <v/>
      </c>
      <c r="W783" s="65" t="n"/>
      <c r="X783" t="inlineStr">
        <is>
          <t>Khớp</t>
        </is>
      </c>
    </row>
    <row r="784">
      <c r="A784" s="65" t="n">
        <v>776</v>
      </c>
      <c r="B784" s="65" t="inlineStr">
        <is>
          <t>25808700015</t>
        </is>
      </c>
      <c r="C784" s="65" t="inlineStr">
        <is>
          <t>Dương Hữu Khánh</t>
        </is>
      </c>
      <c r="D784" s="65" t="inlineStr">
        <is>
          <t>Đạt</t>
        </is>
      </c>
      <c r="E784" s="65" t="inlineStr">
        <is>
          <t>02/02/2007</t>
        </is>
      </c>
      <c r="F784" s="66" t="inlineStr">
        <is>
          <t>LNH0925ND01</t>
        </is>
      </c>
      <c r="G784" s="90" t="n">
        <v>8415000</v>
      </c>
      <c r="H784" s="65">
        <f>VLOOKUP(B784,'[1]TONG HOP'!B$5:G$624,6,0)</f>
        <v/>
      </c>
      <c r="I784" s="65" t="n">
        <v>2103750</v>
      </c>
      <c r="J784" s="65" t="n"/>
      <c r="K784" s="65" t="n"/>
      <c r="L784" s="65">
        <f>VLOOKUP(B784,'[2]DS THANG 11'!A$3:E$616,5,0)</f>
        <v/>
      </c>
      <c r="M784" s="65" t="n">
        <v>2103750</v>
      </c>
      <c r="N784" s="65" t="n"/>
      <c r="O784" s="65" t="n"/>
      <c r="P784" s="65">
        <f>VLOOKUP(B784,'[3]TONG HOP '!B$5:O$666,14,0)</f>
        <v/>
      </c>
      <c r="Q784" s="65" t="n">
        <v>2103750</v>
      </c>
      <c r="R784" s="65" t="n"/>
      <c r="S784" s="92">
        <f>G784-I784-R784-K784-M784-O784-Q784</f>
        <v/>
      </c>
      <c r="T784" s="92" t="inlineStr">
        <is>
          <t>LNH0526NQ19</t>
        </is>
      </c>
      <c r="U784" s="92" t="n">
        <v>2103750</v>
      </c>
      <c r="V784" s="69">
        <f>G784-SUM(I784,K784,M784,O784,Q784,U784)</f>
        <v/>
      </c>
      <c r="W784" s="65" t="n"/>
      <c r="X784" t="inlineStr">
        <is>
          <t>Khớp</t>
        </is>
      </c>
    </row>
    <row r="785">
      <c r="A785" s="65" t="n">
        <v>777</v>
      </c>
      <c r="B785" s="65" t="inlineStr">
        <is>
          <t>25807700003</t>
        </is>
      </c>
      <c r="C785" s="65" t="inlineStr">
        <is>
          <t>Nguyễn Việt</t>
        </is>
      </c>
      <c r="D785" s="65" t="inlineStr">
        <is>
          <t>Anh</t>
        </is>
      </c>
      <c r="E785" s="65" t="inlineStr">
        <is>
          <t>16/01/2007</t>
        </is>
      </c>
      <c r="F785" s="66" t="inlineStr">
        <is>
          <t>LNH0925ND01</t>
        </is>
      </c>
      <c r="G785" s="90" t="n">
        <v>8415000</v>
      </c>
      <c r="H785" s="65">
        <f>VLOOKUP(B785,'[1]TONG HOP'!B$5:G$624,6,0)</f>
        <v/>
      </c>
      <c r="I785" s="65" t="n">
        <v>2103750</v>
      </c>
      <c r="J785" s="65" t="n"/>
      <c r="K785" s="65" t="n"/>
      <c r="L785" s="65">
        <f>VLOOKUP(B785,'[2]DS THANG 11'!A$3:E$616,5,0)</f>
        <v/>
      </c>
      <c r="M785" s="65" t="n">
        <v>2103750</v>
      </c>
      <c r="N785" s="65" t="n"/>
      <c r="O785" s="65" t="n"/>
      <c r="P785" s="65">
        <f>VLOOKUP(B785,'[3]TONG HOP '!B$5:O$666,14,0)</f>
        <v/>
      </c>
      <c r="Q785" s="65" t="n">
        <v>2103750</v>
      </c>
      <c r="R785" s="65" t="n"/>
      <c r="S785" s="92">
        <f>G785-I785-R785-K785-M785-O785-Q785</f>
        <v/>
      </c>
      <c r="T785" s="92" t="inlineStr"/>
      <c r="U785" s="92" t="n">
        <v>2103750</v>
      </c>
      <c r="V785" s="69">
        <f>G785-SUM(I785,K785,M785,O785,Q785,U785)</f>
        <v/>
      </c>
      <c r="W785" s="65" t="n"/>
      <c r="X785" t="inlineStr">
        <is>
          <t>Khớp</t>
        </is>
      </c>
    </row>
    <row r="786">
      <c r="A786" s="65" t="n">
        <v>778</v>
      </c>
      <c r="B786" s="65" t="inlineStr">
        <is>
          <t>25806400012</t>
        </is>
      </c>
      <c r="C786" s="65" t="inlineStr">
        <is>
          <t>Nguyễn Hoàng</t>
        </is>
      </c>
      <c r="D786" s="65" t="inlineStr">
        <is>
          <t>Khôi</t>
        </is>
      </c>
      <c r="E786" s="65" t="inlineStr">
        <is>
          <t>22/10/2007</t>
        </is>
      </c>
      <c r="F786" s="66" t="inlineStr">
        <is>
          <t>LNH0925ND01</t>
        </is>
      </c>
      <c r="G786" s="90" t="n">
        <v>8415000</v>
      </c>
      <c r="H786" s="65" t="n"/>
      <c r="I786" s="65" t="n"/>
      <c r="J786" s="65">
        <f>VLOOKUP(B786,[5]Sheet1!A$3:E$32,5,0)</f>
        <v/>
      </c>
      <c r="K786" s="65" t="n">
        <v>2103750</v>
      </c>
      <c r="L786" s="65">
        <f>VLOOKUP(B786,'[2]DS THANG 11'!A$3:E$616,5,0)</f>
        <v/>
      </c>
      <c r="M786" s="65" t="n">
        <v>2103750</v>
      </c>
      <c r="N786" s="65" t="n"/>
      <c r="O786" s="65" t="n"/>
      <c r="P786" s="65">
        <f>VLOOKUP(B786,'[3]TONG HOP '!B$5:O$666,14,0)</f>
        <v/>
      </c>
      <c r="Q786" s="65" t="n">
        <v>2103750</v>
      </c>
      <c r="R786" s="65" t="n"/>
      <c r="S786" s="92">
        <f>G786-I786-R786-K786-M786-O786-Q786</f>
        <v/>
      </c>
      <c r="T786" s="92" t="inlineStr">
        <is>
          <t>LNH0526NQ13</t>
        </is>
      </c>
      <c r="U786" s="92" t="n">
        <v>2103750</v>
      </c>
      <c r="V786" s="69">
        <f>G786-SUM(I786,K786,M786,O786,Q786,U786)</f>
        <v/>
      </c>
      <c r="W786" s="65" t="n"/>
      <c r="X786" t="inlineStr">
        <is>
          <t>Khớp</t>
        </is>
      </c>
    </row>
    <row r="787">
      <c r="A787" s="65" t="n">
        <v>779</v>
      </c>
      <c r="B787" s="65" t="inlineStr">
        <is>
          <t>25802100022</t>
        </is>
      </c>
      <c r="C787" s="65" t="inlineStr">
        <is>
          <t>Lê Nguyễn Tuấn</t>
        </is>
      </c>
      <c r="D787" s="65" t="inlineStr">
        <is>
          <t>Kiệt</t>
        </is>
      </c>
      <c r="E787" s="65" t="inlineStr">
        <is>
          <t>23/06/2007</t>
        </is>
      </c>
      <c r="F787" s="66" t="inlineStr">
        <is>
          <t>LNH0925ND01</t>
        </is>
      </c>
      <c r="G787" s="90" t="n">
        <v>8415000</v>
      </c>
      <c r="H787" s="65">
        <f>VLOOKUP(B787,'[1]TONG HOP'!B$5:G$624,6,0)</f>
        <v/>
      </c>
      <c r="I787" s="65" t="n">
        <v>2103750</v>
      </c>
      <c r="J787" s="65" t="n"/>
      <c r="K787" s="65" t="n"/>
      <c r="L787" s="65" t="n"/>
      <c r="M787" s="65" t="n"/>
      <c r="N787" s="65" t="n"/>
      <c r="O787" s="65" t="n"/>
      <c r="P787" s="65">
        <f>VLOOKUP(B787,'[3]TONG HOP '!B$5:O$666,14,0)</f>
        <v/>
      </c>
      <c r="Q787" s="65" t="n">
        <v>2103750</v>
      </c>
      <c r="R787" s="65" t="n">
        <v>1005000</v>
      </c>
      <c r="S787" s="92">
        <f>G787-I787-R787-K787-M787-O787-Q787</f>
        <v/>
      </c>
      <c r="T787" s="92" t="inlineStr">
        <is>
          <t>LNH0526NQ13</t>
        </is>
      </c>
      <c r="U787" s="92" t="n">
        <v>2103750</v>
      </c>
      <c r="V787" s="69">
        <f>G787-SUM(I787,K787,M787,O787,Q787,U787)</f>
        <v/>
      </c>
      <c r="W787" s="65" t="inlineStr">
        <is>
          <t>Chuyển sang EDU - Đạt HB theo tờ trình 462 ngày 11/11/25 - giảm HB Level 1 - 2.1tr</t>
        </is>
      </c>
      <c r="X787" t="inlineStr">
        <is>
          <t>Khớp</t>
        </is>
      </c>
    </row>
    <row r="788">
      <c r="A788" s="65" t="n">
        <v>780</v>
      </c>
      <c r="B788" s="65" t="inlineStr">
        <is>
          <t>25803000389</t>
        </is>
      </c>
      <c r="C788" s="65" t="inlineStr">
        <is>
          <t>Nguyễn Thị Kim</t>
        </is>
      </c>
      <c r="D788" s="65" t="inlineStr">
        <is>
          <t>Ngân</t>
        </is>
      </c>
      <c r="E788" s="65" t="inlineStr">
        <is>
          <t>16/04/2007</t>
        </is>
      </c>
      <c r="F788" s="66" t="inlineStr">
        <is>
          <t>LNH0925ND01</t>
        </is>
      </c>
      <c r="G788" s="90" t="n">
        <v>8415000</v>
      </c>
      <c r="H788" s="65" t="n"/>
      <c r="I788" s="65" t="n"/>
      <c r="J788" s="65" t="n"/>
      <c r="K788" s="65" t="n"/>
      <c r="L788" s="65">
        <f>VLOOKUP(B788,'[2]DS THANG 11'!A$3:E$616,5,0)</f>
        <v/>
      </c>
      <c r="M788" s="65" t="n">
        <v>2103750</v>
      </c>
      <c r="N788" s="65" t="n"/>
      <c r="O788" s="65" t="n"/>
      <c r="P788" s="65" t="n"/>
      <c r="Q788" s="65" t="n"/>
      <c r="R788" s="65" t="n"/>
      <c r="S788" s="92">
        <f>G788-I788-R788-K788-M788-O788-Q788</f>
        <v/>
      </c>
      <c r="T788" s="92" t="inlineStr"/>
      <c r="U788" s="92" t="inlineStr">
        <is>
          <t>Xin bảo lưu qua năm sau học L3,4</t>
        </is>
      </c>
      <c r="V788" s="69">
        <f>G788-SUM(I788,K788,M788,O788,Q788,U788)</f>
        <v/>
      </c>
      <c r="W788" s="65" t="n"/>
      <c r="X788" t="inlineStr">
        <is>
          <t>Khớp</t>
        </is>
      </c>
    </row>
    <row r="789">
      <c r="A789" s="65" t="n">
        <v>781</v>
      </c>
      <c r="B789" s="65" t="inlineStr">
        <is>
          <t>25820300049</t>
        </is>
      </c>
      <c r="C789" s="65" t="inlineStr">
        <is>
          <t>Đặng Nhân</t>
        </is>
      </c>
      <c r="D789" s="65" t="inlineStr">
        <is>
          <t>Quý</t>
        </is>
      </c>
      <c r="E789" s="65" t="inlineStr">
        <is>
          <t>14/12/2007</t>
        </is>
      </c>
      <c r="F789" s="66" t="inlineStr">
        <is>
          <t>LNH0925ND01</t>
        </is>
      </c>
      <c r="G789" s="90" t="n">
        <v>8415000</v>
      </c>
      <c r="H789" s="65" t="n"/>
      <c r="I789" s="65" t="n"/>
      <c r="J789" s="65">
        <f>VLOOKUP(B789,[5]Sheet1!A$3:E$32,5,0)</f>
        <v/>
      </c>
      <c r="K789" s="65" t="n">
        <v>2103750</v>
      </c>
      <c r="L789" s="65">
        <f>VLOOKUP(B789,'[2]DS THANG 11'!A$3:E$616,5,0)</f>
        <v/>
      </c>
      <c r="M789" s="65" t="n">
        <v>2103750</v>
      </c>
      <c r="N789" s="65" t="n"/>
      <c r="O789" s="65" t="n"/>
      <c r="P789" s="65">
        <f>VLOOKUP(B789,'[3]TONG HOP '!B$5:O$666,14,0)</f>
        <v/>
      </c>
      <c r="Q789" s="65" t="n">
        <v>2103750</v>
      </c>
      <c r="R789" s="65" t="n"/>
      <c r="S789" s="92">
        <f>G789-I789-R789-K789-M789-O789-Q789</f>
        <v/>
      </c>
      <c r="T789" s="92" t="inlineStr">
        <is>
          <t>LNH0526NQ17</t>
        </is>
      </c>
      <c r="U789" s="92" t="n">
        <v>2103750</v>
      </c>
      <c r="V789" s="69">
        <f>G789-SUM(I789,K789,M789,O789,Q789,U789)</f>
        <v/>
      </c>
      <c r="W789" s="65" t="n"/>
      <c r="X789" t="inlineStr">
        <is>
          <t>Khớp</t>
        </is>
      </c>
    </row>
    <row r="790">
      <c r="A790" s="65" t="n">
        <v>782</v>
      </c>
      <c r="B790" s="65" t="inlineStr">
        <is>
          <t>25801100128</t>
        </is>
      </c>
      <c r="C790" s="65" t="inlineStr">
        <is>
          <t>Nguyễn Tấn</t>
        </is>
      </c>
      <c r="D790" s="65" t="inlineStr">
        <is>
          <t>Việt</t>
        </is>
      </c>
      <c r="E790" s="65" t="inlineStr">
        <is>
          <t>08/06/2007</t>
        </is>
      </c>
      <c r="F790" s="66" t="inlineStr">
        <is>
          <t>LNH0925ND01</t>
        </is>
      </c>
      <c r="G790" s="90" t="n">
        <v>8415000</v>
      </c>
      <c r="H790" s="65">
        <f>VLOOKUP(B790,'[1]TONG HOP'!B$5:G$624,6,0)</f>
        <v/>
      </c>
      <c r="I790" s="65" t="n">
        <v>2103750</v>
      </c>
      <c r="J790" s="65" t="n"/>
      <c r="K790" s="65" t="n"/>
      <c r="L790" s="65">
        <f>VLOOKUP(B790,'[2]DS THANG 11'!A$3:E$616,5,0)</f>
        <v/>
      </c>
      <c r="M790" s="65" t="n">
        <v>2103750</v>
      </c>
      <c r="N790" s="65" t="n"/>
      <c r="O790" s="65" t="n"/>
      <c r="P790" s="65">
        <f>VLOOKUP(B790,'[3]TONG HOP '!B$5:O$666,14,0)</f>
        <v/>
      </c>
      <c r="Q790" s="65" t="n">
        <v>2103750</v>
      </c>
      <c r="R790" s="65" t="n"/>
      <c r="S790" s="92">
        <f>G790-I790-R790-K790-M790-O790-Q790</f>
        <v/>
      </c>
      <c r="T790" s="92" t="inlineStr"/>
      <c r="U790" s="92" t="inlineStr"/>
      <c r="V790" s="69">
        <f>G790-SUM(I790,K790,M790,O790,Q790,U790)</f>
        <v/>
      </c>
      <c r="W790" s="65" t="n"/>
      <c r="X790" t="inlineStr">
        <is>
          <t>Khớp</t>
        </is>
      </c>
    </row>
    <row r="791">
      <c r="A791" s="65" t="n">
        <v>783</v>
      </c>
      <c r="B791" s="65" t="inlineStr">
        <is>
          <t>25820700064</t>
        </is>
      </c>
      <c r="C791" s="65" t="inlineStr">
        <is>
          <t>Võ Thị Huyền</t>
        </is>
      </c>
      <c r="D791" s="65" t="inlineStr">
        <is>
          <t>Trân</t>
        </is>
      </c>
      <c r="E791" s="65" t="inlineStr">
        <is>
          <t>08/04/2007</t>
        </is>
      </c>
      <c r="F791" s="66" t="inlineStr">
        <is>
          <t>LNH0925ND01</t>
        </is>
      </c>
      <c r="G791" s="90" t="n">
        <v>5000000</v>
      </c>
      <c r="H791" s="65">
        <f>VLOOKUP(B791,'[1]TONG HOP'!B$5:G$624,6,0)</f>
        <v/>
      </c>
      <c r="I791" s="65" t="n">
        <v>2232500</v>
      </c>
      <c r="J791" s="65" t="n"/>
      <c r="K791" s="65" t="n"/>
      <c r="L791" s="65">
        <f>VLOOKUP(B791,'[2]DS THANG 11'!A$3:E$616,5,0)</f>
        <v/>
      </c>
      <c r="M791" s="65" t="n">
        <v>2232500</v>
      </c>
      <c r="N791" s="65" t="n"/>
      <c r="O791" s="65" t="n"/>
      <c r="P791" s="65" t="n"/>
      <c r="Q791" s="65" t="n"/>
      <c r="R791" s="65" t="n"/>
      <c r="S791" s="92">
        <f>G791-I791-R791-K791-M791-O791-Q791</f>
        <v/>
      </c>
      <c r="T791" s="92" t="inlineStr"/>
      <c r="U791" s="92" t="inlineStr"/>
      <c r="V791" s="69">
        <f>G791-SUM(I791,K791,M791,O791,Q791,U791)</f>
        <v/>
      </c>
      <c r="W791" s="65" t="n"/>
      <c r="X791" t="inlineStr">
        <is>
          <t>Khớp</t>
        </is>
      </c>
    </row>
    <row r="792">
      <c r="A792" s="65" t="n">
        <v>784</v>
      </c>
      <c r="B792" s="65" t="inlineStr">
        <is>
          <t>25800400049</t>
        </is>
      </c>
      <c r="C792" s="65" t="inlineStr">
        <is>
          <t>Trương Vĩnh</t>
        </is>
      </c>
      <c r="D792" s="65" t="inlineStr">
        <is>
          <t>Hội</t>
        </is>
      </c>
      <c r="E792" s="65" t="inlineStr">
        <is>
          <t>08/12/2007</t>
        </is>
      </c>
      <c r="F792" s="66" t="inlineStr">
        <is>
          <t>LNH0925ND01</t>
        </is>
      </c>
      <c r="G792" s="90" t="n">
        <v>8415000</v>
      </c>
      <c r="H792" s="65">
        <f>VLOOKUP(B792,'[1]TONG HOP'!B$5:G$624,6,0)</f>
        <v/>
      </c>
      <c r="I792" s="65" t="n">
        <v>2103750</v>
      </c>
      <c r="J792" s="65" t="n"/>
      <c r="K792" s="65" t="n"/>
      <c r="L792" s="65">
        <f>VLOOKUP(B792,'[2]DS THANG 11'!A$3:E$616,5,0)</f>
        <v/>
      </c>
      <c r="M792" s="65" t="n">
        <v>2103750</v>
      </c>
      <c r="N792" s="65" t="n"/>
      <c r="O792" s="65" t="n"/>
      <c r="P792" s="65">
        <f>VLOOKUP(B792,'[3]TONG HOP '!B$5:O$666,14,0)</f>
        <v/>
      </c>
      <c r="Q792" s="65" t="n">
        <v>2103750</v>
      </c>
      <c r="R792" s="65" t="n"/>
      <c r="S792" s="92">
        <f>G792-I792-R792-K792-M792-O792-Q792</f>
        <v/>
      </c>
      <c r="T792" s="92" t="inlineStr">
        <is>
          <t>LNH0526NQ13</t>
        </is>
      </c>
      <c r="U792" s="92" t="n">
        <v>2103750</v>
      </c>
      <c r="V792" s="69">
        <f>G792-SUM(I792,K792,M792,O792,Q792,U792)</f>
        <v/>
      </c>
      <c r="W792" s="65" t="n"/>
      <c r="X792" t="inlineStr">
        <is>
          <t>Khớp</t>
        </is>
      </c>
    </row>
    <row r="793">
      <c r="A793" s="65" t="n">
        <v>785</v>
      </c>
      <c r="B793" s="65" t="inlineStr">
        <is>
          <t>25820700012</t>
        </is>
      </c>
      <c r="C793" s="65" t="inlineStr">
        <is>
          <t>Ngô Mạnh Trường</t>
        </is>
      </c>
      <c r="D793" s="65" t="inlineStr">
        <is>
          <t>Huy</t>
        </is>
      </c>
      <c r="E793" s="65" t="inlineStr">
        <is>
          <t>18/08/2007</t>
        </is>
      </c>
      <c r="F793" s="66" t="inlineStr">
        <is>
          <t>LNH0925ND01</t>
        </is>
      </c>
      <c r="G793" s="90" t="n">
        <v>7415000</v>
      </c>
      <c r="H793" s="65" t="n"/>
      <c r="I793" s="65" t="n"/>
      <c r="J793" s="65" t="n"/>
      <c r="K793" s="65" t="n"/>
      <c r="L793" s="65">
        <f>VLOOKUP(B793,'[2]DS THANG 11'!A$3:E$616,5,0)</f>
        <v/>
      </c>
      <c r="M793" s="65" t="n">
        <v>2600000</v>
      </c>
      <c r="N793" s="65" t="n"/>
      <c r="O793" s="65" t="n"/>
      <c r="P793" s="65">
        <f>VLOOKUP(B793,'[3]TONG HOP '!B$5:O$666,14,0)</f>
        <v/>
      </c>
      <c r="Q793" s="65" t="n">
        <v>2470000</v>
      </c>
      <c r="R793" s="65" t="n"/>
      <c r="S793" s="92">
        <f>G793-I793-R793-K793-M793-O793-Q793</f>
        <v/>
      </c>
      <c r="T793" s="92" t="inlineStr"/>
      <c r="U793" s="92" t="inlineStr"/>
      <c r="V793" s="69">
        <f>G793-SUM(I793,K793,M793,O793,Q793,U793)</f>
        <v/>
      </c>
      <c r="W793" s="65" t="n"/>
      <c r="X793" t="inlineStr">
        <is>
          <t>Khớp</t>
        </is>
      </c>
    </row>
    <row r="794">
      <c r="A794" s="65" t="n">
        <v>786</v>
      </c>
      <c r="B794" s="65" t="inlineStr">
        <is>
          <t>25806000034</t>
        </is>
      </c>
      <c r="C794" s="65" t="inlineStr">
        <is>
          <t>Nguyễn Nhật Thanh</t>
        </is>
      </c>
      <c r="D794" s="65" t="inlineStr">
        <is>
          <t>Sơn</t>
        </is>
      </c>
      <c r="E794" s="65" t="inlineStr">
        <is>
          <t>05/03/2007</t>
        </is>
      </c>
      <c r="F794" s="66" t="inlineStr">
        <is>
          <t>LNH0925ND01</t>
        </is>
      </c>
      <c r="G794" s="90" t="n">
        <v>8415000</v>
      </c>
      <c r="H794" s="65">
        <f>VLOOKUP(B794,'[1]TONG HOP'!B$5:G$624,6,0)</f>
        <v/>
      </c>
      <c r="I794" s="65" t="n">
        <v>2103750</v>
      </c>
      <c r="J794" s="65" t="n"/>
      <c r="K794" s="65" t="n"/>
      <c r="L794" s="65">
        <f>VLOOKUP(B794,'[2]DS THANG 11'!A$3:E$616,5,0)</f>
        <v/>
      </c>
      <c r="M794" s="65" t="n">
        <v>2103750</v>
      </c>
      <c r="N794" s="65" t="n"/>
      <c r="O794" s="65" t="n"/>
      <c r="P794" s="65">
        <f>VLOOKUP(B794,'[3]TONG HOP '!B$5:O$666,14,0)</f>
        <v/>
      </c>
      <c r="Q794" s="65" t="n">
        <v>2103750</v>
      </c>
      <c r="R794" s="65" t="n"/>
      <c r="S794" s="92">
        <f>G794-I794-R794-K794-M794-O794-Q794</f>
        <v/>
      </c>
      <c r="T794" s="92" t="inlineStr">
        <is>
          <t>LNH0526NQ10</t>
        </is>
      </c>
      <c r="U794" s="92" t="n">
        <v>2103750</v>
      </c>
      <c r="V794" s="69">
        <f>G794-SUM(I794,K794,M794,O794,Q794,U794)</f>
        <v/>
      </c>
      <c r="W794" s="65" t="n"/>
      <c r="X794" t="inlineStr">
        <is>
          <t>Khớp</t>
        </is>
      </c>
    </row>
    <row r="795">
      <c r="A795" s="65" t="n">
        <v>787</v>
      </c>
      <c r="B795" s="65" t="inlineStr">
        <is>
          <t>25808500344</t>
        </is>
      </c>
      <c r="C795" s="65" t="inlineStr">
        <is>
          <t>Nguyễn Kim Trường</t>
        </is>
      </c>
      <c r="D795" s="65" t="inlineStr">
        <is>
          <t>Thịnh</t>
        </is>
      </c>
      <c r="E795" s="65" t="inlineStr">
        <is>
          <t>24/11/2007</t>
        </is>
      </c>
      <c r="F795" s="66" t="inlineStr">
        <is>
          <t>LNH0925ND01</t>
        </is>
      </c>
      <c r="G795" s="90" t="n">
        <v>2100000</v>
      </c>
      <c r="H795" s="65">
        <f>VLOOKUP(B795,'[1]TONG HOP'!B$5:G$624,6,0)</f>
        <v/>
      </c>
      <c r="I795" s="65" t="n">
        <v>2100000</v>
      </c>
      <c r="J795" s="65" t="n"/>
      <c r="K795" s="65" t="n"/>
      <c r="L795" s="65" t="n"/>
      <c r="M795" s="65" t="n"/>
      <c r="N795" s="65" t="n"/>
      <c r="O795" s="65" t="n"/>
      <c r="P795" s="65" t="n"/>
      <c r="Q795" s="65" t="n"/>
      <c r="R795" s="65" t="n"/>
      <c r="S795" s="92">
        <f>G795-I795-R795-K795-M795-O795-Q795</f>
        <v/>
      </c>
      <c r="T795" s="92" t="inlineStr"/>
      <c r="U795" s="92" t="inlineStr"/>
      <c r="V795" s="69">
        <f>G795-SUM(I795,K795,M795,O795,Q795,U795)</f>
        <v/>
      </c>
      <c r="W795" s="65" t="n"/>
      <c r="X795" t="inlineStr">
        <is>
          <t>Khớp</t>
        </is>
      </c>
    </row>
    <row r="796">
      <c r="A796" s="65" t="n">
        <v>788</v>
      </c>
      <c r="B796" s="65" t="inlineStr">
        <is>
          <t>25806000115</t>
        </is>
      </c>
      <c r="C796" s="65" t="inlineStr">
        <is>
          <t>Phạm Quang</t>
        </is>
      </c>
      <c r="D796" s="65" t="inlineStr">
        <is>
          <t>Huy</t>
        </is>
      </c>
      <c r="E796" s="65" t="inlineStr">
        <is>
          <t>14/10/2006</t>
        </is>
      </c>
      <c r="F796" s="66" t="inlineStr">
        <is>
          <t>LNH0925ND01</t>
        </is>
      </c>
      <c r="G796" s="90" t="n">
        <v>4465000</v>
      </c>
      <c r="H796" s="65">
        <f>VLOOKUP(B796,'[1]TONG HOP'!B$5:G$624,6,0)</f>
        <v/>
      </c>
      <c r="I796" s="65" t="n">
        <v>2232500</v>
      </c>
      <c r="J796" s="65" t="n"/>
      <c r="K796" s="65" t="n"/>
      <c r="L796" s="65">
        <f>VLOOKUP(B796,'[2]DS THANG 11'!A$3:E$616,5,0)</f>
        <v/>
      </c>
      <c r="M796" s="65" t="n">
        <v>2232500</v>
      </c>
      <c r="N796" s="65" t="n"/>
      <c r="O796" s="65" t="n"/>
      <c r="P796" s="65" t="n"/>
      <c r="Q796" s="65" t="n"/>
      <c r="R796" s="65" t="n"/>
      <c r="S796" s="92">
        <f>G796-I796-R796-K796-M796-O796-Q796</f>
        <v/>
      </c>
      <c r="T796" s="92" t="inlineStr"/>
      <c r="U796" s="92" t="inlineStr"/>
      <c r="V796" s="69">
        <f>G796-SUM(I796,K796,M796,O796,Q796,U796)</f>
        <v/>
      </c>
      <c r="W796" s="65" t="n"/>
      <c r="X796" t="inlineStr">
        <is>
          <t>Khớp</t>
        </is>
      </c>
    </row>
    <row r="797">
      <c r="A797" s="65" t="n">
        <v>789</v>
      </c>
      <c r="B797" s="65" t="inlineStr">
        <is>
          <t>25800600077</t>
        </is>
      </c>
      <c r="C797" s="65" t="inlineStr">
        <is>
          <t>Sơn Trung</t>
        </is>
      </c>
      <c r="D797" s="65" t="inlineStr">
        <is>
          <t>Chiến</t>
        </is>
      </c>
      <c r="E797" s="65" t="inlineStr">
        <is>
          <t>24/09/2007</t>
        </is>
      </c>
      <c r="F797" s="66" t="inlineStr">
        <is>
          <t>LNH0925ND01</t>
        </is>
      </c>
      <c r="G797" s="90" t="n">
        <v>8415000</v>
      </c>
      <c r="H797" s="65" t="n"/>
      <c r="I797" s="65" t="n"/>
      <c r="J797" s="65" t="n"/>
      <c r="K797" s="65" t="n"/>
      <c r="L797" s="65">
        <f>VLOOKUP(B797,'[2]DS THANG 11'!A$3:E$616,5,0)</f>
        <v/>
      </c>
      <c r="M797" s="65" t="n">
        <v>2103750</v>
      </c>
      <c r="N797" s="65" t="n"/>
      <c r="O797" s="65" t="n"/>
      <c r="P797" s="65">
        <f>VLOOKUP(B797,'[3]TONG HOP '!B$5:O$666,14,0)</f>
        <v/>
      </c>
      <c r="Q797" s="65" t="n">
        <v>2103750</v>
      </c>
      <c r="R797" s="65" t="n"/>
      <c r="S797" s="92">
        <f>G797-I797-R797-K797-M797-O797-Q797</f>
        <v/>
      </c>
      <c r="T797" s="92" t="inlineStr">
        <is>
          <t>LNH0526NQ20</t>
        </is>
      </c>
      <c r="U797" s="92" t="n">
        <v>2103750</v>
      </c>
      <c r="V797" s="69">
        <f>G797-SUM(I797,K797,M797,O797,Q797,U797)</f>
        <v/>
      </c>
      <c r="W797" s="65" t="n"/>
      <c r="X797" t="inlineStr">
        <is>
          <t>Khớp</t>
        </is>
      </c>
    </row>
    <row r="798">
      <c r="A798" s="65" t="n">
        <v>790</v>
      </c>
      <c r="B798" s="65" t="inlineStr">
        <is>
          <t>25808700155</t>
        </is>
      </c>
      <c r="C798" s="65" t="inlineStr">
        <is>
          <t>Phạm Minh</t>
        </is>
      </c>
      <c r="D798" s="65" t="inlineStr">
        <is>
          <t>Quang</t>
        </is>
      </c>
      <c r="E798" s="65" t="inlineStr">
        <is>
          <t>30/03/2006</t>
        </is>
      </c>
      <c r="F798" s="66" t="inlineStr">
        <is>
          <t>LNH0925ND01</t>
        </is>
      </c>
      <c r="G798" s="90" t="n">
        <v>8415000</v>
      </c>
      <c r="H798" s="65" t="n"/>
      <c r="I798" s="65" t="n"/>
      <c r="J798" s="65">
        <f>VLOOKUP(B798,[5]Sheet1!A$3:E$32,5,0)</f>
        <v/>
      </c>
      <c r="K798" s="65" t="n">
        <v>2103750</v>
      </c>
      <c r="L798" s="65">
        <f>VLOOKUP(B798,'[2]DS THANG 11'!A$3:E$616,5,0)</f>
        <v/>
      </c>
      <c r="M798" s="65" t="n">
        <v>2103750</v>
      </c>
      <c r="N798" s="65" t="n"/>
      <c r="O798" s="65" t="n"/>
      <c r="P798" s="65" t="n"/>
      <c r="Q798" s="65" t="n"/>
      <c r="R798" s="65" t="n"/>
      <c r="S798" s="92">
        <f>G798-I798-R798-K798-M798-O798-Q798</f>
        <v/>
      </c>
      <c r="T798" s="92" t="inlineStr"/>
      <c r="U798" s="92" t="inlineStr"/>
      <c r="V798" s="69">
        <f>G798-SUM(I798,K798,M798,O798,Q798,U798)</f>
        <v/>
      </c>
      <c r="W798" s="65" t="n"/>
      <c r="X798" t="inlineStr">
        <is>
          <t>Khớp</t>
        </is>
      </c>
    </row>
    <row r="799">
      <c r="A799" s="65" t="n">
        <v>791</v>
      </c>
      <c r="B799" s="65" t="inlineStr">
        <is>
          <t>25800400133</t>
        </is>
      </c>
      <c r="C799" s="65" t="inlineStr">
        <is>
          <t>Trương Tấn</t>
        </is>
      </c>
      <c r="D799" s="65" t="inlineStr">
        <is>
          <t>Sang</t>
        </is>
      </c>
      <c r="E799" s="65" t="inlineStr">
        <is>
          <t>31/03/2007</t>
        </is>
      </c>
      <c r="F799" s="66" t="inlineStr">
        <is>
          <t>LNH0925ND01</t>
        </is>
      </c>
      <c r="G799" s="90" t="n">
        <v>8415000</v>
      </c>
      <c r="H799" s="65">
        <f>VLOOKUP(B799,'[1]TONG HOP'!B$5:G$624,6,0)</f>
        <v/>
      </c>
      <c r="I799" s="65" t="n">
        <v>2103750</v>
      </c>
      <c r="J799" s="65" t="n"/>
      <c r="K799" s="65" t="n"/>
      <c r="L799" s="65">
        <f>VLOOKUP(B799,'[2]DS THANG 11'!A$3:E$616,5,0)</f>
        <v/>
      </c>
      <c r="M799" s="65" t="n">
        <v>2103750</v>
      </c>
      <c r="N799" s="65" t="n"/>
      <c r="O799" s="65" t="n"/>
      <c r="P799" s="65">
        <f>VLOOKUP(B799,'[3]TONG HOP '!B$5:O$666,14,0)</f>
        <v/>
      </c>
      <c r="Q799" s="65" t="n">
        <v>2103750</v>
      </c>
      <c r="R799" s="65" t="n"/>
      <c r="S799" s="92">
        <f>G799-I799-R799-K799-M799-O799-Q799</f>
        <v/>
      </c>
      <c r="T799" s="92" t="inlineStr">
        <is>
          <t>LNH0526NQ14</t>
        </is>
      </c>
      <c r="U799" s="92" t="n">
        <v>2103750</v>
      </c>
      <c r="V799" s="69">
        <f>G799-SUM(I799,K799,M799,O799,Q799,U799)</f>
        <v/>
      </c>
      <c r="W799" s="65" t="n"/>
      <c r="X799" t="inlineStr">
        <is>
          <t>Khớp</t>
        </is>
      </c>
    </row>
    <row r="800">
      <c r="A800" s="65" t="n">
        <v>792</v>
      </c>
      <c r="B800" s="65" t="inlineStr">
        <is>
          <t>25801800005</t>
        </is>
      </c>
      <c r="C800" s="65" t="inlineStr">
        <is>
          <t>Phạm Mỹ Lan</t>
        </is>
      </c>
      <c r="D800" s="65" t="inlineStr">
        <is>
          <t>Anh</t>
        </is>
      </c>
      <c r="E800" s="65" t="inlineStr">
        <is>
          <t>30/12/2007</t>
        </is>
      </c>
      <c r="F800" s="66" t="inlineStr">
        <is>
          <t>LNH0925ND01</t>
        </is>
      </c>
      <c r="G800" s="90" t="n">
        <v>8415000</v>
      </c>
      <c r="H800" s="65" t="n"/>
      <c r="I800" s="65" t="n"/>
      <c r="J800" s="65">
        <f>VLOOKUP(B800,[5]Sheet1!A$3:E$32,5,0)</f>
        <v/>
      </c>
      <c r="K800" s="65" t="n">
        <v>2103750</v>
      </c>
      <c r="L800" s="65" t="n"/>
      <c r="M800" s="65" t="n"/>
      <c r="N800" s="65" t="n"/>
      <c r="O800" s="65" t="n"/>
      <c r="P800" s="65" t="n"/>
      <c r="Q800" s="65" t="n"/>
      <c r="R800" s="65" t="n"/>
      <c r="S800" s="92">
        <f>G800-I800-R800-K800-M800-O800-Q800</f>
        <v/>
      </c>
      <c r="T800" s="92" t="inlineStr"/>
      <c r="U800" s="92" t="inlineStr"/>
      <c r="V800" s="69">
        <f>G800-SUM(I800,K800,M800,O800,Q800,U800)</f>
        <v/>
      </c>
      <c r="W800" s="65" t="n"/>
      <c r="X800" t="inlineStr">
        <is>
          <t>Khớp</t>
        </is>
      </c>
    </row>
    <row r="801">
      <c r="A801" s="65" t="n">
        <v>793</v>
      </c>
      <c r="B801" s="65" t="inlineStr">
        <is>
          <t>25800400022</t>
        </is>
      </c>
      <c r="C801" s="65" t="inlineStr">
        <is>
          <t>Nguyễn Văn</t>
        </is>
      </c>
      <c r="D801" s="65" t="inlineStr">
        <is>
          <t>Công</t>
        </is>
      </c>
      <c r="E801" s="65" t="inlineStr">
        <is>
          <t>21/02/2007</t>
        </is>
      </c>
      <c r="F801" s="66" t="inlineStr">
        <is>
          <t>LNH0925ND01</t>
        </is>
      </c>
      <c r="G801" s="90" t="n">
        <v>8415000</v>
      </c>
      <c r="H801" s="65" t="n"/>
      <c r="I801" s="65" t="n"/>
      <c r="J801" s="65" t="n"/>
      <c r="K801" s="65" t="n"/>
      <c r="L801" s="65">
        <f>VLOOKUP(B801,'[2]DS THANG 11'!A$3:E$616,5,0)</f>
        <v/>
      </c>
      <c r="M801" s="65" t="n">
        <v>2103750</v>
      </c>
      <c r="N801" s="65" t="n"/>
      <c r="O801" s="65" t="n"/>
      <c r="P801" s="65">
        <f>VLOOKUP(B801,'[3]TONG HOP '!B$5:O$666,14,0)</f>
        <v/>
      </c>
      <c r="Q801" s="65" t="n">
        <v>2103750</v>
      </c>
      <c r="R801" s="65" t="n"/>
      <c r="S801" s="92">
        <f>G801-I801-R801-K801-M801-O801-Q801</f>
        <v/>
      </c>
      <c r="T801" s="92" t="inlineStr">
        <is>
          <t>LNH0526NG02</t>
        </is>
      </c>
      <c r="U801" s="92" t="n">
        <v>2103750</v>
      </c>
      <c r="V801" s="69">
        <f>G801-SUM(I801,K801,M801,O801,Q801,U801)</f>
        <v/>
      </c>
      <c r="W801" s="65" t="n"/>
      <c r="X801" t="inlineStr">
        <is>
          <t>Khớp</t>
        </is>
      </c>
    </row>
    <row r="802">
      <c r="A802" s="65" t="n">
        <v>794</v>
      </c>
      <c r="B802" s="65" t="inlineStr">
        <is>
          <t>25807000027</t>
        </is>
      </c>
      <c r="C802" s="65" t="inlineStr">
        <is>
          <t>Hồ Kiều</t>
        </is>
      </c>
      <c r="D802" s="65" t="inlineStr">
        <is>
          <t>Trang</t>
        </is>
      </c>
      <c r="E802" s="65" t="inlineStr">
        <is>
          <t>24/12/2007</t>
        </is>
      </c>
      <c r="F802" s="66" t="inlineStr">
        <is>
          <t>LNH0925ND01</t>
        </is>
      </c>
      <c r="G802" s="90" t="n">
        <v>4940000</v>
      </c>
      <c r="H802" s="65" t="n"/>
      <c r="I802" s="65" t="n"/>
      <c r="J802" s="65" t="n"/>
      <c r="K802" s="65" t="n"/>
      <c r="L802" s="65" t="n"/>
      <c r="M802" s="65" t="n"/>
      <c r="N802" s="65" t="n"/>
      <c r="O802" s="65" t="n"/>
      <c r="P802" s="65">
        <f>VLOOKUP(B802,'[3]TONG HOP '!B$5:O$666,14,0)</f>
        <v/>
      </c>
      <c r="Q802" s="65" t="n">
        <v>2470000</v>
      </c>
      <c r="R802" s="65" t="n"/>
      <c r="S802" s="92">
        <f>G802-I802-R802-K802-M802-O802-Q802</f>
        <v/>
      </c>
      <c r="T802" s="92" t="inlineStr"/>
      <c r="U802" s="92" t="inlineStr"/>
      <c r="V802" s="69">
        <f>G802-SUM(I802,K802,M802,O802,Q802,U802)</f>
        <v/>
      </c>
      <c r="W802" s="65" t="n"/>
      <c r="X802" t="inlineStr">
        <is>
          <t>Khớp</t>
        </is>
      </c>
    </row>
    <row r="803">
      <c r="A803" s="65" t="n">
        <v>795</v>
      </c>
      <c r="B803" s="65" t="inlineStr">
        <is>
          <t>25806600120</t>
        </is>
      </c>
      <c r="C803" s="65" t="inlineStr">
        <is>
          <t>Nguyễn Hải</t>
        </is>
      </c>
      <c r="D803" s="65" t="inlineStr">
        <is>
          <t>Mạnh</t>
        </is>
      </c>
      <c r="E803" s="65" t="inlineStr">
        <is>
          <t>30/10/2007</t>
        </is>
      </c>
      <c r="F803" s="66" t="inlineStr">
        <is>
          <t>LNH0925ND01</t>
        </is>
      </c>
      <c r="G803" s="90" t="n">
        <v>2100000</v>
      </c>
      <c r="H803" s="65" t="n"/>
      <c r="I803" s="65" t="n"/>
      <c r="J803" s="65">
        <f>VLOOKUP(B803,[5]Sheet1!A$3:E$32,5,0)</f>
        <v/>
      </c>
      <c r="K803" s="65" t="n">
        <v>2100000</v>
      </c>
      <c r="L803" s="65" t="n"/>
      <c r="M803" s="65" t="n"/>
      <c r="N803" s="65" t="n"/>
      <c r="O803" s="65" t="n"/>
      <c r="P803" s="65" t="n"/>
      <c r="Q803" s="65" t="n"/>
      <c r="R803" s="65" t="n"/>
      <c r="S803" s="92">
        <f>G803-I803-R803-K803-M803-O803-Q803</f>
        <v/>
      </c>
      <c r="T803" s="92" t="inlineStr"/>
      <c r="U803" s="92" t="inlineStr"/>
      <c r="V803" s="69">
        <f>G803-SUM(I803,K803,M803,O803,Q803,U803)</f>
        <v/>
      </c>
      <c r="W803" s="65" t="n"/>
      <c r="X803" t="inlineStr">
        <is>
          <t>Khớp</t>
        </is>
      </c>
    </row>
    <row r="804">
      <c r="A804" s="65" t="n">
        <v>796</v>
      </c>
      <c r="B804" s="65" t="inlineStr">
        <is>
          <t>25806600042</t>
        </is>
      </c>
      <c r="C804" s="65" t="inlineStr">
        <is>
          <t>Nguyễn Hữu Hoàng</t>
        </is>
      </c>
      <c r="D804" s="65" t="inlineStr">
        <is>
          <t>Đạt</t>
        </is>
      </c>
      <c r="E804" s="65" t="inlineStr">
        <is>
          <t>24/04/2007</t>
        </is>
      </c>
      <c r="F804" s="66" t="inlineStr">
        <is>
          <t>LNH0925ND01</t>
        </is>
      </c>
      <c r="G804" s="90" t="n">
        <v>2100000</v>
      </c>
      <c r="H804" s="65" t="n"/>
      <c r="I804" s="65" t="n"/>
      <c r="J804" s="65">
        <f>VLOOKUP(B804,[5]Sheet1!A$3:E$32,5,0)</f>
        <v/>
      </c>
      <c r="K804" s="65" t="n">
        <v>2100000</v>
      </c>
      <c r="L804" s="65" t="n"/>
      <c r="M804" s="65" t="n"/>
      <c r="N804" s="65" t="n"/>
      <c r="O804" s="65" t="n"/>
      <c r="P804" s="65" t="n"/>
      <c r="Q804" s="65" t="n"/>
      <c r="R804" s="65" t="n"/>
      <c r="S804" s="92">
        <f>G804-I804-R804-K804-M804-O804-Q804</f>
        <v/>
      </c>
      <c r="T804" s="92" t="inlineStr"/>
      <c r="U804" s="92" t="inlineStr"/>
      <c r="V804" s="69">
        <f>G804-SUM(I804,K804,M804,O804,Q804,U804)</f>
        <v/>
      </c>
      <c r="W804" s="65" t="n"/>
      <c r="X804" t="inlineStr">
        <is>
          <t>Khớp</t>
        </is>
      </c>
    </row>
    <row r="805">
      <c r="A805" s="65" t="n">
        <v>797</v>
      </c>
      <c r="B805" s="65" t="inlineStr">
        <is>
          <t>25806300055</t>
        </is>
      </c>
      <c r="C805" s="65" t="inlineStr">
        <is>
          <t>Nguyễn Văn</t>
        </is>
      </c>
      <c r="D805" s="65" t="inlineStr">
        <is>
          <t>Tuấn</t>
        </is>
      </c>
      <c r="E805" s="65" t="inlineStr">
        <is>
          <t>25/02/2006</t>
        </is>
      </c>
      <c r="F805" s="66" t="inlineStr">
        <is>
          <t>LNH0925ND01</t>
        </is>
      </c>
      <c r="G805" s="90" t="n">
        <v>8415000</v>
      </c>
      <c r="H805" s="65">
        <f>VLOOKUP(B805,'[1]TONG HOP'!B$232:G$232,6,0)</f>
        <v/>
      </c>
      <c r="I805" s="65" t="n">
        <v>2103750</v>
      </c>
      <c r="J805" s="65" t="n"/>
      <c r="K805" s="65" t="n"/>
      <c r="L805" s="65" t="n"/>
      <c r="M805" s="65" t="n"/>
      <c r="N805" s="65" t="n"/>
      <c r="O805" s="65" t="n"/>
      <c r="P805" s="65">
        <f>VLOOKUP(B805,'[3]TONG HOP '!B$5:O$666,14,0)</f>
        <v/>
      </c>
      <c r="Q805" s="65" t="n">
        <v>2103750</v>
      </c>
      <c r="R805" s="65" t="n"/>
      <c r="S805" s="92">
        <f>G805-I805-R805-K805-M805-O805-Q805</f>
        <v/>
      </c>
      <c r="T805" s="92" t="inlineStr"/>
      <c r="U805" s="92" t="inlineStr"/>
      <c r="V805" s="69">
        <f>G805-SUM(I805,K805,M805,O805,Q805,U805)</f>
        <v/>
      </c>
      <c r="W805" s="65" t="n"/>
      <c r="X805" t="inlineStr">
        <is>
          <t>Khớp</t>
        </is>
      </c>
    </row>
    <row r="806">
      <c r="A806" s="65" t="n">
        <v>798</v>
      </c>
      <c r="B806" s="65" t="inlineStr">
        <is>
          <t>25802800108</t>
        </is>
      </c>
      <c r="C806" s="65" t="inlineStr">
        <is>
          <t>Võ Trần Bảo</t>
        </is>
      </c>
      <c r="D806" s="65" t="inlineStr">
        <is>
          <t>Khang</t>
        </is>
      </c>
      <c r="E806" s="65" t="inlineStr">
        <is>
          <t>19/09/2007</t>
        </is>
      </c>
      <c r="F806" s="66" t="inlineStr">
        <is>
          <t>LNH0925NL01</t>
        </is>
      </c>
      <c r="G806" s="90" t="n">
        <v>6120000</v>
      </c>
      <c r="H806" s="65">
        <f>VLOOKUP(B806,'[1]TONG HOP'!B$599:G$661,6,0)</f>
        <v/>
      </c>
      <c r="I806" s="65" t="n">
        <v>1530000</v>
      </c>
      <c r="J806" s="65" t="n"/>
      <c r="K806" s="65" t="n"/>
      <c r="L806" s="65">
        <f>VLOOKUP(B806,'[2]DS THANG 11'!A$3:E$616,5,0)</f>
        <v/>
      </c>
      <c r="M806" s="65" t="n">
        <v>1530000</v>
      </c>
      <c r="N806" s="65">
        <f>VLOOKUP(B806,'[4]TOEIC 01.26'!A$3:E$33,5,0)</f>
        <v/>
      </c>
      <c r="O806" s="65" t="n">
        <v>1530000</v>
      </c>
      <c r="P806" s="65">
        <f>VLOOKUP(B806,'[3]TONG HOP '!B$5:O$666,14,0)</f>
        <v/>
      </c>
      <c r="Q806" s="65" t="n">
        <v>1530000</v>
      </c>
      <c r="R806" s="65" t="n"/>
      <c r="S806" s="92">
        <f>G806-I806-R806-K806-M806-O806-Q806</f>
        <v/>
      </c>
      <c r="T806" s="92" t="inlineStr"/>
      <c r="U806" s="92" t="inlineStr"/>
      <c r="V806" s="69">
        <f>G806-SUM(I806,K806,M806,O806,Q806,U806)</f>
        <v/>
      </c>
      <c r="W806" s="65" t="n"/>
      <c r="X806" t="inlineStr">
        <is>
          <t>Khớp</t>
        </is>
      </c>
    </row>
    <row r="807">
      <c r="A807" s="65" t="n">
        <v>799</v>
      </c>
      <c r="B807" s="65" t="inlineStr">
        <is>
          <t>25820200039</t>
        </is>
      </c>
      <c r="C807" s="65" t="inlineStr">
        <is>
          <t>Nguyễn Hồng Lan</t>
        </is>
      </c>
      <c r="D807" s="65" t="inlineStr">
        <is>
          <t>Mai</t>
        </is>
      </c>
      <c r="E807" s="65" t="inlineStr">
        <is>
          <t>09/01/2007</t>
        </is>
      </c>
      <c r="F807" s="66" t="inlineStr">
        <is>
          <t>LNH0925NL01</t>
        </is>
      </c>
      <c r="G807" s="90" t="n">
        <v>1000000</v>
      </c>
      <c r="H807" s="65" t="n"/>
      <c r="I807" s="65" t="n"/>
      <c r="J807" s="65" t="n"/>
      <c r="K807" s="65" t="n"/>
      <c r="L807" s="65" t="n"/>
      <c r="M807" s="65" t="n"/>
      <c r="N807" s="65" t="n"/>
      <c r="O807" s="65" t="n"/>
      <c r="P807" s="65" t="n"/>
      <c r="Q807" s="65" t="n"/>
      <c r="R807" s="65" t="n"/>
      <c r="S807" s="92">
        <f>G807-I807-R807-K807-M807-O807-Q807</f>
        <v/>
      </c>
      <c r="T807" s="92" t="inlineStr"/>
      <c r="U807" s="92" t="inlineStr"/>
      <c r="V807" s="69">
        <f>G807-SUM(I807,K807,M807,O807,Q807,U807)</f>
        <v/>
      </c>
      <c r="W807" s="65" t="n"/>
      <c r="X807" t="inlineStr">
        <is>
          <t>Khớp</t>
        </is>
      </c>
    </row>
    <row r="808">
      <c r="A808" s="65" t="n">
        <v>800</v>
      </c>
      <c r="B808" s="65" t="inlineStr">
        <is>
          <t>25808200103</t>
        </is>
      </c>
      <c r="C808" s="65" t="inlineStr">
        <is>
          <t>Vũ Hoàng</t>
        </is>
      </c>
      <c r="D808" s="65" t="inlineStr">
        <is>
          <t>Phúc</t>
        </is>
      </c>
      <c r="E808" s="65" t="inlineStr">
        <is>
          <t>03/11/2007</t>
        </is>
      </c>
      <c r="F808" s="66" t="inlineStr">
        <is>
          <t>LNH0925NL01</t>
        </is>
      </c>
      <c r="G808" s="90" t="n">
        <v>1000000</v>
      </c>
      <c r="H808" s="65" t="n"/>
      <c r="I808" s="65" t="n"/>
      <c r="J808" s="65" t="n"/>
      <c r="K808" s="65" t="n"/>
      <c r="L808" s="65" t="n"/>
      <c r="M808" s="65" t="n"/>
      <c r="N808" s="65" t="n"/>
      <c r="O808" s="65" t="n"/>
      <c r="P808" s="65" t="n"/>
      <c r="Q808" s="65" t="n"/>
      <c r="R808" s="65" t="n"/>
      <c r="S808" s="92">
        <f>G808-I808-R808-K808-M808-O808-Q808</f>
        <v/>
      </c>
      <c r="T808" s="92" t="inlineStr"/>
      <c r="U808" s="92" t="inlineStr"/>
      <c r="V808" s="69">
        <f>G808-SUM(I808,K808,M808,O808,Q808,U808)</f>
        <v/>
      </c>
      <c r="W808" s="65" t="n"/>
      <c r="X808" t="inlineStr">
        <is>
          <t>Khớp</t>
        </is>
      </c>
    </row>
    <row r="809">
      <c r="A809" s="65" t="n">
        <v>801</v>
      </c>
      <c r="B809" s="65" t="inlineStr">
        <is>
          <t>25807800066</t>
        </is>
      </c>
      <c r="C809" s="65" t="inlineStr">
        <is>
          <t>Đinh Duy Anh</t>
        </is>
      </c>
      <c r="D809" s="65" t="inlineStr">
        <is>
          <t>Khôi</t>
        </is>
      </c>
      <c r="E809" s="65" t="inlineStr">
        <is>
          <t>21/06/2007</t>
        </is>
      </c>
      <c r="F809" s="66" t="inlineStr">
        <is>
          <t>LNH0925NL01</t>
        </is>
      </c>
      <c r="G809" s="90" t="n">
        <v>6120000</v>
      </c>
      <c r="H809" s="65">
        <f>VLOOKUP(B809,'[1]TONG HOP'!B$599:G$661,6,0)</f>
        <v/>
      </c>
      <c r="I809" s="65" t="n">
        <v>1530000</v>
      </c>
      <c r="J809" s="65" t="n"/>
      <c r="K809" s="65" t="n"/>
      <c r="L809" s="65">
        <f>VLOOKUP(B809,'[2]DS THANG 11'!A$3:E$616,5,0)</f>
        <v/>
      </c>
      <c r="M809" s="65" t="n">
        <v>1530000</v>
      </c>
      <c r="N809" s="65">
        <f>VLOOKUP(B809,'[4]TOEIC 01.26'!A$3:E$33,5,0)</f>
        <v/>
      </c>
      <c r="O809" s="65" t="n">
        <v>1530000</v>
      </c>
      <c r="P809" s="65">
        <f>VLOOKUP(B809,'[3]TONG HOP '!B$5:O$666,14,0)</f>
        <v/>
      </c>
      <c r="Q809" s="65" t="n">
        <v>1530000</v>
      </c>
      <c r="R809" s="65" t="n"/>
      <c r="S809" s="92">
        <f>G809-I809-R809-K809-M809-O809-Q809</f>
        <v/>
      </c>
      <c r="T809" s="92" t="inlineStr"/>
      <c r="U809" s="92" t="inlineStr"/>
      <c r="V809" s="69">
        <f>G809-SUM(I809,K809,M809,O809,Q809,U809)</f>
        <v/>
      </c>
      <c r="W809" s="65" t="n"/>
      <c r="X809" t="inlineStr">
        <is>
          <t>Khớp</t>
        </is>
      </c>
    </row>
    <row r="810">
      <c r="A810" s="65" t="n">
        <v>802</v>
      </c>
      <c r="B810" s="65" t="inlineStr">
        <is>
          <t>25805800023</t>
        </is>
      </c>
      <c r="C810" s="65" t="inlineStr">
        <is>
          <t>Bùi Thiện</t>
        </is>
      </c>
      <c r="D810" s="65" t="inlineStr">
        <is>
          <t>Nhân</t>
        </is>
      </c>
      <c r="E810" s="65" t="inlineStr">
        <is>
          <t>06/01/2007</t>
        </is>
      </c>
      <c r="F810" s="66" t="inlineStr">
        <is>
          <t>LNH0925NL01</t>
        </is>
      </c>
      <c r="G810" s="90" t="n">
        <v>1000000</v>
      </c>
      <c r="H810" s="65" t="n"/>
      <c r="I810" s="65" t="n"/>
      <c r="J810" s="65" t="n"/>
      <c r="K810" s="65" t="n"/>
      <c r="L810" s="65" t="n"/>
      <c r="M810" s="65" t="n"/>
      <c r="N810" s="65" t="n"/>
      <c r="O810" s="65" t="n"/>
      <c r="P810" s="65" t="n"/>
      <c r="Q810" s="65" t="n"/>
      <c r="R810" s="65" t="n"/>
      <c r="S810" s="92">
        <f>G810-I810-R810-K810-M810-O810-Q810</f>
        <v/>
      </c>
      <c r="T810" s="92" t="inlineStr"/>
      <c r="U810" s="92" t="inlineStr"/>
      <c r="V810" s="69">
        <f>G810-SUM(I810,K810,M810,O810,Q810,U810)</f>
        <v/>
      </c>
      <c r="W810" s="65" t="n"/>
      <c r="X810" t="inlineStr">
        <is>
          <t>Khớp</t>
        </is>
      </c>
    </row>
    <row r="811">
      <c r="A811" s="65" t="n">
        <v>803</v>
      </c>
      <c r="B811" s="65" t="inlineStr">
        <is>
          <t>25808200042</t>
        </is>
      </c>
      <c r="C811" s="65" t="inlineStr">
        <is>
          <t>Nguyễn Phi</t>
        </is>
      </c>
      <c r="D811" s="65" t="inlineStr">
        <is>
          <t>Hiệp</t>
        </is>
      </c>
      <c r="E811" s="65" t="inlineStr">
        <is>
          <t>14/12/2007</t>
        </is>
      </c>
      <c r="F811" s="66" t="inlineStr">
        <is>
          <t>LNH0925NL01</t>
        </is>
      </c>
      <c r="G811" s="90" t="n">
        <v>6120000</v>
      </c>
      <c r="H811" s="65">
        <f>VLOOKUP(B811,'[1]TONG HOP'!B$599:G$661,6,0)</f>
        <v/>
      </c>
      <c r="I811" s="65" t="n">
        <v>1530000</v>
      </c>
      <c r="J811" s="65" t="n"/>
      <c r="K811" s="65" t="n"/>
      <c r="L811" s="65">
        <f>VLOOKUP(B811,'[2]DS THANG 11'!A$3:E$616,5,0)</f>
        <v/>
      </c>
      <c r="M811" s="65" t="n">
        <v>1530000</v>
      </c>
      <c r="N811" s="65">
        <f>VLOOKUP(B811,'[4]TOEIC 01.26'!A$3:E$33,5,0)</f>
        <v/>
      </c>
      <c r="O811" s="65" t="n">
        <v>1530000</v>
      </c>
      <c r="P811" s="65">
        <f>VLOOKUP(B811,'[3]TONG HOP '!B$5:O$666,14,0)</f>
        <v/>
      </c>
      <c r="Q811" s="65" t="n">
        <v>1530000</v>
      </c>
      <c r="R811" s="65" t="n"/>
      <c r="S811" s="92">
        <f>G811-I811-R811-K811-M811-O811-Q811</f>
        <v/>
      </c>
      <c r="T811" s="92" t="inlineStr"/>
      <c r="U811" s="92" t="inlineStr"/>
      <c r="V811" s="69">
        <f>G811-SUM(I811,K811,M811,O811,Q811,U811)</f>
        <v/>
      </c>
      <c r="W811" s="65" t="n"/>
      <c r="X811" t="inlineStr">
        <is>
          <t>Khớp</t>
        </is>
      </c>
    </row>
    <row r="812">
      <c r="A812" s="65" t="n">
        <v>804</v>
      </c>
      <c r="B812" s="65" t="inlineStr">
        <is>
          <t>25802600075</t>
        </is>
      </c>
      <c r="C812" s="65" t="inlineStr">
        <is>
          <t>Huỳnh Thanh Mai</t>
        </is>
      </c>
      <c r="D812" s="65" t="inlineStr">
        <is>
          <t>Ly</t>
        </is>
      </c>
      <c r="E812" s="65" t="inlineStr">
        <is>
          <t>26/08/2007</t>
        </is>
      </c>
      <c r="F812" s="66" t="inlineStr">
        <is>
          <t>LNH0925NL01</t>
        </is>
      </c>
      <c r="G812" s="90" t="n">
        <v>6120000</v>
      </c>
      <c r="H812" s="65">
        <f>VLOOKUP(B812,'[1]TONG HOP'!B$599:G$661,6,0)</f>
        <v/>
      </c>
      <c r="I812" s="65" t="n">
        <v>1530000</v>
      </c>
      <c r="J812" s="65" t="n"/>
      <c r="K812" s="65" t="n"/>
      <c r="L812" s="65">
        <f>VLOOKUP(B812,'[2]DS THANG 11'!A$3:E$616,5,0)</f>
        <v/>
      </c>
      <c r="M812" s="65" t="n">
        <v>1530000</v>
      </c>
      <c r="N812" s="65">
        <f>VLOOKUP(B812,'[4]TOEIC 01.26'!A$3:E$33,5,0)</f>
        <v/>
      </c>
      <c r="O812" s="65" t="n">
        <v>1530000</v>
      </c>
      <c r="P812" s="65" t="n"/>
      <c r="Q812" s="65" t="n"/>
      <c r="R812" s="65" t="n"/>
      <c r="S812" s="92">
        <f>G812-I812-R812-K812-M812-O812-Q812</f>
        <v/>
      </c>
      <c r="T812" s="92" t="inlineStr"/>
      <c r="U812" s="92" t="inlineStr"/>
      <c r="V812" s="69">
        <f>G812-SUM(I812,K812,M812,O812,Q812,U812)</f>
        <v/>
      </c>
      <c r="W812" s="65" t="n"/>
      <c r="X812" t="inlineStr">
        <is>
          <t>Khớp</t>
        </is>
      </c>
    </row>
    <row r="813">
      <c r="A813" s="65" t="n">
        <v>805</v>
      </c>
      <c r="B813" s="65" t="inlineStr">
        <is>
          <t>25803800012</t>
        </is>
      </c>
      <c r="C813" s="65" t="inlineStr">
        <is>
          <t>Lê Thanh</t>
        </is>
      </c>
      <c r="D813" s="65" t="inlineStr">
        <is>
          <t>Đạt</t>
        </is>
      </c>
      <c r="E813" s="65" t="inlineStr">
        <is>
          <t>16/07/2007</t>
        </is>
      </c>
      <c r="F813" s="66" t="inlineStr">
        <is>
          <t>LNH0925NL01</t>
        </is>
      </c>
      <c r="G813" s="90" t="n">
        <v>3800000</v>
      </c>
      <c r="H813" s="65" t="n"/>
      <c r="I813" s="65" t="n"/>
      <c r="J813" s="65" t="n"/>
      <c r="K813" s="65" t="n"/>
      <c r="L813" s="65" t="n"/>
      <c r="M813" s="65" t="n"/>
      <c r="N813" s="65">
        <f>VLOOKUP(B813,'[4]TOEIC 01.26'!A$3:E$33,5,0)</f>
        <v/>
      </c>
      <c r="O813" s="77" t="n">
        <v>1900000</v>
      </c>
      <c r="P813" s="65">
        <f>VLOOKUP(B813,'[3]TONG HOP '!B$5:O$666,14,0)</f>
        <v/>
      </c>
      <c r="Q813" s="77" t="n">
        <v>1900000</v>
      </c>
      <c r="R813" s="65" t="n"/>
      <c r="S813" s="92">
        <f>G813-I813-R813-K813-M813-O813-Q813</f>
        <v/>
      </c>
      <c r="T813" s="92" t="inlineStr"/>
      <c r="U813" s="92" t="inlineStr">
        <is>
          <t>Level 3,4</t>
        </is>
      </c>
      <c r="V813" s="69">
        <f>G813-SUM(I813,K813,M813,O813,Q813,U813)</f>
        <v/>
      </c>
      <c r="W813" s="65" t="n"/>
      <c r="X813" t="inlineStr">
        <is>
          <t>Khớp</t>
        </is>
      </c>
    </row>
    <row r="814">
      <c r="A814" s="65" t="n">
        <v>806</v>
      </c>
      <c r="B814" s="65" t="inlineStr">
        <is>
          <t>25820200020</t>
        </is>
      </c>
      <c r="C814" s="65" t="inlineStr">
        <is>
          <t>Nguyễn Nhật</t>
        </is>
      </c>
      <c r="D814" s="65" t="inlineStr">
        <is>
          <t>Hào</t>
        </is>
      </c>
      <c r="E814" s="65" t="inlineStr">
        <is>
          <t>28/04/2007</t>
        </is>
      </c>
      <c r="F814" s="66" t="inlineStr">
        <is>
          <t>LNH0925NL01</t>
        </is>
      </c>
      <c r="G814" s="90" t="n">
        <v>6120000</v>
      </c>
      <c r="H814" s="65">
        <f>VLOOKUP(B814,'[1]TONG HOP'!B$599:G$661,6,0)</f>
        <v/>
      </c>
      <c r="I814" s="65" t="n">
        <v>1530000</v>
      </c>
      <c r="J814" s="65" t="n"/>
      <c r="K814" s="65" t="n"/>
      <c r="L814" s="65">
        <f>VLOOKUP(B814,'[2]DS THANG 11'!A$3:E$616,5,0)</f>
        <v/>
      </c>
      <c r="M814" s="65" t="n">
        <v>1530000</v>
      </c>
      <c r="N814" s="65">
        <f>VLOOKUP(B814,'[4]TOEIC 01.26'!A$3:E$33,5,0)</f>
        <v/>
      </c>
      <c r="O814" s="65" t="n">
        <v>1530000</v>
      </c>
      <c r="P814" s="65">
        <f>VLOOKUP(B814,'[3]TONG HOP '!B$5:O$666,14,0)</f>
        <v/>
      </c>
      <c r="Q814" s="65" t="n">
        <v>1530000</v>
      </c>
      <c r="R814" s="65" t="n"/>
      <c r="S814" s="92">
        <f>G814-I814-R814-K814-M814-O814-Q814</f>
        <v/>
      </c>
      <c r="T814" s="92" t="inlineStr"/>
      <c r="U814" s="92" t="inlineStr"/>
      <c r="V814" s="69">
        <f>G814-SUM(I814,K814,M814,O814,Q814,U814)</f>
        <v/>
      </c>
      <c r="W814" s="65" t="n"/>
      <c r="X814" t="inlineStr">
        <is>
          <t>Khớp</t>
        </is>
      </c>
    </row>
    <row r="815">
      <c r="A815" s="65" t="n">
        <v>807</v>
      </c>
      <c r="B815" s="65" t="inlineStr">
        <is>
          <t>25805900027</t>
        </is>
      </c>
      <c r="C815" s="65" t="inlineStr">
        <is>
          <t>Trần Thị Ngọc</t>
        </is>
      </c>
      <c r="D815" s="65" t="inlineStr">
        <is>
          <t>Nhi</t>
        </is>
      </c>
      <c r="E815" s="65" t="inlineStr">
        <is>
          <t>10/11/2007</t>
        </is>
      </c>
      <c r="F815" s="66" t="inlineStr">
        <is>
          <t>LNH0925NL01</t>
        </is>
      </c>
      <c r="G815" s="90" t="n">
        <v>6120000</v>
      </c>
      <c r="H815" s="65">
        <f>VLOOKUP(B815,'[1]TONG HOP'!B$599:G$661,6,0)</f>
        <v/>
      </c>
      <c r="I815" s="65" t="n">
        <v>1530000</v>
      </c>
      <c r="J815" s="65" t="n"/>
      <c r="K815" s="65" t="n"/>
      <c r="L815" s="65">
        <f>VLOOKUP(B815,'[2]DS THANG 11'!A$3:E$616,5,0)</f>
        <v/>
      </c>
      <c r="M815" s="65" t="n">
        <v>1530000</v>
      </c>
      <c r="N815" s="65">
        <f>VLOOKUP(B815,'[4]TOEIC 01.26'!A$3:E$33,5,0)</f>
        <v/>
      </c>
      <c r="O815" s="65" t="n">
        <v>1530000</v>
      </c>
      <c r="P815" s="65">
        <f>VLOOKUP(B815,'[3]TONG HOP '!B$5:O$666,14,0)</f>
        <v/>
      </c>
      <c r="Q815" s="65" t="n">
        <v>1530000</v>
      </c>
      <c r="R815" s="65" t="n"/>
      <c r="S815" s="92">
        <f>G815-I815-R815-K815-M815-O815-Q815</f>
        <v/>
      </c>
      <c r="T815" s="92" t="inlineStr"/>
      <c r="U815" s="92" t="inlineStr"/>
      <c r="V815" s="69">
        <f>G815-SUM(I815,K815,M815,O815,Q815,U815)</f>
        <v/>
      </c>
      <c r="W815" s="65" t="n"/>
      <c r="X815" t="inlineStr">
        <is>
          <t>Khớp</t>
        </is>
      </c>
    </row>
    <row r="816">
      <c r="A816" s="65" t="n">
        <v>808</v>
      </c>
      <c r="B816" s="71" t="inlineStr">
        <is>
          <t>25807600154</t>
        </is>
      </c>
      <c r="C816" s="65" t="inlineStr">
        <is>
          <t>Thạch Thị Huỳnh</t>
        </is>
      </c>
      <c r="D816" s="65" t="inlineStr">
        <is>
          <t>Như</t>
        </is>
      </c>
      <c r="E816" s="65" t="inlineStr">
        <is>
          <t>04/08/2007</t>
        </is>
      </c>
      <c r="F816" s="66" t="inlineStr">
        <is>
          <t>LNH0925NL01</t>
        </is>
      </c>
      <c r="G816" s="90">
        <f>6000000+120000</f>
        <v/>
      </c>
      <c r="H816" s="65" t="inlineStr">
        <is>
          <t>LNH0925NL01</t>
        </is>
      </c>
      <c r="I816" s="65" t="n">
        <v>1530000</v>
      </c>
      <c r="J816" s="65" t="n"/>
      <c r="K816" s="65" t="n"/>
      <c r="L816" s="65" t="inlineStr">
        <is>
          <t>LNH1125NO01</t>
        </is>
      </c>
      <c r="M816" s="65" t="n">
        <v>1530000</v>
      </c>
      <c r="N816" s="65">
        <f>VLOOKUP(B816,'[4]TOEIC 01.26'!A$7:E$7,5,0)</f>
        <v/>
      </c>
      <c r="O816" s="65" t="n">
        <v>1530000</v>
      </c>
      <c r="P816" s="65">
        <f>VLOOKUP(B816,'[3]TONG HOP '!B$5:O$666,14,0)</f>
        <v/>
      </c>
      <c r="Q816" s="65" t="n">
        <v>1530000</v>
      </c>
      <c r="R816" s="65" t="n"/>
      <c r="S816" s="92">
        <f>G816-I816-R816-K816-M816-O816-Q816</f>
        <v/>
      </c>
      <c r="T816" s="92" t="inlineStr"/>
      <c r="U816" s="92" t="inlineStr"/>
      <c r="V816" s="69">
        <f>G816-SUM(I816,K816,M816,O816,Q816,U816)</f>
        <v/>
      </c>
      <c r="W816" s="65" t="inlineStr">
        <is>
          <t>MSV cũ 25809700009</t>
        </is>
      </c>
      <c r="X816" t="inlineStr">
        <is>
          <t>Khớp</t>
        </is>
      </c>
    </row>
    <row r="817">
      <c r="A817" s="65" t="n">
        <v>809</v>
      </c>
      <c r="B817" s="65" t="inlineStr">
        <is>
          <t>25820600001</t>
        </is>
      </c>
      <c r="C817" s="65" t="inlineStr">
        <is>
          <t>Lưu Hồng</t>
        </is>
      </c>
      <c r="D817" s="65" t="inlineStr">
        <is>
          <t>Anh</t>
        </is>
      </c>
      <c r="E817" s="65" t="inlineStr">
        <is>
          <t>06/09/2007</t>
        </is>
      </c>
      <c r="F817" s="66" t="inlineStr">
        <is>
          <t>LNH0925NL01</t>
        </is>
      </c>
      <c r="G817" s="90" t="n">
        <v>6120000</v>
      </c>
      <c r="H817" s="65">
        <f>VLOOKUP(B817,'[1]TONG HOP'!B$599:G$661,6,0)</f>
        <v/>
      </c>
      <c r="I817" s="65" t="n">
        <v>1530000</v>
      </c>
      <c r="J817" s="65" t="n"/>
      <c r="K817" s="65" t="n"/>
      <c r="L817" s="65">
        <f>VLOOKUP(B817,'[2]DS THANG 11'!A$3:E$616,5,0)</f>
        <v/>
      </c>
      <c r="M817" s="65" t="n">
        <v>1530000</v>
      </c>
      <c r="N817" s="65">
        <f>VLOOKUP(B817,'[4]TOEIC 01.26'!A$3:E$33,5,0)</f>
        <v/>
      </c>
      <c r="O817" s="65" t="n">
        <v>1530000</v>
      </c>
      <c r="P817" s="65">
        <f>VLOOKUP(B817,'[3]TONG HOP '!B$5:O$666,14,0)</f>
        <v/>
      </c>
      <c r="Q817" s="65" t="n">
        <v>1530000</v>
      </c>
      <c r="R817" s="65" t="n"/>
      <c r="S817" s="92">
        <f>G817-I817-R817-K817-M817-O817-Q817</f>
        <v/>
      </c>
      <c r="T817" s="92" t="inlineStr"/>
      <c r="U817" s="92" t="inlineStr"/>
      <c r="V817" s="69">
        <f>G817-SUM(I817,K817,M817,O817,Q817,U817)</f>
        <v/>
      </c>
      <c r="W817" s="65" t="n"/>
      <c r="X817" t="inlineStr">
        <is>
          <t>Khớp</t>
        </is>
      </c>
    </row>
    <row r="818">
      <c r="A818" s="65" t="n">
        <v>810</v>
      </c>
      <c r="B818" s="75" t="inlineStr">
        <is>
          <t>25808700184</t>
        </is>
      </c>
      <c r="C818" s="65" t="inlineStr">
        <is>
          <t>Nguyễn Ngọc Thảo</t>
        </is>
      </c>
      <c r="D818" s="65" t="inlineStr">
        <is>
          <t>Ngân</t>
        </is>
      </c>
      <c r="E818" s="65" t="inlineStr">
        <is>
          <t>18/05/2007</t>
        </is>
      </c>
      <c r="F818" s="66" t="inlineStr">
        <is>
          <t>LNH0925NL01</t>
        </is>
      </c>
      <c r="G818" s="90" t="n">
        <v>11050000</v>
      </c>
      <c r="H818" s="65">
        <f>VLOOKUP(B818,'[1]TONG HOP'!B$599:G$661,6,0)</f>
        <v/>
      </c>
      <c r="I818" s="65" t="n">
        <v>1530000</v>
      </c>
      <c r="J818" s="65" t="n"/>
      <c r="K818" s="65" t="n"/>
      <c r="L818" s="65">
        <f>VLOOKUP(B818,'[2]DS THANG 11'!A$3:E$616,5,0)</f>
        <v/>
      </c>
      <c r="M818" s="65" t="n">
        <v>1530000</v>
      </c>
      <c r="N818" s="65">
        <f>VLOOKUP(B818,'[4]TOEIC 01.26'!A$3:E$33,5,0)</f>
        <v/>
      </c>
      <c r="O818" s="65" t="n">
        <v>1530000</v>
      </c>
      <c r="P818" s="65">
        <f>VLOOKUP(B818,'[3]TONG HOP '!B$5:O$666,14,0)</f>
        <v/>
      </c>
      <c r="Q818" s="65" t="n">
        <v>1530000</v>
      </c>
      <c r="R818" s="65" t="n">
        <v>4930000</v>
      </c>
      <c r="S818" s="92">
        <f>G818-I818-R818-K818-M818-O818-Q818</f>
        <v/>
      </c>
      <c r="T818" s="92" t="inlineStr">
        <is>
          <t>LNH0526NQ16</t>
        </is>
      </c>
      <c r="U818" s="92" t="n">
        <v>2600000</v>
      </c>
      <c r="V818" s="69">
        <f>G818-SUM(I818,K818,M818,O818,Q818,U818)</f>
        <v/>
      </c>
      <c r="W818" s="65" t="inlineStr">
        <is>
          <t>Chuyển HP EDU: 4.930.000 - học lớp 2KN</t>
        </is>
      </c>
      <c r="X818" t="inlineStr">
        <is>
          <t>Khớp</t>
        </is>
      </c>
    </row>
    <row r="819">
      <c r="A819" s="65" t="n">
        <v>811</v>
      </c>
      <c r="B819" s="75" t="inlineStr">
        <is>
          <t>25807800108</t>
        </is>
      </c>
      <c r="C819" s="65" t="inlineStr">
        <is>
          <t>Huỳnh Hữu</t>
        </is>
      </c>
      <c r="D819" s="65" t="inlineStr">
        <is>
          <t>Phúc</t>
        </is>
      </c>
      <c r="E819" s="65" t="inlineStr">
        <is>
          <t>17/01/2007</t>
        </is>
      </c>
      <c r="F819" s="66" t="inlineStr">
        <is>
          <t>LNH0925NL01</t>
        </is>
      </c>
      <c r="G819" s="90" t="n">
        <v>11050000</v>
      </c>
      <c r="H819" s="65">
        <f>VLOOKUP(B819,'[1]TONG HOP'!B$599:G$661,6,0)</f>
        <v/>
      </c>
      <c r="I819" s="65" t="n">
        <v>1530000</v>
      </c>
      <c r="J819" s="65" t="n"/>
      <c r="K819" s="65" t="n"/>
      <c r="L819" s="65">
        <f>VLOOKUP(B819,'[2]DS THANG 11'!A$3:E$616,5,0)</f>
        <v/>
      </c>
      <c r="M819" s="65" t="n">
        <v>1530000</v>
      </c>
      <c r="N819" s="65">
        <f>VLOOKUP(B819,'[4]TOEIC 01.26'!A$3:E$33,5,0)</f>
        <v/>
      </c>
      <c r="O819" s="65" t="n">
        <v>1530000</v>
      </c>
      <c r="P819" s="65">
        <f>VLOOKUP(B819,'[3]TONG HOP '!B$5:O$666,14,0)</f>
        <v/>
      </c>
      <c r="Q819" s="65" t="n">
        <v>1530000</v>
      </c>
      <c r="R819" s="65" t="n">
        <v>4930000</v>
      </c>
      <c r="S819" s="92">
        <f>G819-I819-R819-K819-M819-O819-Q819</f>
        <v/>
      </c>
      <c r="T819" s="92" t="inlineStr"/>
      <c r="U819" s="92" t="inlineStr"/>
      <c r="V819" s="69">
        <f>G819-SUM(I819,K819,M819,O819,Q819,U819)</f>
        <v/>
      </c>
      <c r="W819" s="65" t="inlineStr">
        <is>
          <t>Chuyển HP EDU: 4.930.000 - học lớp 2KN</t>
        </is>
      </c>
      <c r="X819" t="inlineStr">
        <is>
          <t>Khớp</t>
        </is>
      </c>
    </row>
    <row r="820">
      <c r="A820" s="65" t="n">
        <v>812</v>
      </c>
      <c r="B820" s="75" t="inlineStr">
        <is>
          <t>25820200047</t>
        </is>
      </c>
      <c r="C820" s="65" t="inlineStr">
        <is>
          <t>Nguyễn Đại</t>
        </is>
      </c>
      <c r="D820" s="65" t="inlineStr">
        <is>
          <t>Phú</t>
        </is>
      </c>
      <c r="E820" s="65" t="inlineStr">
        <is>
          <t>10/06/2007</t>
        </is>
      </c>
      <c r="F820" s="66" t="inlineStr">
        <is>
          <t>LNH0925NL01</t>
        </is>
      </c>
      <c r="G820" s="90" t="n">
        <v>11050000</v>
      </c>
      <c r="H820" s="65">
        <f>VLOOKUP(B820,'[1]TONG HOP'!B$599:G$661,6,0)</f>
        <v/>
      </c>
      <c r="I820" s="65" t="n">
        <v>1530000</v>
      </c>
      <c r="J820" s="65" t="n"/>
      <c r="K820" s="65" t="n"/>
      <c r="L820" s="65">
        <f>VLOOKUP(B820,'[2]DS THANG 11'!A$3:E$616,5,0)</f>
        <v/>
      </c>
      <c r="M820" s="65" t="n">
        <v>1530000</v>
      </c>
      <c r="N820" s="65">
        <f>VLOOKUP(B820,'[4]TOEIC 01.26'!A$3:E$33,5,0)</f>
        <v/>
      </c>
      <c r="O820" s="65" t="n">
        <v>1530000</v>
      </c>
      <c r="P820" s="65">
        <f>VLOOKUP(B820,'[3]TONG HOP '!B$5:O$666,14,0)</f>
        <v/>
      </c>
      <c r="Q820" s="65" t="n">
        <v>1530000</v>
      </c>
      <c r="R820" s="65" t="n">
        <v>4930000</v>
      </c>
      <c r="S820" s="92">
        <f>G820-I820-R820-K820-M820-O820-Q820</f>
        <v/>
      </c>
      <c r="T820" s="92" t="inlineStr"/>
      <c r="U820" s="92" t="inlineStr"/>
      <c r="V820" s="69">
        <f>G820-SUM(I820,K820,M820,O820,Q820,U820)</f>
        <v/>
      </c>
      <c r="W820" s="65" t="inlineStr">
        <is>
          <t>Chuyển HP EDU: 4.930.000 - học lớp 2KN</t>
        </is>
      </c>
      <c r="X820" t="inlineStr">
        <is>
          <t>Khớp</t>
        </is>
      </c>
    </row>
    <row r="821">
      <c r="A821" s="65" t="n">
        <v>813</v>
      </c>
      <c r="B821" s="65" t="inlineStr">
        <is>
          <t>25807800065</t>
        </is>
      </c>
      <c r="C821" s="65" t="inlineStr">
        <is>
          <t>Trần Võ Minh</t>
        </is>
      </c>
      <c r="D821" s="65" t="inlineStr">
        <is>
          <t>Khoa</t>
        </is>
      </c>
      <c r="E821" s="65" t="inlineStr">
        <is>
          <t>06/07/2007</t>
        </is>
      </c>
      <c r="F821" s="66" t="inlineStr">
        <is>
          <t>LNH0925NL01</t>
        </is>
      </c>
      <c r="G821" s="90" t="n">
        <v>6120000</v>
      </c>
      <c r="H821" s="65">
        <f>VLOOKUP(B821,'[1]TONG HOP'!B$599:G$661,6,0)</f>
        <v/>
      </c>
      <c r="I821" s="65" t="n">
        <v>1530000</v>
      </c>
      <c r="J821" s="65" t="n"/>
      <c r="K821" s="65" t="n"/>
      <c r="L821" s="65">
        <f>VLOOKUP(B821,'[2]DS THANG 11'!A$3:E$616,5,0)</f>
        <v/>
      </c>
      <c r="M821" s="65" t="n">
        <v>1530000</v>
      </c>
      <c r="N821" s="65">
        <f>VLOOKUP(B821,'[4]TOEIC 01.26'!A$3:E$33,5,0)</f>
        <v/>
      </c>
      <c r="O821" s="65" t="n">
        <v>1530000</v>
      </c>
      <c r="P821" s="65">
        <f>VLOOKUP(B821,'[3]TONG HOP '!B$5:O$666,14,0)</f>
        <v/>
      </c>
      <c r="Q821" s="65" t="n">
        <v>1530000</v>
      </c>
      <c r="R821" s="65" t="n"/>
      <c r="S821" s="92">
        <f>G821-I821-R821-K821-M821-O821-Q821</f>
        <v/>
      </c>
      <c r="T821" s="92" t="inlineStr"/>
      <c r="U821" s="92" t="inlineStr"/>
      <c r="V821" s="69">
        <f>G821-SUM(I821,K821,M821,O821,Q821,U821)</f>
        <v/>
      </c>
      <c r="W821" s="65" t="n"/>
      <c r="X821" t="inlineStr">
        <is>
          <t>Khớp</t>
        </is>
      </c>
    </row>
    <row r="822">
      <c r="A822" s="65" t="n">
        <v>814</v>
      </c>
      <c r="B822" s="65" t="inlineStr">
        <is>
          <t>25808800045</t>
        </is>
      </c>
      <c r="C822" s="65" t="inlineStr">
        <is>
          <t>Phạm Thị Mỹ</t>
        </is>
      </c>
      <c r="D822" s="65" t="inlineStr">
        <is>
          <t>Lệ</t>
        </is>
      </c>
      <c r="E822" s="65" t="inlineStr">
        <is>
          <t>04/04/2007</t>
        </is>
      </c>
      <c r="F822" s="66" t="inlineStr">
        <is>
          <t>LNH0925NL01</t>
        </is>
      </c>
      <c r="G822" s="90" t="n">
        <v>6120000</v>
      </c>
      <c r="H822" s="65">
        <f>VLOOKUP(B822,'[1]TONG HOP'!B$599:G$661,6,0)</f>
        <v/>
      </c>
      <c r="I822" s="65" t="n">
        <v>1530000</v>
      </c>
      <c r="J822" s="65" t="n"/>
      <c r="K822" s="65" t="n"/>
      <c r="L822" s="65">
        <f>VLOOKUP(B822,'[2]DS THANG 11'!A$3:E$616,5,0)</f>
        <v/>
      </c>
      <c r="M822" s="65" t="n">
        <v>1530000</v>
      </c>
      <c r="N822" s="65">
        <f>VLOOKUP(B822,'[4]TOEIC 01.26'!A$3:E$33,5,0)</f>
        <v/>
      </c>
      <c r="O822" s="65" t="n">
        <v>1530000</v>
      </c>
      <c r="P822" s="65">
        <f>VLOOKUP(B822,'[3]TONG HOP '!B$5:O$666,14,0)</f>
        <v/>
      </c>
      <c r="Q822" s="65" t="n">
        <v>1530000</v>
      </c>
      <c r="R822" s="65" t="n"/>
      <c r="S822" s="92">
        <f>G822-I822-R822-K822-M822-O822-Q822</f>
        <v/>
      </c>
      <c r="T822" s="92" t="inlineStr"/>
      <c r="U822" s="92" t="inlineStr"/>
      <c r="V822" s="69">
        <f>G822-SUM(I822,K822,M822,O822,Q822,U822)</f>
        <v/>
      </c>
      <c r="W822" s="65" t="n"/>
      <c r="X822" t="inlineStr">
        <is>
          <t>Khớp</t>
        </is>
      </c>
    </row>
    <row r="823">
      <c r="A823" s="65" t="n">
        <v>815</v>
      </c>
      <c r="B823" s="65" t="inlineStr">
        <is>
          <t>25801700104</t>
        </is>
      </c>
      <c r="C823" s="65" t="inlineStr">
        <is>
          <t>Nguyễn Thanh</t>
        </is>
      </c>
      <c r="D823" s="65" t="inlineStr">
        <is>
          <t>Duy</t>
        </is>
      </c>
      <c r="E823" s="65" t="inlineStr">
        <is>
          <t>27/03/2007</t>
        </is>
      </c>
      <c r="F823" s="66" t="inlineStr">
        <is>
          <t>LNH0925NL01</t>
        </is>
      </c>
      <c r="G823" s="90" t="n">
        <v>6120000</v>
      </c>
      <c r="H823" s="65">
        <f>VLOOKUP(B823,'[1]TONG HOP'!B$599:G$661,6,0)</f>
        <v/>
      </c>
      <c r="I823" s="65" t="n">
        <v>1530000</v>
      </c>
      <c r="J823" s="65" t="n"/>
      <c r="K823" s="65" t="n"/>
      <c r="L823" s="65">
        <f>VLOOKUP(B823,'[2]DS THANG 11'!A$3:E$616,5,0)</f>
        <v/>
      </c>
      <c r="M823" s="65" t="n">
        <v>1530000</v>
      </c>
      <c r="N823" s="65">
        <f>VLOOKUP(B823,'[4]TOEIC 01.26'!A$3:E$33,5,0)</f>
        <v/>
      </c>
      <c r="O823" s="65" t="n">
        <v>1530000</v>
      </c>
      <c r="P823" s="65">
        <f>VLOOKUP(B823,'[3]TONG HOP '!B$5:O$666,14,0)</f>
        <v/>
      </c>
      <c r="Q823" s="65" t="n">
        <v>1530000</v>
      </c>
      <c r="R823" s="65" t="n"/>
      <c r="S823" s="92">
        <f>G823-I823-R823-K823-M823-O823-Q823</f>
        <v/>
      </c>
      <c r="T823" s="92" t="inlineStr"/>
      <c r="U823" s="92" t="inlineStr"/>
      <c r="V823" s="69">
        <f>G823-SUM(I823,K823,M823,O823,Q823,U823)</f>
        <v/>
      </c>
      <c r="W823" s="65" t="n"/>
      <c r="X823" t="inlineStr">
        <is>
          <t>Khớp</t>
        </is>
      </c>
    </row>
    <row r="824">
      <c r="A824" s="65" t="n">
        <v>816</v>
      </c>
      <c r="B824" s="65" t="inlineStr">
        <is>
          <t>25807800148</t>
        </is>
      </c>
      <c r="C824" s="65" t="inlineStr">
        <is>
          <t>Trần Phan Đức</t>
        </is>
      </c>
      <c r="D824" s="65" t="inlineStr">
        <is>
          <t>Trí</t>
        </is>
      </c>
      <c r="E824" s="65" t="inlineStr">
        <is>
          <t>29/09/2007</t>
        </is>
      </c>
      <c r="F824" s="66" t="inlineStr">
        <is>
          <t>LNH0925NL01</t>
        </is>
      </c>
      <c r="G824" s="90" t="n">
        <v>1600000</v>
      </c>
      <c r="H824" s="65" t="n"/>
      <c r="I824" s="65" t="n"/>
      <c r="J824" s="65" t="n"/>
      <c r="K824" s="65" t="n"/>
      <c r="L824" s="65">
        <f>VLOOKUP(B824,'[2]DS THANG 11'!A$3:E$616,5,0)</f>
        <v/>
      </c>
      <c r="M824" s="65" t="n">
        <v>1600000</v>
      </c>
      <c r="N824" s="65" t="n"/>
      <c r="O824" s="65" t="n"/>
      <c r="P824" s="65" t="n"/>
      <c r="Q824" s="65" t="n"/>
      <c r="R824" s="65" t="n"/>
      <c r="S824" s="92">
        <f>G824-I824-R824-K824-M824-O824-Q824</f>
        <v/>
      </c>
      <c r="T824" s="92" t="inlineStr"/>
      <c r="U824" s="92" t="inlineStr"/>
      <c r="V824" s="69">
        <f>G824-SUM(I824,K824,M824,O824,Q824,U824)</f>
        <v/>
      </c>
      <c r="W824" s="65" t="n"/>
      <c r="X824" t="inlineStr">
        <is>
          <t>Khớp</t>
        </is>
      </c>
    </row>
    <row r="825">
      <c r="A825" s="65" t="n">
        <v>817</v>
      </c>
      <c r="B825" s="65" t="inlineStr">
        <is>
          <t>25800500124</t>
        </is>
      </c>
      <c r="C825" s="65" t="inlineStr">
        <is>
          <t>Trần Công Vĩnh</t>
        </is>
      </c>
      <c r="D825" s="65" t="inlineStr">
        <is>
          <t>Nguyên</t>
        </is>
      </c>
      <c r="E825" s="65" t="inlineStr">
        <is>
          <t>26/12/2007</t>
        </is>
      </c>
      <c r="F825" s="66" t="inlineStr">
        <is>
          <t>LNH0925NL01</t>
        </is>
      </c>
      <c r="G825" s="90" t="n">
        <v>6120000</v>
      </c>
      <c r="H825" s="65">
        <f>VLOOKUP(B825,'[1]TONG HOP'!B$599:G$661,6,0)</f>
        <v/>
      </c>
      <c r="I825" s="65" t="n">
        <v>1530000</v>
      </c>
      <c r="J825" s="65" t="n"/>
      <c r="K825" s="65" t="n"/>
      <c r="L825" s="65">
        <f>VLOOKUP(B825,'[2]DS THANG 11'!A$3:E$616,5,0)</f>
        <v/>
      </c>
      <c r="M825" s="65" t="n">
        <v>1530000</v>
      </c>
      <c r="N825" s="65">
        <f>VLOOKUP(B825,'[4]TOEIC 01.26'!A$3:E$33,5,0)</f>
        <v/>
      </c>
      <c r="O825" s="65" t="n">
        <v>1530000</v>
      </c>
      <c r="P825" s="65">
        <f>VLOOKUP(B825,'[3]TONG HOP '!B$5:O$666,14,0)</f>
        <v/>
      </c>
      <c r="Q825" s="65" t="n">
        <v>1530000</v>
      </c>
      <c r="R825" s="65" t="n"/>
      <c r="S825" s="92">
        <f>G825-I825-R825-K825-M825-O825-Q825</f>
        <v/>
      </c>
      <c r="T825" s="92" t="inlineStr"/>
      <c r="U825" s="92" t="inlineStr"/>
      <c r="V825" s="69">
        <f>G825-SUM(I825,K825,M825,O825,Q825,U825)</f>
        <v/>
      </c>
      <c r="W825" s="65" t="n"/>
      <c r="X825" t="inlineStr">
        <is>
          <t>Khớp</t>
        </is>
      </c>
    </row>
    <row r="826">
      <c r="A826" s="65" t="n">
        <v>818</v>
      </c>
      <c r="B826" s="65" t="inlineStr">
        <is>
          <t>25802800098</t>
        </is>
      </c>
      <c r="C826" s="65" t="inlineStr">
        <is>
          <t>Nguyễn Lệ</t>
        </is>
      </c>
      <c r="D826" s="65" t="inlineStr">
        <is>
          <t>Hương</t>
        </is>
      </c>
      <c r="E826" s="65" t="inlineStr">
        <is>
          <t>05/04/2007</t>
        </is>
      </c>
      <c r="F826" s="66" t="inlineStr">
        <is>
          <t>LNH0925NL01</t>
        </is>
      </c>
      <c r="G826" s="90" t="n">
        <v>6120000</v>
      </c>
      <c r="H826" s="65" t="n"/>
      <c r="I826" s="65" t="n"/>
      <c r="J826" s="65" t="n"/>
      <c r="K826" s="65" t="n"/>
      <c r="L826" s="65">
        <f>VLOOKUP(B826,'[2]DS THANG 11'!A$3:E$616,5,0)</f>
        <v/>
      </c>
      <c r="M826" s="65" t="n">
        <v>1530000</v>
      </c>
      <c r="N826" s="65">
        <f>VLOOKUP(B826,'[4]TOEIC 01.26'!A$3:E$33,5,0)</f>
        <v/>
      </c>
      <c r="O826" s="65" t="n">
        <v>1530000</v>
      </c>
      <c r="P826" s="65">
        <f>VLOOKUP(B826,'[3]TONG HOP '!B$5:O$666,14,0)</f>
        <v/>
      </c>
      <c r="Q826" s="65" t="n">
        <v>1530000</v>
      </c>
      <c r="R826" s="65" t="n"/>
      <c r="S826" s="92">
        <f>G826-I826-R826-K826-M826-O826-Q826</f>
        <v/>
      </c>
      <c r="T826" s="92" t="inlineStr"/>
      <c r="U826" s="92" t="inlineStr"/>
      <c r="V826" s="69">
        <f>G826-SUM(I826,K826,M826,O826,Q826,U826)</f>
        <v/>
      </c>
      <c r="W826" s="65" t="n"/>
      <c r="X826" t="inlineStr">
        <is>
          <t>Khớp</t>
        </is>
      </c>
    </row>
    <row r="827">
      <c r="A827" s="65" t="n">
        <v>819</v>
      </c>
      <c r="B827" s="65" t="inlineStr">
        <is>
          <t>25800600034</t>
        </is>
      </c>
      <c r="C827" s="65" t="inlineStr">
        <is>
          <t>Đào Quốc</t>
        </is>
      </c>
      <c r="D827" s="65" t="inlineStr">
        <is>
          <t>Bảo</t>
        </is>
      </c>
      <c r="E827" s="65" t="inlineStr">
        <is>
          <t>05/07/2007</t>
        </is>
      </c>
      <c r="F827" s="66" t="inlineStr">
        <is>
          <t>LNH0925NL01</t>
        </is>
      </c>
      <c r="G827" s="90" t="n">
        <v>1000000</v>
      </c>
      <c r="H827" s="65" t="n"/>
      <c r="I827" s="65" t="n"/>
      <c r="J827" s="65" t="n"/>
      <c r="K827" s="65" t="n"/>
      <c r="L827" s="65" t="n"/>
      <c r="M827" s="65" t="n"/>
      <c r="N827" s="65" t="n"/>
      <c r="O827" s="65" t="n"/>
      <c r="P827" s="65" t="n"/>
      <c r="Q827" s="65" t="n"/>
      <c r="R827" s="65" t="n"/>
      <c r="S827" s="92">
        <f>G827-I827-R827-K827-M827-O827-Q827</f>
        <v/>
      </c>
      <c r="T827" s="92" t="inlineStr"/>
      <c r="U827" s="92" t="inlineStr"/>
      <c r="V827" s="69">
        <f>G827-SUM(I827,K827,M827,O827,Q827,U827)</f>
        <v/>
      </c>
      <c r="W827" s="65" t="n"/>
      <c r="X827" t="inlineStr">
        <is>
          <t>Khớp</t>
        </is>
      </c>
    </row>
    <row r="828">
      <c r="A828" s="65" t="n">
        <v>820</v>
      </c>
      <c r="B828" s="65" t="inlineStr">
        <is>
          <t>25800400028</t>
        </is>
      </c>
      <c r="C828" s="65" t="inlineStr">
        <is>
          <t>Trần Thanh</t>
        </is>
      </c>
      <c r="D828" s="65" t="inlineStr">
        <is>
          <t>Dương</t>
        </is>
      </c>
      <c r="E828" s="65" t="inlineStr">
        <is>
          <t>02/02/2007</t>
        </is>
      </c>
      <c r="F828" s="66" t="inlineStr">
        <is>
          <t>LNH0925NL01</t>
        </is>
      </c>
      <c r="G828" s="90" t="n">
        <v>6120000</v>
      </c>
      <c r="H828" s="65" t="n"/>
      <c r="I828" s="65" t="n"/>
      <c r="J828" s="65" t="n"/>
      <c r="K828" s="65" t="n"/>
      <c r="L828" s="65" t="n"/>
      <c r="M828" s="65" t="n"/>
      <c r="N828" s="65" t="n"/>
      <c r="O828" s="65" t="n"/>
      <c r="P828" s="65" t="n"/>
      <c r="Q828" s="65" t="n"/>
      <c r="R828" s="65" t="n"/>
      <c r="S828" s="92">
        <f>G828-I828-R828-K828-M828-O828-Q828</f>
        <v/>
      </c>
      <c r="T828" s="92" t="inlineStr"/>
      <c r="U828" s="92" t="inlineStr"/>
      <c r="V828" s="69">
        <f>G828-SUM(I828,K828,M828,O828,Q828,U828)</f>
        <v/>
      </c>
      <c r="W828" s="65" t="n"/>
      <c r="X828" t="inlineStr">
        <is>
          <t>Khớp</t>
        </is>
      </c>
    </row>
    <row r="829">
      <c r="A829" s="65" t="n">
        <v>821</v>
      </c>
      <c r="B829" s="65" t="inlineStr">
        <is>
          <t>25807800048</t>
        </is>
      </c>
      <c r="C829" s="65" t="inlineStr">
        <is>
          <t>Lê Hải Huy</t>
        </is>
      </c>
      <c r="D829" s="65" t="inlineStr">
        <is>
          <t>Hoàng</t>
        </is>
      </c>
      <c r="E829" s="65" t="inlineStr">
        <is>
          <t>14/03/2007</t>
        </is>
      </c>
      <c r="F829" s="66" t="inlineStr">
        <is>
          <t>LNH0925NL01</t>
        </is>
      </c>
      <c r="G829" s="90" t="n">
        <v>6120000</v>
      </c>
      <c r="H829" s="65">
        <f>VLOOKUP(B829,'[1]TONG HOP'!B$599:G$661,6,0)</f>
        <v/>
      </c>
      <c r="I829" s="65" t="n">
        <v>1530000</v>
      </c>
      <c r="J829" s="65" t="n"/>
      <c r="K829" s="65" t="n"/>
      <c r="L829" s="65">
        <f>VLOOKUP(B829,'[2]DS THANG 11'!A$3:E$616,5,0)</f>
        <v/>
      </c>
      <c r="M829" s="65" t="n">
        <v>1530000</v>
      </c>
      <c r="N829" s="65">
        <f>VLOOKUP(B829,'[4]TOEIC 01.26'!A$3:E$33,5,0)</f>
        <v/>
      </c>
      <c r="O829" s="65" t="n">
        <v>1530000</v>
      </c>
      <c r="P829" s="65">
        <f>VLOOKUP(B829,'[3]TONG HOP '!B$5:O$666,14,0)</f>
        <v/>
      </c>
      <c r="Q829" s="65" t="n">
        <v>1530000</v>
      </c>
      <c r="R829" s="65" t="n"/>
      <c r="S829" s="92">
        <f>G829-I829-R829-K829-M829-O829-Q829</f>
        <v/>
      </c>
      <c r="T829" s="92" t="inlineStr"/>
      <c r="U829" s="92" t="inlineStr"/>
      <c r="V829" s="69">
        <f>G829-SUM(I829,K829,M829,O829,Q829,U829)</f>
        <v/>
      </c>
      <c r="W829" s="65" t="n"/>
      <c r="X829" t="inlineStr">
        <is>
          <t>Khớp</t>
        </is>
      </c>
    </row>
    <row r="830">
      <c r="A830" s="65" t="n">
        <v>822</v>
      </c>
      <c r="B830" s="65" t="inlineStr">
        <is>
          <t>25802600143</t>
        </is>
      </c>
      <c r="C830" s="65" t="inlineStr">
        <is>
          <t>Phạm Thị Hải</t>
        </is>
      </c>
      <c r="D830" s="65" t="inlineStr">
        <is>
          <t>Yến</t>
        </is>
      </c>
      <c r="E830" s="65" t="inlineStr">
        <is>
          <t>10/08/2007</t>
        </is>
      </c>
      <c r="F830" s="66" t="inlineStr">
        <is>
          <t>LNH0925NL01</t>
        </is>
      </c>
      <c r="G830" s="90" t="n">
        <v>6120000</v>
      </c>
      <c r="H830" s="65">
        <f>VLOOKUP(B830,'[1]TONG HOP'!B$599:G$661,6,0)</f>
        <v/>
      </c>
      <c r="I830" s="65" t="n">
        <v>1530000</v>
      </c>
      <c r="J830" s="65" t="n"/>
      <c r="K830" s="65" t="n"/>
      <c r="L830" s="65">
        <f>VLOOKUP(B830,'[2]DS THANG 11'!A$3:E$616,5,0)</f>
        <v/>
      </c>
      <c r="M830" s="65" t="n">
        <v>1530000</v>
      </c>
      <c r="N830" s="65">
        <f>VLOOKUP(B830,'[4]TOEIC 01.26'!A$3:E$33,5,0)</f>
        <v/>
      </c>
      <c r="O830" s="65" t="n">
        <v>1530000</v>
      </c>
      <c r="P830" s="65">
        <f>VLOOKUP(B830,'[3]TONG HOP '!B$5:O$666,14,0)</f>
        <v/>
      </c>
      <c r="Q830" s="65" t="n">
        <v>1530000</v>
      </c>
      <c r="R830" s="65" t="n"/>
      <c r="S830" s="92">
        <f>G830-I830-R830-K830-M830-O830-Q830</f>
        <v/>
      </c>
      <c r="T830" s="92" t="inlineStr"/>
      <c r="U830" s="92" t="inlineStr"/>
      <c r="V830" s="69">
        <f>G830-SUM(I830,K830,M830,O830,Q830,U830)</f>
        <v/>
      </c>
      <c r="W830" s="65" t="n"/>
      <c r="X830" t="inlineStr">
        <is>
          <t>Khớp</t>
        </is>
      </c>
    </row>
    <row r="831">
      <c r="A831" s="65" t="n">
        <v>823</v>
      </c>
      <c r="B831" s="65" t="inlineStr">
        <is>
          <t>25802600087</t>
        </is>
      </c>
      <c r="C831" s="65" t="inlineStr">
        <is>
          <t>Phạm Thị Thanh</t>
        </is>
      </c>
      <c r="D831" s="65" t="inlineStr">
        <is>
          <t>Ngân</t>
        </is>
      </c>
      <c r="E831" s="65" t="inlineStr">
        <is>
          <t>09/07/2007</t>
        </is>
      </c>
      <c r="F831" s="66" t="inlineStr">
        <is>
          <t>LNH0925NL01</t>
        </is>
      </c>
      <c r="G831" s="90">
        <f>2000000+1200000</f>
        <v/>
      </c>
      <c r="H831" s="65">
        <f>VLOOKUP(B831,'[1]TONG HOP'!B$599:G$661,6,0)</f>
        <v/>
      </c>
      <c r="I831" s="65" t="n">
        <v>1600000</v>
      </c>
      <c r="J831" s="65" t="n"/>
      <c r="K831" s="65" t="n"/>
      <c r="L831" s="65">
        <f>VLOOKUP(B831,'[2]DS THANG 11'!A$3:E$616,5,0)</f>
        <v/>
      </c>
      <c r="M831" s="65" t="n">
        <v>1600000</v>
      </c>
      <c r="N831" s="65" t="n"/>
      <c r="O831" s="65" t="n"/>
      <c r="P831" s="65" t="n"/>
      <c r="Q831" s="65" t="n"/>
      <c r="R831" s="65" t="n"/>
      <c r="S831" s="92">
        <f>G831-I831-R831-K831-M831-O831-Q831</f>
        <v/>
      </c>
      <c r="T831" s="92" t="inlineStr"/>
      <c r="U831" s="92" t="inlineStr"/>
      <c r="V831" s="69">
        <f>G831-SUM(I831,K831,M831,O831,Q831,U831)</f>
        <v/>
      </c>
      <c r="W831" s="65" t="n"/>
      <c r="X831" s="65" t="inlineStr">
        <is>
          <t>Khớp</t>
        </is>
      </c>
    </row>
    <row r="832">
      <c r="A832" s="65" t="n">
        <v>824</v>
      </c>
      <c r="B832" s="65" t="inlineStr">
        <is>
          <t>25801300019</t>
        </is>
      </c>
      <c r="C832" s="65" t="inlineStr">
        <is>
          <t>Nguyễn Thị Kim</t>
        </is>
      </c>
      <c r="D832" s="65" t="inlineStr">
        <is>
          <t>Ngân</t>
        </is>
      </c>
      <c r="E832" s="65" t="inlineStr">
        <is>
          <t>03/01/2007</t>
        </is>
      </c>
      <c r="F832" s="66" t="inlineStr">
        <is>
          <t>LNH0925NL01</t>
        </is>
      </c>
      <c r="G832" s="90" t="n">
        <v>1000000</v>
      </c>
      <c r="H832" s="65" t="n"/>
      <c r="I832" s="65" t="n"/>
      <c r="J832" s="65" t="n"/>
      <c r="K832" s="65" t="n"/>
      <c r="L832" s="65" t="n"/>
      <c r="M832" s="65" t="n"/>
      <c r="N832" s="65" t="n"/>
      <c r="O832" s="65" t="n"/>
      <c r="P832" s="65" t="n"/>
      <c r="Q832" s="65" t="n"/>
      <c r="R832" s="65" t="n"/>
      <c r="S832" s="92">
        <f>G832-I832-R832-K832-M832-O832-Q832</f>
        <v/>
      </c>
      <c r="T832" s="92" t="inlineStr"/>
      <c r="U832" s="92" t="inlineStr"/>
      <c r="V832" s="69">
        <f>G832-SUM(I832,K832,M832,O832,Q832,U832)</f>
        <v/>
      </c>
      <c r="W832" s="65" t="n"/>
      <c r="X832" t="inlineStr">
        <is>
          <t>Khớp</t>
        </is>
      </c>
    </row>
    <row r="833">
      <c r="A833" s="65" t="n">
        <v>825</v>
      </c>
      <c r="B833" s="65" t="inlineStr">
        <is>
          <t>25800400268</t>
        </is>
      </c>
      <c r="C833" s="65" t="inlineStr">
        <is>
          <t>Nguyễn Hoàng Đăng</t>
        </is>
      </c>
      <c r="D833" s="65" t="inlineStr">
        <is>
          <t>Khoa</t>
        </is>
      </c>
      <c r="E833" s="65" t="inlineStr">
        <is>
          <t>18/02/2007</t>
        </is>
      </c>
      <c r="F833" s="66" t="inlineStr">
        <is>
          <t>LNH0925NL01</t>
        </is>
      </c>
      <c r="G833" s="90" t="n">
        <v>6120000</v>
      </c>
      <c r="H833" s="65">
        <f>VLOOKUP(B833,'[1]TONG HOP'!B$599:G$661,6,0)</f>
        <v/>
      </c>
      <c r="I833" s="65" t="n">
        <v>1530000</v>
      </c>
      <c r="J833" s="65" t="n"/>
      <c r="K833" s="65" t="n"/>
      <c r="L833" s="65">
        <f>VLOOKUP(B833,'[2]DS THANG 11'!A$3:E$616,5,0)</f>
        <v/>
      </c>
      <c r="M833" s="65" t="n">
        <v>1530000</v>
      </c>
      <c r="N833" s="65">
        <f>VLOOKUP(B833,'[4]TOEIC 01.26'!A$3:E$33,5,0)</f>
        <v/>
      </c>
      <c r="O833" s="65" t="n">
        <v>1530000</v>
      </c>
      <c r="P833" s="65">
        <f>VLOOKUP(B833,'[3]TONG HOP '!B$5:O$666,14,0)</f>
        <v/>
      </c>
      <c r="Q833" s="65" t="n">
        <v>1530000</v>
      </c>
      <c r="R833" s="65" t="n"/>
      <c r="S833" s="92">
        <f>G833-I833-R833-K833-M833-O833-Q833</f>
        <v/>
      </c>
      <c r="T833" s="92" t="inlineStr"/>
      <c r="U833" s="92" t="inlineStr"/>
      <c r="V833" s="69">
        <f>G833-SUM(I833,K833,M833,O833,Q833,U833)</f>
        <v/>
      </c>
      <c r="W833" s="65" t="n"/>
      <c r="X833" t="inlineStr">
        <is>
          <t>Khớp</t>
        </is>
      </c>
    </row>
    <row r="834">
      <c r="A834" s="65" t="n">
        <v>826</v>
      </c>
      <c r="B834" s="65" t="inlineStr">
        <is>
          <t>25808100040</t>
        </is>
      </c>
      <c r="C834" s="65" t="inlineStr">
        <is>
          <t>Nguyễn Hoàng Trí</t>
        </is>
      </c>
      <c r="D834" s="65" t="inlineStr">
        <is>
          <t>Nhân</t>
        </is>
      </c>
      <c r="E834" s="65" t="inlineStr">
        <is>
          <t>02/06/2007</t>
        </is>
      </c>
      <c r="F834" s="66" t="inlineStr">
        <is>
          <t>LNH0925NL01</t>
        </is>
      </c>
      <c r="G834" s="90" t="n">
        <v>6120000</v>
      </c>
      <c r="H834" s="65">
        <f>VLOOKUP(B834,'[1]TONG HOP'!B$599:G$661,6,0)</f>
        <v/>
      </c>
      <c r="I834" s="65" t="n">
        <v>1530000</v>
      </c>
      <c r="J834" s="65" t="n"/>
      <c r="K834" s="65" t="n"/>
      <c r="L834" s="65">
        <f>VLOOKUP(B834,'[2]DS THANG 11'!A$3:E$616,5,0)</f>
        <v/>
      </c>
      <c r="M834" s="65" t="n">
        <v>1530000</v>
      </c>
      <c r="N834" s="65">
        <f>VLOOKUP(B834,'[4]TOEIC 01.26'!A$3:E$33,5,0)</f>
        <v/>
      </c>
      <c r="O834" s="65" t="n">
        <v>1530000</v>
      </c>
      <c r="P834" s="65">
        <f>VLOOKUP(B834,'[3]TONG HOP '!B$5:O$666,14,0)</f>
        <v/>
      </c>
      <c r="Q834" s="65" t="n">
        <v>1530000</v>
      </c>
      <c r="R834" s="65" t="n"/>
      <c r="S834" s="92">
        <f>G834-I834-R834-K834-M834-O834-Q834</f>
        <v/>
      </c>
      <c r="T834" s="92" t="inlineStr"/>
      <c r="U834" s="92" t="inlineStr"/>
      <c r="V834" s="69">
        <f>G834-SUM(I834,K834,M834,O834,Q834,U834)</f>
        <v/>
      </c>
      <c r="W834" s="65" t="n"/>
      <c r="X834" t="inlineStr">
        <is>
          <t>Khớp</t>
        </is>
      </c>
    </row>
    <row r="835">
      <c r="A835" s="65" t="n">
        <v>827</v>
      </c>
      <c r="B835" s="65" t="inlineStr">
        <is>
          <t>25806300024</t>
        </is>
      </c>
      <c r="C835" s="65" t="inlineStr">
        <is>
          <t>Trương Hoàng</t>
        </is>
      </c>
      <c r="D835" s="65" t="inlineStr">
        <is>
          <t>Long</t>
        </is>
      </c>
      <c r="E835" s="65" t="inlineStr">
        <is>
          <t>25/05/2007</t>
        </is>
      </c>
      <c r="F835" s="66" t="inlineStr">
        <is>
          <t>LNH0925NL01</t>
        </is>
      </c>
      <c r="G835" s="90" t="n">
        <v>1000000</v>
      </c>
      <c r="H835" s="65" t="n"/>
      <c r="I835" s="65" t="n"/>
      <c r="J835" s="65" t="n"/>
      <c r="K835" s="65" t="n"/>
      <c r="L835" s="65" t="n"/>
      <c r="M835" s="65" t="n"/>
      <c r="N835" s="65" t="n"/>
      <c r="O835" s="65" t="n"/>
      <c r="P835" s="65" t="n"/>
      <c r="Q835" s="65" t="n"/>
      <c r="R835" s="65" t="n"/>
      <c r="S835" s="92">
        <f>G835-I835-R835-K835-M835-O835-Q835</f>
        <v/>
      </c>
      <c r="T835" s="92" t="inlineStr"/>
      <c r="U835" s="92" t="inlineStr"/>
      <c r="V835" s="69">
        <f>G835-SUM(I835,K835,M835,O835,Q835,U835)</f>
        <v/>
      </c>
      <c r="W835" s="65" t="n"/>
      <c r="X835" t="inlineStr">
        <is>
          <t>Không tồn tại trong K.Hiền</t>
        </is>
      </c>
    </row>
    <row r="836">
      <c r="A836" s="65" t="n">
        <v>828</v>
      </c>
      <c r="B836" s="65" t="inlineStr">
        <is>
          <t>25803000213</t>
        </is>
      </c>
      <c r="C836" s="65" t="inlineStr">
        <is>
          <t>Vương Quốc</t>
        </is>
      </c>
      <c r="D836" s="65" t="inlineStr">
        <is>
          <t>Huy</t>
        </is>
      </c>
      <c r="E836" s="65" t="inlineStr">
        <is>
          <t>04/02/2007</t>
        </is>
      </c>
      <c r="F836" s="66" t="inlineStr">
        <is>
          <t>LNH0925NL01</t>
        </is>
      </c>
      <c r="G836" s="90" t="n">
        <v>6120000</v>
      </c>
      <c r="H836" s="65">
        <f>VLOOKUP(B836,'[1]TONG HOP'!B$599:G$661,6,0)</f>
        <v/>
      </c>
      <c r="I836" s="65" t="n">
        <v>1530000</v>
      </c>
      <c r="J836" s="65" t="n"/>
      <c r="K836" s="65" t="n"/>
      <c r="L836" s="65">
        <f>VLOOKUP(B836,'[2]DS THANG 11'!A$3:E$616,5,0)</f>
        <v/>
      </c>
      <c r="M836" s="65" t="n">
        <v>1530000</v>
      </c>
      <c r="N836" s="65">
        <f>VLOOKUP(B836,'[4]TOEIC 01.26'!A$3:E$33,5,0)</f>
        <v/>
      </c>
      <c r="O836" s="65" t="n">
        <v>1530000</v>
      </c>
      <c r="P836" s="65">
        <f>VLOOKUP(B836,'[3]TONG HOP '!B$5:O$666,14,0)</f>
        <v/>
      </c>
      <c r="Q836" s="65" t="n">
        <v>1530000</v>
      </c>
      <c r="R836" s="65" t="n"/>
      <c r="S836" s="92">
        <f>G836-I836-R836-K836-M836-O836-Q836</f>
        <v/>
      </c>
      <c r="T836" s="92" t="inlineStr"/>
      <c r="U836" s="92" t="inlineStr"/>
      <c r="V836" s="69">
        <f>G836-SUM(I836,K836,M836,O836,Q836,U836)</f>
        <v/>
      </c>
      <c r="W836" s="65" t="n"/>
      <c r="X836" t="inlineStr">
        <is>
          <t>Khớp</t>
        </is>
      </c>
    </row>
    <row r="837">
      <c r="A837" s="65" t="n">
        <v>829</v>
      </c>
      <c r="B837" s="65" t="inlineStr">
        <is>
          <t>25808700134</t>
        </is>
      </c>
      <c r="C837" s="65" t="inlineStr">
        <is>
          <t>Đỗ Gia</t>
        </is>
      </c>
      <c r="D837" s="65" t="inlineStr">
        <is>
          <t>Huy</t>
        </is>
      </c>
      <c r="E837" s="65" t="inlineStr">
        <is>
          <t>26/04/2007</t>
        </is>
      </c>
      <c r="F837" s="66" t="inlineStr">
        <is>
          <t>LNH0925NL01</t>
        </is>
      </c>
      <c r="G837" s="90" t="n">
        <v>6120000</v>
      </c>
      <c r="H837" s="65">
        <f>VLOOKUP(B837,'[1]TONG HOP'!B$599:G$661,6,0)</f>
        <v/>
      </c>
      <c r="I837" s="65" t="n">
        <v>1530000</v>
      </c>
      <c r="J837" s="65" t="n"/>
      <c r="K837" s="65" t="n"/>
      <c r="L837" s="65">
        <f>VLOOKUP(B837,'[2]DS THANG 11'!A$3:E$616,5,0)</f>
        <v/>
      </c>
      <c r="M837" s="65" t="n">
        <v>1530000</v>
      </c>
      <c r="N837" s="65">
        <f>VLOOKUP(B837,'[4]TOEIC 01.26'!A$3:E$33,5,0)</f>
        <v/>
      </c>
      <c r="O837" s="65" t="n">
        <v>1530000</v>
      </c>
      <c r="P837" s="65">
        <f>VLOOKUP(B837,'[3]TONG HOP '!B$5:O$666,14,0)</f>
        <v/>
      </c>
      <c r="Q837" s="65" t="n">
        <v>1530000</v>
      </c>
      <c r="R837" s="65" t="n"/>
      <c r="S837" s="92">
        <f>G837-I837-R837-K837-M837-O837-Q837</f>
        <v/>
      </c>
      <c r="T837" s="92" t="inlineStr"/>
      <c r="U837" s="92" t="inlineStr"/>
      <c r="V837" s="69">
        <f>G837-SUM(I837,K837,M837,O837,Q837,U837)</f>
        <v/>
      </c>
      <c r="W837" s="65" t="n"/>
      <c r="X837" t="inlineStr">
        <is>
          <t>Khớp</t>
        </is>
      </c>
    </row>
    <row r="838">
      <c r="A838" s="65" t="n">
        <v>830</v>
      </c>
      <c r="B838" s="65" t="inlineStr">
        <is>
          <t>2288903513</t>
        </is>
      </c>
      <c r="C838" s="65" t="inlineStr">
        <is>
          <t>Trương Nguyễn Văn</t>
        </is>
      </c>
      <c r="D838" s="65" t="inlineStr">
        <is>
          <t>Tiền</t>
        </is>
      </c>
      <c r="E838" s="65" t="inlineStr">
        <is>
          <t>03/12/2004</t>
        </is>
      </c>
      <c r="F838" s="66" t="inlineStr">
        <is>
          <t>LNH0925NL01</t>
        </is>
      </c>
      <c r="G838" s="90" t="n">
        <v>1600000</v>
      </c>
      <c r="H838" s="65" t="n"/>
      <c r="I838" s="65" t="n"/>
      <c r="J838" s="65" t="n"/>
      <c r="K838" s="65" t="n"/>
      <c r="L838" s="65">
        <f>VLOOKUP(B838,'[2]DS THANG 11'!A$3:E$616,5,0)</f>
        <v/>
      </c>
      <c r="M838" s="65" t="n">
        <v>1600000</v>
      </c>
      <c r="N838" s="65" t="n"/>
      <c r="O838" s="65" t="n"/>
      <c r="P838" s="65" t="n"/>
      <c r="Q838" s="65" t="n"/>
      <c r="R838" s="65" t="n"/>
      <c r="S838" s="92">
        <f>G838-I838-R838-K838-M838-O838-Q838</f>
        <v/>
      </c>
      <c r="T838" s="92" t="inlineStr"/>
      <c r="U838" s="92" t="inlineStr"/>
      <c r="V838" s="69">
        <f>G838-SUM(I838,K838,M838,O838,Q838,U838)</f>
        <v/>
      </c>
      <c r="W838" s="65" t="n"/>
      <c r="X838" t="inlineStr">
        <is>
          <t>Khớp</t>
        </is>
      </c>
    </row>
    <row r="839">
      <c r="A839" s="65" t="n">
        <v>831</v>
      </c>
      <c r="B839" s="65" t="inlineStr">
        <is>
          <t>25803800066</t>
        </is>
      </c>
      <c r="C839" s="65" t="inlineStr">
        <is>
          <t>Lê Nguyễn Anh</t>
        </is>
      </c>
      <c r="D839" s="65" t="inlineStr">
        <is>
          <t>Trường</t>
        </is>
      </c>
      <c r="E839" s="65" t="inlineStr">
        <is>
          <t>26/07/2007</t>
        </is>
      </c>
      <c r="F839" s="66" t="inlineStr">
        <is>
          <t>LNH0925NL01</t>
        </is>
      </c>
      <c r="G839" s="90" t="n">
        <v>1000000</v>
      </c>
      <c r="H839" s="65" t="n"/>
      <c r="I839" s="65" t="n"/>
      <c r="J839" s="65" t="n"/>
      <c r="K839" s="65" t="n"/>
      <c r="L839" s="65" t="n"/>
      <c r="M839" s="65" t="n"/>
      <c r="N839" s="65" t="n"/>
      <c r="O839" s="65" t="n"/>
      <c r="P839" s="65" t="n"/>
      <c r="Q839" s="65" t="n"/>
      <c r="R839" s="65" t="n"/>
      <c r="S839" s="92">
        <f>G839-I839-R839-K839-M839-O839-Q839</f>
        <v/>
      </c>
      <c r="T839" s="92" t="inlineStr"/>
      <c r="U839" s="92" t="inlineStr"/>
      <c r="V839" s="69">
        <f>G839-SUM(I839,K839,M839,O839,Q839,U839)</f>
        <v/>
      </c>
      <c r="W839" s="65" t="n"/>
      <c r="X839" t="inlineStr">
        <is>
          <t>Khớp</t>
        </is>
      </c>
    </row>
    <row r="840">
      <c r="A840" s="65" t="n">
        <v>832</v>
      </c>
      <c r="B840" s="75" t="inlineStr">
        <is>
          <t>25800400173</t>
        </is>
      </c>
      <c r="C840" s="65" t="inlineStr">
        <is>
          <t>Nguyễn Hoàng</t>
        </is>
      </c>
      <c r="D840" s="65" t="inlineStr">
        <is>
          <t>Vĩ</t>
        </is>
      </c>
      <c r="E840" s="65" t="inlineStr">
        <is>
          <t>08/03/2007</t>
        </is>
      </c>
      <c r="F840" s="66" t="inlineStr">
        <is>
          <t>LNH0925NL01</t>
        </is>
      </c>
      <c r="G840" s="90" t="n">
        <v>11050000</v>
      </c>
      <c r="H840" s="65">
        <f>VLOOKUP(B840,'[1]TONG HOP'!B$599:G$661,6,0)</f>
        <v/>
      </c>
      <c r="I840" s="65" t="n">
        <v>1530000</v>
      </c>
      <c r="J840" s="65" t="n"/>
      <c r="K840" s="65" t="n"/>
      <c r="L840" s="65">
        <f>VLOOKUP(B840,'[2]DS THANG 11'!A$3:E$616,5,0)</f>
        <v/>
      </c>
      <c r="M840" s="65" t="n">
        <v>1530000</v>
      </c>
      <c r="N840" s="65">
        <f>VLOOKUP(B840,'[4]TOEIC 01.26'!A$3:E$33,5,0)</f>
        <v/>
      </c>
      <c r="O840" s="65" t="n">
        <v>1530000</v>
      </c>
      <c r="P840" s="65">
        <f>VLOOKUP(B840,'[3]TONG HOP '!B$5:O$666,14,0)</f>
        <v/>
      </c>
      <c r="Q840" s="65" t="n">
        <v>1530000</v>
      </c>
      <c r="R840" s="65" t="n">
        <v>4930000</v>
      </c>
      <c r="S840" s="92">
        <f>G840-I840-R840-K840-M840-O840-Q840</f>
        <v/>
      </c>
      <c r="T840" s="92" t="inlineStr"/>
      <c r="U840" s="92" t="inlineStr"/>
      <c r="V840" s="69">
        <f>G840-SUM(I840,K840,M840,O840,Q840,U840)</f>
        <v/>
      </c>
      <c r="W840" s="65" t="inlineStr">
        <is>
          <t>Chuyển HP EDU: 4.930.000 - học lớp 2KN</t>
        </is>
      </c>
      <c r="X840" t="inlineStr">
        <is>
          <t>Khớp</t>
        </is>
      </c>
    </row>
    <row r="841">
      <c r="A841" s="65" t="n">
        <v>833</v>
      </c>
      <c r="B841" s="65" t="inlineStr">
        <is>
          <t>25801700096</t>
        </is>
      </c>
      <c r="C841" s="65" t="inlineStr">
        <is>
          <t>Đặng Chí</t>
        </is>
      </c>
      <c r="D841" s="65" t="inlineStr">
        <is>
          <t>Dũng</t>
        </is>
      </c>
      <c r="E841" s="65" t="inlineStr">
        <is>
          <t>17/04/2007</t>
        </is>
      </c>
      <c r="F841" s="66" t="inlineStr">
        <is>
          <t>LNH0925NL01</t>
        </is>
      </c>
      <c r="G841" s="90" t="n">
        <v>1600000</v>
      </c>
      <c r="H841" s="65">
        <f>VLOOKUP(B841,'[1]TONG HOP'!B$599:G$661,6,0)</f>
        <v/>
      </c>
      <c r="I841" s="65" t="n">
        <v>1600000</v>
      </c>
      <c r="J841" s="65" t="n"/>
      <c r="K841" s="65" t="n"/>
      <c r="L841" s="65" t="n"/>
      <c r="M841" s="65" t="n"/>
      <c r="N841" s="65" t="n"/>
      <c r="O841" s="65" t="n"/>
      <c r="P841" s="65" t="n"/>
      <c r="Q841" s="65" t="n"/>
      <c r="R841" s="65" t="n"/>
      <c r="S841" s="92">
        <f>G841-I841-R841-K841-M841-O841-Q841</f>
        <v/>
      </c>
      <c r="T841" s="92" t="inlineStr"/>
      <c r="U841" s="92" t="inlineStr"/>
      <c r="V841" s="69">
        <f>G841-SUM(I841,K841,M841,O841,Q841,U841)</f>
        <v/>
      </c>
      <c r="W841" s="65" t="n"/>
      <c r="X841" t="inlineStr">
        <is>
          <t>Khớp</t>
        </is>
      </c>
    </row>
    <row r="842">
      <c r="A842" s="65" t="n">
        <v>834</v>
      </c>
      <c r="B842" s="65" t="inlineStr">
        <is>
          <t>25806600141</t>
        </is>
      </c>
      <c r="C842" s="65" t="inlineStr">
        <is>
          <t>Trần Thị Mẫn</t>
        </is>
      </c>
      <c r="D842" s="65" t="inlineStr">
        <is>
          <t>Nghi</t>
        </is>
      </c>
      <c r="E842" s="65" t="inlineStr">
        <is>
          <t>06/01/2007</t>
        </is>
      </c>
      <c r="F842" s="66" t="inlineStr">
        <is>
          <t>LNH0925NL01</t>
        </is>
      </c>
      <c r="G842" s="90" t="n">
        <v>6120000</v>
      </c>
      <c r="H842" s="65">
        <f>VLOOKUP(B842,'[1]TONG HOP'!B$599:G$661,6,0)</f>
        <v/>
      </c>
      <c r="I842" s="65" t="n">
        <v>1530000</v>
      </c>
      <c r="J842" s="65" t="n"/>
      <c r="K842" s="65" t="n"/>
      <c r="L842" s="65">
        <f>VLOOKUP(B842,'[2]DS THANG 11'!A$3:E$616,5,0)</f>
        <v/>
      </c>
      <c r="M842" s="65" t="n">
        <v>1530000</v>
      </c>
      <c r="N842" s="65">
        <f>VLOOKUP(B842,'[4]TOEIC 01.26'!A$3:E$33,5,0)</f>
        <v/>
      </c>
      <c r="O842" s="65" t="n">
        <v>1530000</v>
      </c>
      <c r="P842" s="65" t="n"/>
      <c r="Q842" s="65" t="n"/>
      <c r="R842" s="65" t="n"/>
      <c r="S842" s="92">
        <f>G842-I842-R842-K842-M842-O842-Q842</f>
        <v/>
      </c>
      <c r="T842" s="92" t="inlineStr"/>
      <c r="U842" s="92" t="inlineStr"/>
      <c r="V842" s="69">
        <f>G842-SUM(I842,K842,M842,O842,Q842,U842)</f>
        <v/>
      </c>
      <c r="W842" s="65" t="n"/>
      <c r="X842" t="inlineStr">
        <is>
          <t>Khớp</t>
        </is>
      </c>
    </row>
    <row r="843">
      <c r="A843" s="65" t="n">
        <v>835</v>
      </c>
      <c r="B843" s="65" t="inlineStr">
        <is>
          <t>25802300124</t>
        </is>
      </c>
      <c r="C843" s="65" t="inlineStr">
        <is>
          <t>Nguyễn Thùy</t>
        </is>
      </c>
      <c r="D843" s="65" t="inlineStr">
        <is>
          <t>Linh</t>
        </is>
      </c>
      <c r="E843" s="65" t="inlineStr">
        <is>
          <t>11/07/2007</t>
        </is>
      </c>
      <c r="F843" s="66" t="inlineStr">
        <is>
          <t>LNH0925NL01</t>
        </is>
      </c>
      <c r="G843" s="90" t="n">
        <v>1600000</v>
      </c>
      <c r="H843" s="65" t="n"/>
      <c r="I843" s="65" t="n"/>
      <c r="J843" s="65" t="n"/>
      <c r="K843" s="65" t="n"/>
      <c r="L843" s="65">
        <f>VLOOKUP(B843,'[2]DS THANG 11'!A$3:E$616,5,0)</f>
        <v/>
      </c>
      <c r="M843" s="65" t="n">
        <v>1600000</v>
      </c>
      <c r="N843" s="65" t="n"/>
      <c r="O843" s="65" t="n"/>
      <c r="P843" s="65" t="n"/>
      <c r="Q843" s="65" t="n"/>
      <c r="R843" s="65" t="n"/>
      <c r="S843" s="92">
        <f>G843-I843-R843-K843-M843-O843-Q843</f>
        <v/>
      </c>
      <c r="T843" s="92" t="inlineStr"/>
      <c r="U843" s="92" t="inlineStr"/>
      <c r="V843" s="69">
        <f>G843-SUM(I843,K843,M843,O843,Q843,U843)</f>
        <v/>
      </c>
      <c r="W843" s="65" t="n"/>
      <c r="X843" t="inlineStr">
        <is>
          <t>Khớp</t>
        </is>
      </c>
    </row>
    <row r="844">
      <c r="A844" s="65" t="n">
        <v>836</v>
      </c>
      <c r="B844" s="78" t="inlineStr">
        <is>
          <t>2388500585</t>
        </is>
      </c>
      <c r="C844" s="78" t="inlineStr">
        <is>
          <t xml:space="preserve">Nguyễn Phúc Minh    </t>
        </is>
      </c>
      <c r="D844" s="78" t="inlineStr">
        <is>
          <t xml:space="preserve">Thư    </t>
        </is>
      </c>
      <c r="E844" s="78" t="inlineStr">
        <is>
          <t>30/09/2005</t>
        </is>
      </c>
      <c r="F844" s="79" t="inlineStr">
        <is>
          <t xml:space="preserve">LNH0925NL01 </t>
        </is>
      </c>
      <c r="G844" s="97" t="n">
        <v>1600000</v>
      </c>
      <c r="H844" s="65">
        <f>VLOOKUP(B844,'[1]TONG HOP'!B$646:G$661,6,0)</f>
        <v/>
      </c>
      <c r="I844" s="65" t="n">
        <v>1600000</v>
      </c>
      <c r="J844" s="65" t="n"/>
      <c r="K844" s="65" t="n"/>
      <c r="L844" s="65" t="n"/>
      <c r="M844" s="65" t="n"/>
      <c r="N844" s="65" t="n"/>
      <c r="O844" s="65" t="n"/>
      <c r="P844" s="65" t="n"/>
      <c r="Q844" s="65" t="n"/>
      <c r="R844" s="65" t="n"/>
      <c r="S844" s="92">
        <f>G844-I844-R844-K844-M844-O844-Q844</f>
        <v/>
      </c>
      <c r="T844" s="92" t="inlineStr"/>
      <c r="U844" s="92" t="inlineStr"/>
      <c r="V844" s="69">
        <f>G844-SUM(I844,K844,M844,O844,Q844,U844)</f>
        <v/>
      </c>
      <c r="W844" s="65" t="n"/>
      <c r="X844" t="inlineStr">
        <is>
          <t>Khớp</t>
        </is>
      </c>
    </row>
    <row r="845">
      <c r="A845" s="65" t="n">
        <v>837</v>
      </c>
      <c r="B845" s="78" t="inlineStr">
        <is>
          <t>2180606153</t>
        </is>
      </c>
      <c r="C845" s="78" t="inlineStr">
        <is>
          <t xml:space="preserve">Nguyễn Đình          </t>
        </is>
      </c>
      <c r="D845" s="78" t="inlineStr">
        <is>
          <t xml:space="preserve">Huy    </t>
        </is>
      </c>
      <c r="E845" s="78" t="inlineStr">
        <is>
          <t>13/11/2003</t>
        </is>
      </c>
      <c r="F845" s="79" t="inlineStr">
        <is>
          <t xml:space="preserve">LNH0925NL01 </t>
        </is>
      </c>
      <c r="G845" s="97" t="n">
        <v>1600000</v>
      </c>
      <c r="H845" s="65">
        <f>VLOOKUP(B845,'[1]TONG HOP'!B$646:G$661,6,0)</f>
        <v/>
      </c>
      <c r="I845" s="65" t="n">
        <v>1600000</v>
      </c>
      <c r="J845" s="65" t="n"/>
      <c r="K845" s="65" t="n"/>
      <c r="L845" s="65" t="n"/>
      <c r="M845" s="65" t="n"/>
      <c r="N845" s="65" t="n"/>
      <c r="O845" s="65" t="n"/>
      <c r="P845" s="65" t="n"/>
      <c r="Q845" s="65" t="n"/>
      <c r="R845" s="65" t="n"/>
      <c r="S845" s="92">
        <f>G845-I845-R845-K845-M845-O845-Q845</f>
        <v/>
      </c>
      <c r="T845" s="92" t="inlineStr"/>
      <c r="U845" s="92" t="inlineStr"/>
      <c r="V845" s="69">
        <f>G845-SUM(I845,K845,M845,O845,Q845,U845)</f>
        <v/>
      </c>
      <c r="W845" s="65" t="n"/>
      <c r="X845" t="inlineStr">
        <is>
          <t>Khớp</t>
        </is>
      </c>
    </row>
    <row r="846">
      <c r="A846" s="65" t="n">
        <v>839</v>
      </c>
      <c r="B846" s="65" t="inlineStr">
        <is>
          <t>25805800017</t>
        </is>
      </c>
      <c r="C846" s="65" t="inlineStr">
        <is>
          <t>Đặng Hoàng</t>
        </is>
      </c>
      <c r="D846" s="65" t="inlineStr">
        <is>
          <t>Khôi</t>
        </is>
      </c>
      <c r="E846" s="65" t="inlineStr">
        <is>
          <t>18/05/2007</t>
        </is>
      </c>
      <c r="F846" s="66" t="inlineStr">
        <is>
          <t>LNH0925ND01</t>
        </is>
      </c>
      <c r="G846" s="90" t="n">
        <v>2600000</v>
      </c>
      <c r="H846" s="65" t="n"/>
      <c r="I846" s="65" t="n"/>
      <c r="J846" s="65" t="n"/>
      <c r="K846" s="65" t="n"/>
      <c r="L846" s="65">
        <f>VLOOKUP(B846,'[2]DS THANG 11'!A$3:E$616,5,0)</f>
        <v/>
      </c>
      <c r="M846" s="65" t="n">
        <v>2600000</v>
      </c>
      <c r="N846" s="65" t="n"/>
      <c r="O846" s="65" t="n"/>
      <c r="P846" s="65" t="n"/>
      <c r="Q846" s="65" t="n"/>
      <c r="R846" s="65" t="n"/>
      <c r="S846" s="92">
        <f>G846-I846-R846-K846-M846-O846-Q846</f>
        <v/>
      </c>
      <c r="T846" s="92" t="inlineStr">
        <is>
          <t>LNH0526NQ04</t>
        </is>
      </c>
      <c r="U846" s="92" t="n">
        <v>2470000</v>
      </c>
      <c r="V846" s="69">
        <f>G846-SUM(I846,K846,M846,O846,Q846,U846)</f>
        <v/>
      </c>
      <c r="W846" s="65" t="n"/>
      <c r="X846" t="inlineStr">
        <is>
          <t>Khớp</t>
        </is>
      </c>
    </row>
    <row r="847">
      <c r="A847" s="65" t="n">
        <v>841</v>
      </c>
      <c r="B847" s="65" t="inlineStr">
        <is>
          <t>0963600420</t>
        </is>
      </c>
      <c r="C847" s="65" t="inlineStr">
        <is>
          <t xml:space="preserve">Nguyễn Thành </t>
        </is>
      </c>
      <c r="D847" s="65" t="inlineStr">
        <is>
          <t>Công</t>
        </is>
      </c>
      <c r="E847" s="65" t="inlineStr">
        <is>
          <t>00/01/1900</t>
        </is>
      </c>
      <c r="F847" s="66" t="inlineStr">
        <is>
          <t>LNH1125NE01</t>
        </is>
      </c>
      <c r="G847" s="90" t="n">
        <v>2100000</v>
      </c>
      <c r="H847" s="65" t="n"/>
      <c r="I847" s="65" t="n"/>
      <c r="J847" s="65" t="n"/>
      <c r="K847" s="65" t="n"/>
      <c r="L847" s="65">
        <f>VLOOKUP(B847,'[2]DS THANG 11'!A$3:E$616,5,0)</f>
        <v/>
      </c>
      <c r="M847" s="65" t="n">
        <v>2100000</v>
      </c>
      <c r="N847" s="65" t="n"/>
      <c r="O847" s="65" t="n"/>
      <c r="P847" s="65" t="n"/>
      <c r="Q847" s="65" t="n"/>
      <c r="R847" s="65" t="n"/>
      <c r="S847" s="92">
        <f>G847-I847-R847-K847-M847-O847-Q847</f>
        <v/>
      </c>
      <c r="T847" s="92" t="inlineStr"/>
      <c r="U847" s="92" t="inlineStr"/>
      <c r="V847" s="69">
        <f>G847-SUM(I847,K847,M847,O847,Q847,U847)</f>
        <v/>
      </c>
      <c r="W847" s="65" t="inlineStr">
        <is>
          <t>Đóng ngày  13/11/25 MBL: I76064</t>
        </is>
      </c>
      <c r="X847" s="65" t="inlineStr">
        <is>
          <t>Khớp</t>
        </is>
      </c>
    </row>
    <row r="848">
      <c r="A848" s="65" t="n">
        <v>843</v>
      </c>
      <c r="B848" s="81" t="inlineStr">
        <is>
          <t>2280600597</t>
        </is>
      </c>
      <c r="C848" s="64" t="inlineStr">
        <is>
          <t xml:space="preserve">Ngô Nguyễn Tiến    </t>
        </is>
      </c>
      <c r="D848" s="64" t="inlineStr">
        <is>
          <t xml:space="preserve">Đạt   </t>
        </is>
      </c>
      <c r="E848" s="82" t="inlineStr">
        <is>
          <t>01/06/2004</t>
        </is>
      </c>
      <c r="F848" s="64" t="inlineStr">
        <is>
          <t xml:space="preserve">LNH1225NP01 </t>
        </is>
      </c>
      <c r="G848" s="93" t="n">
        <v>2000000</v>
      </c>
      <c r="H848" s="65" t="n"/>
      <c r="I848" s="65" t="n"/>
      <c r="J848" s="65" t="n"/>
      <c r="K848" s="65" t="n"/>
      <c r="L848" s="65" t="n"/>
      <c r="M848" s="65" t="n"/>
      <c r="N848" s="65" t="n"/>
      <c r="O848" s="65" t="n"/>
      <c r="P848" s="65" t="n"/>
      <c r="Q848" s="65" t="n"/>
      <c r="R848" s="65" t="n"/>
      <c r="S848" s="92">
        <f>G848-I848-R848-K848-M848-O848-Q848</f>
        <v/>
      </c>
      <c r="T848" s="92" t="inlineStr"/>
      <c r="U848" s="92" t="inlineStr"/>
      <c r="V848" s="69">
        <f>G848-SUM(I848,K848,M848,O848,Q848,U848)</f>
        <v/>
      </c>
      <c r="W848" s="65" t="inlineStr">
        <is>
          <t>Đóng ngày 04/12/25 MBL:I80815</t>
        </is>
      </c>
      <c r="X848" s="65" t="inlineStr">
        <is>
          <t>Không tồn tại trong K.Hiền</t>
        </is>
      </c>
      <c r="Y848" s="65" t="inlineStr">
        <is>
          <t>Chuyển sang học B1 LNH0326NB24</t>
        </is>
      </c>
    </row>
    <row r="849">
      <c r="A849" s="65" t="n">
        <v>845</v>
      </c>
      <c r="B849" s="65" t="inlineStr">
        <is>
          <t>25801700096</t>
        </is>
      </c>
      <c r="C849" s="65" t="inlineStr">
        <is>
          <t>Đặng Chí</t>
        </is>
      </c>
      <c r="D849" s="65" t="inlineStr">
        <is>
          <t>Dũng</t>
        </is>
      </c>
      <c r="E849" s="65" t="n"/>
      <c r="F849" s="84" t="inlineStr">
        <is>
          <t>LNH0126NP02</t>
        </is>
      </c>
      <c r="G849" s="90" t="n">
        <v>2000000</v>
      </c>
      <c r="H849" s="65" t="n"/>
      <c r="I849" s="65" t="n"/>
      <c r="J849" s="65" t="n"/>
      <c r="K849" s="65" t="n"/>
      <c r="L849" s="65" t="n"/>
      <c r="M849" s="65" t="n"/>
      <c r="N849" s="65" t="inlineStr">
        <is>
          <t>LNH0126NP02</t>
        </is>
      </c>
      <c r="O849" s="65" t="n">
        <v>2000000</v>
      </c>
      <c r="P849" s="65" t="n"/>
      <c r="Q849" s="65" t="n"/>
      <c r="R849" s="65" t="n"/>
      <c r="S849" s="92">
        <f>G849-I849-R849-K849-M849-O849-Q849</f>
        <v/>
      </c>
      <c r="T849" s="92" t="inlineStr"/>
      <c r="U849" s="92" t="inlineStr"/>
      <c r="V849" s="69">
        <f>G849-SUM(I849,K849,M849,O849,Q849,U849)</f>
        <v/>
      </c>
      <c r="W849" s="65" t="inlineStr">
        <is>
          <t>Đóng ngày 02/02/2026</t>
        </is>
      </c>
      <c r="X849" t="inlineStr">
        <is>
          <t>Khớp</t>
        </is>
      </c>
      <c r="Z849" s="65" t="inlineStr">
        <is>
          <t>I88880</t>
        </is>
      </c>
    </row>
    <row r="850">
      <c r="A850" s="65" t="n">
        <v>847</v>
      </c>
      <c r="B850" s="65" t="inlineStr">
        <is>
          <t>25802600087</t>
        </is>
      </c>
      <c r="C850" s="65" t="inlineStr">
        <is>
          <t>Phạm Thị Thanh</t>
        </is>
      </c>
      <c r="D850" s="65" t="inlineStr">
        <is>
          <t>Ngân</t>
        </is>
      </c>
      <c r="E850" s="65" t="n"/>
      <c r="F850" s="84" t="inlineStr">
        <is>
          <t>LNH0126NP02</t>
        </is>
      </c>
      <c r="G850" s="90" t="n">
        <v>4000000</v>
      </c>
      <c r="H850" s="65" t="n"/>
      <c r="I850" s="65" t="n"/>
      <c r="J850" s="65" t="n"/>
      <c r="K850" s="65" t="n"/>
      <c r="L850" s="65" t="n"/>
      <c r="M850" s="65" t="n"/>
      <c r="N850" s="65" t="inlineStr">
        <is>
          <t>LNH0126NP02</t>
        </is>
      </c>
      <c r="O850" s="65" t="n">
        <v>2000000</v>
      </c>
      <c r="P850" s="65">
        <f>VLOOKUP(B850,'[3]TONG HOP '!B$5:O$666,14,0)</f>
        <v/>
      </c>
      <c r="Q850" s="65" t="n">
        <v>2000000</v>
      </c>
      <c r="R850" s="65" t="n"/>
      <c r="S850" s="92">
        <f>G850-I850-R850-K850-M850-O850-Q850</f>
        <v/>
      </c>
      <c r="T850" s="92" t="inlineStr"/>
      <c r="U850" s="92" t="inlineStr"/>
      <c r="V850" s="69">
        <f>G850-SUM(I850,K850,M850,O850,Q850,U850)</f>
        <v/>
      </c>
      <c r="W850" s="65" t="inlineStr">
        <is>
          <t>Đóng ngày 02/02/2026</t>
        </is>
      </c>
      <c r="X850" t="inlineStr">
        <is>
          <t>Khớp</t>
        </is>
      </c>
      <c r="Z850" s="65" t="inlineStr">
        <is>
          <t>I88895</t>
        </is>
      </c>
    </row>
    <row r="851">
      <c r="A851" s="65" t="n">
        <v>849</v>
      </c>
      <c r="B851" s="84" t="inlineStr">
        <is>
          <t>25801700096</t>
        </is>
      </c>
      <c r="C851" s="84" t="inlineStr">
        <is>
          <t>Đặng Chí</t>
        </is>
      </c>
      <c r="D851" s="84" t="inlineStr">
        <is>
          <t>Dũng</t>
        </is>
      </c>
      <c r="E851" s="84" t="n"/>
      <c r="F851" s="84" t="inlineStr">
        <is>
          <t>LNH1125NO02</t>
        </is>
      </c>
      <c r="G851" s="98" t="n">
        <v>1600000</v>
      </c>
      <c r="H851" s="65" t="n"/>
      <c r="I851" s="65" t="n"/>
      <c r="J851" s="65" t="n"/>
      <c r="K851" s="65" t="n"/>
      <c r="L851" s="65" t="inlineStr">
        <is>
          <t>LNH1125NO02</t>
        </is>
      </c>
      <c r="M851" s="65" t="n">
        <v>1600000</v>
      </c>
      <c r="N851" s="65" t="n"/>
      <c r="O851" s="65" t="n"/>
      <c r="P851" s="65" t="n"/>
      <c r="Q851" s="65" t="n"/>
      <c r="R851" s="65" t="n"/>
      <c r="S851" s="92">
        <f>G851-I851-R851-K851-M851-O851-Q851</f>
        <v/>
      </c>
      <c r="T851" s="92" t="inlineStr"/>
      <c r="U851" s="92" t="inlineStr"/>
      <c r="V851" s="69">
        <f>G851-SUM(I851,K851,M851,O851,Q851,U851)</f>
        <v/>
      </c>
      <c r="W851" s="65" t="inlineStr">
        <is>
          <t>Đóng ngày 02/02/2026</t>
        </is>
      </c>
      <c r="X851" s="70" t="inlineStr">
        <is>
          <t>Khớp</t>
        </is>
      </c>
      <c r="Z851" s="65" t="inlineStr">
        <is>
          <t>I88877</t>
        </is>
      </c>
    </row>
    <row r="852">
      <c r="A852" s="65" t="n"/>
      <c r="B852" s="65" t="inlineStr">
        <is>
          <t>25807900052</t>
        </is>
      </c>
      <c r="C852" s="65" t="inlineStr">
        <is>
          <t>Trần Minh</t>
        </is>
      </c>
      <c r="D852" s="65" t="inlineStr">
        <is>
          <t>Thiện</t>
        </is>
      </c>
      <c r="E852" s="65" t="inlineStr">
        <is>
          <t>09/05/2007</t>
        </is>
      </c>
      <c r="F852" s="86" t="inlineStr">
        <is>
          <t>LNH0326NG01</t>
        </is>
      </c>
      <c r="G852" s="90" t="n">
        <v>4940000</v>
      </c>
      <c r="H852" s="65" t="n"/>
      <c r="I852" s="65" t="n"/>
      <c r="J852" s="65" t="n"/>
      <c r="K852" s="65" t="n"/>
      <c r="L852" s="65" t="n"/>
      <c r="M852" s="65" t="n"/>
      <c r="N852" s="65" t="n"/>
      <c r="O852" s="65" t="n"/>
      <c r="P852" s="65">
        <f>VLOOKUP(B852,'[3]TONG HOP '!B$5:O$666,14,0)</f>
        <v/>
      </c>
      <c r="Q852" s="65" t="n">
        <v>2470000</v>
      </c>
      <c r="R852" s="65" t="n"/>
      <c r="S852" s="92">
        <f>G852-I852-R852-K852-M852-O852-Q852</f>
        <v/>
      </c>
      <c r="T852" s="92" t="inlineStr">
        <is>
          <t>LNH0526NQ14</t>
        </is>
      </c>
      <c r="U852" s="92" t="n">
        <v>2470000</v>
      </c>
      <c r="V852" s="69">
        <f>G852-SUM(I852,K852,M852,O852,Q852,U852)</f>
        <v/>
      </c>
      <c r="W852" s="65" t="n"/>
      <c r="X852" t="inlineStr">
        <is>
          <t>Khớp</t>
        </is>
      </c>
    </row>
    <row r="853">
      <c r="A853" s="65" t="n"/>
      <c r="B853" s="65" t="inlineStr">
        <is>
          <t>25808700211</t>
        </is>
      </c>
      <c r="C853" s="65" t="inlineStr">
        <is>
          <t>Nguyễn Thanh</t>
        </is>
      </c>
      <c r="D853" s="65" t="inlineStr">
        <is>
          <t>Phong</t>
        </is>
      </c>
      <c r="E853" s="65" t="inlineStr">
        <is>
          <t>22/10/2007</t>
        </is>
      </c>
      <c r="F853" s="86" t="inlineStr">
        <is>
          <t>LNH0326NG01</t>
        </is>
      </c>
      <c r="G853" s="90" t="n">
        <v>4940000</v>
      </c>
      <c r="H853" s="65" t="n"/>
      <c r="I853" s="65" t="n"/>
      <c r="J853" s="65" t="n"/>
      <c r="K853" s="65" t="n"/>
      <c r="L853" s="65" t="n"/>
      <c r="M853" s="65" t="n"/>
      <c r="N853" s="65" t="n"/>
      <c r="O853" s="65" t="n"/>
      <c r="P853" s="65">
        <f>VLOOKUP(B853,'[3]TONG HOP '!B$5:O$666,14,0)</f>
        <v/>
      </c>
      <c r="Q853" s="65" t="n">
        <v>2470000</v>
      </c>
      <c r="R853" s="65" t="n"/>
      <c r="S853" s="92">
        <f>G853-I853-R853-K853-M853-O853-Q853</f>
        <v/>
      </c>
      <c r="T853" s="92" t="inlineStr">
        <is>
          <t>LNH0526NQ19</t>
        </is>
      </c>
      <c r="U853" s="92" t="n">
        <v>2470000</v>
      </c>
      <c r="V853" s="69">
        <f>G853-SUM(I853,K853,M853,O853,Q853,U853)</f>
        <v/>
      </c>
      <c r="W853" s="65" t="n"/>
      <c r="X853" t="inlineStr">
        <is>
          <t>Khớp</t>
        </is>
      </c>
    </row>
    <row r="854">
      <c r="A854" s="65" t="n"/>
      <c r="B854" s="65" t="inlineStr">
        <is>
          <t>25820300063</t>
        </is>
      </c>
      <c r="C854" s="65" t="inlineStr">
        <is>
          <t>Thái Thành</t>
        </is>
      </c>
      <c r="D854" s="65" t="inlineStr">
        <is>
          <t>Trí</t>
        </is>
      </c>
      <c r="E854" s="65" t="inlineStr">
        <is>
          <t>01/07/2007</t>
        </is>
      </c>
      <c r="F854" s="86" t="inlineStr">
        <is>
          <t>LNH0326NG01</t>
        </is>
      </c>
      <c r="G854" s="90" t="n">
        <v>4940000</v>
      </c>
      <c r="H854" s="65" t="n"/>
      <c r="I854" s="65" t="n"/>
      <c r="J854" s="65" t="n"/>
      <c r="K854" s="65" t="n"/>
      <c r="L854" s="65" t="n"/>
      <c r="M854" s="65" t="n"/>
      <c r="N854" s="65" t="n"/>
      <c r="O854" s="65" t="n"/>
      <c r="P854" s="65">
        <f>VLOOKUP(B854,'[3]TONG HOP '!B$5:O$666,14,0)</f>
        <v/>
      </c>
      <c r="Q854" s="65" t="n">
        <v>2470000</v>
      </c>
      <c r="R854" s="65" t="n"/>
      <c r="S854" s="92">
        <f>G854-I854-R854-K854-M854-O854-Q854</f>
        <v/>
      </c>
      <c r="T854" s="92" t="inlineStr"/>
      <c r="U854" s="92" t="inlineStr"/>
      <c r="V854" s="69">
        <f>G854-SUM(I854,K854,M854,O854,Q854,U854)</f>
        <v/>
      </c>
      <c r="W854" s="65" t="n"/>
      <c r="X854" t="inlineStr">
        <is>
          <t>Khớp</t>
        </is>
      </c>
    </row>
    <row r="855">
      <c r="A855" s="65" t="n"/>
      <c r="B855" s="65" t="inlineStr">
        <is>
          <t>25805800017</t>
        </is>
      </c>
      <c r="C855" s="65" t="inlineStr">
        <is>
          <t>Đặng Hoàng</t>
        </is>
      </c>
      <c r="D855" s="65" t="inlineStr">
        <is>
          <t>Khôi</t>
        </is>
      </c>
      <c r="E855" s="65" t="inlineStr">
        <is>
          <t>18/05/2007</t>
        </is>
      </c>
      <c r="F855" s="86" t="inlineStr">
        <is>
          <t>LNH0326NG01</t>
        </is>
      </c>
      <c r="G855" s="90" t="n">
        <v>4940000</v>
      </c>
      <c r="H855" s="65" t="n"/>
      <c r="I855" s="65" t="n"/>
      <c r="J855" s="65" t="n"/>
      <c r="K855" s="65" t="n"/>
      <c r="L855" s="65" t="n"/>
      <c r="M855" s="65" t="n"/>
      <c r="N855" s="65" t="n"/>
      <c r="O855" s="65" t="n"/>
      <c r="P855" s="65">
        <f>VLOOKUP(B855,'[3]TONG HOP '!B$5:O$666,14,0)</f>
        <v/>
      </c>
      <c r="Q855" s="65" t="n">
        <v>2470000</v>
      </c>
      <c r="R855" s="65" t="n"/>
      <c r="S855" s="92">
        <f>G855-I855-R855-K855-M855-O855-Q855</f>
        <v/>
      </c>
      <c r="T855" s="92" t="inlineStr">
        <is>
          <t>LNH0526NQ04</t>
        </is>
      </c>
      <c r="U855" s="92" t="n">
        <v>2470000</v>
      </c>
      <c r="V855" s="69">
        <f>G855-SUM(I855,K855,M855,O855,Q855,U855)</f>
        <v/>
      </c>
      <c r="W855" s="65" t="n"/>
      <c r="X855" t="inlineStr">
        <is>
          <t>Khớp</t>
        </is>
      </c>
    </row>
    <row r="856">
      <c r="A856" s="65" t="n"/>
      <c r="B856" s="65" t="inlineStr">
        <is>
          <t>25800400020</t>
        </is>
      </c>
      <c r="C856" s="65" t="inlineStr">
        <is>
          <t>Lô Khánh</t>
        </is>
      </c>
      <c r="D856" s="65" t="inlineStr">
        <is>
          <t>Chương</t>
        </is>
      </c>
      <c r="E856" s="65" t="inlineStr">
        <is>
          <t>23/11/2007</t>
        </is>
      </c>
      <c r="F856" s="86" t="inlineStr">
        <is>
          <t>LNH0326NG01</t>
        </is>
      </c>
      <c r="G856" s="90" t="n">
        <v>4940000</v>
      </c>
      <c r="H856" s="65" t="n"/>
      <c r="I856" s="65" t="n"/>
      <c r="J856" s="65" t="n"/>
      <c r="K856" s="65" t="n"/>
      <c r="L856" s="65" t="n"/>
      <c r="M856" s="65" t="n"/>
      <c r="N856" s="65" t="n"/>
      <c r="O856" s="65" t="n"/>
      <c r="P856" s="65">
        <f>VLOOKUP(B856,'[3]TONG HOP '!B$5:O$666,14,0)</f>
        <v/>
      </c>
      <c r="Q856" s="65" t="n">
        <v>2470000</v>
      </c>
      <c r="R856" s="65" t="n"/>
      <c r="S856" s="92">
        <f>G856-I856-R856-K856-M856-O856-Q856</f>
        <v/>
      </c>
      <c r="T856" s="92" t="inlineStr">
        <is>
          <t>LNH0526NQ20</t>
        </is>
      </c>
      <c r="U856" s="92" t="n">
        <v>2470000</v>
      </c>
      <c r="V856" s="69">
        <f>G856-SUM(I856,K856,M856,O856,Q856,U856)</f>
        <v/>
      </c>
      <c r="W856" s="65" t="n"/>
      <c r="X856" t="inlineStr">
        <is>
          <t>Khớp</t>
        </is>
      </c>
    </row>
    <row r="857">
      <c r="A857" s="65" t="n"/>
      <c r="B857" s="65" t="inlineStr">
        <is>
          <t>25808200072</t>
        </is>
      </c>
      <c r="C857" s="65" t="inlineStr">
        <is>
          <t>Hồng Văn</t>
        </is>
      </c>
      <c r="D857" s="65" t="inlineStr">
        <is>
          <t>Kiên</t>
        </is>
      </c>
      <c r="E857" s="65" t="inlineStr">
        <is>
          <t>10/11/2007</t>
        </is>
      </c>
      <c r="F857" s="86" t="inlineStr">
        <is>
          <t>LNH0326NG01</t>
        </is>
      </c>
      <c r="G857" s="90" t="n">
        <v>2065000</v>
      </c>
      <c r="H857" s="65" t="n"/>
      <c r="I857" s="65" t="n"/>
      <c r="J857" s="65" t="n"/>
      <c r="K857" s="65" t="n"/>
      <c r="L857" s="65" t="n"/>
      <c r="M857" s="65" t="n"/>
      <c r="N857" s="65" t="n"/>
      <c r="O857" s="65" t="n"/>
      <c r="P857" s="65">
        <f>VLOOKUP(B857,'[3]TONG HOP '!B$5:O$666,14,0)</f>
        <v/>
      </c>
      <c r="Q857" s="65" t="n">
        <v>2065000</v>
      </c>
      <c r="R857" s="65" t="n"/>
      <c r="S857" s="92">
        <f>G857-I857-R857-K857-M857-O857-Q857</f>
        <v/>
      </c>
      <c r="T857" s="92" t="inlineStr">
        <is>
          <t>LNH0526NQ19</t>
        </is>
      </c>
      <c r="U857" s="92" t="n">
        <v>2600000</v>
      </c>
      <c r="V857" s="69">
        <f>G857-SUM(I857,K857,M857,O857,Q857,U857)</f>
        <v/>
      </c>
      <c r="W857" s="65" t="n"/>
      <c r="X857" t="inlineStr">
        <is>
          <t>Khớp</t>
        </is>
      </c>
    </row>
    <row r="858">
      <c r="A858" s="65" t="n"/>
      <c r="B858" s="65" t="inlineStr">
        <is>
          <t>25807700081</t>
        </is>
      </c>
      <c r="C858" s="65" t="inlineStr">
        <is>
          <t>Đặng Hoàng</t>
        </is>
      </c>
      <c r="D858" s="65" t="inlineStr">
        <is>
          <t>Vinh</t>
        </is>
      </c>
      <c r="E858" s="65" t="inlineStr">
        <is>
          <t>29/09/2007</t>
        </is>
      </c>
      <c r="F858" s="86" t="inlineStr">
        <is>
          <t>LNH0326NG01</t>
        </is>
      </c>
      <c r="G858" s="90" t="n">
        <v>2600000</v>
      </c>
      <c r="H858" s="65" t="n"/>
      <c r="I858" s="65" t="n"/>
      <c r="J858" s="65" t="n"/>
      <c r="K858" s="65" t="n"/>
      <c r="L858" s="65" t="n"/>
      <c r="M858" s="65" t="n"/>
      <c r="N858" s="65" t="n"/>
      <c r="O858" s="65" t="n"/>
      <c r="P858" s="65">
        <f>VLOOKUP(B858,'[3]TONG HOP '!B$5:O$666,14,0)</f>
        <v/>
      </c>
      <c r="Q858" s="65" t="n">
        <v>2600000</v>
      </c>
      <c r="R858" s="65" t="n"/>
      <c r="S858" s="92">
        <f>G858-I858-R858-K858-M858-O858-Q858</f>
        <v/>
      </c>
      <c r="T858" s="92" t="inlineStr"/>
      <c r="U858" s="92" t="inlineStr"/>
      <c r="V858" s="69">
        <f>G858-SUM(I858,K858,M858,O858,Q858,U858)</f>
        <v/>
      </c>
      <c r="W858" s="65" t="n"/>
      <c r="X858" t="inlineStr">
        <is>
          <t>Khớp</t>
        </is>
      </c>
    </row>
    <row r="859">
      <c r="A859" s="65" t="n"/>
      <c r="B859" s="65" t="inlineStr">
        <is>
          <t>25802700054</t>
        </is>
      </c>
      <c r="C859" s="65" t="inlineStr">
        <is>
          <t>Lê Thị Tuyết</t>
        </is>
      </c>
      <c r="D859" s="65" t="inlineStr">
        <is>
          <t>Ngân</t>
        </is>
      </c>
      <c r="E859" s="65" t="inlineStr">
        <is>
          <t>22/07/2007</t>
        </is>
      </c>
      <c r="F859" s="86" t="inlineStr">
        <is>
          <t>LNH0326NG01</t>
        </is>
      </c>
      <c r="G859" s="90" t="n">
        <v>4940000</v>
      </c>
      <c r="H859" s="65" t="n"/>
      <c r="I859" s="65" t="n"/>
      <c r="J859" s="65" t="n"/>
      <c r="K859" s="65" t="n"/>
      <c r="L859" s="65" t="n"/>
      <c r="M859" s="65" t="n"/>
      <c r="N859" s="65" t="n"/>
      <c r="O859" s="65" t="n"/>
      <c r="P859" s="65">
        <f>VLOOKUP(B859,'[3]TONG HOP '!B$5:O$666,14,0)</f>
        <v/>
      </c>
      <c r="Q859" s="65" t="n">
        <v>2470000</v>
      </c>
      <c r="R859" s="65" t="n"/>
      <c r="S859" s="92">
        <f>G859-I859-R859-K859-M859-O859-Q859</f>
        <v/>
      </c>
      <c r="T859" s="92" t="inlineStr">
        <is>
          <t>LNH0526NQ11</t>
        </is>
      </c>
      <c r="U859" s="92" t="n">
        <v>2470000</v>
      </c>
      <c r="V859" s="69">
        <f>G859-SUM(I859,K859,M859,O859,Q859,U859)</f>
        <v/>
      </c>
      <c r="W859" s="65" t="n"/>
      <c r="X859" t="inlineStr">
        <is>
          <t>Khớp</t>
        </is>
      </c>
    </row>
    <row r="860">
      <c r="A860" s="65" t="n"/>
      <c r="B860" s="65" t="inlineStr">
        <is>
          <t>25807800116</t>
        </is>
      </c>
      <c r="C860" s="65" t="inlineStr">
        <is>
          <t>Nguyễn Trần Minh</t>
        </is>
      </c>
      <c r="D860" s="65" t="inlineStr">
        <is>
          <t>Quân</t>
        </is>
      </c>
      <c r="E860" s="65" t="inlineStr">
        <is>
          <t>09/09/2007</t>
        </is>
      </c>
      <c r="F860" s="86" t="inlineStr">
        <is>
          <t>LNH0326NG01</t>
        </is>
      </c>
      <c r="G860" s="90" t="n">
        <v>4940000</v>
      </c>
      <c r="H860" s="65" t="n"/>
      <c r="I860" s="65" t="n"/>
      <c r="J860" s="65" t="n"/>
      <c r="K860" s="65" t="n"/>
      <c r="L860" s="65" t="n"/>
      <c r="M860" s="65" t="n"/>
      <c r="N860" s="65" t="n"/>
      <c r="O860" s="65" t="n"/>
      <c r="P860" s="65">
        <f>VLOOKUP(B860,'[3]TONG HOP '!B$5:O$666,14,0)</f>
        <v/>
      </c>
      <c r="Q860" s="65" t="n">
        <v>2470000</v>
      </c>
      <c r="R860" s="65" t="n"/>
      <c r="S860" s="92">
        <f>G860-I860-R860-K860-M860-O860-Q860</f>
        <v/>
      </c>
      <c r="T860" s="92" t="inlineStr"/>
      <c r="U860" s="92" t="inlineStr"/>
      <c r="V860" s="69">
        <f>G860-SUM(I860,K860,M860,O860,Q860,U860)</f>
        <v/>
      </c>
      <c r="W860" s="65" t="n"/>
      <c r="X860" t="inlineStr">
        <is>
          <t>Khớp</t>
        </is>
      </c>
    </row>
    <row r="861">
      <c r="A861" s="65" t="n"/>
      <c r="B861" s="65" t="inlineStr">
        <is>
          <t>24806107982</t>
        </is>
      </c>
      <c r="C861" s="65" t="inlineStr">
        <is>
          <t>Vũ Kiều Ngọc</t>
        </is>
      </c>
      <c r="D861" s="65" t="inlineStr">
        <is>
          <t>Lan</t>
        </is>
      </c>
      <c r="E861" s="65" t="inlineStr">
        <is>
          <t>31/03/2005</t>
        </is>
      </c>
      <c r="F861" s="86" t="inlineStr">
        <is>
          <t>LNH0326NG01</t>
        </is>
      </c>
      <c r="G861" s="90" t="n">
        <v>2600000</v>
      </c>
      <c r="H861" s="65" t="n"/>
      <c r="I861" s="65" t="n"/>
      <c r="J861" s="65" t="n"/>
      <c r="K861" s="65" t="n"/>
      <c r="L861" s="65" t="n"/>
      <c r="M861" s="65" t="n"/>
      <c r="N861" s="65" t="n"/>
      <c r="O861" s="65" t="n"/>
      <c r="P861" s="65">
        <f>VLOOKUP(B861,'[3]TONG HOP '!B$5:O$666,14,0)</f>
        <v/>
      </c>
      <c r="Q861" s="65" t="n">
        <v>2600000</v>
      </c>
      <c r="R861" s="65" t="n"/>
      <c r="S861" s="92">
        <f>G861-I861-R861-K861-M861-O861-Q861</f>
        <v/>
      </c>
      <c r="T861" s="92" t="inlineStr"/>
      <c r="U861" s="92" t="inlineStr"/>
      <c r="V861" s="69">
        <f>G861-SUM(I861,K861,M861,O861,Q861,U861)</f>
        <v/>
      </c>
      <c r="W861" s="65" t="n"/>
      <c r="X861" t="inlineStr">
        <is>
          <t>Khớp</t>
        </is>
      </c>
    </row>
    <row r="862">
      <c r="A862" s="65" t="n"/>
      <c r="B862" s="65" t="inlineStr">
        <is>
          <t>25807000012</t>
        </is>
      </c>
      <c r="C862" s="65" t="inlineStr">
        <is>
          <t>Trần Ngọc Minh</t>
        </is>
      </c>
      <c r="D862" s="65" t="inlineStr">
        <is>
          <t>Huyền</t>
        </is>
      </c>
      <c r="E862" s="65" t="inlineStr">
        <is>
          <t>20/04/2007</t>
        </is>
      </c>
      <c r="F862" s="86" t="inlineStr">
        <is>
          <t>LNH0326NG01</t>
        </is>
      </c>
      <c r="G862" s="90" t="n">
        <v>4940000</v>
      </c>
      <c r="H862" s="65" t="n"/>
      <c r="I862" s="65" t="n"/>
      <c r="J862" s="65" t="n"/>
      <c r="K862" s="65" t="n"/>
      <c r="L862" s="65" t="n"/>
      <c r="M862" s="65" t="n"/>
      <c r="N862" s="65" t="n"/>
      <c r="O862" s="65" t="n"/>
      <c r="P862" s="65">
        <f>VLOOKUP(B862,'[3]TONG HOP '!B$5:O$666,14,0)</f>
        <v/>
      </c>
      <c r="Q862" s="65" t="n">
        <v>2470000</v>
      </c>
      <c r="R862" s="65" t="n"/>
      <c r="S862" s="92">
        <f>G862-I862-R862-K862-M862-O862-Q862</f>
        <v/>
      </c>
      <c r="T862" s="92" t="inlineStr">
        <is>
          <t>LNH0526NQ15</t>
        </is>
      </c>
      <c r="U862" s="92" t="n">
        <v>2470000</v>
      </c>
      <c r="V862" s="69">
        <f>G862-SUM(I862,K862,M862,O862,Q862,U862)</f>
        <v/>
      </c>
      <c r="W862" s="65" t="n"/>
      <c r="X862" t="inlineStr">
        <is>
          <t>Khớp</t>
        </is>
      </c>
    </row>
    <row r="863">
      <c r="A863" s="65" t="n"/>
      <c r="B863" s="65" t="inlineStr">
        <is>
          <t>25803800063</t>
        </is>
      </c>
      <c r="C863" s="65" t="inlineStr">
        <is>
          <t>Nguyễn Hoàng Nhựt</t>
        </is>
      </c>
      <c r="D863" s="65" t="inlineStr">
        <is>
          <t>Trí</t>
        </is>
      </c>
      <c r="E863" s="65" t="inlineStr">
        <is>
          <t>17/10/2007</t>
        </is>
      </c>
      <c r="F863" s="86" t="inlineStr">
        <is>
          <t>LNH0326NG01</t>
        </is>
      </c>
      <c r="G863" s="90" t="n">
        <v>2600000</v>
      </c>
      <c r="H863" s="65" t="n"/>
      <c r="I863" s="65" t="n"/>
      <c r="J863" s="65" t="n"/>
      <c r="K863" s="65" t="n"/>
      <c r="L863" s="65" t="n"/>
      <c r="M863" s="65" t="n"/>
      <c r="N863" s="65" t="n"/>
      <c r="O863" s="65" t="n"/>
      <c r="P863" s="65">
        <f>VLOOKUP(B863,'[3]TONG HOP '!B$5:O$666,14,0)</f>
        <v/>
      </c>
      <c r="Q863" s="65" t="n">
        <v>2600000</v>
      </c>
      <c r="R863" s="65" t="n"/>
      <c r="S863" s="92">
        <f>G863-I863-R863-K863-M863-O863-Q863</f>
        <v/>
      </c>
      <c r="T863" s="92" t="inlineStr"/>
      <c r="U863" s="92" t="inlineStr"/>
      <c r="V863" s="69">
        <f>G863-SUM(I863,K863,M863,O863,Q863,U863)</f>
        <v/>
      </c>
      <c r="W863" s="65" t="n"/>
      <c r="X863" t="inlineStr">
        <is>
          <t>Khớp</t>
        </is>
      </c>
    </row>
    <row r="864">
      <c r="A864" s="65" t="n"/>
      <c r="B864" s="65" t="inlineStr">
        <is>
          <t>25808200053</t>
        </is>
      </c>
      <c r="C864" s="65" t="inlineStr">
        <is>
          <t>Thái Ngọc</t>
        </is>
      </c>
      <c r="D864" s="65" t="inlineStr">
        <is>
          <t>Huy</t>
        </is>
      </c>
      <c r="E864" s="65" t="inlineStr">
        <is>
          <t>16/08/2007</t>
        </is>
      </c>
      <c r="F864" s="86" t="inlineStr">
        <is>
          <t>LNH0326NG01</t>
        </is>
      </c>
      <c r="G864" s="90" t="n">
        <v>2600000</v>
      </c>
      <c r="H864" s="65" t="n"/>
      <c r="I864" s="65" t="n"/>
      <c r="J864" s="65" t="n"/>
      <c r="K864" s="65" t="n"/>
      <c r="L864" s="65" t="n"/>
      <c r="M864" s="65" t="n"/>
      <c r="N864" s="65" t="n"/>
      <c r="O864" s="65" t="n"/>
      <c r="P864" s="65">
        <f>VLOOKUP(B864,'[3]TONG HOP '!B$5:O$666,14,0)</f>
        <v/>
      </c>
      <c r="Q864" s="65" t="n">
        <v>2600000</v>
      </c>
      <c r="R864" s="65" t="n"/>
      <c r="S864" s="92">
        <f>G864-I864-R864-K864-M864-O864-Q864</f>
        <v/>
      </c>
      <c r="T864" s="92" t="inlineStr">
        <is>
          <t>LNH0526NQ13</t>
        </is>
      </c>
      <c r="U864" s="92" t="n">
        <v>2600000</v>
      </c>
      <c r="V864" s="69">
        <f>G864-SUM(I864,K864,M864,O864,Q864,U864)</f>
        <v/>
      </c>
      <c r="W864" s="65" t="n"/>
      <c r="X864" t="inlineStr">
        <is>
          <t>Khớp</t>
        </is>
      </c>
    </row>
    <row r="865">
      <c r="A865" s="65" t="n"/>
      <c r="B865" s="65" t="inlineStr">
        <is>
          <t>25800600007</t>
        </is>
      </c>
      <c r="C865" s="65" t="inlineStr">
        <is>
          <t>Phạm Thái</t>
        </is>
      </c>
      <c r="D865" s="65" t="inlineStr">
        <is>
          <t>An</t>
        </is>
      </c>
      <c r="E865" s="65" t="inlineStr">
        <is>
          <t>03/06/2007</t>
        </is>
      </c>
      <c r="F865" s="86" t="inlineStr">
        <is>
          <t>LNH0326NG01</t>
        </is>
      </c>
      <c r="G865" s="90" t="n">
        <v>2600000</v>
      </c>
      <c r="H865" s="65" t="n"/>
      <c r="I865" s="65" t="n"/>
      <c r="J865" s="65" t="n"/>
      <c r="K865" s="65" t="n"/>
      <c r="L865" s="65" t="n"/>
      <c r="M865" s="65" t="n"/>
      <c r="N865" s="65" t="n"/>
      <c r="O865" s="65" t="n"/>
      <c r="P865" s="65">
        <f>VLOOKUP(B865,'[3]TONG HOP '!B$5:O$666,14,0)</f>
        <v/>
      </c>
      <c r="Q865" s="65" t="n">
        <v>2600000</v>
      </c>
      <c r="R865" s="65" t="n"/>
      <c r="S865" s="92">
        <f>G865-I865-R865-K865-M865-O865-Q865</f>
        <v/>
      </c>
      <c r="T865" s="92" t="inlineStr"/>
      <c r="U865" s="92" t="inlineStr"/>
      <c r="V865" s="69">
        <f>G865-SUM(I865,K865,M865,O865,Q865,U865)</f>
        <v/>
      </c>
      <c r="W865" s="65" t="n"/>
      <c r="X865" t="inlineStr">
        <is>
          <t>Khớp</t>
        </is>
      </c>
    </row>
    <row r="866">
      <c r="A866" s="65" t="n"/>
      <c r="B866" s="65" t="inlineStr">
        <is>
          <t>25801000013</t>
        </is>
      </c>
      <c r="C866" s="65" t="inlineStr">
        <is>
          <t>Trần Đặng Kim</t>
        </is>
      </c>
      <c r="D866" s="65" t="inlineStr">
        <is>
          <t>Ngân</t>
        </is>
      </c>
      <c r="E866" s="65" t="inlineStr">
        <is>
          <t>17/10/2007</t>
        </is>
      </c>
      <c r="F866" s="86" t="inlineStr">
        <is>
          <t>LNH0326NG01</t>
        </is>
      </c>
      <c r="G866" s="90" t="n">
        <v>4940000</v>
      </c>
      <c r="H866" s="65" t="n"/>
      <c r="I866" s="65" t="n"/>
      <c r="J866" s="65" t="n"/>
      <c r="K866" s="65" t="n"/>
      <c r="L866" s="65" t="n"/>
      <c r="M866" s="65" t="n"/>
      <c r="N866" s="65" t="n"/>
      <c r="O866" s="65" t="n"/>
      <c r="P866" s="65">
        <f>VLOOKUP(B866,'[3]TONG HOP '!B$5:O$666,14,0)</f>
        <v/>
      </c>
      <c r="Q866" s="65" t="n">
        <v>2470000</v>
      </c>
      <c r="R866" s="65" t="n"/>
      <c r="S866" s="92">
        <f>G866-I866-R866-K866-M866-O866-Q866</f>
        <v/>
      </c>
      <c r="T866" s="92" t="inlineStr">
        <is>
          <t>LNH0526NQ15</t>
        </is>
      </c>
      <c r="U866" s="92" t="n">
        <v>2470000</v>
      </c>
      <c r="V866" s="69">
        <f>G866-SUM(I866,K866,M866,O866,Q866,U866)</f>
        <v/>
      </c>
      <c r="W866" s="65" t="n"/>
      <c r="X866" t="inlineStr">
        <is>
          <t>Khớp</t>
        </is>
      </c>
    </row>
    <row r="867">
      <c r="A867" s="65" t="n"/>
      <c r="B867" s="65" t="inlineStr">
        <is>
          <t>25807800112</t>
        </is>
      </c>
      <c r="C867" s="65" t="inlineStr">
        <is>
          <t>Nguyễn Hoàng Minh</t>
        </is>
      </c>
      <c r="D867" s="65" t="inlineStr">
        <is>
          <t>Quang</t>
        </is>
      </c>
      <c r="E867" s="65" t="inlineStr">
        <is>
          <t>13/10/2007</t>
        </is>
      </c>
      <c r="F867" s="86" t="inlineStr">
        <is>
          <t>LNH0326NG01</t>
        </is>
      </c>
      <c r="G867" s="90" t="n">
        <v>4940000</v>
      </c>
      <c r="H867" s="65" t="n"/>
      <c r="I867" s="65" t="n"/>
      <c r="J867" s="65" t="n"/>
      <c r="K867" s="65" t="n"/>
      <c r="L867" s="65" t="n"/>
      <c r="M867" s="65" t="n"/>
      <c r="N867" s="65" t="n"/>
      <c r="O867" s="65" t="n"/>
      <c r="P867" s="65">
        <f>VLOOKUP(B867,'[3]TONG HOP '!B$5:O$666,14,0)</f>
        <v/>
      </c>
      <c r="Q867" s="65" t="n">
        <v>2470000</v>
      </c>
      <c r="R867" s="65" t="n"/>
      <c r="S867" s="92">
        <f>G867-I867-R867-K867-M867-O867-Q867</f>
        <v/>
      </c>
      <c r="T867" s="92" t="inlineStr">
        <is>
          <t>LNH0526NQ16</t>
        </is>
      </c>
      <c r="U867" s="92" t="n">
        <v>2470000</v>
      </c>
      <c r="V867" s="69">
        <f>G867-SUM(I867,K867,M867,O867,Q867,U867)</f>
        <v/>
      </c>
      <c r="W867" s="65" t="n"/>
      <c r="X867" t="inlineStr">
        <is>
          <t>Khớp</t>
        </is>
      </c>
    </row>
    <row r="868">
      <c r="A868" s="65" t="n"/>
      <c r="B868" s="65" t="inlineStr">
        <is>
          <t>25806800008</t>
        </is>
      </c>
      <c r="C868" s="65" t="inlineStr">
        <is>
          <t>Bàng Thanh</t>
        </is>
      </c>
      <c r="D868" s="65" t="inlineStr">
        <is>
          <t>Bảo</t>
        </is>
      </c>
      <c r="E868" s="65" t="inlineStr">
        <is>
          <t>06/02/2007</t>
        </is>
      </c>
      <c r="F868" s="86" t="inlineStr">
        <is>
          <t>LNH0326NG01</t>
        </is>
      </c>
      <c r="G868" s="90" t="n">
        <v>4940000</v>
      </c>
      <c r="H868" s="65" t="n"/>
      <c r="I868" s="65" t="n"/>
      <c r="J868" s="65" t="n"/>
      <c r="K868" s="65" t="n"/>
      <c r="L868" s="65" t="n"/>
      <c r="M868" s="65" t="n"/>
      <c r="N868" s="65" t="n"/>
      <c r="O868" s="65" t="n"/>
      <c r="P868" s="65">
        <f>VLOOKUP(B868,'[3]TONG HOP '!B$5:O$666,14,0)</f>
        <v/>
      </c>
      <c r="Q868" s="65" t="n">
        <v>2470000</v>
      </c>
      <c r="R868" s="65" t="n"/>
      <c r="S868" s="92">
        <f>G868-I868-R868-K868-M868-O868-Q868</f>
        <v/>
      </c>
      <c r="T868" s="92" t="inlineStr">
        <is>
          <t>LNH0526NQ06</t>
        </is>
      </c>
      <c r="U868" s="92" t="n">
        <v>2470000</v>
      </c>
      <c r="V868" s="69">
        <f>G868-SUM(I868,K868,M868,O868,Q868,U868)</f>
        <v/>
      </c>
      <c r="W868" s="65" t="n"/>
      <c r="X868" t="inlineStr">
        <is>
          <t>Khớp</t>
        </is>
      </c>
    </row>
    <row r="869">
      <c r="A869" s="65" t="n"/>
      <c r="B869" s="65" t="inlineStr">
        <is>
          <t>25802800025</t>
        </is>
      </c>
      <c r="C869" s="65" t="inlineStr">
        <is>
          <t>Trần Vũ Bảo</t>
        </is>
      </c>
      <c r="D869" s="65" t="inlineStr">
        <is>
          <t>Châu</t>
        </is>
      </c>
      <c r="E869" s="65" t="inlineStr">
        <is>
          <t>26/10/2007</t>
        </is>
      </c>
      <c r="F869" s="86" t="inlineStr">
        <is>
          <t>LNH0326NG01</t>
        </is>
      </c>
      <c r="G869" s="90" t="n">
        <v>4940000</v>
      </c>
      <c r="H869" s="65" t="n"/>
      <c r="I869" s="65" t="n"/>
      <c r="J869" s="65" t="n"/>
      <c r="K869" s="65" t="n"/>
      <c r="L869" s="65" t="n"/>
      <c r="M869" s="65" t="n"/>
      <c r="N869" s="65" t="n"/>
      <c r="O869" s="65" t="n"/>
      <c r="P869" s="65">
        <f>VLOOKUP(B869,'[3]TONG HOP '!B$5:O$666,14,0)</f>
        <v/>
      </c>
      <c r="Q869" s="65" t="n">
        <v>2470000</v>
      </c>
      <c r="R869" s="65" t="n"/>
      <c r="S869" s="92">
        <f>G869-I869-R869-K869-M869-O869-Q869</f>
        <v/>
      </c>
      <c r="T869" s="92" t="inlineStr">
        <is>
          <t>LNH0526NQ03</t>
        </is>
      </c>
      <c r="U869" s="92" t="n">
        <v>2470000</v>
      </c>
      <c r="V869" s="69">
        <f>G869-SUM(I869,K869,M869,O869,Q869,U869)</f>
        <v/>
      </c>
      <c r="W869" s="65" t="n"/>
      <c r="X869" t="inlineStr">
        <is>
          <t>Khớp</t>
        </is>
      </c>
    </row>
    <row r="870">
      <c r="A870" s="65" t="n"/>
      <c r="B870" s="65" t="inlineStr">
        <is>
          <t>25801200059</t>
        </is>
      </c>
      <c r="C870" s="65" t="inlineStr">
        <is>
          <t>Trần Thị Kim</t>
        </is>
      </c>
      <c r="D870" s="65" t="inlineStr">
        <is>
          <t>Nga</t>
        </is>
      </c>
      <c r="E870" s="65" t="inlineStr">
        <is>
          <t>30/06/2007</t>
        </is>
      </c>
      <c r="F870" s="86" t="inlineStr">
        <is>
          <t>LNH0326NG01</t>
        </is>
      </c>
      <c r="G870" s="90" t="n">
        <v>4940000</v>
      </c>
      <c r="H870" s="65" t="n"/>
      <c r="I870" s="65" t="n"/>
      <c r="J870" s="65" t="n"/>
      <c r="K870" s="65" t="n"/>
      <c r="L870" s="65" t="n"/>
      <c r="M870" s="65" t="n"/>
      <c r="N870" s="65" t="n"/>
      <c r="O870" s="65" t="n"/>
      <c r="P870" s="65">
        <f>VLOOKUP(B870,'[3]TONG HOP '!B$5:O$666,14,0)</f>
        <v/>
      </c>
      <c r="Q870" s="65" t="n">
        <v>2470000</v>
      </c>
      <c r="R870" s="65" t="n"/>
      <c r="S870" s="92">
        <f>G870-I870-R870-K870-M870-O870-Q870</f>
        <v/>
      </c>
      <c r="T870" s="92" t="inlineStr">
        <is>
          <t>LNH0526NQ19</t>
        </is>
      </c>
      <c r="U870" s="92" t="n">
        <v>2470000</v>
      </c>
      <c r="V870" s="69">
        <f>G870-SUM(I870,K870,M870,O870,Q870,U870)</f>
        <v/>
      </c>
      <c r="W870" s="65" t="n"/>
      <c r="X870" t="inlineStr">
        <is>
          <t>Khớp</t>
        </is>
      </c>
    </row>
    <row r="871">
      <c r="A871" s="65" t="n"/>
      <c r="B871" s="65" t="inlineStr">
        <is>
          <t>25808600158</t>
        </is>
      </c>
      <c r="C871" s="65" t="inlineStr">
        <is>
          <t>Trương Ngọc Minh</t>
        </is>
      </c>
      <c r="D871" s="65" t="inlineStr">
        <is>
          <t>Vy</t>
        </is>
      </c>
      <c r="E871" s="65" t="inlineStr">
        <is>
          <t>07/08/2007</t>
        </is>
      </c>
      <c r="F871" s="86" t="inlineStr">
        <is>
          <t>LNH0326NG01</t>
        </is>
      </c>
      <c r="G871" s="90" t="n">
        <v>2600000</v>
      </c>
      <c r="H871" s="65" t="n"/>
      <c r="I871" s="65" t="n"/>
      <c r="J871" s="65" t="n"/>
      <c r="K871" s="65" t="n"/>
      <c r="L871" s="65" t="n"/>
      <c r="M871" s="65" t="n"/>
      <c r="N871" s="65" t="n"/>
      <c r="O871" s="65" t="n"/>
      <c r="P871" s="65">
        <f>VLOOKUP(B871,'[3]TONG HOP '!B$5:O$666,14,0)</f>
        <v/>
      </c>
      <c r="Q871" s="65" t="n">
        <v>2600000</v>
      </c>
      <c r="R871" s="65" t="n"/>
      <c r="S871" s="92">
        <f>G871-I871-R871-K871-M871-O871-Q871</f>
        <v/>
      </c>
      <c r="T871" s="92" t="inlineStr"/>
      <c r="U871" s="92" t="inlineStr"/>
      <c r="V871" s="69">
        <f>G871-SUM(I871,K871,M871,O871,Q871,U871)</f>
        <v/>
      </c>
      <c r="W871" s="65" t="n"/>
      <c r="X871" t="inlineStr">
        <is>
          <t>Khớp</t>
        </is>
      </c>
    </row>
    <row r="872">
      <c r="A872" s="65" t="n"/>
      <c r="B872" s="65" t="inlineStr">
        <is>
          <t>25801700022</t>
        </is>
      </c>
      <c r="C872" s="65" t="inlineStr">
        <is>
          <t>Phạm Hoàng</t>
        </is>
      </c>
      <c r="D872" s="65" t="inlineStr">
        <is>
          <t>Khang</t>
        </is>
      </c>
      <c r="E872" s="65" t="inlineStr">
        <is>
          <t>11/04/2007</t>
        </is>
      </c>
      <c r="F872" s="86" t="inlineStr">
        <is>
          <t>LNH0326NG01</t>
        </is>
      </c>
      <c r="G872" s="90" t="n">
        <v>2600000</v>
      </c>
      <c r="H872" s="65" t="n"/>
      <c r="I872" s="65" t="n"/>
      <c r="J872" s="65" t="n"/>
      <c r="K872" s="65" t="n"/>
      <c r="L872" s="65" t="n"/>
      <c r="M872" s="65" t="n"/>
      <c r="N872" s="65" t="n"/>
      <c r="O872" s="65" t="n"/>
      <c r="P872" s="65">
        <f>VLOOKUP(B872,'[3]TONG HOP '!B$5:O$666,14,0)</f>
        <v/>
      </c>
      <c r="Q872" s="65" t="n">
        <v>2600000</v>
      </c>
      <c r="R872" s="65" t="n"/>
      <c r="S872" s="92">
        <f>G872-I872-R872-K872-M872-O872-Q872</f>
        <v/>
      </c>
      <c r="T872" s="92" t="inlineStr">
        <is>
          <t>LNH0526NQ02</t>
        </is>
      </c>
      <c r="U872" s="92" t="n">
        <v>2600000</v>
      </c>
      <c r="V872" s="69">
        <f>G872-SUM(I872,K872,M872,O872,Q872,U872)</f>
        <v/>
      </c>
      <c r="W872" s="65" t="n"/>
      <c r="X872" t="inlineStr">
        <is>
          <t>Khớp</t>
        </is>
      </c>
    </row>
    <row r="873">
      <c r="A873" s="65" t="n"/>
      <c r="B873" s="65" t="inlineStr">
        <is>
          <t>25801800072</t>
        </is>
      </c>
      <c r="C873" s="65" t="inlineStr">
        <is>
          <t>Nguyễn Ngọc Bảo</t>
        </is>
      </c>
      <c r="D873" s="65" t="inlineStr">
        <is>
          <t>Thy</t>
        </is>
      </c>
      <c r="E873" s="65" t="inlineStr">
        <is>
          <t>20/01/2007</t>
        </is>
      </c>
      <c r="F873" s="86" t="inlineStr">
        <is>
          <t>LNH0326NG01</t>
        </is>
      </c>
      <c r="G873" s="90" t="n">
        <v>2600000</v>
      </c>
      <c r="H873" s="65" t="n"/>
      <c r="I873" s="65" t="n"/>
      <c r="J873" s="65" t="n"/>
      <c r="K873" s="65" t="n"/>
      <c r="L873" s="65" t="n"/>
      <c r="M873" s="65" t="n"/>
      <c r="N873" s="65" t="n"/>
      <c r="O873" s="65" t="n"/>
      <c r="P873" s="65">
        <f>VLOOKUP(B873,'[3]TONG HOP '!B$5:O$666,14,0)</f>
        <v/>
      </c>
      <c r="Q873" s="65" t="n">
        <v>2600000</v>
      </c>
      <c r="R873" s="65" t="n"/>
      <c r="S873" s="92">
        <f>G873-I873-R873-K873-M873-O873-Q873</f>
        <v/>
      </c>
      <c r="T873" s="92" t="inlineStr"/>
      <c r="U873" s="92" t="inlineStr"/>
      <c r="V873" s="69">
        <f>G873-SUM(I873,K873,M873,O873,Q873,U873)</f>
        <v/>
      </c>
      <c r="W873" s="65" t="n"/>
      <c r="X873" t="inlineStr">
        <is>
          <t>Khớp</t>
        </is>
      </c>
    </row>
    <row r="874">
      <c r="A874" s="65" t="n"/>
      <c r="B874" s="65" t="inlineStr">
        <is>
          <t>25808500274</t>
        </is>
      </c>
      <c r="C874" s="65" t="inlineStr">
        <is>
          <t>Nguyễn Trọng</t>
        </is>
      </c>
      <c r="D874" s="65" t="inlineStr">
        <is>
          <t>Phát</t>
        </is>
      </c>
      <c r="E874" s="65" t="inlineStr">
        <is>
          <t>22/12/2007</t>
        </is>
      </c>
      <c r="F874" s="86" t="inlineStr">
        <is>
          <t>LNH0326NG01</t>
        </is>
      </c>
      <c r="G874" s="90" t="n">
        <v>2600000</v>
      </c>
      <c r="H874" s="65" t="n"/>
      <c r="I874" s="65" t="n"/>
      <c r="J874" s="65" t="n"/>
      <c r="K874" s="65" t="n"/>
      <c r="L874" s="65" t="n"/>
      <c r="M874" s="65" t="n"/>
      <c r="N874" s="65" t="n"/>
      <c r="O874" s="65" t="n"/>
      <c r="P874" s="65">
        <f>VLOOKUP(B874,'[3]TONG HOP '!B$5:O$666,14,0)</f>
        <v/>
      </c>
      <c r="Q874" s="65" t="n">
        <v>2600000</v>
      </c>
      <c r="R874" s="65" t="n"/>
      <c r="S874" s="92">
        <f>G874-I874-R874-K874-M874-O874-Q874</f>
        <v/>
      </c>
      <c r="T874" s="92" t="inlineStr">
        <is>
          <t>LNH0526NQ16</t>
        </is>
      </c>
      <c r="U874" s="92" t="n">
        <v>2600000</v>
      </c>
      <c r="V874" s="69">
        <f>G874-SUM(I874,K874,M874,O874,Q874,U874)</f>
        <v/>
      </c>
      <c r="W874" s="65" t="n"/>
      <c r="X874" t="inlineStr">
        <is>
          <t>Khớp</t>
        </is>
      </c>
    </row>
    <row r="875">
      <c r="A875" s="65" t="n"/>
      <c r="B875" s="65" t="inlineStr">
        <is>
          <t>25808900055</t>
        </is>
      </c>
      <c r="C875" s="65" t="inlineStr">
        <is>
          <t>Huỳnh Ngọc Nguyên</t>
        </is>
      </c>
      <c r="D875" s="65" t="inlineStr">
        <is>
          <t>Khanh</t>
        </is>
      </c>
      <c r="E875" s="65" t="inlineStr">
        <is>
          <t>02/01/2007</t>
        </is>
      </c>
      <c r="F875" s="86" t="inlineStr">
        <is>
          <t>LNH0326NG01</t>
        </is>
      </c>
      <c r="G875" s="90" t="n">
        <v>2600000</v>
      </c>
      <c r="H875" s="65" t="n"/>
      <c r="I875" s="65" t="n"/>
      <c r="J875" s="65" t="n"/>
      <c r="K875" s="65" t="n"/>
      <c r="L875" s="65" t="n"/>
      <c r="M875" s="65" t="n"/>
      <c r="N875" s="65" t="n"/>
      <c r="O875" s="65" t="n"/>
      <c r="P875" s="65">
        <f>VLOOKUP(B875,'[3]TONG HOP '!B$5:O$666,14,0)</f>
        <v/>
      </c>
      <c r="Q875" s="65" t="n">
        <v>2600000</v>
      </c>
      <c r="R875" s="65" t="n"/>
      <c r="S875" s="92">
        <f>G875-I875-R875-K875-M875-O875-Q875</f>
        <v/>
      </c>
      <c r="T875" s="92" t="inlineStr">
        <is>
          <t>LNH0526NQ05</t>
        </is>
      </c>
      <c r="U875" s="92" t="n">
        <v>2600000</v>
      </c>
      <c r="V875" s="69">
        <f>G875-SUM(I875,K875,M875,O875,Q875,U875)</f>
        <v/>
      </c>
      <c r="W875" s="65" t="n"/>
      <c r="X875" t="inlineStr">
        <is>
          <t>Khớp</t>
        </is>
      </c>
    </row>
    <row r="876">
      <c r="A876" s="65" t="n"/>
      <c r="B876" s="65" t="inlineStr">
        <is>
          <t>25820700046</t>
        </is>
      </c>
      <c r="C876" s="65" t="inlineStr">
        <is>
          <t>Ngô Thanh</t>
        </is>
      </c>
      <c r="D876" s="65" t="inlineStr">
        <is>
          <t>Vân</t>
        </is>
      </c>
      <c r="E876" s="65" t="inlineStr">
        <is>
          <t>12/12/2007</t>
        </is>
      </c>
      <c r="F876" s="86" t="inlineStr">
        <is>
          <t>LNH0326NG01</t>
        </is>
      </c>
      <c r="G876" s="90" t="n">
        <v>4940000</v>
      </c>
      <c r="H876" s="65" t="n"/>
      <c r="I876" s="65" t="n"/>
      <c r="J876" s="65" t="n"/>
      <c r="K876" s="65" t="n"/>
      <c r="L876" s="65" t="n"/>
      <c r="M876" s="65" t="n"/>
      <c r="N876" s="65" t="n"/>
      <c r="O876" s="65" t="n"/>
      <c r="P876" s="65">
        <f>VLOOKUP(B876,'[3]TONG HOP '!B$5:O$666,14,0)</f>
        <v/>
      </c>
      <c r="Q876" s="65" t="n">
        <v>2470000</v>
      </c>
      <c r="R876" s="65" t="n"/>
      <c r="S876" s="92">
        <f>G876-I876-R876-K876-M876-O876-Q876</f>
        <v/>
      </c>
      <c r="T876" s="92" t="inlineStr"/>
      <c r="U876" s="92" t="inlineStr"/>
      <c r="V876" s="69">
        <f>G876-SUM(I876,K876,M876,O876,Q876,U876)</f>
        <v/>
      </c>
      <c r="W876" s="65" t="n"/>
      <c r="X876" t="inlineStr">
        <is>
          <t>Khớp</t>
        </is>
      </c>
    </row>
    <row r="877">
      <c r="A877" s="65" t="n"/>
      <c r="B877" s="65" t="inlineStr">
        <is>
          <t>25803800045</t>
        </is>
      </c>
      <c r="C877" s="65" t="inlineStr">
        <is>
          <t>Trần Ngọc Kiều</t>
        </is>
      </c>
      <c r="D877" s="65" t="inlineStr">
        <is>
          <t>Oanh</t>
        </is>
      </c>
      <c r="E877" s="65" t="inlineStr">
        <is>
          <t>04/08/2005</t>
        </is>
      </c>
      <c r="F877" s="86" t="inlineStr">
        <is>
          <t>LNH0326NG01</t>
        </is>
      </c>
      <c r="G877" s="90" t="n">
        <v>4940000</v>
      </c>
      <c r="H877" s="65" t="n"/>
      <c r="I877" s="65" t="n"/>
      <c r="J877" s="65" t="n"/>
      <c r="K877" s="65" t="n"/>
      <c r="L877" s="65" t="n"/>
      <c r="M877" s="65" t="n"/>
      <c r="N877" s="65" t="n"/>
      <c r="O877" s="65" t="n"/>
      <c r="P877" s="65">
        <f>VLOOKUP(B877,'[3]TONG HOP '!B$5:O$666,14,0)</f>
        <v/>
      </c>
      <c r="Q877" s="65" t="n">
        <v>2470000</v>
      </c>
      <c r="R877" s="65" t="n"/>
      <c r="S877" s="92">
        <f>G877-I877-R877-K877-M877-O877-Q877</f>
        <v/>
      </c>
      <c r="T877" s="92" t="inlineStr">
        <is>
          <t>LNH0526NQ14</t>
        </is>
      </c>
      <c r="U877" s="92" t="n">
        <v>2470000</v>
      </c>
      <c r="V877" s="69">
        <f>G877-SUM(I877,K877,M877,O877,Q877,U877)</f>
        <v/>
      </c>
      <c r="W877" s="65" t="n"/>
      <c r="X877" t="inlineStr">
        <is>
          <t>Khớp</t>
        </is>
      </c>
    </row>
    <row r="878">
      <c r="A878" s="65" t="n"/>
      <c r="B878" s="65" t="inlineStr">
        <is>
          <t>25820200011</t>
        </is>
      </c>
      <c r="C878" s="65" t="inlineStr">
        <is>
          <t>Phạm Hùng</t>
        </is>
      </c>
      <c r="D878" s="65" t="inlineStr">
        <is>
          <t>Duy</t>
        </is>
      </c>
      <c r="E878" s="65" t="inlineStr">
        <is>
          <t>17/07/2007</t>
        </is>
      </c>
      <c r="F878" s="86" t="inlineStr">
        <is>
          <t>LNH0326NG01</t>
        </is>
      </c>
      <c r="G878" s="90" t="n">
        <v>4940000</v>
      </c>
      <c r="H878" s="65" t="n"/>
      <c r="I878" s="65" t="n"/>
      <c r="J878" s="65" t="n"/>
      <c r="K878" s="65" t="n"/>
      <c r="L878" s="65" t="n"/>
      <c r="M878" s="65" t="n"/>
      <c r="N878" s="65" t="n"/>
      <c r="O878" s="65" t="n"/>
      <c r="P878" s="65">
        <f>VLOOKUP(B878,'[3]TONG HOP '!B$5:O$666,14,0)</f>
        <v/>
      </c>
      <c r="Q878" s="65" t="n">
        <v>2470000</v>
      </c>
      <c r="R878" s="65" t="n"/>
      <c r="S878" s="92">
        <f>G878-I878-R878-K878-M878-O878-Q878</f>
        <v/>
      </c>
      <c r="T878" s="92" t="inlineStr">
        <is>
          <t>LNH0526NQ17</t>
        </is>
      </c>
      <c r="U878" s="92" t="n">
        <v>2470000</v>
      </c>
      <c r="V878" s="69">
        <f>G878-SUM(I878,K878,M878,O878,Q878,U878)</f>
        <v/>
      </c>
      <c r="W878" s="65" t="n"/>
      <c r="X878" t="inlineStr">
        <is>
          <t>Khớp</t>
        </is>
      </c>
    </row>
    <row r="879">
      <c r="A879" s="65" t="n"/>
      <c r="B879" s="65" t="inlineStr">
        <is>
          <t>25802600070</t>
        </is>
      </c>
      <c r="C879" s="65" t="inlineStr">
        <is>
          <t>Nguyễn Quỳnh</t>
        </is>
      </c>
      <c r="D879" s="65" t="inlineStr">
        <is>
          <t>Loan</t>
        </is>
      </c>
      <c r="E879" s="65" t="inlineStr">
        <is>
          <t>06/09/2007</t>
        </is>
      </c>
      <c r="F879" s="86" t="inlineStr">
        <is>
          <t>LNH0326NG01</t>
        </is>
      </c>
      <c r="G879" s="90" t="n">
        <v>4940000</v>
      </c>
      <c r="H879" s="65" t="n"/>
      <c r="I879" s="65" t="n"/>
      <c r="J879" s="65" t="n"/>
      <c r="K879" s="65" t="n"/>
      <c r="L879" s="65" t="n"/>
      <c r="M879" s="65" t="n"/>
      <c r="N879" s="65" t="n"/>
      <c r="O879" s="65" t="n"/>
      <c r="P879" s="65">
        <f>VLOOKUP(B879,'[3]TONG HOP '!B$5:O$666,14,0)</f>
        <v/>
      </c>
      <c r="Q879" s="65" t="n">
        <v>2470000</v>
      </c>
      <c r="R879" s="65" t="n"/>
      <c r="S879" s="92">
        <f>G879-I879-R879-K879-M879-O879-Q879</f>
        <v/>
      </c>
      <c r="T879" s="92" t="inlineStr">
        <is>
          <t>LNH0526NQ10</t>
        </is>
      </c>
      <c r="U879" s="92" t="n">
        <v>2470000</v>
      </c>
      <c r="V879" s="69">
        <f>G879-SUM(I879,K879,M879,O879,Q879,U879)</f>
        <v/>
      </c>
      <c r="W879" s="65" t="n"/>
      <c r="X879" t="inlineStr">
        <is>
          <t>Khớp</t>
        </is>
      </c>
    </row>
    <row r="880">
      <c r="A880" s="65" t="n"/>
      <c r="B880" s="65" t="inlineStr">
        <is>
          <t>25802600082</t>
        </is>
      </c>
      <c r="C880" s="65" t="inlineStr">
        <is>
          <t>Dương Nguyễn Hạnh</t>
        </is>
      </c>
      <c r="D880" s="65" t="inlineStr">
        <is>
          <t>Ngân</t>
        </is>
      </c>
      <c r="E880" s="65" t="inlineStr">
        <is>
          <t>10/06/2007</t>
        </is>
      </c>
      <c r="F880" s="86" t="inlineStr">
        <is>
          <t>LNH0326NG01</t>
        </is>
      </c>
      <c r="G880" s="90" t="n">
        <v>4940000</v>
      </c>
      <c r="H880" s="65" t="n"/>
      <c r="I880" s="65" t="n"/>
      <c r="J880" s="65" t="n"/>
      <c r="K880" s="65" t="n"/>
      <c r="L880" s="65" t="n"/>
      <c r="M880" s="65" t="n"/>
      <c r="N880" s="65" t="n"/>
      <c r="O880" s="65" t="n"/>
      <c r="P880" s="65">
        <f>VLOOKUP(B880,'[3]TONG HOP '!B$5:O$666,14,0)</f>
        <v/>
      </c>
      <c r="Q880" s="65" t="n">
        <v>2470000</v>
      </c>
      <c r="R880" s="65" t="n"/>
      <c r="S880" s="92">
        <f>G880-I880-R880-K880-M880-O880-Q880</f>
        <v/>
      </c>
      <c r="T880" s="92" t="inlineStr">
        <is>
          <t>LNH0526NQ10</t>
        </is>
      </c>
      <c r="U880" s="92" t="n">
        <v>2470000</v>
      </c>
      <c r="V880" s="69">
        <f>G880-SUM(I880,K880,M880,O880,Q880,U880)</f>
        <v/>
      </c>
      <c r="W880" s="65" t="n"/>
      <c r="X880" t="inlineStr">
        <is>
          <t>Khớp</t>
        </is>
      </c>
    </row>
    <row r="881">
      <c r="A881" s="65" t="n"/>
      <c r="B881" s="65" t="inlineStr">
        <is>
          <t>25808700034</t>
        </is>
      </c>
      <c r="C881" s="65" t="inlineStr">
        <is>
          <t>Nguyễn Gia</t>
        </is>
      </c>
      <c r="D881" s="65" t="inlineStr">
        <is>
          <t>Hưng</t>
        </is>
      </c>
      <c r="E881" s="65" t="inlineStr">
        <is>
          <t>17/10/2007</t>
        </is>
      </c>
      <c r="F881" s="86" t="inlineStr">
        <is>
          <t>LNH0326NG01</t>
        </is>
      </c>
      <c r="G881" s="90" t="n">
        <v>2600000</v>
      </c>
      <c r="H881" s="65" t="n"/>
      <c r="I881" s="65" t="n"/>
      <c r="J881" s="65" t="n"/>
      <c r="K881" s="65" t="n"/>
      <c r="L881" s="65" t="n"/>
      <c r="M881" s="65" t="n"/>
      <c r="N881" s="65" t="n"/>
      <c r="O881" s="65" t="n"/>
      <c r="P881" s="65">
        <f>VLOOKUP(B881,'[3]TONG HOP '!B$5:O$666,14,0)</f>
        <v/>
      </c>
      <c r="Q881" s="65" t="n">
        <v>2600000</v>
      </c>
      <c r="R881" s="65" t="n"/>
      <c r="S881" s="92">
        <f>G881-I881-R881-K881-M881-O881-Q881</f>
        <v/>
      </c>
      <c r="T881" s="92" t="inlineStr"/>
      <c r="U881" s="92" t="inlineStr"/>
      <c r="V881" s="69">
        <f>G881-SUM(I881,K881,M881,O881,Q881,U881)</f>
        <v/>
      </c>
      <c r="W881" s="65" t="n"/>
      <c r="X881" t="inlineStr">
        <is>
          <t>Khớp</t>
        </is>
      </c>
    </row>
    <row r="882">
      <c r="A882" s="65" t="n"/>
      <c r="B882" s="65" t="inlineStr">
        <is>
          <t>25802800201</t>
        </is>
      </c>
      <c r="C882" s="65" t="inlineStr">
        <is>
          <t>Cao Vũ Anh</t>
        </is>
      </c>
      <c r="D882" s="65" t="inlineStr">
        <is>
          <t>Phong</t>
        </is>
      </c>
      <c r="E882" s="65" t="inlineStr">
        <is>
          <t>03/12/2007</t>
        </is>
      </c>
      <c r="F882" s="86" t="inlineStr">
        <is>
          <t>LNH0326NG01</t>
        </is>
      </c>
      <c r="G882" s="90" t="n">
        <v>2600000</v>
      </c>
      <c r="H882" s="65" t="n"/>
      <c r="I882" s="65" t="n"/>
      <c r="J882" s="65" t="n"/>
      <c r="K882" s="65" t="n"/>
      <c r="L882" s="65" t="n"/>
      <c r="M882" s="65" t="n"/>
      <c r="N882" s="65" t="n"/>
      <c r="O882" s="65" t="n"/>
      <c r="P882" s="65">
        <f>VLOOKUP(B882,'[3]TONG HOP '!B$5:O$666,14,0)</f>
        <v/>
      </c>
      <c r="Q882" s="65" t="n">
        <v>2600000</v>
      </c>
      <c r="R882" s="65" t="n"/>
      <c r="S882" s="92">
        <f>G882-I882-R882-K882-M882-O882-Q882</f>
        <v/>
      </c>
      <c r="T882" s="92" t="inlineStr"/>
      <c r="U882" s="92" t="inlineStr"/>
      <c r="V882" s="69">
        <f>G882-SUM(I882,K882,M882,O882,Q882,U882)</f>
        <v/>
      </c>
      <c r="W882" s="65" t="n"/>
      <c r="X882" t="inlineStr">
        <is>
          <t>Khớp</t>
        </is>
      </c>
    </row>
    <row r="883">
      <c r="A883" s="65" t="n"/>
      <c r="B883" s="65" t="inlineStr">
        <is>
          <t>25802300124</t>
        </is>
      </c>
      <c r="C883" s="65" t="inlineStr">
        <is>
          <t>Nguyễn Thùy</t>
        </is>
      </c>
      <c r="D883" s="65" t="inlineStr">
        <is>
          <t>Linh</t>
        </is>
      </c>
      <c r="E883" s="65" t="inlineStr">
        <is>
          <t>11/07/2007</t>
        </is>
      </c>
      <c r="F883" s="86" t="inlineStr">
        <is>
          <t>LNH0326NG01</t>
        </is>
      </c>
      <c r="G883" s="90" t="n">
        <v>2600000</v>
      </c>
      <c r="H883" s="65" t="n"/>
      <c r="I883" s="65" t="n"/>
      <c r="J883" s="65" t="n"/>
      <c r="K883" s="65" t="n"/>
      <c r="L883" s="65" t="n"/>
      <c r="M883" s="65" t="n"/>
      <c r="N883" s="65" t="n"/>
      <c r="O883" s="65" t="n"/>
      <c r="P883" s="65">
        <f>VLOOKUP(B883,'[3]TONG HOP '!B$5:O$666,14,0)</f>
        <v/>
      </c>
      <c r="Q883" s="65" t="n">
        <v>2600000</v>
      </c>
      <c r="R883" s="65" t="n"/>
      <c r="S883" s="92">
        <f>G883-I883-R883-K883-M883-O883-Q883</f>
        <v/>
      </c>
      <c r="T883" s="92" t="inlineStr"/>
      <c r="U883" s="92" t="inlineStr"/>
      <c r="V883" s="69">
        <f>G883-SUM(I883,K883,M883,O883,Q883,U883)</f>
        <v/>
      </c>
      <c r="W883" s="65" t="n"/>
      <c r="X883" t="inlineStr">
        <is>
          <t>Khớp</t>
        </is>
      </c>
    </row>
    <row r="884">
      <c r="A884" s="65" t="n"/>
      <c r="B884" s="65" t="inlineStr">
        <is>
          <t>25805900091</t>
        </is>
      </c>
      <c r="C884" s="65" t="inlineStr">
        <is>
          <t>Phạm Phương</t>
        </is>
      </c>
      <c r="D884" s="65" t="inlineStr">
        <is>
          <t>Uyên</t>
        </is>
      </c>
      <c r="E884" s="65" t="inlineStr">
        <is>
          <t>02/09/2007</t>
        </is>
      </c>
      <c r="F884" s="86" t="inlineStr">
        <is>
          <t>LNH0326NG01</t>
        </is>
      </c>
      <c r="G884" s="90" t="n">
        <v>2600000</v>
      </c>
      <c r="H884" s="65" t="n"/>
      <c r="I884" s="65" t="n"/>
      <c r="J884" s="65" t="n"/>
      <c r="K884" s="65" t="n"/>
      <c r="L884" s="65" t="n"/>
      <c r="M884" s="65" t="n"/>
      <c r="N884" s="65" t="n"/>
      <c r="O884" s="65" t="n"/>
      <c r="P884" s="65">
        <f>VLOOKUP(B884,'[3]TONG HOP '!B$5:O$666,14,0)</f>
        <v/>
      </c>
      <c r="Q884" s="65" t="n">
        <v>2600000</v>
      </c>
      <c r="R884" s="65" t="n"/>
      <c r="S884" s="92">
        <f>G884-I884-R884-K884-M884-O884-Q884</f>
        <v/>
      </c>
      <c r="T884" s="92" t="inlineStr"/>
      <c r="U884" s="92" t="inlineStr"/>
      <c r="V884" s="69">
        <f>G884-SUM(I884,K884,M884,O884,Q884,U884)</f>
        <v/>
      </c>
      <c r="W884" s="65" t="n"/>
      <c r="X884" t="inlineStr">
        <is>
          <t>Khớp</t>
        </is>
      </c>
    </row>
    <row r="885">
      <c r="A885" s="65" t="n"/>
      <c r="B885" s="65" t="inlineStr">
        <is>
          <t>25808200135</t>
        </is>
      </c>
      <c r="C885" s="65" t="inlineStr">
        <is>
          <t>Nguyễn Phi</t>
        </is>
      </c>
      <c r="D885" s="65" t="inlineStr">
        <is>
          <t>Trường</t>
        </is>
      </c>
      <c r="E885" s="65" t="inlineStr">
        <is>
          <t>22/11/2001</t>
        </is>
      </c>
      <c r="F885" s="86" t="inlineStr">
        <is>
          <t>LNH0326NG01</t>
        </is>
      </c>
      <c r="G885" s="90" t="n">
        <v>5200000</v>
      </c>
      <c r="H885" s="65" t="n"/>
      <c r="I885" s="65" t="n"/>
      <c r="J885" s="65" t="n"/>
      <c r="K885" s="65" t="n"/>
      <c r="L885" s="65" t="n"/>
      <c r="M885" s="65" t="n"/>
      <c r="N885" s="65" t="n"/>
      <c r="O885" s="65" t="n"/>
      <c r="P885" s="65">
        <f>VLOOKUP(B885,'[3]TONG HOP '!B$5:O$666,14,0)</f>
        <v/>
      </c>
      <c r="Q885" s="65" t="n">
        <v>2600000</v>
      </c>
      <c r="R885" s="65" t="n"/>
      <c r="S885" s="92">
        <f>G885-I885-R885-K885-M885-O885-Q885</f>
        <v/>
      </c>
      <c r="T885" s="92" t="inlineStr"/>
      <c r="U885" s="92" t="inlineStr"/>
      <c r="V885" s="69">
        <f>G885-SUM(I885,K885,M885,O885,Q885,U885)</f>
        <v/>
      </c>
      <c r="W885" s="65" t="n"/>
      <c r="X885" t="inlineStr">
        <is>
          <t>Khớp</t>
        </is>
      </c>
    </row>
    <row r="886">
      <c r="A886" s="65" t="n"/>
      <c r="B886" s="65" t="inlineStr">
        <is>
          <t>25808900095</t>
        </is>
      </c>
      <c r="C886" s="65" t="inlineStr">
        <is>
          <t>Nguyễn Hữu</t>
        </is>
      </c>
      <c r="D886" s="65" t="inlineStr">
        <is>
          <t>Phát</t>
        </is>
      </c>
      <c r="E886" s="65" t="inlineStr">
        <is>
          <t>28/11/2006</t>
        </is>
      </c>
      <c r="F886" s="86" t="inlineStr">
        <is>
          <t>LNH0326NG01</t>
        </is>
      </c>
      <c r="G886" s="90" t="n">
        <v>4940000</v>
      </c>
      <c r="H886" s="65" t="n"/>
      <c r="I886" s="65" t="n"/>
      <c r="J886" s="65" t="n"/>
      <c r="K886" s="65" t="n"/>
      <c r="L886" s="65" t="n"/>
      <c r="M886" s="65" t="n"/>
      <c r="N886" s="65" t="n"/>
      <c r="O886" s="65" t="n"/>
      <c r="P886" s="65">
        <f>VLOOKUP(B886,'[3]TONG HOP '!B$5:O$666,14,0)</f>
        <v/>
      </c>
      <c r="Q886" s="65" t="n">
        <v>2470000</v>
      </c>
      <c r="R886" s="65" t="n"/>
      <c r="S886" s="92">
        <f>G886-I886-R886-K886-M886-O886-Q886</f>
        <v/>
      </c>
      <c r="T886" s="92" t="inlineStr">
        <is>
          <t>LNH0526NQ07</t>
        </is>
      </c>
      <c r="U886" s="92" t="n">
        <v>2470000</v>
      </c>
      <c r="V886" s="69">
        <f>G886-SUM(I886,K886,M886,O886,Q886,U886)</f>
        <v/>
      </c>
      <c r="W886" s="65" t="n"/>
      <c r="X886" t="inlineStr">
        <is>
          <t>Khớp</t>
        </is>
      </c>
    </row>
    <row r="887">
      <c r="A887" s="65" t="n"/>
      <c r="B887" s="65" t="inlineStr">
        <is>
          <t>25807500028</t>
        </is>
      </c>
      <c r="C887" s="65" t="inlineStr">
        <is>
          <t>Tô Gia</t>
        </is>
      </c>
      <c r="D887" s="65" t="inlineStr">
        <is>
          <t>Hân</t>
        </is>
      </c>
      <c r="E887" s="65" t="inlineStr">
        <is>
          <t>10/03/2007</t>
        </is>
      </c>
      <c r="F887" s="86" t="inlineStr">
        <is>
          <t>LNH0326NG01</t>
        </is>
      </c>
      <c r="G887" s="90" t="n">
        <v>4940000</v>
      </c>
      <c r="H887" s="65" t="n"/>
      <c r="I887" s="65" t="n"/>
      <c r="J887" s="65" t="n"/>
      <c r="K887" s="65" t="n"/>
      <c r="L887" s="65" t="n"/>
      <c r="M887" s="65" t="n"/>
      <c r="N887" s="65" t="n"/>
      <c r="O887" s="65" t="n"/>
      <c r="P887" s="65">
        <f>VLOOKUP(B887,'[3]TONG HOP '!B$5:O$666,14,0)</f>
        <v/>
      </c>
      <c r="Q887" s="65" t="n">
        <v>2470000</v>
      </c>
      <c r="R887" s="65" t="n"/>
      <c r="S887" s="92">
        <f>G887-I887-R887-K887-M887-O887-Q887</f>
        <v/>
      </c>
      <c r="T887" s="92" t="inlineStr">
        <is>
          <t>LNH0526NQ17</t>
        </is>
      </c>
      <c r="U887" s="92" t="n">
        <v>2470000</v>
      </c>
      <c r="V887" s="69">
        <f>G887-SUM(I887,K887,M887,O887,Q887,U887)</f>
        <v/>
      </c>
      <c r="W887" s="65" t="n"/>
      <c r="X887" t="inlineStr">
        <is>
          <t>Khớp</t>
        </is>
      </c>
    </row>
    <row r="888">
      <c r="A888" s="65" t="n"/>
      <c r="B888" s="65" t="inlineStr">
        <is>
          <t>2383000855</t>
        </is>
      </c>
      <c r="C888" s="65" t="inlineStr">
        <is>
          <t>Nguyễn Minh</t>
        </is>
      </c>
      <c r="D888" s="65" t="inlineStr">
        <is>
          <t>Phương</t>
        </is>
      </c>
      <c r="E888" s="65" t="inlineStr">
        <is>
          <t>06/03/2005</t>
        </is>
      </c>
      <c r="F888" s="86" t="inlineStr">
        <is>
          <t>LNH0326NG01</t>
        </is>
      </c>
      <c r="G888" s="90">
        <f>6200000+2600000</f>
        <v/>
      </c>
      <c r="H888" s="65" t="n"/>
      <c r="I888" s="65" t="n"/>
      <c r="J888" s="65" t="n"/>
      <c r="K888" s="65" t="n"/>
      <c r="L888" s="65" t="n"/>
      <c r="M888" s="65" t="n"/>
      <c r="N888" s="65" t="n"/>
      <c r="O888" s="65" t="n"/>
      <c r="P888" s="65">
        <f>VLOOKUP(B888,'[3]TONG HOP '!B$5:O$666,14,0)</f>
        <v/>
      </c>
      <c r="Q888" s="65" t="n">
        <v>2000000</v>
      </c>
      <c r="R888" s="65" t="n"/>
      <c r="S888" s="92">
        <f>G888-I888-R888-K888-M888-O888-Q888</f>
        <v/>
      </c>
      <c r="T888" s="92" t="inlineStr"/>
      <c r="U888" s="92" t="inlineStr"/>
      <c r="V888" s="69">
        <f>G888-SUM(I888,K888,M888,O888,Q888,U888)</f>
        <v/>
      </c>
      <c r="W888" s="65" t="n"/>
      <c r="X888" t="inlineStr">
        <is>
          <t>Khớp</t>
        </is>
      </c>
    </row>
    <row r="889">
      <c r="A889" s="65" t="n"/>
      <c r="B889" s="65" t="inlineStr">
        <is>
          <t>25802600010</t>
        </is>
      </c>
      <c r="C889" s="65" t="inlineStr">
        <is>
          <t>Tăng Hồng</t>
        </is>
      </c>
      <c r="D889" s="65" t="inlineStr">
        <is>
          <t>Anh</t>
        </is>
      </c>
      <c r="E889" s="65" t="inlineStr">
        <is>
          <t>17/08/2007</t>
        </is>
      </c>
      <c r="F889" s="86" t="inlineStr">
        <is>
          <t>LNH0326NG01</t>
        </is>
      </c>
      <c r="G889" s="90" t="n">
        <v>5200000</v>
      </c>
      <c r="H889" s="65" t="n"/>
      <c r="I889" s="65" t="n"/>
      <c r="J889" s="65" t="n"/>
      <c r="K889" s="65" t="n"/>
      <c r="L889" s="65" t="n"/>
      <c r="M889" s="65" t="n"/>
      <c r="N889" s="65" t="n"/>
      <c r="O889" s="65" t="n"/>
      <c r="P889" s="65">
        <f>VLOOKUP(B889,'[3]TONG HOP '!B$5:O$666,14,0)</f>
        <v/>
      </c>
      <c r="Q889" s="65" t="n">
        <v>2600000</v>
      </c>
      <c r="R889" s="65" t="n"/>
      <c r="S889" s="92">
        <f>G889-I889-R889-K889-M889-O889-Q889</f>
        <v/>
      </c>
      <c r="T889" s="92" t="inlineStr">
        <is>
          <t>LNH0526NQ02</t>
        </is>
      </c>
      <c r="U889" s="92" t="n">
        <v>2600000</v>
      </c>
      <c r="V889" s="69">
        <f>G889-SUM(I889,K889,M889,O889,Q889,U889)</f>
        <v/>
      </c>
      <c r="W889" s="65" t="n"/>
      <c r="X889" t="inlineStr">
        <is>
          <t>Khớp</t>
        </is>
      </c>
    </row>
    <row r="890">
      <c r="A890" s="65" t="n"/>
      <c r="B890" s="65" t="inlineStr">
        <is>
          <t>25808700098</t>
        </is>
      </c>
      <c r="C890" s="65" t="inlineStr">
        <is>
          <t>Lê Nguyễn Anh</t>
        </is>
      </c>
      <c r="D890" s="65" t="inlineStr">
        <is>
          <t>Thư</t>
        </is>
      </c>
      <c r="E890" s="65" t="inlineStr">
        <is>
          <t>15/07/2007</t>
        </is>
      </c>
      <c r="F890" s="86" t="inlineStr">
        <is>
          <t>LNH0326NG01</t>
        </is>
      </c>
      <c r="G890" s="90" t="n">
        <v>2600000</v>
      </c>
      <c r="H890" s="65" t="n"/>
      <c r="I890" s="65" t="n"/>
      <c r="J890" s="65" t="n"/>
      <c r="K890" s="65" t="n"/>
      <c r="L890" s="65" t="n"/>
      <c r="M890" s="65" t="n"/>
      <c r="N890" s="65" t="n"/>
      <c r="O890" s="65" t="n"/>
      <c r="P890" s="65">
        <f>VLOOKUP(B890,'[3]TONG HOP '!B$5:O$666,14,0)</f>
        <v/>
      </c>
      <c r="Q890" s="65" t="n">
        <v>2600000</v>
      </c>
      <c r="R890" s="65" t="n"/>
      <c r="S890" s="92">
        <f>G890-I890-R890-K890-M890-O890-Q890</f>
        <v/>
      </c>
      <c r="T890" s="92" t="inlineStr"/>
      <c r="U890" s="92" t="inlineStr"/>
      <c r="V890" s="69">
        <f>G890-SUM(I890,K890,M890,O890,Q890,U890)</f>
        <v/>
      </c>
      <c r="W890" s="65" t="n"/>
      <c r="X890" t="inlineStr">
        <is>
          <t>Khớp</t>
        </is>
      </c>
    </row>
    <row r="891">
      <c r="A891" s="65" t="n"/>
      <c r="B891" s="65" t="inlineStr">
        <is>
          <t>25820200036</t>
        </is>
      </c>
      <c r="C891" s="65" t="inlineStr">
        <is>
          <t>Võ Hoàng Anh</t>
        </is>
      </c>
      <c r="D891" s="65" t="inlineStr">
        <is>
          <t>Kiệt</t>
        </is>
      </c>
      <c r="E891" s="65" t="inlineStr">
        <is>
          <t>15/05/2007</t>
        </is>
      </c>
      <c r="F891" s="86" t="inlineStr">
        <is>
          <t>LNH0326NG01</t>
        </is>
      </c>
      <c r="G891" s="90" t="n">
        <v>5200000</v>
      </c>
      <c r="H891" s="65" t="n"/>
      <c r="I891" s="65" t="n"/>
      <c r="J891" s="65" t="n"/>
      <c r="K891" s="65" t="n"/>
      <c r="L891" s="65" t="n"/>
      <c r="M891" s="65" t="n"/>
      <c r="N891" s="65" t="n"/>
      <c r="O891" s="65" t="n"/>
      <c r="P891" s="65">
        <f>VLOOKUP(B891,'[3]TONG HOP '!B$5:O$666,14,0)</f>
        <v/>
      </c>
      <c r="Q891" s="65" t="n">
        <v>2600000</v>
      </c>
      <c r="R891" s="65" t="n"/>
      <c r="S891" s="92">
        <f>G891-I891-R891-K891-M891-O891-Q891</f>
        <v/>
      </c>
      <c r="T891" s="92" t="inlineStr">
        <is>
          <t>LNH0526NQ16</t>
        </is>
      </c>
      <c r="U891" s="92" t="n">
        <v>2600000</v>
      </c>
      <c r="V891" s="69">
        <f>G891-SUM(I891,K891,M891,O891,Q891,U891)</f>
        <v/>
      </c>
      <c r="W891" s="65" t="n"/>
      <c r="X891" t="inlineStr">
        <is>
          <t>Khớp</t>
        </is>
      </c>
    </row>
    <row r="892">
      <c r="A892" s="65" t="n"/>
      <c r="B892" s="65" t="inlineStr">
        <is>
          <t>25808500344</t>
        </is>
      </c>
      <c r="C892" s="65" t="inlineStr">
        <is>
          <t>Nguyễn Kim Trường</t>
        </is>
      </c>
      <c r="D892" s="65" t="inlineStr">
        <is>
          <t>Thịnh</t>
        </is>
      </c>
      <c r="E892" s="65" t="inlineStr">
        <is>
          <t>24/11/2007</t>
        </is>
      </c>
      <c r="F892" s="86" t="inlineStr">
        <is>
          <t>LNH0326ND01</t>
        </is>
      </c>
      <c r="G892" s="90" t="n">
        <v>2600000</v>
      </c>
      <c r="H892" s="65" t="n"/>
      <c r="I892" s="65" t="n"/>
      <c r="J892" s="65" t="n"/>
      <c r="K892" s="65" t="n"/>
      <c r="L892" s="65" t="n"/>
      <c r="M892" s="65" t="n"/>
      <c r="N892" s="65" t="n"/>
      <c r="O892" s="65" t="n"/>
      <c r="P892" s="65">
        <f>VLOOKUP(B892,'[3]TONG HOP '!B$5:O$666,14,0)</f>
        <v/>
      </c>
      <c r="Q892" s="65" t="n">
        <v>2600000</v>
      </c>
      <c r="R892" s="65" t="n"/>
      <c r="S892" s="92">
        <f>G892-I892-R892-K892-M892-O892-Q892</f>
        <v/>
      </c>
      <c r="T892" s="92" t="inlineStr"/>
      <c r="U892" s="92" t="inlineStr"/>
      <c r="V892" s="69">
        <f>G892-SUM(I892,K892,M892,O892,Q892,U892)</f>
        <v/>
      </c>
      <c r="W892" s="65" t="n"/>
      <c r="X892" t="inlineStr">
        <is>
          <t>Khớp</t>
        </is>
      </c>
    </row>
    <row r="893">
      <c r="A893" s="65" t="n"/>
      <c r="B893" s="65" t="inlineStr">
        <is>
          <t>25808700001</t>
        </is>
      </c>
      <c r="C893" s="65" t="inlineStr">
        <is>
          <t>Nguyễn Bùi Bình</t>
        </is>
      </c>
      <c r="D893" s="65" t="inlineStr">
        <is>
          <t>An</t>
        </is>
      </c>
      <c r="E893" s="65" t="inlineStr">
        <is>
          <t>05/03/2007</t>
        </is>
      </c>
      <c r="F893" s="86" t="inlineStr">
        <is>
          <t>LNH0326ND01</t>
        </is>
      </c>
      <c r="G893" s="90" t="n">
        <v>8415000</v>
      </c>
      <c r="H893" s="65" t="n"/>
      <c r="I893" s="65" t="n"/>
      <c r="J893" s="65" t="n"/>
      <c r="K893" s="65" t="n"/>
      <c r="L893" s="65" t="n"/>
      <c r="M893" s="65" t="n"/>
      <c r="N893" s="65" t="n"/>
      <c r="O893" s="65" t="n"/>
      <c r="P893" s="65" t="n"/>
      <c r="Q893" s="65" t="n"/>
      <c r="R893" s="65" t="n"/>
      <c r="S893" s="92">
        <f>G893-I893-R893-K893-M893-O893-Q893</f>
        <v/>
      </c>
      <c r="T893" s="92" t="inlineStr"/>
      <c r="U893" s="92" t="inlineStr"/>
      <c r="V893" s="69">
        <f>G893-SUM(I893,K893,M893,O893,Q893,U893)</f>
        <v/>
      </c>
      <c r="W893" s="65" t="n"/>
      <c r="X893" t="inlineStr">
        <is>
          <t>Không tồn tại trong K.Hiền</t>
        </is>
      </c>
    </row>
    <row r="894">
      <c r="A894" s="65" t="n"/>
      <c r="B894" s="65" t="inlineStr">
        <is>
          <t>25801800094</t>
        </is>
      </c>
      <c r="C894" s="65" t="inlineStr">
        <is>
          <t>Bế Thị Hồng</t>
        </is>
      </c>
      <c r="D894" s="65" t="inlineStr">
        <is>
          <t>Cúc</t>
        </is>
      </c>
      <c r="E894" s="65" t="inlineStr">
        <is>
          <t>27/04/2007</t>
        </is>
      </c>
      <c r="F894" s="86" t="inlineStr">
        <is>
          <t>LNH0326ND01</t>
        </is>
      </c>
      <c r="G894" s="90" t="n">
        <v>8415000</v>
      </c>
      <c r="H894" s="65" t="n"/>
      <c r="I894" s="65" t="n"/>
      <c r="J894" s="65" t="n"/>
      <c r="K894" s="65" t="n"/>
      <c r="L894" s="65" t="n"/>
      <c r="M894" s="65" t="n"/>
      <c r="N894" s="65" t="n"/>
      <c r="O894" s="65" t="n"/>
      <c r="P894" s="65">
        <f>VLOOKUP(B894,'[3]TONG HOP '!B$5:O$666,14,0)</f>
        <v/>
      </c>
      <c r="Q894" s="65" t="n">
        <v>2103750</v>
      </c>
      <c r="R894" s="65" t="n"/>
      <c r="S894" s="92">
        <f>G894-I894-R894-K894-M894-O894-Q894</f>
        <v/>
      </c>
      <c r="T894" s="92" t="inlineStr"/>
      <c r="U894" s="92" t="inlineStr"/>
      <c r="V894" s="69">
        <f>G894-SUM(I894,K894,M894,O894,Q894,U894)</f>
        <v/>
      </c>
      <c r="W894" s="65" t="n"/>
      <c r="X894" t="inlineStr">
        <is>
          <t>Khớp</t>
        </is>
      </c>
    </row>
    <row r="895">
      <c r="A895" s="65" t="n"/>
      <c r="B895" s="65" t="inlineStr">
        <is>
          <t>25807900051</t>
        </is>
      </c>
      <c r="C895" s="65" t="inlineStr">
        <is>
          <t>Trần Chí</t>
        </is>
      </c>
      <c r="D895" s="65" t="inlineStr">
        <is>
          <t>Thiện</t>
        </is>
      </c>
      <c r="E895" s="65" t="inlineStr">
        <is>
          <t>01/01/2007</t>
        </is>
      </c>
      <c r="F895" s="86" t="inlineStr">
        <is>
          <t>LNH0326NE01</t>
        </is>
      </c>
      <c r="G895" s="90" t="n">
        <v>4940000</v>
      </c>
      <c r="H895" s="65" t="n"/>
      <c r="I895" s="65" t="n"/>
      <c r="J895" s="65" t="n"/>
      <c r="K895" s="65" t="n"/>
      <c r="L895" s="65" t="n"/>
      <c r="M895" s="65" t="n"/>
      <c r="N895" s="65" t="n"/>
      <c r="O895" s="65" t="n"/>
      <c r="P895" s="65">
        <f>VLOOKUP(B895,'[3]TONG HOP '!B$5:O$666,14,0)</f>
        <v/>
      </c>
      <c r="Q895" s="65" t="n">
        <v>2470000</v>
      </c>
      <c r="R895" s="65" t="n"/>
      <c r="S895" s="92">
        <f>G895-I895-R895-K895-M895-O895-Q895</f>
        <v/>
      </c>
      <c r="T895" s="92" t="inlineStr">
        <is>
          <t>LNH0526NQ20</t>
        </is>
      </c>
      <c r="U895" s="92" t="n">
        <v>2470000</v>
      </c>
      <c r="V895" s="69">
        <f>G895-SUM(I895,K895,M895,O895,Q895,U895)</f>
        <v/>
      </c>
      <c r="W895" s="65" t="n"/>
      <c r="X895" t="inlineStr">
        <is>
          <t>Khớp</t>
        </is>
      </c>
    </row>
    <row r="896">
      <c r="A896" s="65" t="n"/>
      <c r="B896" s="65" t="inlineStr">
        <is>
          <t>25807800016</t>
        </is>
      </c>
      <c r="C896" s="65" t="inlineStr">
        <is>
          <t>Trương Quốc</t>
        </is>
      </c>
      <c r="D896" s="65" t="inlineStr">
        <is>
          <t>Bảo</t>
        </is>
      </c>
      <c r="E896" s="65" t="inlineStr">
        <is>
          <t>10/09/2001</t>
        </is>
      </c>
      <c r="F896" s="86" t="inlineStr">
        <is>
          <t>LNH0326NE01</t>
        </is>
      </c>
      <c r="G896" s="90" t="n">
        <v>2600000</v>
      </c>
      <c r="H896" s="65" t="n"/>
      <c r="I896" s="65" t="n"/>
      <c r="J896" s="65" t="n"/>
      <c r="K896" s="65" t="n"/>
      <c r="L896" s="65" t="n"/>
      <c r="M896" s="65" t="n"/>
      <c r="N896" s="65" t="n"/>
      <c r="O896" s="65" t="n"/>
      <c r="P896" s="65">
        <f>VLOOKUP(B896,'[3]TONG HOP '!B$5:O$666,14,0)</f>
        <v/>
      </c>
      <c r="Q896" s="65" t="n">
        <v>2600000</v>
      </c>
      <c r="R896" s="65" t="n"/>
      <c r="S896" s="92">
        <f>G896-I896-R896-K896-M896-O896-Q896</f>
        <v/>
      </c>
      <c r="T896" s="92" t="inlineStr"/>
      <c r="U896" s="92" t="inlineStr"/>
      <c r="V896" s="69">
        <f>G896-SUM(I896,K896,M896,O896,Q896,U896)</f>
        <v/>
      </c>
      <c r="W896" s="65" t="n"/>
      <c r="X896" t="inlineStr">
        <is>
          <t>Khớp</t>
        </is>
      </c>
    </row>
    <row r="897">
      <c r="A897" s="65" t="n"/>
      <c r="B897" s="65" t="inlineStr">
        <is>
          <t>25807900124</t>
        </is>
      </c>
      <c r="C897" s="65" t="inlineStr">
        <is>
          <t>Ngô Nhật</t>
        </is>
      </c>
      <c r="D897" s="65" t="inlineStr">
        <is>
          <t>Anh</t>
        </is>
      </c>
      <c r="E897" s="65" t="inlineStr">
        <is>
          <t>27/03/2007</t>
        </is>
      </c>
      <c r="F897" s="86" t="inlineStr">
        <is>
          <t>LNH0326NE01</t>
        </is>
      </c>
      <c r="G897" s="90" t="n">
        <v>2600000</v>
      </c>
      <c r="H897" s="65" t="n"/>
      <c r="I897" s="65" t="n"/>
      <c r="J897" s="65" t="n"/>
      <c r="K897" s="65" t="n"/>
      <c r="L897" s="65" t="n"/>
      <c r="M897" s="65" t="n"/>
      <c r="N897" s="65" t="n"/>
      <c r="O897" s="65" t="n"/>
      <c r="P897" s="65">
        <f>VLOOKUP(B897,'[3]TONG HOP '!B$5:O$666,14,0)</f>
        <v/>
      </c>
      <c r="Q897" s="65" t="n">
        <v>2600000</v>
      </c>
      <c r="R897" s="65" t="n"/>
      <c r="S897" s="92">
        <f>G897-I897-R897-K897-M897-O897-Q897</f>
        <v/>
      </c>
      <c r="T897" s="92" t="inlineStr"/>
      <c r="U897" s="92" t="n">
        <v>2600000</v>
      </c>
      <c r="V897" s="69">
        <f>G897-SUM(I897,K897,M897,O897,Q897,U897)</f>
        <v/>
      </c>
      <c r="W897" s="65" t="n"/>
      <c r="X897" t="inlineStr">
        <is>
          <t>Khớp</t>
        </is>
      </c>
    </row>
    <row r="898">
      <c r="A898" s="65" t="n"/>
      <c r="B898" s="65" t="inlineStr">
        <is>
          <t>25807900062</t>
        </is>
      </c>
      <c r="C898" s="65" t="inlineStr">
        <is>
          <t>Phạm Văn</t>
        </is>
      </c>
      <c r="D898" s="65" t="inlineStr">
        <is>
          <t>Vượng</t>
        </is>
      </c>
      <c r="E898" s="65" t="inlineStr">
        <is>
          <t>10/01/2007</t>
        </is>
      </c>
      <c r="F898" s="86" t="inlineStr">
        <is>
          <t>LNH0326NE01</t>
        </is>
      </c>
      <c r="G898" s="90" t="n">
        <v>2600000</v>
      </c>
      <c r="H898" s="65" t="n"/>
      <c r="I898" s="65" t="n"/>
      <c r="J898" s="65" t="n"/>
      <c r="K898" s="65" t="n"/>
      <c r="L898" s="65" t="n"/>
      <c r="M898" s="65" t="n"/>
      <c r="N898" s="65" t="n"/>
      <c r="O898" s="65" t="n"/>
      <c r="P898" s="65" t="n"/>
      <c r="Q898" s="65" t="n"/>
      <c r="R898" s="65" t="n"/>
      <c r="S898" s="92">
        <f>G898-I898-R898-K898-M898-O898-Q898</f>
        <v/>
      </c>
      <c r="T898" s="92" t="inlineStr"/>
      <c r="U898" s="92" t="inlineStr"/>
      <c r="V898" s="69">
        <f>G898-SUM(I898,K898,M898,O898,Q898,U898)</f>
        <v/>
      </c>
      <c r="W898" s="65" t="n"/>
      <c r="X898" t="inlineStr">
        <is>
          <t>Khớp</t>
        </is>
      </c>
    </row>
    <row r="899">
      <c r="A899" s="65" t="n"/>
      <c r="B899" s="65" t="inlineStr">
        <is>
          <t>25801600178</t>
        </is>
      </c>
      <c r="C899" s="65" t="inlineStr">
        <is>
          <t>Lê Ngọc Thảo</t>
        </is>
      </c>
      <c r="D899" s="65" t="inlineStr">
        <is>
          <t>Vy</t>
        </is>
      </c>
      <c r="E899" s="65" t="inlineStr">
        <is>
          <t>11/01/2007</t>
        </is>
      </c>
      <c r="F899" s="86" t="inlineStr">
        <is>
          <t>LNH0326NE01</t>
        </is>
      </c>
      <c r="G899" s="90" t="n">
        <v>2600000</v>
      </c>
      <c r="H899" s="65" t="n"/>
      <c r="I899" s="65" t="n"/>
      <c r="J899" s="65" t="n"/>
      <c r="K899" s="65" t="n"/>
      <c r="L899" s="65" t="n"/>
      <c r="M899" s="65" t="n"/>
      <c r="N899" s="65" t="n"/>
      <c r="O899" s="65" t="n"/>
      <c r="P899" s="65" t="n"/>
      <c r="Q899" s="65" t="n"/>
      <c r="R899" s="65" t="n"/>
      <c r="S899" s="92">
        <f>G899-I899-R899-K899-M899-O899-Q899</f>
        <v/>
      </c>
      <c r="T899" s="92" t="inlineStr"/>
      <c r="U899" s="92" t="inlineStr"/>
      <c r="V899" s="69">
        <f>G899-SUM(I899,K899,M899,O899,Q899,U899)</f>
        <v/>
      </c>
      <c r="W899" s="65" t="n"/>
      <c r="X899" t="inlineStr">
        <is>
          <t>Khớp</t>
        </is>
      </c>
    </row>
    <row r="900">
      <c r="A900" s="65" t="n"/>
      <c r="B900" s="65" t="inlineStr">
        <is>
          <t>25808900070</t>
        </is>
      </c>
      <c r="C900" s="65" t="inlineStr">
        <is>
          <t>Trần Khánh</t>
        </is>
      </c>
      <c r="D900" s="65" t="inlineStr">
        <is>
          <t>Linh</t>
        </is>
      </c>
      <c r="E900" s="65" t="inlineStr">
        <is>
          <t>15/04/2007</t>
        </is>
      </c>
      <c r="F900" s="86" t="inlineStr">
        <is>
          <t>LNH0326NE01</t>
        </is>
      </c>
      <c r="G900" s="90" t="n">
        <v>2600000</v>
      </c>
      <c r="H900" s="65" t="n"/>
      <c r="I900" s="65" t="n"/>
      <c r="J900" s="65" t="n"/>
      <c r="K900" s="65" t="n"/>
      <c r="L900" s="65" t="n"/>
      <c r="M900" s="65" t="n"/>
      <c r="N900" s="65" t="n"/>
      <c r="O900" s="65" t="n"/>
      <c r="P900" s="65" t="n"/>
      <c r="Q900" s="65" t="n"/>
      <c r="R900" s="65" t="n"/>
      <c r="S900" s="92">
        <f>G900-I900-R900-K900-M900-O900-Q900</f>
        <v/>
      </c>
      <c r="T900" s="92" t="inlineStr"/>
      <c r="U900" s="92" t="inlineStr"/>
      <c r="V900" s="69">
        <f>G900-SUM(I900,K900,M900,O900,Q900,U900)</f>
        <v/>
      </c>
      <c r="W900" s="65" t="n"/>
      <c r="X900" t="inlineStr">
        <is>
          <t>Khớp</t>
        </is>
      </c>
    </row>
    <row r="901">
      <c r="A901" s="65" t="n"/>
      <c r="B901" s="65" t="inlineStr">
        <is>
          <t>25802500026</t>
        </is>
      </c>
      <c r="C901" s="65" t="inlineStr">
        <is>
          <t>Hồng Quốc</t>
        </is>
      </c>
      <c r="D901" s="65" t="inlineStr">
        <is>
          <t>Bảo</t>
        </is>
      </c>
      <c r="E901" s="65" t="inlineStr">
        <is>
          <t>06/12/2007</t>
        </is>
      </c>
      <c r="F901" s="86" t="inlineStr">
        <is>
          <t>LNH0326NE01</t>
        </is>
      </c>
      <c r="G901" s="90" t="n">
        <v>2600000</v>
      </c>
      <c r="H901" s="65" t="n"/>
      <c r="I901" s="65" t="n"/>
      <c r="J901" s="65" t="n"/>
      <c r="K901" s="65" t="n"/>
      <c r="L901" s="65" t="n"/>
      <c r="M901" s="65" t="n"/>
      <c r="N901" s="65" t="n"/>
      <c r="O901" s="65" t="n"/>
      <c r="P901" s="65">
        <f>VLOOKUP(B901,'[3]TONG HOP '!B$5:O$666,14,0)</f>
        <v/>
      </c>
      <c r="Q901" s="65" t="n">
        <v>2600000</v>
      </c>
      <c r="R901" s="65" t="n"/>
      <c r="S901" s="92">
        <f>G901-I901-R901-K901-M901-O901-Q901</f>
        <v/>
      </c>
      <c r="T901" s="92" t="inlineStr"/>
      <c r="U901" s="92" t="inlineStr"/>
      <c r="V901" s="69">
        <f>G901-SUM(I901,K901,M901,O901,Q901,U901)</f>
        <v/>
      </c>
      <c r="W901" s="65" t="n"/>
      <c r="X901" t="inlineStr">
        <is>
          <t>Khớp</t>
        </is>
      </c>
    </row>
    <row r="902">
      <c r="A902" s="65" t="n"/>
      <c r="B902" s="65" t="inlineStr">
        <is>
          <t>25800400016</t>
        </is>
      </c>
      <c r="C902" s="65" t="inlineStr">
        <is>
          <t>Phạm Lê Gia</t>
        </is>
      </c>
      <c r="D902" s="65" t="inlineStr">
        <is>
          <t>Bảo</t>
        </is>
      </c>
      <c r="E902" s="65" t="inlineStr">
        <is>
          <t>31/07/2007</t>
        </is>
      </c>
      <c r="F902" s="86" t="inlineStr">
        <is>
          <t>LNH0326NE01</t>
        </is>
      </c>
      <c r="G902" s="90" t="n">
        <v>2600000</v>
      </c>
      <c r="H902" s="65" t="n"/>
      <c r="I902" s="65" t="n"/>
      <c r="J902" s="65" t="n"/>
      <c r="K902" s="65" t="n"/>
      <c r="L902" s="65" t="n"/>
      <c r="M902" s="65" t="n"/>
      <c r="N902" s="65" t="n"/>
      <c r="O902" s="65" t="n"/>
      <c r="P902" s="65">
        <f>VLOOKUP(B902,'[3]TONG HOP '!B$5:O$666,14,0)</f>
        <v/>
      </c>
      <c r="Q902" s="65" t="n">
        <v>2600000</v>
      </c>
      <c r="R902" s="65" t="n"/>
      <c r="S902" s="92">
        <f>G902-I902-R902-K902-M902-O902-Q902</f>
        <v/>
      </c>
      <c r="T902" s="92" t="inlineStr">
        <is>
          <t>LNH0526NG02</t>
        </is>
      </c>
      <c r="U902" s="92" t="n">
        <v>2600000</v>
      </c>
      <c r="V902" s="69">
        <f>G902-SUM(I902,K902,M902,O902,Q902,U902)</f>
        <v/>
      </c>
      <c r="W902" s="65" t="n"/>
      <c r="X902" t="inlineStr">
        <is>
          <t>Khớp</t>
        </is>
      </c>
    </row>
    <row r="903">
      <c r="A903" s="65" t="n"/>
      <c r="B903" s="65" t="inlineStr">
        <is>
          <t>25820700033</t>
        </is>
      </c>
      <c r="C903" s="65" t="inlineStr">
        <is>
          <t>Võ Ngọc Minh</t>
        </is>
      </c>
      <c r="D903" s="65" t="inlineStr">
        <is>
          <t>Phương</t>
        </is>
      </c>
      <c r="E903" s="65" t="inlineStr">
        <is>
          <t>29/11/2007</t>
        </is>
      </c>
      <c r="F903" s="86" t="inlineStr">
        <is>
          <t>LNH0326NE01</t>
        </is>
      </c>
      <c r="G903" s="90" t="n">
        <v>2600000</v>
      </c>
      <c r="H903" s="65" t="n"/>
      <c r="I903" s="65" t="n"/>
      <c r="J903" s="65" t="n"/>
      <c r="K903" s="65" t="n"/>
      <c r="L903" s="65" t="n"/>
      <c r="M903" s="65" t="n"/>
      <c r="N903" s="65" t="n"/>
      <c r="O903" s="65" t="n"/>
      <c r="P903" s="65">
        <f>VLOOKUP(B903,'[3]TONG HOP '!B$5:O$666,14,0)</f>
        <v/>
      </c>
      <c r="Q903" s="65" t="n">
        <v>2600000</v>
      </c>
      <c r="R903" s="65" t="n"/>
      <c r="S903" s="92">
        <f>G903-I903-R903-K903-M903-O903-Q903</f>
        <v/>
      </c>
      <c r="T903" s="92" t="inlineStr"/>
      <c r="U903" s="92" t="inlineStr"/>
      <c r="V903" s="69">
        <f>G903-SUM(I903,K903,M903,O903,Q903,U903)</f>
        <v/>
      </c>
      <c r="W903" s="65" t="n"/>
      <c r="X903" t="inlineStr">
        <is>
          <t>Khớp</t>
        </is>
      </c>
    </row>
    <row r="904">
      <c r="A904" s="65" t="n"/>
      <c r="B904" s="65" t="inlineStr">
        <is>
          <t>25802800107</t>
        </is>
      </c>
      <c r="C904" s="65" t="inlineStr">
        <is>
          <t>Trần Vĩnh</t>
        </is>
      </c>
      <c r="D904" s="65" t="inlineStr">
        <is>
          <t>Khang</t>
        </is>
      </c>
      <c r="E904" s="65" t="inlineStr">
        <is>
          <t>21/08/2007</t>
        </is>
      </c>
      <c r="F904" s="86" t="inlineStr">
        <is>
          <t>LNH0326NE01</t>
        </is>
      </c>
      <c r="G904" s="90" t="n">
        <v>4940000</v>
      </c>
      <c r="H904" s="65" t="n"/>
      <c r="I904" s="65" t="n"/>
      <c r="J904" s="65" t="n"/>
      <c r="K904" s="65" t="n"/>
      <c r="L904" s="65" t="n"/>
      <c r="M904" s="65" t="n"/>
      <c r="N904" s="65" t="n"/>
      <c r="O904" s="65" t="n"/>
      <c r="P904" s="65">
        <f>VLOOKUP(B904,'[3]TONG HOP '!B$5:O$666,14,0)</f>
        <v/>
      </c>
      <c r="Q904" s="65" t="n">
        <v>2470000</v>
      </c>
      <c r="R904" s="65" t="n"/>
      <c r="S904" s="92">
        <f>G904-I904-R904-K904-M904-O904-Q904</f>
        <v/>
      </c>
      <c r="T904" s="92" t="inlineStr"/>
      <c r="U904" s="92" t="inlineStr"/>
      <c r="V904" s="69">
        <f>G904-SUM(I904,K904,M904,O904,Q904,U904)</f>
        <v/>
      </c>
      <c r="W904" s="65" t="n"/>
      <c r="X904" t="inlineStr">
        <is>
          <t>Khớp</t>
        </is>
      </c>
    </row>
    <row r="905">
      <c r="A905" s="65" t="n"/>
      <c r="B905" s="65" t="inlineStr">
        <is>
          <t>25801700103</t>
        </is>
      </c>
      <c r="C905" s="65" t="inlineStr">
        <is>
          <t>Phạm Trung</t>
        </is>
      </c>
      <c r="D905" s="65" t="inlineStr">
        <is>
          <t>Nghĩa</t>
        </is>
      </c>
      <c r="E905" s="65" t="inlineStr">
        <is>
          <t>12/06/2007</t>
        </is>
      </c>
      <c r="F905" s="86" t="inlineStr">
        <is>
          <t>LNH0326NE01</t>
        </is>
      </c>
      <c r="G905" s="90" t="n">
        <v>4905000</v>
      </c>
      <c r="H905" s="65" t="n"/>
      <c r="I905" s="65" t="n"/>
      <c r="J905" s="65" t="n"/>
      <c r="K905" s="65" t="n"/>
      <c r="L905" s="65" t="n"/>
      <c r="M905" s="65" t="n"/>
      <c r="N905" s="65" t="n"/>
      <c r="O905" s="65" t="n"/>
      <c r="P905" s="65">
        <f>VLOOKUP(B905,'[3]TONG HOP '!B$5:O$666,14,0)</f>
        <v/>
      </c>
      <c r="Q905" s="65" t="n">
        <v>2435000</v>
      </c>
      <c r="R905" s="65" t="n"/>
      <c r="S905" s="92">
        <f>G905-I905-R905-K905-M905-O905-Q905</f>
        <v/>
      </c>
      <c r="T905" s="92" t="inlineStr"/>
      <c r="U905" s="92" t="inlineStr"/>
      <c r="V905" s="69">
        <f>G905-SUM(I905,K905,M905,O905,Q905,U905)</f>
        <v/>
      </c>
      <c r="W905" s="65" t="n"/>
      <c r="X905" t="inlineStr">
        <is>
          <t>Khớp</t>
        </is>
      </c>
    </row>
    <row r="906">
      <c r="A906" s="65" t="n"/>
      <c r="B906" s="65" t="inlineStr">
        <is>
          <t>2286000115</t>
        </is>
      </c>
      <c r="C906" s="65" t="inlineStr">
        <is>
          <t>Trần Văn</t>
        </is>
      </c>
      <c r="D906" s="65" t="inlineStr">
        <is>
          <t>Sang</t>
        </is>
      </c>
      <c r="E906" s="65" t="inlineStr">
        <is>
          <t>29/12/2003</t>
        </is>
      </c>
      <c r="F906" s="86" t="inlineStr">
        <is>
          <t>LNH0326NP01</t>
        </is>
      </c>
      <c r="G906" s="90" t="n">
        <v>5600000</v>
      </c>
      <c r="H906" s="65" t="n"/>
      <c r="I906" s="65" t="n"/>
      <c r="J906" s="65" t="n"/>
      <c r="K906" s="65" t="n"/>
      <c r="L906" s="65" t="n"/>
      <c r="M906" s="65" t="n"/>
      <c r="N906" s="65" t="n"/>
      <c r="O906" s="65" t="n"/>
      <c r="P906" s="65" t="n"/>
      <c r="Q906" s="65" t="n"/>
      <c r="R906" s="65" t="n"/>
      <c r="S906" s="92">
        <f>G906-I906-R906-K906-M906-O906-Q906</f>
        <v/>
      </c>
      <c r="T906" s="92" t="inlineStr"/>
      <c r="U906" s="92" t="inlineStr"/>
      <c r="V906" s="69">
        <f>G906-SUM(I906,K906,M906,O906,Q906,U906)</f>
        <v/>
      </c>
      <c r="W906" s="65" t="n"/>
      <c r="X906" t="inlineStr">
        <is>
          <t>Không tồn tại trong K.Hiền</t>
        </is>
      </c>
    </row>
    <row r="907">
      <c r="A907" s="65" t="n"/>
      <c r="B907" s="65" t="inlineStr">
        <is>
          <t>24820100043</t>
        </is>
      </c>
      <c r="C907" s="65" t="inlineStr">
        <is>
          <t>Nguyễn Minh</t>
        </is>
      </c>
      <c r="D907" s="65" t="inlineStr">
        <is>
          <t>Nhật</t>
        </is>
      </c>
      <c r="E907" s="65" t="inlineStr">
        <is>
          <t>11/09/2006</t>
        </is>
      </c>
      <c r="F907" s="86" t="inlineStr">
        <is>
          <t>LNH0326NP01</t>
        </is>
      </c>
      <c r="G907" s="90" t="n">
        <v>2000000</v>
      </c>
      <c r="H907" s="65" t="n"/>
      <c r="I907" s="65" t="n"/>
      <c r="J907" s="65" t="n"/>
      <c r="K907" s="65" t="n"/>
      <c r="L907" s="65" t="n"/>
      <c r="M907" s="65" t="n"/>
      <c r="N907" s="65" t="n"/>
      <c r="O907" s="65" t="n"/>
      <c r="P907" s="65" t="n"/>
      <c r="Q907" s="65" t="n"/>
      <c r="R907" s="65" t="n"/>
      <c r="S907" s="92">
        <f>G907-I907-R907-K907-M907-O907-Q907</f>
        <v/>
      </c>
      <c r="T907" s="92" t="inlineStr"/>
      <c r="U907" s="92" t="inlineStr"/>
      <c r="V907" s="69">
        <f>G907-SUM(I907,K907,M907,O907,Q907,U907)</f>
        <v/>
      </c>
      <c r="W907" s="65" t="n"/>
      <c r="X907" t="inlineStr">
        <is>
          <t>Không tồn tại trong K.Hiền</t>
        </is>
      </c>
    </row>
    <row r="908">
      <c r="A908" s="65" t="n"/>
      <c r="B908" s="65" t="inlineStr">
        <is>
          <t>2180608872</t>
        </is>
      </c>
      <c r="C908" s="65" t="inlineStr">
        <is>
          <t>Nguyễn Thành</t>
        </is>
      </c>
      <c r="D908" s="65" t="inlineStr">
        <is>
          <t>Kiệt</t>
        </is>
      </c>
      <c r="E908" s="65" t="inlineStr">
        <is>
          <t>07/05/2003</t>
        </is>
      </c>
      <c r="F908" s="86" t="inlineStr">
        <is>
          <t>LNH0326NS01</t>
        </is>
      </c>
      <c r="G908" s="90" t="n">
        <v>2000000</v>
      </c>
      <c r="H908" s="65" t="n"/>
      <c r="I908" s="65" t="n"/>
      <c r="J908" s="65" t="n"/>
      <c r="K908" s="65" t="n"/>
      <c r="L908" s="65" t="n"/>
      <c r="M908" s="65" t="n"/>
      <c r="N908" s="65" t="n"/>
      <c r="O908" s="65" t="n"/>
      <c r="P908" s="65">
        <f>VLOOKUP(B908,'[3]TONG HOP '!B$5:O$666,14,0)</f>
        <v/>
      </c>
      <c r="Q908" s="65" t="n">
        <v>2000000</v>
      </c>
      <c r="R908" s="65" t="n"/>
      <c r="S908" s="92">
        <f>G908-I908-R908-K908-M908-O908-Q908</f>
        <v/>
      </c>
      <c r="T908" s="92" t="inlineStr"/>
      <c r="U908" s="92" t="inlineStr"/>
      <c r="V908" s="69">
        <f>G908-SUM(I908,K908,M908,O908,Q908,U908)</f>
        <v/>
      </c>
      <c r="W908" s="65" t="n"/>
      <c r="X908" t="inlineStr">
        <is>
          <t>Khớp</t>
        </is>
      </c>
    </row>
    <row r="909">
      <c r="A909" s="65" t="n"/>
      <c r="B909" s="65" t="inlineStr">
        <is>
          <t>25801700096</t>
        </is>
      </c>
      <c r="C909" s="65" t="inlineStr">
        <is>
          <t>Đặng Chí</t>
        </is>
      </c>
      <c r="D909" s="65" t="inlineStr">
        <is>
          <t>Dũng</t>
        </is>
      </c>
      <c r="E909" s="65" t="inlineStr">
        <is>
          <t>17/04/2007</t>
        </is>
      </c>
      <c r="F909" s="86" t="inlineStr">
        <is>
          <t>LNH0326NS01</t>
        </is>
      </c>
      <c r="G909" s="90" t="n">
        <v>2000000</v>
      </c>
      <c r="H909" s="65" t="n"/>
      <c r="I909" s="65" t="n"/>
      <c r="J909" s="65" t="n"/>
      <c r="K909" s="65" t="n"/>
      <c r="L909" s="65" t="n"/>
      <c r="M909" s="65" t="n"/>
      <c r="N909" s="65" t="n"/>
      <c r="O909" s="65" t="n"/>
      <c r="P909" s="65" t="n"/>
      <c r="Q909" s="65" t="n"/>
      <c r="R909" s="65" t="n"/>
      <c r="S909" s="92">
        <f>G909-I909-R909-K909-M909-O909-Q909</f>
        <v/>
      </c>
      <c r="T909" s="92" t="inlineStr"/>
      <c r="U909" s="92" t="inlineStr"/>
      <c r="V909" s="69">
        <f>G909-SUM(I909,K909,M909,O909,Q909,U909)</f>
        <v/>
      </c>
      <c r="W909" s="65" t="n"/>
      <c r="X909" t="inlineStr">
        <is>
          <t>Khớp</t>
        </is>
      </c>
    </row>
    <row r="910" ht="15" customHeight="1" s="87">
      <c r="A910" s="65" t="n"/>
      <c r="B910" t="inlineStr">
        <is>
          <t>1911820446</t>
        </is>
      </c>
      <c r="C910" t="inlineStr">
        <is>
          <t>Bùi Thiện</t>
        </is>
      </c>
      <c r="D910" t="inlineStr">
        <is>
          <t>Nhân</t>
        </is>
      </c>
      <c r="E910" t="inlineStr">
        <is>
          <t>18-May-01</t>
        </is>
      </c>
      <c r="F910" s="88" t="inlineStr">
        <is>
          <t>LNH1225NE01</t>
        </is>
      </c>
      <c r="G910" s="99" t="n">
        <v>2600000</v>
      </c>
      <c r="H910" s="65" t="n"/>
      <c r="I910" s="65" t="n"/>
      <c r="J910" s="65" t="n"/>
      <c r="K910" s="65" t="n"/>
      <c r="L910" s="65" t="n"/>
      <c r="M910" s="65" t="n"/>
      <c r="N910" s="65" t="n"/>
      <c r="O910" s="65" t="n"/>
      <c r="P910" s="65">
        <f>VLOOKUP(B910,'[3]TONG HOP '!B$5:O$666,14,0)</f>
        <v/>
      </c>
      <c r="Q910" s="65" t="n">
        <v>2600000</v>
      </c>
      <c r="R910" s="65" t="n"/>
      <c r="S910" s="92">
        <f>G910-I910-R910-K910-M910-O910-Q910</f>
        <v/>
      </c>
      <c r="T910" s="92" t="inlineStr"/>
      <c r="U910" s="92" t="inlineStr"/>
      <c r="V910" s="69">
        <f>G910-SUM(I910,K910,M910,O910,Q910,U910)</f>
        <v/>
      </c>
      <c r="W910" t="inlineStr">
        <is>
          <t>BUI THIEN NHAN ABBank 0521043748045 BUI THIEN NHAN 1911820446 LNH1225NE01 0911920808 TAI Agribank</t>
        </is>
      </c>
      <c r="X910" t="inlineStr">
        <is>
          <t>Khớp</t>
        </is>
      </c>
      <c r="Y910" s="58" t="n">
        <v>45994</v>
      </c>
    </row>
    <row r="911" ht="15" customHeight="1" s="87">
      <c r="A911" s="65" t="n"/>
      <c r="B911" t="inlineStr">
        <is>
          <t>25807500161</t>
        </is>
      </c>
      <c r="C911" t="inlineStr">
        <is>
          <t>Nguyeãn Phöông</t>
        </is>
      </c>
      <c r="D911" t="inlineStr">
        <is>
          <t>Uyeân</t>
        </is>
      </c>
      <c r="E911" t="inlineStr">
        <is>
          <t>23-Jul-07</t>
        </is>
      </c>
      <c r="F911" s="88" t="inlineStr">
        <is>
          <t>LNH1125NE01</t>
        </is>
      </c>
      <c r="G911" s="90" t="n">
        <v>4940000</v>
      </c>
      <c r="H911" s="65" t="n"/>
      <c r="I911" s="65" t="n"/>
      <c r="J911" s="65" t="n"/>
      <c r="K911" s="65" t="n"/>
      <c r="L911" s="65" t="n"/>
      <c r="M911" s="65" t="n"/>
      <c r="N911" s="65" t="n"/>
      <c r="O911" s="65" t="n"/>
      <c r="P911" s="65">
        <f>VLOOKUP(B911,'[3]TONG HOP '!B$5:O$666,14,0)</f>
        <v/>
      </c>
      <c r="Q911" s="65" t="n">
        <v>2470000</v>
      </c>
      <c r="R911" s="65" t="n"/>
      <c r="S911" s="92">
        <f>G911-I911-R911-K911-M911-O911-Q911</f>
        <v/>
      </c>
      <c r="T911" s="92" t="inlineStr"/>
      <c r="U911" s="92" t="inlineStr"/>
      <c r="V911" s="69">
        <f>G911-SUM(I911,K911,M911,O911,Q911,U911)</f>
        <v/>
      </c>
      <c r="W911" t="inlineStr">
        <is>
          <t>TRAN THI LY ABBank 0521043748045 NGUYEN PHUONG UYEN-25807500161-LNH1125NE01-094926 1542 TAI Agribank</t>
        </is>
      </c>
      <c r="X911" t="inlineStr">
        <is>
          <t>Khớp</t>
        </is>
      </c>
      <c r="Y911" t="inlineStr">
        <is>
          <t>15-Jan-26</t>
        </is>
      </c>
    </row>
    <row r="912">
      <c r="S912" s="92" t="n"/>
      <c r="T912" s="92" t="n"/>
      <c r="U912" s="92" t="n"/>
    </row>
    <row r="913">
      <c r="S913" s="92" t="n"/>
      <c r="T913" s="92" t="n"/>
      <c r="U913" s="92" t="n"/>
    </row>
    <row r="914">
      <c r="S914" s="92" t="n"/>
      <c r="T914" s="92" t="n"/>
      <c r="U914" s="92" t="n"/>
    </row>
    <row r="915">
      <c r="S915" s="92" t="n"/>
      <c r="T915" s="92" t="n"/>
      <c r="U915" s="92" t="n"/>
    </row>
    <row r="916">
      <c r="S916" s="92" t="n"/>
      <c r="T916" s="92" t="n"/>
      <c r="U916" s="92" t="n"/>
    </row>
    <row r="917">
      <c r="S917" s="92" t="n"/>
      <c r="T917" s="92" t="n"/>
      <c r="U917" s="92" t="n"/>
    </row>
  </sheetData>
  <conditionalFormatting sqref="B1:B1048576">
    <cfRule type="duplicateValues" priority="1" dxfId="0"/>
  </conditionalFormatting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topLeftCell="A13" workbookViewId="0">
      <selection activeCell="C1" sqref="C1:C1048576"/>
    </sheetView>
  </sheetViews>
  <sheetFormatPr baseColWidth="8" defaultColWidth="8.85546875" defaultRowHeight="15"/>
  <cols>
    <col width="8" customWidth="1" style="87" min="1" max="1"/>
    <col width="6" customWidth="1" style="87" min="2" max="2"/>
    <col width="13" customWidth="1" style="87" min="3" max="3"/>
    <col width="22" customWidth="1" style="87" min="4" max="4"/>
    <col width="7" customWidth="1" style="87" min="5" max="5"/>
    <col width="8" customWidth="1" style="87" min="6" max="6"/>
    <col width="12" customWidth="1" style="87" min="7" max="7"/>
    <col width="50" customWidth="1" style="87" min="8" max="8"/>
    <col width="16" customWidth="1" style="87" min="9" max="9"/>
    <col width="254" customWidth="1" style="87" min="10" max="10"/>
    <col width="8" customWidth="1" style="87" min="257" max="257"/>
    <col width="6" customWidth="1" style="87" min="258" max="258"/>
    <col width="13" customWidth="1" style="87" min="259" max="259"/>
    <col width="22" customWidth="1" style="87" min="260" max="260"/>
    <col width="7" customWidth="1" style="87" min="261" max="261"/>
    <col width="8" customWidth="1" style="87" min="262" max="262"/>
    <col width="12" customWidth="1" style="87" min="263" max="263"/>
    <col width="50" customWidth="1" style="87" min="264" max="264"/>
    <col width="16" customWidth="1" style="87" min="265" max="265"/>
    <col width="254" customWidth="1" style="87" min="266" max="266"/>
    <col width="8" customWidth="1" style="87" min="513" max="513"/>
    <col width="6" customWidth="1" style="87" min="514" max="514"/>
    <col width="13" customWidth="1" style="87" min="515" max="515"/>
    <col width="22" customWidth="1" style="87" min="516" max="516"/>
    <col width="7" customWidth="1" style="87" min="517" max="517"/>
    <col width="8" customWidth="1" style="87" min="518" max="518"/>
    <col width="12" customWidth="1" style="87" min="519" max="519"/>
    <col width="50" customWidth="1" style="87" min="520" max="520"/>
    <col width="16" customWidth="1" style="87" min="521" max="521"/>
    <col width="254" customWidth="1" style="87" min="522" max="522"/>
    <col width="8" customWidth="1" style="87" min="769" max="769"/>
    <col width="6" customWidth="1" style="87" min="770" max="770"/>
    <col width="13" customWidth="1" style="87" min="771" max="771"/>
    <col width="22" customWidth="1" style="87" min="772" max="772"/>
    <col width="7" customWidth="1" style="87" min="773" max="773"/>
    <col width="8" customWidth="1" style="87" min="774" max="774"/>
    <col width="12" customWidth="1" style="87" min="775" max="775"/>
    <col width="50" customWidth="1" style="87" min="776" max="776"/>
    <col width="16" customWidth="1" style="87" min="777" max="777"/>
    <col width="254" customWidth="1" style="87" min="778" max="778"/>
    <col width="8" customWidth="1" style="87" min="1025" max="1025"/>
    <col width="6" customWidth="1" style="87" min="1026" max="1026"/>
    <col width="13" customWidth="1" style="87" min="1027" max="1027"/>
    <col width="22" customWidth="1" style="87" min="1028" max="1028"/>
    <col width="7" customWidth="1" style="87" min="1029" max="1029"/>
    <col width="8" customWidth="1" style="87" min="1030" max="1030"/>
    <col width="12" customWidth="1" style="87" min="1031" max="1031"/>
    <col width="50" customWidth="1" style="87" min="1032" max="1032"/>
    <col width="16" customWidth="1" style="87" min="1033" max="1033"/>
    <col width="254" customWidth="1" style="87" min="1034" max="1034"/>
    <col width="8" customWidth="1" style="87" min="1281" max="1281"/>
    <col width="6" customWidth="1" style="87" min="1282" max="1282"/>
    <col width="13" customWidth="1" style="87" min="1283" max="1283"/>
    <col width="22" customWidth="1" style="87" min="1284" max="1284"/>
    <col width="7" customWidth="1" style="87" min="1285" max="1285"/>
    <col width="8" customWidth="1" style="87" min="1286" max="1286"/>
    <col width="12" customWidth="1" style="87" min="1287" max="1287"/>
    <col width="50" customWidth="1" style="87" min="1288" max="1288"/>
    <col width="16" customWidth="1" style="87" min="1289" max="1289"/>
    <col width="254" customWidth="1" style="87" min="1290" max="1290"/>
    <col width="8" customWidth="1" style="87" min="1537" max="1537"/>
    <col width="6" customWidth="1" style="87" min="1538" max="1538"/>
    <col width="13" customWidth="1" style="87" min="1539" max="1539"/>
    <col width="22" customWidth="1" style="87" min="1540" max="1540"/>
    <col width="7" customWidth="1" style="87" min="1541" max="1541"/>
    <col width="8" customWidth="1" style="87" min="1542" max="1542"/>
    <col width="12" customWidth="1" style="87" min="1543" max="1543"/>
    <col width="50" customWidth="1" style="87" min="1544" max="1544"/>
    <col width="16" customWidth="1" style="87" min="1545" max="1545"/>
    <col width="254" customWidth="1" style="87" min="1546" max="1546"/>
    <col width="8" customWidth="1" style="87" min="1793" max="1793"/>
    <col width="6" customWidth="1" style="87" min="1794" max="1794"/>
    <col width="13" customWidth="1" style="87" min="1795" max="1795"/>
    <col width="22" customWidth="1" style="87" min="1796" max="1796"/>
    <col width="7" customWidth="1" style="87" min="1797" max="1797"/>
    <col width="8" customWidth="1" style="87" min="1798" max="1798"/>
    <col width="12" customWidth="1" style="87" min="1799" max="1799"/>
    <col width="50" customWidth="1" style="87" min="1800" max="1800"/>
    <col width="16" customWidth="1" style="87" min="1801" max="1801"/>
    <col width="254" customWidth="1" style="87" min="1802" max="1802"/>
    <col width="8" customWidth="1" style="87" min="2049" max="2049"/>
    <col width="6" customWidth="1" style="87" min="2050" max="2050"/>
    <col width="13" customWidth="1" style="87" min="2051" max="2051"/>
    <col width="22" customWidth="1" style="87" min="2052" max="2052"/>
    <col width="7" customWidth="1" style="87" min="2053" max="2053"/>
    <col width="8" customWidth="1" style="87" min="2054" max="2054"/>
    <col width="12" customWidth="1" style="87" min="2055" max="2055"/>
    <col width="50" customWidth="1" style="87" min="2056" max="2056"/>
    <col width="16" customWidth="1" style="87" min="2057" max="2057"/>
    <col width="254" customWidth="1" style="87" min="2058" max="2058"/>
    <col width="8" customWidth="1" style="87" min="2305" max="2305"/>
    <col width="6" customWidth="1" style="87" min="2306" max="2306"/>
    <col width="13" customWidth="1" style="87" min="2307" max="2307"/>
    <col width="22" customWidth="1" style="87" min="2308" max="2308"/>
    <col width="7" customWidth="1" style="87" min="2309" max="2309"/>
    <col width="8" customWidth="1" style="87" min="2310" max="2310"/>
    <col width="12" customWidth="1" style="87" min="2311" max="2311"/>
    <col width="50" customWidth="1" style="87" min="2312" max="2312"/>
    <col width="16" customWidth="1" style="87" min="2313" max="2313"/>
    <col width="254" customWidth="1" style="87" min="2314" max="2314"/>
    <col width="8" customWidth="1" style="87" min="2561" max="2561"/>
    <col width="6" customWidth="1" style="87" min="2562" max="2562"/>
    <col width="13" customWidth="1" style="87" min="2563" max="2563"/>
    <col width="22" customWidth="1" style="87" min="2564" max="2564"/>
    <col width="7" customWidth="1" style="87" min="2565" max="2565"/>
    <col width="8" customWidth="1" style="87" min="2566" max="2566"/>
    <col width="12" customWidth="1" style="87" min="2567" max="2567"/>
    <col width="50" customWidth="1" style="87" min="2568" max="2568"/>
    <col width="16" customWidth="1" style="87" min="2569" max="2569"/>
    <col width="254" customWidth="1" style="87" min="2570" max="2570"/>
    <col width="8" customWidth="1" style="87" min="2817" max="2817"/>
    <col width="6" customWidth="1" style="87" min="2818" max="2818"/>
    <col width="13" customWidth="1" style="87" min="2819" max="2819"/>
    <col width="22" customWidth="1" style="87" min="2820" max="2820"/>
    <col width="7" customWidth="1" style="87" min="2821" max="2821"/>
    <col width="8" customWidth="1" style="87" min="2822" max="2822"/>
    <col width="12" customWidth="1" style="87" min="2823" max="2823"/>
    <col width="50" customWidth="1" style="87" min="2824" max="2824"/>
    <col width="16" customWidth="1" style="87" min="2825" max="2825"/>
    <col width="254" customWidth="1" style="87" min="2826" max="2826"/>
    <col width="8" customWidth="1" style="87" min="3073" max="3073"/>
    <col width="6" customWidth="1" style="87" min="3074" max="3074"/>
    <col width="13" customWidth="1" style="87" min="3075" max="3075"/>
    <col width="22" customWidth="1" style="87" min="3076" max="3076"/>
    <col width="7" customWidth="1" style="87" min="3077" max="3077"/>
    <col width="8" customWidth="1" style="87" min="3078" max="3078"/>
    <col width="12" customWidth="1" style="87" min="3079" max="3079"/>
    <col width="50" customWidth="1" style="87" min="3080" max="3080"/>
    <col width="16" customWidth="1" style="87" min="3081" max="3081"/>
    <col width="254" customWidth="1" style="87" min="3082" max="3082"/>
    <col width="8" customWidth="1" style="87" min="3329" max="3329"/>
    <col width="6" customWidth="1" style="87" min="3330" max="3330"/>
    <col width="13" customWidth="1" style="87" min="3331" max="3331"/>
    <col width="22" customWidth="1" style="87" min="3332" max="3332"/>
    <col width="7" customWidth="1" style="87" min="3333" max="3333"/>
    <col width="8" customWidth="1" style="87" min="3334" max="3334"/>
    <col width="12" customWidth="1" style="87" min="3335" max="3335"/>
    <col width="50" customWidth="1" style="87" min="3336" max="3336"/>
    <col width="16" customWidth="1" style="87" min="3337" max="3337"/>
    <col width="254" customWidth="1" style="87" min="3338" max="3338"/>
    <col width="8" customWidth="1" style="87" min="3585" max="3585"/>
    <col width="6" customWidth="1" style="87" min="3586" max="3586"/>
    <col width="13" customWidth="1" style="87" min="3587" max="3587"/>
    <col width="22" customWidth="1" style="87" min="3588" max="3588"/>
    <col width="7" customWidth="1" style="87" min="3589" max="3589"/>
    <col width="8" customWidth="1" style="87" min="3590" max="3590"/>
    <col width="12" customWidth="1" style="87" min="3591" max="3591"/>
    <col width="50" customWidth="1" style="87" min="3592" max="3592"/>
    <col width="16" customWidth="1" style="87" min="3593" max="3593"/>
    <col width="254" customWidth="1" style="87" min="3594" max="3594"/>
    <col width="8" customWidth="1" style="87" min="3841" max="3841"/>
    <col width="6" customWidth="1" style="87" min="3842" max="3842"/>
    <col width="13" customWidth="1" style="87" min="3843" max="3843"/>
    <col width="22" customWidth="1" style="87" min="3844" max="3844"/>
    <col width="7" customWidth="1" style="87" min="3845" max="3845"/>
    <col width="8" customWidth="1" style="87" min="3846" max="3846"/>
    <col width="12" customWidth="1" style="87" min="3847" max="3847"/>
    <col width="50" customWidth="1" style="87" min="3848" max="3848"/>
    <col width="16" customWidth="1" style="87" min="3849" max="3849"/>
    <col width="254" customWidth="1" style="87" min="3850" max="3850"/>
    <col width="8" customWidth="1" style="87" min="4097" max="4097"/>
    <col width="6" customWidth="1" style="87" min="4098" max="4098"/>
    <col width="13" customWidth="1" style="87" min="4099" max="4099"/>
    <col width="22" customWidth="1" style="87" min="4100" max="4100"/>
    <col width="7" customWidth="1" style="87" min="4101" max="4101"/>
    <col width="8" customWidth="1" style="87" min="4102" max="4102"/>
    <col width="12" customWidth="1" style="87" min="4103" max="4103"/>
    <col width="50" customWidth="1" style="87" min="4104" max="4104"/>
    <col width="16" customWidth="1" style="87" min="4105" max="4105"/>
    <col width="254" customWidth="1" style="87" min="4106" max="4106"/>
    <col width="8" customWidth="1" style="87" min="4353" max="4353"/>
    <col width="6" customWidth="1" style="87" min="4354" max="4354"/>
    <col width="13" customWidth="1" style="87" min="4355" max="4355"/>
    <col width="22" customWidth="1" style="87" min="4356" max="4356"/>
    <col width="7" customWidth="1" style="87" min="4357" max="4357"/>
    <col width="8" customWidth="1" style="87" min="4358" max="4358"/>
    <col width="12" customWidth="1" style="87" min="4359" max="4359"/>
    <col width="50" customWidth="1" style="87" min="4360" max="4360"/>
    <col width="16" customWidth="1" style="87" min="4361" max="4361"/>
    <col width="254" customWidth="1" style="87" min="4362" max="4362"/>
    <col width="8" customWidth="1" style="87" min="4609" max="4609"/>
    <col width="6" customWidth="1" style="87" min="4610" max="4610"/>
    <col width="13" customWidth="1" style="87" min="4611" max="4611"/>
    <col width="22" customWidth="1" style="87" min="4612" max="4612"/>
    <col width="7" customWidth="1" style="87" min="4613" max="4613"/>
    <col width="8" customWidth="1" style="87" min="4614" max="4614"/>
    <col width="12" customWidth="1" style="87" min="4615" max="4615"/>
    <col width="50" customWidth="1" style="87" min="4616" max="4616"/>
    <col width="16" customWidth="1" style="87" min="4617" max="4617"/>
    <col width="254" customWidth="1" style="87" min="4618" max="4618"/>
    <col width="8" customWidth="1" style="87" min="4865" max="4865"/>
    <col width="6" customWidth="1" style="87" min="4866" max="4866"/>
    <col width="13" customWidth="1" style="87" min="4867" max="4867"/>
    <col width="22" customWidth="1" style="87" min="4868" max="4868"/>
    <col width="7" customWidth="1" style="87" min="4869" max="4869"/>
    <col width="8" customWidth="1" style="87" min="4870" max="4870"/>
    <col width="12" customWidth="1" style="87" min="4871" max="4871"/>
    <col width="50" customWidth="1" style="87" min="4872" max="4872"/>
    <col width="16" customWidth="1" style="87" min="4873" max="4873"/>
    <col width="254" customWidth="1" style="87" min="4874" max="4874"/>
    <col width="8" customWidth="1" style="87" min="5121" max="5121"/>
    <col width="6" customWidth="1" style="87" min="5122" max="5122"/>
    <col width="13" customWidth="1" style="87" min="5123" max="5123"/>
    <col width="22" customWidth="1" style="87" min="5124" max="5124"/>
    <col width="7" customWidth="1" style="87" min="5125" max="5125"/>
    <col width="8" customWidth="1" style="87" min="5126" max="5126"/>
    <col width="12" customWidth="1" style="87" min="5127" max="5127"/>
    <col width="50" customWidth="1" style="87" min="5128" max="5128"/>
    <col width="16" customWidth="1" style="87" min="5129" max="5129"/>
    <col width="254" customWidth="1" style="87" min="5130" max="5130"/>
    <col width="8" customWidth="1" style="87" min="5377" max="5377"/>
    <col width="6" customWidth="1" style="87" min="5378" max="5378"/>
    <col width="13" customWidth="1" style="87" min="5379" max="5379"/>
    <col width="22" customWidth="1" style="87" min="5380" max="5380"/>
    <col width="7" customWidth="1" style="87" min="5381" max="5381"/>
    <col width="8" customWidth="1" style="87" min="5382" max="5382"/>
    <col width="12" customWidth="1" style="87" min="5383" max="5383"/>
    <col width="50" customWidth="1" style="87" min="5384" max="5384"/>
    <col width="16" customWidth="1" style="87" min="5385" max="5385"/>
    <col width="254" customWidth="1" style="87" min="5386" max="5386"/>
    <col width="8" customWidth="1" style="87" min="5633" max="5633"/>
    <col width="6" customWidth="1" style="87" min="5634" max="5634"/>
    <col width="13" customWidth="1" style="87" min="5635" max="5635"/>
    <col width="22" customWidth="1" style="87" min="5636" max="5636"/>
    <col width="7" customWidth="1" style="87" min="5637" max="5637"/>
    <col width="8" customWidth="1" style="87" min="5638" max="5638"/>
    <col width="12" customWidth="1" style="87" min="5639" max="5639"/>
    <col width="50" customWidth="1" style="87" min="5640" max="5640"/>
    <col width="16" customWidth="1" style="87" min="5641" max="5641"/>
    <col width="254" customWidth="1" style="87" min="5642" max="5642"/>
    <col width="8" customWidth="1" style="87" min="5889" max="5889"/>
    <col width="6" customWidth="1" style="87" min="5890" max="5890"/>
    <col width="13" customWidth="1" style="87" min="5891" max="5891"/>
    <col width="22" customWidth="1" style="87" min="5892" max="5892"/>
    <col width="7" customWidth="1" style="87" min="5893" max="5893"/>
    <col width="8" customWidth="1" style="87" min="5894" max="5894"/>
    <col width="12" customWidth="1" style="87" min="5895" max="5895"/>
    <col width="50" customWidth="1" style="87" min="5896" max="5896"/>
    <col width="16" customWidth="1" style="87" min="5897" max="5897"/>
    <col width="254" customWidth="1" style="87" min="5898" max="5898"/>
    <col width="8" customWidth="1" style="87" min="6145" max="6145"/>
    <col width="6" customWidth="1" style="87" min="6146" max="6146"/>
    <col width="13" customWidth="1" style="87" min="6147" max="6147"/>
    <col width="22" customWidth="1" style="87" min="6148" max="6148"/>
    <col width="7" customWidth="1" style="87" min="6149" max="6149"/>
    <col width="8" customWidth="1" style="87" min="6150" max="6150"/>
    <col width="12" customWidth="1" style="87" min="6151" max="6151"/>
    <col width="50" customWidth="1" style="87" min="6152" max="6152"/>
    <col width="16" customWidth="1" style="87" min="6153" max="6153"/>
    <col width="254" customWidth="1" style="87" min="6154" max="6154"/>
    <col width="8" customWidth="1" style="87" min="6401" max="6401"/>
    <col width="6" customWidth="1" style="87" min="6402" max="6402"/>
    <col width="13" customWidth="1" style="87" min="6403" max="6403"/>
    <col width="22" customWidth="1" style="87" min="6404" max="6404"/>
    <col width="7" customWidth="1" style="87" min="6405" max="6405"/>
    <col width="8" customWidth="1" style="87" min="6406" max="6406"/>
    <col width="12" customWidth="1" style="87" min="6407" max="6407"/>
    <col width="50" customWidth="1" style="87" min="6408" max="6408"/>
    <col width="16" customWidth="1" style="87" min="6409" max="6409"/>
    <col width="254" customWidth="1" style="87" min="6410" max="6410"/>
    <col width="8" customWidth="1" style="87" min="6657" max="6657"/>
    <col width="6" customWidth="1" style="87" min="6658" max="6658"/>
    <col width="13" customWidth="1" style="87" min="6659" max="6659"/>
    <col width="22" customWidth="1" style="87" min="6660" max="6660"/>
    <col width="7" customWidth="1" style="87" min="6661" max="6661"/>
    <col width="8" customWidth="1" style="87" min="6662" max="6662"/>
    <col width="12" customWidth="1" style="87" min="6663" max="6663"/>
    <col width="50" customWidth="1" style="87" min="6664" max="6664"/>
    <col width="16" customWidth="1" style="87" min="6665" max="6665"/>
    <col width="254" customWidth="1" style="87" min="6666" max="6666"/>
    <col width="8" customWidth="1" style="87" min="6913" max="6913"/>
    <col width="6" customWidth="1" style="87" min="6914" max="6914"/>
    <col width="13" customWidth="1" style="87" min="6915" max="6915"/>
    <col width="22" customWidth="1" style="87" min="6916" max="6916"/>
    <col width="7" customWidth="1" style="87" min="6917" max="6917"/>
    <col width="8" customWidth="1" style="87" min="6918" max="6918"/>
    <col width="12" customWidth="1" style="87" min="6919" max="6919"/>
    <col width="50" customWidth="1" style="87" min="6920" max="6920"/>
    <col width="16" customWidth="1" style="87" min="6921" max="6921"/>
    <col width="254" customWidth="1" style="87" min="6922" max="6922"/>
    <col width="8" customWidth="1" style="87" min="7169" max="7169"/>
    <col width="6" customWidth="1" style="87" min="7170" max="7170"/>
    <col width="13" customWidth="1" style="87" min="7171" max="7171"/>
    <col width="22" customWidth="1" style="87" min="7172" max="7172"/>
    <col width="7" customWidth="1" style="87" min="7173" max="7173"/>
    <col width="8" customWidth="1" style="87" min="7174" max="7174"/>
    <col width="12" customWidth="1" style="87" min="7175" max="7175"/>
    <col width="50" customWidth="1" style="87" min="7176" max="7176"/>
    <col width="16" customWidth="1" style="87" min="7177" max="7177"/>
    <col width="254" customWidth="1" style="87" min="7178" max="7178"/>
    <col width="8" customWidth="1" style="87" min="7425" max="7425"/>
    <col width="6" customWidth="1" style="87" min="7426" max="7426"/>
    <col width="13" customWidth="1" style="87" min="7427" max="7427"/>
    <col width="22" customWidth="1" style="87" min="7428" max="7428"/>
    <col width="7" customWidth="1" style="87" min="7429" max="7429"/>
    <col width="8" customWidth="1" style="87" min="7430" max="7430"/>
    <col width="12" customWidth="1" style="87" min="7431" max="7431"/>
    <col width="50" customWidth="1" style="87" min="7432" max="7432"/>
    <col width="16" customWidth="1" style="87" min="7433" max="7433"/>
    <col width="254" customWidth="1" style="87" min="7434" max="7434"/>
    <col width="8" customWidth="1" style="87" min="7681" max="7681"/>
    <col width="6" customWidth="1" style="87" min="7682" max="7682"/>
    <col width="13" customWidth="1" style="87" min="7683" max="7683"/>
    <col width="22" customWidth="1" style="87" min="7684" max="7684"/>
    <col width="7" customWidth="1" style="87" min="7685" max="7685"/>
    <col width="8" customWidth="1" style="87" min="7686" max="7686"/>
    <col width="12" customWidth="1" style="87" min="7687" max="7687"/>
    <col width="50" customWidth="1" style="87" min="7688" max="7688"/>
    <col width="16" customWidth="1" style="87" min="7689" max="7689"/>
    <col width="254" customWidth="1" style="87" min="7690" max="7690"/>
    <col width="8" customWidth="1" style="87" min="7937" max="7937"/>
    <col width="6" customWidth="1" style="87" min="7938" max="7938"/>
    <col width="13" customWidth="1" style="87" min="7939" max="7939"/>
    <col width="22" customWidth="1" style="87" min="7940" max="7940"/>
    <col width="7" customWidth="1" style="87" min="7941" max="7941"/>
    <col width="8" customWidth="1" style="87" min="7942" max="7942"/>
    <col width="12" customWidth="1" style="87" min="7943" max="7943"/>
    <col width="50" customWidth="1" style="87" min="7944" max="7944"/>
    <col width="16" customWidth="1" style="87" min="7945" max="7945"/>
    <col width="254" customWidth="1" style="87" min="7946" max="7946"/>
    <col width="8" customWidth="1" style="87" min="8193" max="8193"/>
    <col width="6" customWidth="1" style="87" min="8194" max="8194"/>
    <col width="13" customWidth="1" style="87" min="8195" max="8195"/>
    <col width="22" customWidth="1" style="87" min="8196" max="8196"/>
    <col width="7" customWidth="1" style="87" min="8197" max="8197"/>
    <col width="8" customWidth="1" style="87" min="8198" max="8198"/>
    <col width="12" customWidth="1" style="87" min="8199" max="8199"/>
    <col width="50" customWidth="1" style="87" min="8200" max="8200"/>
    <col width="16" customWidth="1" style="87" min="8201" max="8201"/>
    <col width="254" customWidth="1" style="87" min="8202" max="8202"/>
    <col width="8" customWidth="1" style="87" min="8449" max="8449"/>
    <col width="6" customWidth="1" style="87" min="8450" max="8450"/>
    <col width="13" customWidth="1" style="87" min="8451" max="8451"/>
    <col width="22" customWidth="1" style="87" min="8452" max="8452"/>
    <col width="7" customWidth="1" style="87" min="8453" max="8453"/>
    <col width="8" customWidth="1" style="87" min="8454" max="8454"/>
    <col width="12" customWidth="1" style="87" min="8455" max="8455"/>
    <col width="50" customWidth="1" style="87" min="8456" max="8456"/>
    <col width="16" customWidth="1" style="87" min="8457" max="8457"/>
    <col width="254" customWidth="1" style="87" min="8458" max="8458"/>
    <col width="8" customWidth="1" style="87" min="8705" max="8705"/>
    <col width="6" customWidth="1" style="87" min="8706" max="8706"/>
    <col width="13" customWidth="1" style="87" min="8707" max="8707"/>
    <col width="22" customWidth="1" style="87" min="8708" max="8708"/>
    <col width="7" customWidth="1" style="87" min="8709" max="8709"/>
    <col width="8" customWidth="1" style="87" min="8710" max="8710"/>
    <col width="12" customWidth="1" style="87" min="8711" max="8711"/>
    <col width="50" customWidth="1" style="87" min="8712" max="8712"/>
    <col width="16" customWidth="1" style="87" min="8713" max="8713"/>
    <col width="254" customWidth="1" style="87" min="8714" max="8714"/>
    <col width="8" customWidth="1" style="87" min="8961" max="8961"/>
    <col width="6" customWidth="1" style="87" min="8962" max="8962"/>
    <col width="13" customWidth="1" style="87" min="8963" max="8963"/>
    <col width="22" customWidth="1" style="87" min="8964" max="8964"/>
    <col width="7" customWidth="1" style="87" min="8965" max="8965"/>
    <col width="8" customWidth="1" style="87" min="8966" max="8966"/>
    <col width="12" customWidth="1" style="87" min="8967" max="8967"/>
    <col width="50" customWidth="1" style="87" min="8968" max="8968"/>
    <col width="16" customWidth="1" style="87" min="8969" max="8969"/>
    <col width="254" customWidth="1" style="87" min="8970" max="8970"/>
    <col width="8" customWidth="1" style="87" min="9217" max="9217"/>
    <col width="6" customWidth="1" style="87" min="9218" max="9218"/>
    <col width="13" customWidth="1" style="87" min="9219" max="9219"/>
    <col width="22" customWidth="1" style="87" min="9220" max="9220"/>
    <col width="7" customWidth="1" style="87" min="9221" max="9221"/>
    <col width="8" customWidth="1" style="87" min="9222" max="9222"/>
    <col width="12" customWidth="1" style="87" min="9223" max="9223"/>
    <col width="50" customWidth="1" style="87" min="9224" max="9224"/>
    <col width="16" customWidth="1" style="87" min="9225" max="9225"/>
    <col width="254" customWidth="1" style="87" min="9226" max="9226"/>
    <col width="8" customWidth="1" style="87" min="9473" max="9473"/>
    <col width="6" customWidth="1" style="87" min="9474" max="9474"/>
    <col width="13" customWidth="1" style="87" min="9475" max="9475"/>
    <col width="22" customWidth="1" style="87" min="9476" max="9476"/>
    <col width="7" customWidth="1" style="87" min="9477" max="9477"/>
    <col width="8" customWidth="1" style="87" min="9478" max="9478"/>
    <col width="12" customWidth="1" style="87" min="9479" max="9479"/>
    <col width="50" customWidth="1" style="87" min="9480" max="9480"/>
    <col width="16" customWidth="1" style="87" min="9481" max="9481"/>
    <col width="254" customWidth="1" style="87" min="9482" max="9482"/>
    <col width="8" customWidth="1" style="87" min="9729" max="9729"/>
    <col width="6" customWidth="1" style="87" min="9730" max="9730"/>
    <col width="13" customWidth="1" style="87" min="9731" max="9731"/>
    <col width="22" customWidth="1" style="87" min="9732" max="9732"/>
    <col width="7" customWidth="1" style="87" min="9733" max="9733"/>
    <col width="8" customWidth="1" style="87" min="9734" max="9734"/>
    <col width="12" customWidth="1" style="87" min="9735" max="9735"/>
    <col width="50" customWidth="1" style="87" min="9736" max="9736"/>
    <col width="16" customWidth="1" style="87" min="9737" max="9737"/>
    <col width="254" customWidth="1" style="87" min="9738" max="9738"/>
    <col width="8" customWidth="1" style="87" min="9985" max="9985"/>
    <col width="6" customWidth="1" style="87" min="9986" max="9986"/>
    <col width="13" customWidth="1" style="87" min="9987" max="9987"/>
    <col width="22" customWidth="1" style="87" min="9988" max="9988"/>
    <col width="7" customWidth="1" style="87" min="9989" max="9989"/>
    <col width="8" customWidth="1" style="87" min="9990" max="9990"/>
    <col width="12" customWidth="1" style="87" min="9991" max="9991"/>
    <col width="50" customWidth="1" style="87" min="9992" max="9992"/>
    <col width="16" customWidth="1" style="87" min="9993" max="9993"/>
    <col width="254" customWidth="1" style="87" min="9994" max="9994"/>
    <col width="8" customWidth="1" style="87" min="10241" max="10241"/>
    <col width="6" customWidth="1" style="87" min="10242" max="10242"/>
    <col width="13" customWidth="1" style="87" min="10243" max="10243"/>
    <col width="22" customWidth="1" style="87" min="10244" max="10244"/>
    <col width="7" customWidth="1" style="87" min="10245" max="10245"/>
    <col width="8" customWidth="1" style="87" min="10246" max="10246"/>
    <col width="12" customWidth="1" style="87" min="10247" max="10247"/>
    <col width="50" customWidth="1" style="87" min="10248" max="10248"/>
    <col width="16" customWidth="1" style="87" min="10249" max="10249"/>
    <col width="254" customWidth="1" style="87" min="10250" max="10250"/>
    <col width="8" customWidth="1" style="87" min="10497" max="10497"/>
    <col width="6" customWidth="1" style="87" min="10498" max="10498"/>
    <col width="13" customWidth="1" style="87" min="10499" max="10499"/>
    <col width="22" customWidth="1" style="87" min="10500" max="10500"/>
    <col width="7" customWidth="1" style="87" min="10501" max="10501"/>
    <col width="8" customWidth="1" style="87" min="10502" max="10502"/>
    <col width="12" customWidth="1" style="87" min="10503" max="10503"/>
    <col width="50" customWidth="1" style="87" min="10504" max="10504"/>
    <col width="16" customWidth="1" style="87" min="10505" max="10505"/>
    <col width="254" customWidth="1" style="87" min="10506" max="10506"/>
    <col width="8" customWidth="1" style="87" min="10753" max="10753"/>
    <col width="6" customWidth="1" style="87" min="10754" max="10754"/>
    <col width="13" customWidth="1" style="87" min="10755" max="10755"/>
    <col width="22" customWidth="1" style="87" min="10756" max="10756"/>
    <col width="7" customWidth="1" style="87" min="10757" max="10757"/>
    <col width="8" customWidth="1" style="87" min="10758" max="10758"/>
    <col width="12" customWidth="1" style="87" min="10759" max="10759"/>
    <col width="50" customWidth="1" style="87" min="10760" max="10760"/>
    <col width="16" customWidth="1" style="87" min="10761" max="10761"/>
    <col width="254" customWidth="1" style="87" min="10762" max="10762"/>
    <col width="8" customWidth="1" style="87" min="11009" max="11009"/>
    <col width="6" customWidth="1" style="87" min="11010" max="11010"/>
    <col width="13" customWidth="1" style="87" min="11011" max="11011"/>
    <col width="22" customWidth="1" style="87" min="11012" max="11012"/>
    <col width="7" customWidth="1" style="87" min="11013" max="11013"/>
    <col width="8" customWidth="1" style="87" min="11014" max="11014"/>
    <col width="12" customWidth="1" style="87" min="11015" max="11015"/>
    <col width="50" customWidth="1" style="87" min="11016" max="11016"/>
    <col width="16" customWidth="1" style="87" min="11017" max="11017"/>
    <col width="254" customWidth="1" style="87" min="11018" max="11018"/>
    <col width="8" customWidth="1" style="87" min="11265" max="11265"/>
    <col width="6" customWidth="1" style="87" min="11266" max="11266"/>
    <col width="13" customWidth="1" style="87" min="11267" max="11267"/>
    <col width="22" customWidth="1" style="87" min="11268" max="11268"/>
    <col width="7" customWidth="1" style="87" min="11269" max="11269"/>
    <col width="8" customWidth="1" style="87" min="11270" max="11270"/>
    <col width="12" customWidth="1" style="87" min="11271" max="11271"/>
    <col width="50" customWidth="1" style="87" min="11272" max="11272"/>
    <col width="16" customWidth="1" style="87" min="11273" max="11273"/>
    <col width="254" customWidth="1" style="87" min="11274" max="11274"/>
    <col width="8" customWidth="1" style="87" min="11521" max="11521"/>
    <col width="6" customWidth="1" style="87" min="11522" max="11522"/>
    <col width="13" customWidth="1" style="87" min="11523" max="11523"/>
    <col width="22" customWidth="1" style="87" min="11524" max="11524"/>
    <col width="7" customWidth="1" style="87" min="11525" max="11525"/>
    <col width="8" customWidth="1" style="87" min="11526" max="11526"/>
    <col width="12" customWidth="1" style="87" min="11527" max="11527"/>
    <col width="50" customWidth="1" style="87" min="11528" max="11528"/>
    <col width="16" customWidth="1" style="87" min="11529" max="11529"/>
    <col width="254" customWidth="1" style="87" min="11530" max="11530"/>
    <col width="8" customWidth="1" style="87" min="11777" max="11777"/>
    <col width="6" customWidth="1" style="87" min="11778" max="11778"/>
    <col width="13" customWidth="1" style="87" min="11779" max="11779"/>
    <col width="22" customWidth="1" style="87" min="11780" max="11780"/>
    <col width="7" customWidth="1" style="87" min="11781" max="11781"/>
    <col width="8" customWidth="1" style="87" min="11782" max="11782"/>
    <col width="12" customWidth="1" style="87" min="11783" max="11783"/>
    <col width="50" customWidth="1" style="87" min="11784" max="11784"/>
    <col width="16" customWidth="1" style="87" min="11785" max="11785"/>
    <col width="254" customWidth="1" style="87" min="11786" max="11786"/>
    <col width="8" customWidth="1" style="87" min="12033" max="12033"/>
    <col width="6" customWidth="1" style="87" min="12034" max="12034"/>
    <col width="13" customWidth="1" style="87" min="12035" max="12035"/>
    <col width="22" customWidth="1" style="87" min="12036" max="12036"/>
    <col width="7" customWidth="1" style="87" min="12037" max="12037"/>
    <col width="8" customWidth="1" style="87" min="12038" max="12038"/>
    <col width="12" customWidth="1" style="87" min="12039" max="12039"/>
    <col width="50" customWidth="1" style="87" min="12040" max="12040"/>
    <col width="16" customWidth="1" style="87" min="12041" max="12041"/>
    <col width="254" customWidth="1" style="87" min="12042" max="12042"/>
    <col width="8" customWidth="1" style="87" min="12289" max="12289"/>
    <col width="6" customWidth="1" style="87" min="12290" max="12290"/>
    <col width="13" customWidth="1" style="87" min="12291" max="12291"/>
    <col width="22" customWidth="1" style="87" min="12292" max="12292"/>
    <col width="7" customWidth="1" style="87" min="12293" max="12293"/>
    <col width="8" customWidth="1" style="87" min="12294" max="12294"/>
    <col width="12" customWidth="1" style="87" min="12295" max="12295"/>
    <col width="50" customWidth="1" style="87" min="12296" max="12296"/>
    <col width="16" customWidth="1" style="87" min="12297" max="12297"/>
    <col width="254" customWidth="1" style="87" min="12298" max="12298"/>
    <col width="8" customWidth="1" style="87" min="12545" max="12545"/>
    <col width="6" customWidth="1" style="87" min="12546" max="12546"/>
    <col width="13" customWidth="1" style="87" min="12547" max="12547"/>
    <col width="22" customWidth="1" style="87" min="12548" max="12548"/>
    <col width="7" customWidth="1" style="87" min="12549" max="12549"/>
    <col width="8" customWidth="1" style="87" min="12550" max="12550"/>
    <col width="12" customWidth="1" style="87" min="12551" max="12551"/>
    <col width="50" customWidth="1" style="87" min="12552" max="12552"/>
    <col width="16" customWidth="1" style="87" min="12553" max="12553"/>
    <col width="254" customWidth="1" style="87" min="12554" max="12554"/>
    <col width="8" customWidth="1" style="87" min="12801" max="12801"/>
    <col width="6" customWidth="1" style="87" min="12802" max="12802"/>
    <col width="13" customWidth="1" style="87" min="12803" max="12803"/>
    <col width="22" customWidth="1" style="87" min="12804" max="12804"/>
    <col width="7" customWidth="1" style="87" min="12805" max="12805"/>
    <col width="8" customWidth="1" style="87" min="12806" max="12806"/>
    <col width="12" customWidth="1" style="87" min="12807" max="12807"/>
    <col width="50" customWidth="1" style="87" min="12808" max="12808"/>
    <col width="16" customWidth="1" style="87" min="12809" max="12809"/>
    <col width="254" customWidth="1" style="87" min="12810" max="12810"/>
    <col width="8" customWidth="1" style="87" min="13057" max="13057"/>
    <col width="6" customWidth="1" style="87" min="13058" max="13058"/>
    <col width="13" customWidth="1" style="87" min="13059" max="13059"/>
    <col width="22" customWidth="1" style="87" min="13060" max="13060"/>
    <col width="7" customWidth="1" style="87" min="13061" max="13061"/>
    <col width="8" customWidth="1" style="87" min="13062" max="13062"/>
    <col width="12" customWidth="1" style="87" min="13063" max="13063"/>
    <col width="50" customWidth="1" style="87" min="13064" max="13064"/>
    <col width="16" customWidth="1" style="87" min="13065" max="13065"/>
    <col width="254" customWidth="1" style="87" min="13066" max="13066"/>
    <col width="8" customWidth="1" style="87" min="13313" max="13313"/>
    <col width="6" customWidth="1" style="87" min="13314" max="13314"/>
    <col width="13" customWidth="1" style="87" min="13315" max="13315"/>
    <col width="22" customWidth="1" style="87" min="13316" max="13316"/>
    <col width="7" customWidth="1" style="87" min="13317" max="13317"/>
    <col width="8" customWidth="1" style="87" min="13318" max="13318"/>
    <col width="12" customWidth="1" style="87" min="13319" max="13319"/>
    <col width="50" customWidth="1" style="87" min="13320" max="13320"/>
    <col width="16" customWidth="1" style="87" min="13321" max="13321"/>
    <col width="254" customWidth="1" style="87" min="13322" max="13322"/>
    <col width="8" customWidth="1" style="87" min="13569" max="13569"/>
    <col width="6" customWidth="1" style="87" min="13570" max="13570"/>
    <col width="13" customWidth="1" style="87" min="13571" max="13571"/>
    <col width="22" customWidth="1" style="87" min="13572" max="13572"/>
    <col width="7" customWidth="1" style="87" min="13573" max="13573"/>
    <col width="8" customWidth="1" style="87" min="13574" max="13574"/>
    <col width="12" customWidth="1" style="87" min="13575" max="13575"/>
    <col width="50" customWidth="1" style="87" min="13576" max="13576"/>
    <col width="16" customWidth="1" style="87" min="13577" max="13577"/>
    <col width="254" customWidth="1" style="87" min="13578" max="13578"/>
    <col width="8" customWidth="1" style="87" min="13825" max="13825"/>
    <col width="6" customWidth="1" style="87" min="13826" max="13826"/>
    <col width="13" customWidth="1" style="87" min="13827" max="13827"/>
    <col width="22" customWidth="1" style="87" min="13828" max="13828"/>
    <col width="7" customWidth="1" style="87" min="13829" max="13829"/>
    <col width="8" customWidth="1" style="87" min="13830" max="13830"/>
    <col width="12" customWidth="1" style="87" min="13831" max="13831"/>
    <col width="50" customWidth="1" style="87" min="13832" max="13832"/>
    <col width="16" customWidth="1" style="87" min="13833" max="13833"/>
    <col width="254" customWidth="1" style="87" min="13834" max="13834"/>
    <col width="8" customWidth="1" style="87" min="14081" max="14081"/>
    <col width="6" customWidth="1" style="87" min="14082" max="14082"/>
    <col width="13" customWidth="1" style="87" min="14083" max="14083"/>
    <col width="22" customWidth="1" style="87" min="14084" max="14084"/>
    <col width="7" customWidth="1" style="87" min="14085" max="14085"/>
    <col width="8" customWidth="1" style="87" min="14086" max="14086"/>
    <col width="12" customWidth="1" style="87" min="14087" max="14087"/>
    <col width="50" customWidth="1" style="87" min="14088" max="14088"/>
    <col width="16" customWidth="1" style="87" min="14089" max="14089"/>
    <col width="254" customWidth="1" style="87" min="14090" max="14090"/>
    <col width="8" customWidth="1" style="87" min="14337" max="14337"/>
    <col width="6" customWidth="1" style="87" min="14338" max="14338"/>
    <col width="13" customWidth="1" style="87" min="14339" max="14339"/>
    <col width="22" customWidth="1" style="87" min="14340" max="14340"/>
    <col width="7" customWidth="1" style="87" min="14341" max="14341"/>
    <col width="8" customWidth="1" style="87" min="14342" max="14342"/>
    <col width="12" customWidth="1" style="87" min="14343" max="14343"/>
    <col width="50" customWidth="1" style="87" min="14344" max="14344"/>
    <col width="16" customWidth="1" style="87" min="14345" max="14345"/>
    <col width="254" customWidth="1" style="87" min="14346" max="14346"/>
    <col width="8" customWidth="1" style="87" min="14593" max="14593"/>
    <col width="6" customWidth="1" style="87" min="14594" max="14594"/>
    <col width="13" customWidth="1" style="87" min="14595" max="14595"/>
    <col width="22" customWidth="1" style="87" min="14596" max="14596"/>
    <col width="7" customWidth="1" style="87" min="14597" max="14597"/>
    <col width="8" customWidth="1" style="87" min="14598" max="14598"/>
    <col width="12" customWidth="1" style="87" min="14599" max="14599"/>
    <col width="50" customWidth="1" style="87" min="14600" max="14600"/>
    <col width="16" customWidth="1" style="87" min="14601" max="14601"/>
    <col width="254" customWidth="1" style="87" min="14602" max="14602"/>
    <col width="8" customWidth="1" style="87" min="14849" max="14849"/>
    <col width="6" customWidth="1" style="87" min="14850" max="14850"/>
    <col width="13" customWidth="1" style="87" min="14851" max="14851"/>
    <col width="22" customWidth="1" style="87" min="14852" max="14852"/>
    <col width="7" customWidth="1" style="87" min="14853" max="14853"/>
    <col width="8" customWidth="1" style="87" min="14854" max="14854"/>
    <col width="12" customWidth="1" style="87" min="14855" max="14855"/>
    <col width="50" customWidth="1" style="87" min="14856" max="14856"/>
    <col width="16" customWidth="1" style="87" min="14857" max="14857"/>
    <col width="254" customWidth="1" style="87" min="14858" max="14858"/>
    <col width="8" customWidth="1" style="87" min="15105" max="15105"/>
    <col width="6" customWidth="1" style="87" min="15106" max="15106"/>
    <col width="13" customWidth="1" style="87" min="15107" max="15107"/>
    <col width="22" customWidth="1" style="87" min="15108" max="15108"/>
    <col width="7" customWidth="1" style="87" min="15109" max="15109"/>
    <col width="8" customWidth="1" style="87" min="15110" max="15110"/>
    <col width="12" customWidth="1" style="87" min="15111" max="15111"/>
    <col width="50" customWidth="1" style="87" min="15112" max="15112"/>
    <col width="16" customWidth="1" style="87" min="15113" max="15113"/>
    <col width="254" customWidth="1" style="87" min="15114" max="15114"/>
    <col width="8" customWidth="1" style="87" min="15361" max="15361"/>
    <col width="6" customWidth="1" style="87" min="15362" max="15362"/>
    <col width="13" customWidth="1" style="87" min="15363" max="15363"/>
    <col width="22" customWidth="1" style="87" min="15364" max="15364"/>
    <col width="7" customWidth="1" style="87" min="15365" max="15365"/>
    <col width="8" customWidth="1" style="87" min="15366" max="15366"/>
    <col width="12" customWidth="1" style="87" min="15367" max="15367"/>
    <col width="50" customWidth="1" style="87" min="15368" max="15368"/>
    <col width="16" customWidth="1" style="87" min="15369" max="15369"/>
    <col width="254" customWidth="1" style="87" min="15370" max="15370"/>
    <col width="8" customWidth="1" style="87" min="15617" max="15617"/>
    <col width="6" customWidth="1" style="87" min="15618" max="15618"/>
    <col width="13" customWidth="1" style="87" min="15619" max="15619"/>
    <col width="22" customWidth="1" style="87" min="15620" max="15620"/>
    <col width="7" customWidth="1" style="87" min="15621" max="15621"/>
    <col width="8" customWidth="1" style="87" min="15622" max="15622"/>
    <col width="12" customWidth="1" style="87" min="15623" max="15623"/>
    <col width="50" customWidth="1" style="87" min="15624" max="15624"/>
    <col width="16" customWidth="1" style="87" min="15625" max="15625"/>
    <col width="254" customWidth="1" style="87" min="15626" max="15626"/>
    <col width="8" customWidth="1" style="87" min="15873" max="15873"/>
    <col width="6" customWidth="1" style="87" min="15874" max="15874"/>
    <col width="13" customWidth="1" style="87" min="15875" max="15875"/>
    <col width="22" customWidth="1" style="87" min="15876" max="15876"/>
    <col width="7" customWidth="1" style="87" min="15877" max="15877"/>
    <col width="8" customWidth="1" style="87" min="15878" max="15878"/>
    <col width="12" customWidth="1" style="87" min="15879" max="15879"/>
    <col width="50" customWidth="1" style="87" min="15880" max="15880"/>
    <col width="16" customWidth="1" style="87" min="15881" max="15881"/>
    <col width="254" customWidth="1" style="87" min="15882" max="15882"/>
    <col width="8" customWidth="1" style="87" min="16129" max="16129"/>
    <col width="6" customWidth="1" style="87" min="16130" max="16130"/>
    <col width="13" customWidth="1" style="87" min="16131" max="16131"/>
    <col width="22" customWidth="1" style="87" min="16132" max="16132"/>
    <col width="7" customWidth="1" style="87" min="16133" max="16133"/>
    <col width="8" customWidth="1" style="87" min="16134" max="16134"/>
    <col width="12" customWidth="1" style="87" min="16135" max="16135"/>
    <col width="50" customWidth="1" style="87" min="16136" max="16136"/>
    <col width="16" customWidth="1" style="87" min="16137" max="16137"/>
    <col width="254" customWidth="1" style="87" min="16138" max="16138"/>
  </cols>
  <sheetData>
    <row r="1">
      <c r="A1" t="inlineStr">
        <is>
          <t>ngaynt</t>
        </is>
      </c>
      <c r="B1" t="inlineStr">
        <is>
          <t>sobl</t>
        </is>
      </c>
      <c r="C1" t="inlineStr">
        <is>
          <t>masv</t>
        </is>
      </c>
      <c r="D1" t="inlineStr">
        <is>
          <t>hosv</t>
        </is>
      </c>
      <c r="E1" t="inlineStr">
        <is>
          <t>tensv</t>
        </is>
      </c>
      <c r="F1" t="inlineStr">
        <is>
          <t>ngaysinh</t>
        </is>
      </c>
      <c r="G1" t="inlineStr">
        <is>
          <t>mamonhoc</t>
        </is>
      </c>
      <c r="H1" t="inlineStr">
        <is>
          <t>tenmonhoc</t>
        </is>
      </c>
      <c r="I1" t="inlineStr">
        <is>
          <t>danop</t>
        </is>
      </c>
      <c r="J1" t="inlineStr">
        <is>
          <t>lienhe</t>
        </is>
      </c>
    </row>
    <row r="2">
      <c r="A2" t="inlineStr">
        <is>
          <t>15-Dec-25</t>
        </is>
      </c>
      <c r="B2" t="inlineStr">
        <is>
          <t>I83124</t>
        </is>
      </c>
      <c r="C2" t="inlineStr">
        <is>
          <t>25807900052</t>
        </is>
      </c>
      <c r="D2" t="inlineStr">
        <is>
          <t>Traàn Minh</t>
        </is>
      </c>
      <c r="E2" t="inlineStr">
        <is>
          <t>Thieän</t>
        </is>
      </c>
      <c r="F2" t="inlineStr">
        <is>
          <t>09-May-07</t>
        </is>
      </c>
      <c r="G2" t="inlineStr">
        <is>
          <t>LNH0326NG01</t>
        </is>
      </c>
      <c r="H2" t="inlineStr">
        <is>
          <t>03AV AVQT Level 3 KG: 02/03/2026</t>
        </is>
      </c>
      <c r="I2" t="n">
        <v>4940000</v>
      </c>
      <c r="J2" t="inlineStr">
        <is>
          <t>TRAN MINH THIEN Tran Minh Thien  25807900052  LNH03 26NG01  0857323677 TAI VietinBank</t>
        </is>
      </c>
    </row>
    <row r="3">
      <c r="A3" t="inlineStr">
        <is>
          <t>18-Dec-25</t>
        </is>
      </c>
      <c r="B3" t="inlineStr">
        <is>
          <t>I83578</t>
        </is>
      </c>
      <c r="C3" t="inlineStr">
        <is>
          <t>25808700211</t>
        </is>
      </c>
      <c r="D3" t="inlineStr">
        <is>
          <t>Nguyeãn Thanh</t>
        </is>
      </c>
      <c r="E3" t="inlineStr">
        <is>
          <t>Phong</t>
        </is>
      </c>
      <c r="F3" t="inlineStr">
        <is>
          <t>22-Oct-07</t>
        </is>
      </c>
      <c r="G3" t="inlineStr">
        <is>
          <t>LNH0326NG01</t>
        </is>
      </c>
      <c r="H3" t="inlineStr">
        <is>
          <t>03AV AVQT Level 3 KG: 02/03/2026</t>
        </is>
      </c>
      <c r="I3" t="n">
        <v>4940000</v>
      </c>
      <c r="J3" t="inlineStr">
        <is>
          <t>Huynh Kim Dung ABBank 0521043748045 Nguyen thanh p hong 25808700211 LNH0326NG01 090929 7512 TAI Agribank</t>
        </is>
      </c>
    </row>
    <row r="4">
      <c r="A4" t="inlineStr">
        <is>
          <t>22-Dec-25</t>
        </is>
      </c>
      <c r="B4" t="inlineStr">
        <is>
          <t>I84082</t>
        </is>
      </c>
      <c r="C4" t="inlineStr">
        <is>
          <t>25820300063</t>
        </is>
      </c>
      <c r="D4" t="inlineStr">
        <is>
          <t>Thaùi Thaønh</t>
        </is>
      </c>
      <c r="E4" t="inlineStr">
        <is>
          <t>Trí</t>
        </is>
      </c>
      <c r="F4" t="inlineStr">
        <is>
          <t>01-Jul-07</t>
        </is>
      </c>
      <c r="G4" t="inlineStr">
        <is>
          <t>LNH0326NG01</t>
        </is>
      </c>
      <c r="H4" t="inlineStr">
        <is>
          <t>03AV AVQT Level 3 KG: 02/03/2026</t>
        </is>
      </c>
      <c r="I4" t="n">
        <v>4940000</v>
      </c>
      <c r="J4" t="inlineStr">
        <is>
          <t>THAI THANH TRI MBVCB.12253178953.395506.THAI THANH TRI - 25820300063 - LNH0326NG01 - SDT: 0398308404.CT tu 1048073571 TH AI THANH TRI toi 0521043748045 HUTECH tai ABBANK TAI Vietcombank</t>
        </is>
      </c>
    </row>
    <row r="5">
      <c r="A5" t="inlineStr">
        <is>
          <t>22-Dec-25</t>
        </is>
      </c>
      <c r="B5" t="inlineStr">
        <is>
          <t>I84083</t>
        </is>
      </c>
      <c r="C5" t="inlineStr">
        <is>
          <t>25805800017</t>
        </is>
      </c>
      <c r="D5" t="inlineStr">
        <is>
          <t>Ñaëng Hoaøng</t>
        </is>
      </c>
      <c r="E5" t="inlineStr">
        <is>
          <t>Khoâi</t>
        </is>
      </c>
      <c r="F5" t="inlineStr">
        <is>
          <t>18-May-07</t>
        </is>
      </c>
      <c r="G5" t="inlineStr">
        <is>
          <t>LNH0326NG01</t>
        </is>
      </c>
      <c r="H5" t="inlineStr">
        <is>
          <t>03AV AVQT Level 3 KG: 02/03/2026</t>
        </is>
      </c>
      <c r="I5" t="n">
        <v>4940000</v>
      </c>
      <c r="J5" t="inlineStr">
        <is>
          <t>HOANG THI THU TRANG MBVCB.12255612888.956914.dang hoang khoi   25805800017   LNH0326NG01 0766180507.CT tu 0251002776665 HOA NG THI THU TRANG toi 0521043748045HUTECH tai ABBANK TAI Vietcombank</t>
        </is>
      </c>
    </row>
    <row r="6">
      <c r="A6" t="inlineStr">
        <is>
          <t>31-Dec-25</t>
        </is>
      </c>
      <c r="B6" t="inlineStr">
        <is>
          <t>I85638</t>
        </is>
      </c>
      <c r="C6" t="inlineStr">
        <is>
          <t>25800400020</t>
        </is>
      </c>
      <c r="D6" t="inlineStr">
        <is>
          <t>Loâ Khaùnh</t>
        </is>
      </c>
      <c r="E6" t="inlineStr">
        <is>
          <t>Chöông</t>
        </is>
      </c>
      <c r="F6" t="inlineStr">
        <is>
          <t>23-Nov-07</t>
        </is>
      </c>
      <c r="G6" t="inlineStr">
        <is>
          <t>LNH0326NG01</t>
        </is>
      </c>
      <c r="H6" t="inlineStr">
        <is>
          <t>03AV AVQT Level 3 KG: 02/03/2026</t>
        </is>
      </c>
      <c r="I6" t="n">
        <v>4940000</v>
      </c>
      <c r="J6" t="inlineStr">
        <is>
          <t>MBBANK IBFT LOKHANHCHUONG 25800400020 LNH0326NG 01 0975726182 TAI IBT-MB                   HANOI</t>
        </is>
      </c>
    </row>
    <row r="7">
      <c r="A7" t="inlineStr">
        <is>
          <t>09-Jan-26</t>
        </is>
      </c>
      <c r="B7" t="inlineStr">
        <is>
          <t>I87027</t>
        </is>
      </c>
      <c r="C7" t="inlineStr">
        <is>
          <t>25808200072</t>
        </is>
      </c>
      <c r="D7" t="inlineStr">
        <is>
          <t>Hoàng Vaên</t>
        </is>
      </c>
      <c r="E7" t="inlineStr">
        <is>
          <t>Kieân</t>
        </is>
      </c>
      <c r="F7" t="inlineStr">
        <is>
          <t>10-Nov-07</t>
        </is>
      </c>
      <c r="G7" t="inlineStr">
        <is>
          <t>LNH0326NG01</t>
        </is>
      </c>
      <c r="H7" t="inlineStr">
        <is>
          <t>03AV AVQT Level 3 KG: 02/03/2026</t>
        </is>
      </c>
      <c r="I7" t="n">
        <v>2065000</v>
      </c>
      <c r="J7" t="inlineStr">
        <is>
          <t>DAO THI LUYEN Hong Van Kien-25808200072-LNH0326NG 01-0983989077 TAI VIKKIBANK       Ebanking</t>
        </is>
      </c>
    </row>
    <row r="8">
      <c r="A8" t="inlineStr">
        <is>
          <t>09-Jan-26</t>
        </is>
      </c>
      <c r="B8" t="inlineStr">
        <is>
          <t>I87033</t>
        </is>
      </c>
      <c r="C8" t="inlineStr">
        <is>
          <t>25807700081</t>
        </is>
      </c>
      <c r="D8" t="inlineStr">
        <is>
          <t>Ñaëng Hoaøng</t>
        </is>
      </c>
      <c r="E8" t="inlineStr">
        <is>
          <t>Vinh</t>
        </is>
      </c>
      <c r="F8" t="inlineStr">
        <is>
          <t>29-Sep-07</t>
        </is>
      </c>
      <c r="G8" t="inlineStr">
        <is>
          <t>LNH0326NG01</t>
        </is>
      </c>
      <c r="H8" t="inlineStr">
        <is>
          <t>03AV AVQT Level 3 KG: 02/03/2026</t>
        </is>
      </c>
      <c r="I8" t="n">
        <v>2600000</v>
      </c>
      <c r="J8" t="inlineStr">
        <is>
          <t>DANG NGOC NHA UYEN ABBank 0521043748045 DANG HOANG VIN H 25807700081 LNH0326NG01 076445299 TAI Agribank</t>
        </is>
      </c>
    </row>
    <row r="9">
      <c r="A9" t="inlineStr">
        <is>
          <t>12-Jan-26</t>
        </is>
      </c>
      <c r="B9" t="inlineStr">
        <is>
          <t>I87253</t>
        </is>
      </c>
      <c r="C9" t="inlineStr">
        <is>
          <t>25802700054</t>
        </is>
      </c>
      <c r="D9" t="inlineStr">
        <is>
          <t>Leâ Thò Tuyeát</t>
        </is>
      </c>
      <c r="E9" t="inlineStr">
        <is>
          <t>Ngaân</t>
        </is>
      </c>
      <c r="F9" t="inlineStr">
        <is>
          <t>22-Jul-07</t>
        </is>
      </c>
      <c r="G9" t="inlineStr">
        <is>
          <t>LNH0326NG01</t>
        </is>
      </c>
      <c r="H9" t="inlineStr">
        <is>
          <t>03AV AVQT Level 3 KG: 02/03/2026</t>
        </is>
      </c>
      <c r="I9" t="n">
        <v>4940000</v>
      </c>
      <c r="J9" t="inlineStr">
        <is>
          <t>LE THI TUYET NGAN ABBank 0521043748045 LE THI TUYET N GAN - 25802700054 - LNH0326NG01 - 0 974931249 TAI Agribank</t>
        </is>
      </c>
    </row>
    <row r="10">
      <c r="A10" t="inlineStr">
        <is>
          <t>19-Jan-26</t>
        </is>
      </c>
      <c r="B10" t="inlineStr">
        <is>
          <t>I88266</t>
        </is>
      </c>
      <c r="C10" t="inlineStr">
        <is>
          <t>25807800116</t>
        </is>
      </c>
      <c r="D10" t="inlineStr">
        <is>
          <t>Nguyeãn Traàn Minh</t>
        </is>
      </c>
      <c r="E10" t="inlineStr">
        <is>
          <t>Quaân</t>
        </is>
      </c>
      <c r="F10" t="inlineStr">
        <is>
          <t>09-Sep-07</t>
        </is>
      </c>
      <c r="G10" t="inlineStr">
        <is>
          <t>LNH0326NG01</t>
        </is>
      </c>
      <c r="H10" t="inlineStr">
        <is>
          <t>03AV AVQT Level 3 KG: 02/03/2026</t>
        </is>
      </c>
      <c r="I10" t="n">
        <v>4940000</v>
      </c>
      <c r="J10" t="inlineStr">
        <is>
          <t>TRAN THI PHUONG MAI LNH0326NG01 NGUYEN TRAN MINH QUAN 2 5807800116 sdt0337960759 TAI IBT BIDV                 HANOI</t>
        </is>
      </c>
    </row>
    <row r="11">
      <c r="A11" t="inlineStr">
        <is>
          <t>20-Jan-26</t>
        </is>
      </c>
      <c r="B11" t="inlineStr">
        <is>
          <t>I88394</t>
        </is>
      </c>
      <c r="C11" t="inlineStr">
        <is>
          <t>24806107982</t>
        </is>
      </c>
      <c r="D11" t="inlineStr">
        <is>
          <t>Vuõ Kieàu Ngoïc</t>
        </is>
      </c>
      <c r="E11" t="inlineStr">
        <is>
          <t>Lan</t>
        </is>
      </c>
      <c r="F11" t="inlineStr">
        <is>
          <t>31-Mar-05</t>
        </is>
      </c>
      <c r="G11" t="inlineStr">
        <is>
          <t>LNH0326NG01</t>
        </is>
      </c>
      <c r="H11" t="inlineStr">
        <is>
          <t>03AV AVQT Level 3 KG: 02/03/2026</t>
        </is>
      </c>
      <c r="I11" t="n">
        <v>2600000</v>
      </c>
      <c r="J11" t="inlineStr">
        <is>
          <t>KIEU THI EN Vu Kieu Ngoc Lan  24806107982  LNH0 326NG01 TAI VietinBank</t>
        </is>
      </c>
    </row>
    <row r="12">
      <c r="A12" t="inlineStr">
        <is>
          <t>02-Feb-26</t>
        </is>
      </c>
      <c r="B12" t="inlineStr">
        <is>
          <t>I88859</t>
        </is>
      </c>
      <c r="C12" t="inlineStr">
        <is>
          <t>25807000012</t>
        </is>
      </c>
      <c r="D12" t="inlineStr">
        <is>
          <t>Traàn Ngoïc Minh</t>
        </is>
      </c>
      <c r="E12" t="inlineStr">
        <is>
          <t>Huyeàn</t>
        </is>
      </c>
      <c r="F12" t="inlineStr">
        <is>
          <t>20-Apr-07</t>
        </is>
      </c>
      <c r="G12" t="inlineStr">
        <is>
          <t>LNH0326NG01</t>
        </is>
      </c>
      <c r="H12" t="inlineStr">
        <is>
          <t>03AV AVQT Level 3 KG: 02/03/2026</t>
        </is>
      </c>
      <c r="I12" t="n">
        <v>4940000</v>
      </c>
      <c r="J12" t="inlineStr">
        <is>
          <t>LE THI THU YEN Tran Ngoc Minh Huyen 2580700012 LNH 0326NG01 0346267741 TAI VietinBank</t>
        </is>
      </c>
    </row>
    <row r="13">
      <c r="A13" t="inlineStr">
        <is>
          <t>02-Feb-26</t>
        </is>
      </c>
      <c r="B13" t="inlineStr">
        <is>
          <t>I88891</t>
        </is>
      </c>
      <c r="C13" t="inlineStr">
        <is>
          <t>25803800063</t>
        </is>
      </c>
      <c r="D13" t="inlineStr">
        <is>
          <t>Nguyeãn Hoaøng Nhöït</t>
        </is>
      </c>
      <c r="E13" t="inlineStr">
        <is>
          <t>Trí</t>
        </is>
      </c>
      <c r="F13" t="inlineStr">
        <is>
          <t>17-Oct-07</t>
        </is>
      </c>
      <c r="G13" t="inlineStr">
        <is>
          <t>LNH0326NG01</t>
        </is>
      </c>
      <c r="H13" t="inlineStr">
        <is>
          <t>03AV AVQT Level 3 KG: 02/03/2026</t>
        </is>
      </c>
      <c r="I13" t="n">
        <v>2600000</v>
      </c>
      <c r="J13" t="inlineStr">
        <is>
          <t>LE THI THU YEN Nguyen Hoang Nhut Tri 25803800063 L NH0326NG01 326301325 TAI VietinBank</t>
        </is>
      </c>
    </row>
    <row r="14">
      <c r="A14" t="inlineStr">
        <is>
          <t>02-Feb-26</t>
        </is>
      </c>
      <c r="B14" t="inlineStr">
        <is>
          <t>I88892</t>
        </is>
      </c>
      <c r="C14" t="inlineStr">
        <is>
          <t>25808200053</t>
        </is>
      </c>
      <c r="D14" t="inlineStr">
        <is>
          <t>Thaùi Ngoïc</t>
        </is>
      </c>
      <c r="E14" t="inlineStr">
        <is>
          <t>Huy</t>
        </is>
      </c>
      <c r="F14" t="inlineStr">
        <is>
          <t>16-Aug-07</t>
        </is>
      </c>
      <c r="G14" t="inlineStr">
        <is>
          <t>LNH0326NG01</t>
        </is>
      </c>
      <c r="H14" t="inlineStr">
        <is>
          <t>03AV AVQT Level 3 KG: 02/03/2026</t>
        </is>
      </c>
      <c r="I14" t="n">
        <v>2600000</v>
      </c>
      <c r="J14" t="inlineStr">
        <is>
          <t>LE THI THU YEN Thai Ngoc Huy 25808200053 LNH0326NG 01 090251712 TAI VietinBank</t>
        </is>
      </c>
    </row>
    <row r="15">
      <c r="A15" t="inlineStr">
        <is>
          <t>02-Feb-26</t>
        </is>
      </c>
      <c r="B15" t="inlineStr">
        <is>
          <t>I88894</t>
        </is>
      </c>
      <c r="C15" t="inlineStr">
        <is>
          <t>25800600007</t>
        </is>
      </c>
      <c r="D15" t="inlineStr">
        <is>
          <t>Phaïm Thaùi</t>
        </is>
      </c>
      <c r="E15" t="inlineStr">
        <is>
          <t>An</t>
        </is>
      </c>
      <c r="F15" t="inlineStr">
        <is>
          <t>03-Jun-07</t>
        </is>
      </c>
      <c r="G15" t="inlineStr">
        <is>
          <t>LNH0326NG01</t>
        </is>
      </c>
      <c r="H15" t="inlineStr">
        <is>
          <t>03AV AVQT Level 3 KG: 02/03/2026</t>
        </is>
      </c>
      <c r="I15" t="n">
        <v>2600000</v>
      </c>
      <c r="J15" t="inlineStr">
        <is>
          <t>LE THI THU YEN Pham Thai An 25800600007 LNH0326NG0 1 0382093715 TAI VietinBank</t>
        </is>
      </c>
    </row>
    <row r="16">
      <c r="A16" t="inlineStr">
        <is>
          <t>02-Feb-26</t>
        </is>
      </c>
      <c r="B16" t="inlineStr">
        <is>
          <t>I88896</t>
        </is>
      </c>
      <c r="C16" t="inlineStr">
        <is>
          <t>25801000013</t>
        </is>
      </c>
      <c r="D16" t="inlineStr">
        <is>
          <t>Traàn Ñaëng Kim</t>
        </is>
      </c>
      <c r="E16" t="inlineStr">
        <is>
          <t>Ngaân</t>
        </is>
      </c>
      <c r="F16" t="inlineStr">
        <is>
          <t>17-Oct-07</t>
        </is>
      </c>
      <c r="G16" t="inlineStr">
        <is>
          <t>LNH0326NG01</t>
        </is>
      </c>
      <c r="H16" t="inlineStr">
        <is>
          <t>03AV AVQT Level 3 KG: 02/03/2026</t>
        </is>
      </c>
      <c r="I16" t="n">
        <v>4940000</v>
      </c>
      <c r="J16" t="inlineStr">
        <is>
          <t>LE THI THU YEN QR - Tran Dang Kim Ngan 25801000013 LNH0326NG01 0948260473 TAI VietinBank</t>
        </is>
      </c>
    </row>
    <row r="17">
      <c r="A17" t="inlineStr">
        <is>
          <t>02-Feb-26</t>
        </is>
      </c>
      <c r="B17" t="inlineStr">
        <is>
          <t>I88898</t>
        </is>
      </c>
      <c r="C17" t="inlineStr">
        <is>
          <t>25807800112</t>
        </is>
      </c>
      <c r="D17" t="inlineStr">
        <is>
          <t>Nguyeãn Hoaøng Minh</t>
        </is>
      </c>
      <c r="E17" t="inlineStr">
        <is>
          <t>Quang</t>
        </is>
      </c>
      <c r="F17" t="inlineStr">
        <is>
          <t>13-Oct-07</t>
        </is>
      </c>
      <c r="G17" t="inlineStr">
        <is>
          <t>LNH0326NG01</t>
        </is>
      </c>
      <c r="H17" t="inlineStr">
        <is>
          <t>03AV AVQT Level 3 KG: 02/03/2026</t>
        </is>
      </c>
      <c r="I17" t="n">
        <v>4940000</v>
      </c>
      <c r="J17" t="inlineStr">
        <is>
          <t>LE THI THU YEN Nguyen Hoang Minh Quang 25807800112 LNH0326NG01 0386765430 TAI VietinBank</t>
        </is>
      </c>
    </row>
    <row r="18">
      <c r="A18" t="inlineStr">
        <is>
          <t>02-Feb-26</t>
        </is>
      </c>
      <c r="B18" t="inlineStr">
        <is>
          <t>I88899</t>
        </is>
      </c>
      <c r="C18" t="inlineStr">
        <is>
          <t>25806800008</t>
        </is>
      </c>
      <c r="D18" t="inlineStr">
        <is>
          <t>Baøng Thanh</t>
        </is>
      </c>
      <c r="E18" t="inlineStr">
        <is>
          <t>Baûo</t>
        </is>
      </c>
      <c r="F18" t="inlineStr">
        <is>
          <t>06-Feb-07</t>
        </is>
      </c>
      <c r="G18" t="inlineStr">
        <is>
          <t>LNH0326NG01</t>
        </is>
      </c>
      <c r="H18" t="inlineStr">
        <is>
          <t>03AV AVQT Level 3 KG: 02/03/2026</t>
        </is>
      </c>
      <c r="I18" t="n">
        <v>4940000</v>
      </c>
      <c r="J18" t="inlineStr">
        <is>
          <t>LE THI THU YEN Bang Thanh Bao 25806800008 LNH0326N G01 0799573483 TAI VietinBank</t>
        </is>
      </c>
    </row>
    <row r="19">
      <c r="A19" t="inlineStr">
        <is>
          <t>02-Feb-26</t>
        </is>
      </c>
      <c r="B19" t="inlineStr">
        <is>
          <t>I88900</t>
        </is>
      </c>
      <c r="C19" t="inlineStr">
        <is>
          <t>25802800025</t>
        </is>
      </c>
      <c r="D19" t="inlineStr">
        <is>
          <t>Traàn Vuõ Baûo</t>
        </is>
      </c>
      <c r="E19" t="inlineStr">
        <is>
          <t>Chaâu</t>
        </is>
      </c>
      <c r="F19" t="inlineStr">
        <is>
          <t>26-Oct-07</t>
        </is>
      </c>
      <c r="G19" t="inlineStr">
        <is>
          <t>LNH0326NG01</t>
        </is>
      </c>
      <c r="H19" t="inlineStr">
        <is>
          <t>03AV AVQT Level 3 KG: 02/03/2026</t>
        </is>
      </c>
      <c r="I19" t="n">
        <v>4940000</v>
      </c>
      <c r="J19" t="inlineStr">
        <is>
          <t>LE THI THU YEN Tran Vu Bao Chau 25802800025 LNH032 6NG01 0354923016 TAI VietinBank</t>
        </is>
      </c>
    </row>
    <row r="20">
      <c r="A20" t="inlineStr">
        <is>
          <t>03-Feb-26</t>
        </is>
      </c>
      <c r="B20" t="inlineStr">
        <is>
          <t>I88906</t>
        </is>
      </c>
      <c r="C20" t="inlineStr">
        <is>
          <t>25801200059</t>
        </is>
      </c>
      <c r="D20" t="inlineStr">
        <is>
          <t>Traàn Thò Kim</t>
        </is>
      </c>
      <c r="E20" t="inlineStr">
        <is>
          <t>Nga</t>
        </is>
      </c>
      <c r="F20" t="inlineStr">
        <is>
          <t>30-Jun-07</t>
        </is>
      </c>
      <c r="G20" t="inlineStr">
        <is>
          <t>LNH0326NG01</t>
        </is>
      </c>
      <c r="H20" t="inlineStr">
        <is>
          <t>03AV AVQT Level 3 KG: 02/03/2026</t>
        </is>
      </c>
      <c r="I20" t="n">
        <v>4940000</v>
      </c>
      <c r="J20" t="inlineStr">
        <is>
          <t>LE THI THU YEN Tran Kim Nga 25801200059 LNH0326NG0 1 338981846 TAI VietinBank</t>
        </is>
      </c>
    </row>
    <row r="21">
      <c r="A21" t="inlineStr">
        <is>
          <t>03-Feb-26</t>
        </is>
      </c>
      <c r="B21" t="inlineStr">
        <is>
          <t>I88936</t>
        </is>
      </c>
      <c r="C21" t="inlineStr">
        <is>
          <t>25808600158</t>
        </is>
      </c>
      <c r="D21" t="inlineStr">
        <is>
          <t>Tröông Ngoïc Minh</t>
        </is>
      </c>
      <c r="E21" t="inlineStr">
        <is>
          <t>Vy</t>
        </is>
      </c>
      <c r="F21" t="inlineStr">
        <is>
          <t>07-Aug-07</t>
        </is>
      </c>
      <c r="G21" t="inlineStr">
        <is>
          <t>LNH0326NG01</t>
        </is>
      </c>
      <c r="H21" t="inlineStr">
        <is>
          <t>03AV AVQT Level 3 KG: 02/03/2026</t>
        </is>
      </c>
      <c r="I21" t="n">
        <v>2600000</v>
      </c>
      <c r="J21" t="inlineStr">
        <is>
          <t>LE THI THU YEN Truong Ngoc Minh Vy 25808600158 LNH 0326NG01 0789717226 TAI VietinBank</t>
        </is>
      </c>
    </row>
    <row r="22">
      <c r="A22" t="inlineStr">
        <is>
          <t>03-Feb-26</t>
        </is>
      </c>
      <c r="B22" t="inlineStr">
        <is>
          <t>I88937</t>
        </is>
      </c>
      <c r="C22" t="inlineStr">
        <is>
          <t>25801700022</t>
        </is>
      </c>
      <c r="D22" t="inlineStr">
        <is>
          <t>Phaïm Hoaøng</t>
        </is>
      </c>
      <c r="E22" t="inlineStr">
        <is>
          <t>Khang</t>
        </is>
      </c>
      <c r="F22" t="inlineStr">
        <is>
          <t>11-Apr-07</t>
        </is>
      </c>
      <c r="G22" t="inlineStr">
        <is>
          <t>LNH0326NG01</t>
        </is>
      </c>
      <c r="H22" t="inlineStr">
        <is>
          <t>03AV AVQT Level 3 KG: 02/03/2026</t>
        </is>
      </c>
      <c r="I22" t="n">
        <v>2600000</v>
      </c>
      <c r="J22" t="inlineStr">
        <is>
          <t>LE THI THU YEN Pham Hoang Khang 25801700022 LNH032 6NG01 0947110407 TAI VietinBank</t>
        </is>
      </c>
    </row>
    <row r="23">
      <c r="A23" t="inlineStr">
        <is>
          <t>03-Feb-26</t>
        </is>
      </c>
      <c r="B23" t="inlineStr">
        <is>
          <t>I88938</t>
        </is>
      </c>
      <c r="C23" t="inlineStr">
        <is>
          <t>25801800072</t>
        </is>
      </c>
      <c r="D23" t="inlineStr">
        <is>
          <t>Nguyeãn Ngoïc Baûo</t>
        </is>
      </c>
      <c r="E23" t="inlineStr">
        <is>
          <t>Thy</t>
        </is>
      </c>
      <c r="F23" t="inlineStr">
        <is>
          <t>20-Jan-07</t>
        </is>
      </c>
      <c r="G23" t="inlineStr">
        <is>
          <t>LNH0326NG01</t>
        </is>
      </c>
      <c r="H23" t="inlineStr">
        <is>
          <t>03AV AVQT Level 3 KG: 02/03/2026</t>
        </is>
      </c>
      <c r="I23" t="n">
        <v>2600000</v>
      </c>
      <c r="J23" t="inlineStr">
        <is>
          <t>LE THI THU YEN Nguyen Ngoc Bao Thy 25801800072 LNH 0326NG01 0825092395 TAI VietinBank</t>
        </is>
      </c>
    </row>
    <row r="24">
      <c r="A24" t="inlineStr">
        <is>
          <t>03-Feb-26</t>
        </is>
      </c>
      <c r="B24" t="inlineStr">
        <is>
          <t>I88939</t>
        </is>
      </c>
      <c r="C24" t="inlineStr">
        <is>
          <t>25808500274</t>
        </is>
      </c>
      <c r="D24" t="inlineStr">
        <is>
          <t>Nguyeãn Troïng</t>
        </is>
      </c>
      <c r="E24" t="inlineStr">
        <is>
          <t>Phaùt</t>
        </is>
      </c>
      <c r="F24" t="inlineStr">
        <is>
          <t>22-Dec-07</t>
        </is>
      </c>
      <c r="G24" t="inlineStr">
        <is>
          <t>LNH0326NG01</t>
        </is>
      </c>
      <c r="H24" t="inlineStr">
        <is>
          <t>03AV AVQT Level 3 KG: 02/03/2026</t>
        </is>
      </c>
      <c r="I24" t="n">
        <v>2600000</v>
      </c>
      <c r="J24" t="inlineStr">
        <is>
          <t>LE THI THU YEN Nguyen Trong Phat 25808500274 LNH03 26NG01 0857597069 TAI VietinBank</t>
        </is>
      </c>
    </row>
    <row r="25">
      <c r="A25" t="inlineStr">
        <is>
          <t>03-Feb-26</t>
        </is>
      </c>
      <c r="B25" t="inlineStr">
        <is>
          <t>I88940</t>
        </is>
      </c>
      <c r="C25" t="inlineStr">
        <is>
          <t>25808900055</t>
        </is>
      </c>
      <c r="D25" t="inlineStr">
        <is>
          <t>Huyønh Ngoïc Nguyeân</t>
        </is>
      </c>
      <c r="E25" t="inlineStr">
        <is>
          <t>Khanh</t>
        </is>
      </c>
      <c r="F25" t="inlineStr">
        <is>
          <t>02-Jan-07</t>
        </is>
      </c>
      <c r="G25" t="inlineStr">
        <is>
          <t>LNH0326NG01</t>
        </is>
      </c>
      <c r="H25" t="inlineStr">
        <is>
          <t>03AV AVQT Level 3 KG: 02/03/2026</t>
        </is>
      </c>
      <c r="I25" t="n">
        <v>2600000</v>
      </c>
      <c r="J25" t="inlineStr">
        <is>
          <t>LE THI THU YEN Huynh Ngoc Nguyen Khanh 25808900055 LNH0326NG01 088970996 TAI VietinBank</t>
        </is>
      </c>
    </row>
    <row r="26">
      <c r="A26" t="inlineStr">
        <is>
          <t>03-Feb-26</t>
        </is>
      </c>
      <c r="B26" t="inlineStr">
        <is>
          <t>I88951</t>
        </is>
      </c>
      <c r="C26" t="inlineStr">
        <is>
          <t>25820700046</t>
        </is>
      </c>
      <c r="D26" t="inlineStr">
        <is>
          <t>Ngoâ Thanh</t>
        </is>
      </c>
      <c r="E26" t="inlineStr">
        <is>
          <t>Vaân</t>
        </is>
      </c>
      <c r="F26" t="inlineStr">
        <is>
          <t>12-Dec-07</t>
        </is>
      </c>
      <c r="G26" t="inlineStr">
        <is>
          <t>LNH0326NG01</t>
        </is>
      </c>
      <c r="H26" t="inlineStr">
        <is>
          <t>03AV AVQT Level 3 KG: 02/03/2026</t>
        </is>
      </c>
      <c r="I26" t="n">
        <v>4940000</v>
      </c>
      <c r="J26" t="inlineStr">
        <is>
          <t>LE THI THU YEN Ngo Thanh Van 25820700046 LNH0326NG 01 0819510166 TAI VietinBank</t>
        </is>
      </c>
    </row>
    <row r="27">
      <c r="A27" t="inlineStr">
        <is>
          <t>03-Feb-26</t>
        </is>
      </c>
      <c r="B27" t="inlineStr">
        <is>
          <t>I88952</t>
        </is>
      </c>
      <c r="C27" t="inlineStr">
        <is>
          <t>25803800045</t>
        </is>
      </c>
      <c r="D27" t="inlineStr">
        <is>
          <t>Traàn Ngoïc Kieàu</t>
        </is>
      </c>
      <c r="E27" t="inlineStr">
        <is>
          <t>Oanh</t>
        </is>
      </c>
      <c r="F27" t="inlineStr">
        <is>
          <t>04-Aug-05</t>
        </is>
      </c>
      <c r="G27" t="inlineStr">
        <is>
          <t>LNH0326NG01</t>
        </is>
      </c>
      <c r="H27" t="inlineStr">
        <is>
          <t>03AV AVQT Level 3 KG: 02/03/2026</t>
        </is>
      </c>
      <c r="I27" t="n">
        <v>4940000</v>
      </c>
      <c r="J27" t="inlineStr">
        <is>
          <t>LE THI THU YEN Tran Ngoc Kieu Oanh 25803800045 LNH 0326NG01 0934395050 TAI VietinBank</t>
        </is>
      </c>
    </row>
    <row r="28">
      <c r="A28" t="inlineStr">
        <is>
          <t>03-Feb-26</t>
        </is>
      </c>
      <c r="B28" t="inlineStr">
        <is>
          <t>I88953</t>
        </is>
      </c>
      <c r="C28" t="inlineStr">
        <is>
          <t>25820200011</t>
        </is>
      </c>
      <c r="D28" t="inlineStr">
        <is>
          <t>Phaïm Huøng</t>
        </is>
      </c>
      <c r="E28" t="inlineStr">
        <is>
          <t>Duy</t>
        </is>
      </c>
      <c r="F28" t="inlineStr">
        <is>
          <t>17-Jul-07</t>
        </is>
      </c>
      <c r="G28" t="inlineStr">
        <is>
          <t>LNH0326NG01</t>
        </is>
      </c>
      <c r="H28" t="inlineStr">
        <is>
          <t>03AV AVQT Level 3 KG: 02/03/2026</t>
        </is>
      </c>
      <c r="I28" t="n">
        <v>4940000</v>
      </c>
      <c r="J28" t="inlineStr">
        <is>
          <t>LE THI THU YEN Pham Hung Duy 25820200011 LNH0326NG 01 0975339641 TAI VietinBank</t>
        </is>
      </c>
    </row>
    <row r="29">
      <c r="A29" t="inlineStr">
        <is>
          <t>03-Feb-26</t>
        </is>
      </c>
      <c r="B29" t="inlineStr">
        <is>
          <t>I88954</t>
        </is>
      </c>
      <c r="C29" t="inlineStr">
        <is>
          <t>25802600070</t>
        </is>
      </c>
      <c r="D29" t="inlineStr">
        <is>
          <t>Nguyeãn Quyønh</t>
        </is>
      </c>
      <c r="E29" t="inlineStr">
        <is>
          <t>Loan</t>
        </is>
      </c>
      <c r="F29" t="inlineStr">
        <is>
          <t>06-Sep-07</t>
        </is>
      </c>
      <c r="G29" t="inlineStr">
        <is>
          <t>LNH0326NG01</t>
        </is>
      </c>
      <c r="H29" t="inlineStr">
        <is>
          <t>03AV AVQT Level 3 KG: 02/03/2026</t>
        </is>
      </c>
      <c r="I29" t="n">
        <v>4940000</v>
      </c>
      <c r="J29" t="inlineStr">
        <is>
          <t>LE THI THU YEN Nguyen Quynh Loan 25802600070 LNH03 26NG01 0902824010 TAI VietinBank</t>
        </is>
      </c>
    </row>
    <row r="30">
      <c r="A30" t="inlineStr">
        <is>
          <t>03-Feb-26</t>
        </is>
      </c>
      <c r="B30" t="inlineStr">
        <is>
          <t>I88956</t>
        </is>
      </c>
      <c r="C30" t="inlineStr">
        <is>
          <t>25802600082</t>
        </is>
      </c>
      <c r="D30" t="inlineStr">
        <is>
          <t>Döông Nguyeãn Haïnh</t>
        </is>
      </c>
      <c r="E30" t="inlineStr">
        <is>
          <t>Ngaân</t>
        </is>
      </c>
      <c r="F30" t="inlineStr">
        <is>
          <t>10-Jun-07</t>
        </is>
      </c>
      <c r="G30" t="inlineStr">
        <is>
          <t>LNH0326NG01</t>
        </is>
      </c>
      <c r="H30" t="inlineStr">
        <is>
          <t>03AV AVQT Level 3 KG: 02/03/2026</t>
        </is>
      </c>
      <c r="I30" t="n">
        <v>4940000</v>
      </c>
      <c r="J30" t="inlineStr">
        <is>
          <t>LE THI THU YEN Duong Nguyen Hanh Ngan 25802600082 LNH0326NG01 0986833351 TAI VietinBank</t>
        </is>
      </c>
    </row>
    <row r="31">
      <c r="A31" t="inlineStr">
        <is>
          <t>04-Feb-26</t>
        </is>
      </c>
      <c r="B31" t="inlineStr">
        <is>
          <t>I88987</t>
        </is>
      </c>
      <c r="C31" t="inlineStr">
        <is>
          <t>25808700034</t>
        </is>
      </c>
      <c r="D31" t="inlineStr">
        <is>
          <t>Nguyeãn Gia</t>
        </is>
      </c>
      <c r="E31" t="inlineStr">
        <is>
          <t>Höng</t>
        </is>
      </c>
      <c r="F31" t="inlineStr">
        <is>
          <t>17-Oct-07</t>
        </is>
      </c>
      <c r="G31" t="inlineStr">
        <is>
          <t>LNH0326NG01</t>
        </is>
      </c>
      <c r="H31" t="inlineStr">
        <is>
          <t>03AV AVQT Level 3 KG: 02/03/2026</t>
        </is>
      </c>
      <c r="I31" t="n">
        <v>2600000</v>
      </c>
      <c r="J31" t="inlineStr">
        <is>
          <t>LE THI THU YEN Nguyen Gia Hung 25808700034 LNH0326 NG01 0907700032 TAI VietinBank</t>
        </is>
      </c>
    </row>
    <row r="32">
      <c r="A32" t="inlineStr">
        <is>
          <t>04-Feb-26</t>
        </is>
      </c>
      <c r="B32" t="inlineStr">
        <is>
          <t>I88988</t>
        </is>
      </c>
      <c r="C32" t="inlineStr">
        <is>
          <t>25802800201</t>
        </is>
      </c>
      <c r="D32" t="inlineStr">
        <is>
          <t>Cao Vuõ Anh</t>
        </is>
      </c>
      <c r="E32" t="inlineStr">
        <is>
          <t>Phong</t>
        </is>
      </c>
      <c r="F32" t="inlineStr">
        <is>
          <t>03-Dec-07</t>
        </is>
      </c>
      <c r="G32" t="inlineStr">
        <is>
          <t>LNH0326NG01</t>
        </is>
      </c>
      <c r="H32" t="inlineStr">
        <is>
          <t>03AV AVQT Level 3 KG: 02/03/2026</t>
        </is>
      </c>
      <c r="I32" t="n">
        <v>2600000</v>
      </c>
      <c r="J32" t="inlineStr">
        <is>
          <t>LE THI THU YEN Cao Vu Anh Phong 25802800201 LNH032 6NG01 0938462588 TAI VietinBank</t>
        </is>
      </c>
    </row>
    <row r="33">
      <c r="A33" t="inlineStr">
        <is>
          <t>23-Feb-26</t>
        </is>
      </c>
      <c r="B33" t="inlineStr">
        <is>
          <t>I89283</t>
        </is>
      </c>
      <c r="C33" t="inlineStr">
        <is>
          <t>25802300124</t>
        </is>
      </c>
      <c r="D33" t="inlineStr">
        <is>
          <t>Nguyeãn Thuøy</t>
        </is>
      </c>
      <c r="E33" t="inlineStr">
        <is>
          <t>Linh</t>
        </is>
      </c>
      <c r="F33" t="inlineStr">
        <is>
          <t>11-Jul-07</t>
        </is>
      </c>
      <c r="G33" t="inlineStr">
        <is>
          <t>LNH0326NG01</t>
        </is>
      </c>
      <c r="H33" t="inlineStr">
        <is>
          <t>03AV AVQT Level 3 KG: 02/03/2026</t>
        </is>
      </c>
      <c r="I33" t="n">
        <v>2600000</v>
      </c>
      <c r="J33" t="inlineStr">
        <is>
          <t>NGUYEN THUY LINH NGUYEN THUY LINH 25802300124.LNH032 6NG01.0356009175. TAI IBT BIDV                 HANOI</t>
        </is>
      </c>
    </row>
    <row r="34">
      <c r="A34" t="inlineStr">
        <is>
          <t>23-Feb-26</t>
        </is>
      </c>
      <c r="B34" t="inlineStr">
        <is>
          <t>I89284</t>
        </is>
      </c>
      <c r="C34" t="inlineStr">
        <is>
          <t>25805900091</t>
        </is>
      </c>
      <c r="D34" t="inlineStr">
        <is>
          <t>Phaïm Phöông</t>
        </is>
      </c>
      <c r="E34" t="inlineStr">
        <is>
          <t>Uyeân</t>
        </is>
      </c>
      <c r="F34" t="inlineStr">
        <is>
          <t>02-Sep-07</t>
        </is>
      </c>
      <c r="G34" t="inlineStr">
        <is>
          <t>LNH0326NG01</t>
        </is>
      </c>
      <c r="H34" t="inlineStr">
        <is>
          <t>03AV AVQT Level 3 KG: 02/03/2026</t>
        </is>
      </c>
      <c r="I34" t="n">
        <v>2600000</v>
      </c>
      <c r="J34" t="inlineStr">
        <is>
          <t>CHU THI BICH THUY MBVCB.13124767379.326883.PHAM PHUON G UYEN 25805900091 LNH0326NG01 0948 046311.CT tu 0441000772691 CHU THI BICH THUY toi 0521043748045 HUTECHtai ABBank TAI Vietcombank</t>
        </is>
      </c>
    </row>
    <row r="35">
      <c r="A35" t="inlineStr">
        <is>
          <t>27-Feb-26</t>
        </is>
      </c>
      <c r="B35" t="inlineStr">
        <is>
          <t>I89963</t>
        </is>
      </c>
      <c r="C35" t="inlineStr">
        <is>
          <t>25808200135</t>
        </is>
      </c>
      <c r="D35" t="inlineStr">
        <is>
          <t>Nguyeãn Phi</t>
        </is>
      </c>
      <c r="E35" t="inlineStr">
        <is>
          <t>Tröôøng</t>
        </is>
      </c>
      <c r="F35" t="inlineStr">
        <is>
          <t>22-Nov-01</t>
        </is>
      </c>
      <c r="G35" t="inlineStr">
        <is>
          <t>LNH0326NG01</t>
        </is>
      </c>
      <c r="H35" t="inlineStr">
        <is>
          <t>03AV AVQT Level 3 KG: 02/03/2026</t>
        </is>
      </c>
      <c r="I35" t="n">
        <v>2600000</v>
      </c>
      <c r="J35" t="inlineStr">
        <is>
          <t>MBBANK IBFT Nguyen Phi Truong 25808200135 LNH03 26NG01  0985470342 TAI IBT-MB                   HANOI</t>
        </is>
      </c>
    </row>
    <row r="36">
      <c r="A36" t="inlineStr">
        <is>
          <t>02-Mar-26</t>
        </is>
      </c>
      <c r="B36" t="inlineStr">
        <is>
          <t>I90630</t>
        </is>
      </c>
      <c r="C36" t="inlineStr">
        <is>
          <t>25808900095</t>
        </is>
      </c>
      <c r="D36" t="inlineStr">
        <is>
          <t>Nguyeãn Höõu</t>
        </is>
      </c>
      <c r="E36" t="inlineStr">
        <is>
          <t>Phaùt</t>
        </is>
      </c>
      <c r="F36" t="inlineStr">
        <is>
          <t>28-Nov-06</t>
        </is>
      </c>
      <c r="G36" t="inlineStr">
        <is>
          <t>LNH0326NG01</t>
        </is>
      </c>
      <c r="H36" t="inlineStr">
        <is>
          <t>03AV AVQT Level 3 KG: 02/03/2026</t>
        </is>
      </c>
      <c r="I36" t="n">
        <v>4940000</v>
      </c>
      <c r="J36" t="inlineStr">
        <is>
          <t>LE THI THANH TUYEN Nguyen Huu Phat 25808900095 LNH0326 NG01 0933669761 TAI IBT BIDV                 HANOI</t>
        </is>
      </c>
    </row>
    <row r="37">
      <c r="A37" t="inlineStr">
        <is>
          <t>02-Mar-26</t>
        </is>
      </c>
      <c r="B37" t="inlineStr">
        <is>
          <t>I90834</t>
        </is>
      </c>
      <c r="C37" t="inlineStr">
        <is>
          <t>25807500028</t>
        </is>
      </c>
      <c r="D37" t="inlineStr">
        <is>
          <t>Toâ Gia</t>
        </is>
      </c>
      <c r="E37" t="inlineStr">
        <is>
          <t>Haân</t>
        </is>
      </c>
      <c r="F37" t="inlineStr">
        <is>
          <t>10-Mar-07</t>
        </is>
      </c>
      <c r="G37" t="inlineStr">
        <is>
          <t>LNH0326NG01</t>
        </is>
      </c>
      <c r="H37" t="inlineStr">
        <is>
          <t>03AV AVQT Level 3 KG: 02/03/2026</t>
        </is>
      </c>
      <c r="I37" t="n">
        <v>4940000</v>
      </c>
      <c r="J37" t="inlineStr">
        <is>
          <t>DO THI TUYET HUONG ABBank 0521043748045 To Gia Han 258 07500028 LNH0326NG01 sdt 0988719345 TAI Agribank</t>
        </is>
      </c>
    </row>
    <row r="38">
      <c r="A38" t="inlineStr">
        <is>
          <t>05-Mar-26</t>
        </is>
      </c>
      <c r="B38" t="inlineStr">
        <is>
          <t>I91218</t>
        </is>
      </c>
      <c r="C38" t="inlineStr">
        <is>
          <t>2383000855</t>
        </is>
      </c>
      <c r="D38" t="inlineStr">
        <is>
          <t>Nguyeãn Minh</t>
        </is>
      </c>
      <c r="E38" t="inlineStr">
        <is>
          <t>Phöông</t>
        </is>
      </c>
      <c r="F38" t="inlineStr">
        <is>
          <t>06-Mar-05</t>
        </is>
      </c>
      <c r="G38" t="inlineStr">
        <is>
          <t>LNH0326NG01</t>
        </is>
      </c>
      <c r="H38" t="inlineStr">
        <is>
          <t>03AV AVQT Level 3 KG: 02/03/2026</t>
        </is>
      </c>
      <c r="I38" t="n">
        <v>2600000</v>
      </c>
      <c r="J38" t="inlineStr">
        <is>
          <t>MBBANK IBFT Nhat Anh chuyen khoan nhanh qua Zal o TAI IBT-MB                   HANOI</t>
        </is>
      </c>
    </row>
    <row r="39">
      <c r="A39" t="inlineStr">
        <is>
          <t>09-Mar-26</t>
        </is>
      </c>
      <c r="B39" t="inlineStr">
        <is>
          <t>I91668</t>
        </is>
      </c>
      <c r="C39" t="inlineStr">
        <is>
          <t>25802600010</t>
        </is>
      </c>
      <c r="D39" t="inlineStr">
        <is>
          <t>Taêng Hoàng</t>
        </is>
      </c>
      <c r="E39" t="inlineStr">
        <is>
          <t>Anh</t>
        </is>
      </c>
      <c r="F39" t="inlineStr">
        <is>
          <t>17-Aug-07</t>
        </is>
      </c>
      <c r="G39" t="inlineStr">
        <is>
          <t>LNH0326NG01</t>
        </is>
      </c>
      <c r="H39" t="inlineStr">
        <is>
          <t>03AV AVQT Level 3 KG: 02/03/2026</t>
        </is>
      </c>
      <c r="I39" t="n">
        <v>2600000</v>
      </c>
      <c r="J39" t="inlineStr">
        <is>
          <t>TANG PHUOC HUAN Tang Hong Anh msv 25802600010LNH032 6NG01 Sdt 0906921500 TAI IBT VPB EBANKING         HANOI</t>
        </is>
      </c>
    </row>
    <row r="40">
      <c r="A40" t="inlineStr">
        <is>
          <t>17-Mar-26</t>
        </is>
      </c>
      <c r="B40" t="inlineStr">
        <is>
          <t>I93685</t>
        </is>
      </c>
      <c r="C40" t="inlineStr">
        <is>
          <t>25808700098</t>
        </is>
      </c>
      <c r="D40" t="inlineStr">
        <is>
          <t>Leâ Nguyeãn Anh</t>
        </is>
      </c>
      <c r="E40" t="inlineStr">
        <is>
          <t>Thö</t>
        </is>
      </c>
      <c r="F40" t="inlineStr">
        <is>
          <t>15-Jul-07</t>
        </is>
      </c>
      <c r="G40" t="inlineStr">
        <is>
          <t>LNH0326NG01</t>
        </is>
      </c>
      <c r="H40" t="inlineStr">
        <is>
          <t>03AV AVQT Level 3 KG: 02/03/2026</t>
        </is>
      </c>
      <c r="I40" t="n">
        <v>2600000</v>
      </c>
      <c r="J40" t="inlineStr">
        <is>
          <t>LE NGUYEN ANH THU LE NGUYEN ANH THU 25808700098 LNH03 26NG01 0968528731-160326-21 09 33 6 075ASCB02L1XQ97 TAI Ngan hang a chau       IBT SMARLINK</t>
        </is>
      </c>
    </row>
    <row r="41">
      <c r="A41" t="inlineStr">
        <is>
          <t>20-Mar-26</t>
        </is>
      </c>
      <c r="B41" t="inlineStr">
        <is>
          <t>I94288</t>
        </is>
      </c>
      <c r="C41" t="inlineStr">
        <is>
          <t>25820200036</t>
        </is>
      </c>
      <c r="D41" t="inlineStr">
        <is>
          <t>Voõ Hoaøng Anh</t>
        </is>
      </c>
      <c r="E41" t="inlineStr">
        <is>
          <t>Kieät</t>
        </is>
      </c>
      <c r="F41" t="inlineStr">
        <is>
          <t>15-May-07</t>
        </is>
      </c>
      <c r="G41" t="inlineStr">
        <is>
          <t>LNH0326NG01</t>
        </is>
      </c>
      <c r="H41" t="inlineStr">
        <is>
          <t>03AV AVQT Level 3 KG: 02/03/2026</t>
        </is>
      </c>
      <c r="I41" t="n">
        <v>2600000</v>
      </c>
      <c r="J41" t="inlineStr">
        <is>
          <t>VO DUY THANH Vo Hoang Anh Kiet 25820200036 TAI IBT SMARTLINK            HANOI</t>
        </is>
      </c>
    </row>
  </sheetData>
  <autoFilter ref="A1:J41"/>
  <conditionalFormatting sqref="C1:C1048576">
    <cfRule type="duplicateValues" priority="1" dxfId="0"/>
    <cfRule type="duplicateValues" priority="2" dxfId="0"/>
    <cfRule type="duplicateValues" priority="3" dxfId="0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G25" sqref="G25"/>
    </sheetView>
  </sheetViews>
  <sheetFormatPr baseColWidth="8" defaultColWidth="8.85546875" defaultRowHeight="15"/>
  <cols>
    <col width="8" customWidth="1" style="87" min="1" max="1"/>
    <col width="6" customWidth="1" style="87" min="2" max="2"/>
    <col width="13" customWidth="1" style="87" min="3" max="3"/>
    <col width="22" customWidth="1" style="87" min="4" max="4"/>
    <col width="7" customWidth="1" style="87" min="5" max="5"/>
    <col width="11.42578125" customWidth="1" style="87" min="6" max="6"/>
    <col width="15.140625" customWidth="1" style="87" min="7" max="7"/>
    <col width="50" customWidth="1" style="87" min="8" max="8"/>
    <col width="16" customWidth="1" style="87" min="9" max="9"/>
    <col width="254" customWidth="1" style="87" min="10" max="10"/>
    <col width="8" customWidth="1" style="87" min="257" max="257"/>
    <col width="6" customWidth="1" style="87" min="258" max="258"/>
    <col width="13" customWidth="1" style="87" min="259" max="259"/>
    <col width="22" customWidth="1" style="87" min="260" max="260"/>
    <col width="7" customWidth="1" style="87" min="261" max="261"/>
    <col width="8" customWidth="1" style="87" min="262" max="262"/>
    <col width="12" customWidth="1" style="87" min="263" max="263"/>
    <col width="50" customWidth="1" style="87" min="264" max="264"/>
    <col width="16" customWidth="1" style="87" min="265" max="265"/>
    <col width="254" customWidth="1" style="87" min="266" max="266"/>
    <col width="8" customWidth="1" style="87" min="513" max="513"/>
    <col width="6" customWidth="1" style="87" min="514" max="514"/>
    <col width="13" customWidth="1" style="87" min="515" max="515"/>
    <col width="22" customWidth="1" style="87" min="516" max="516"/>
    <col width="7" customWidth="1" style="87" min="517" max="517"/>
    <col width="8" customWidth="1" style="87" min="518" max="518"/>
    <col width="12" customWidth="1" style="87" min="519" max="519"/>
    <col width="50" customWidth="1" style="87" min="520" max="520"/>
    <col width="16" customWidth="1" style="87" min="521" max="521"/>
    <col width="254" customWidth="1" style="87" min="522" max="522"/>
    <col width="8" customWidth="1" style="87" min="769" max="769"/>
    <col width="6" customWidth="1" style="87" min="770" max="770"/>
    <col width="13" customWidth="1" style="87" min="771" max="771"/>
    <col width="22" customWidth="1" style="87" min="772" max="772"/>
    <col width="7" customWidth="1" style="87" min="773" max="773"/>
    <col width="8" customWidth="1" style="87" min="774" max="774"/>
    <col width="12" customWidth="1" style="87" min="775" max="775"/>
    <col width="50" customWidth="1" style="87" min="776" max="776"/>
    <col width="16" customWidth="1" style="87" min="777" max="777"/>
    <col width="254" customWidth="1" style="87" min="778" max="778"/>
    <col width="8" customWidth="1" style="87" min="1025" max="1025"/>
    <col width="6" customWidth="1" style="87" min="1026" max="1026"/>
    <col width="13" customWidth="1" style="87" min="1027" max="1027"/>
    <col width="22" customWidth="1" style="87" min="1028" max="1028"/>
    <col width="7" customWidth="1" style="87" min="1029" max="1029"/>
    <col width="8" customWidth="1" style="87" min="1030" max="1030"/>
    <col width="12" customWidth="1" style="87" min="1031" max="1031"/>
    <col width="50" customWidth="1" style="87" min="1032" max="1032"/>
    <col width="16" customWidth="1" style="87" min="1033" max="1033"/>
    <col width="254" customWidth="1" style="87" min="1034" max="1034"/>
    <col width="8" customWidth="1" style="87" min="1281" max="1281"/>
    <col width="6" customWidth="1" style="87" min="1282" max="1282"/>
    <col width="13" customWidth="1" style="87" min="1283" max="1283"/>
    <col width="22" customWidth="1" style="87" min="1284" max="1284"/>
    <col width="7" customWidth="1" style="87" min="1285" max="1285"/>
    <col width="8" customWidth="1" style="87" min="1286" max="1286"/>
    <col width="12" customWidth="1" style="87" min="1287" max="1287"/>
    <col width="50" customWidth="1" style="87" min="1288" max="1288"/>
    <col width="16" customWidth="1" style="87" min="1289" max="1289"/>
    <col width="254" customWidth="1" style="87" min="1290" max="1290"/>
    <col width="8" customWidth="1" style="87" min="1537" max="1537"/>
    <col width="6" customWidth="1" style="87" min="1538" max="1538"/>
    <col width="13" customWidth="1" style="87" min="1539" max="1539"/>
    <col width="22" customWidth="1" style="87" min="1540" max="1540"/>
    <col width="7" customWidth="1" style="87" min="1541" max="1541"/>
    <col width="8" customWidth="1" style="87" min="1542" max="1542"/>
    <col width="12" customWidth="1" style="87" min="1543" max="1543"/>
    <col width="50" customWidth="1" style="87" min="1544" max="1544"/>
    <col width="16" customWidth="1" style="87" min="1545" max="1545"/>
    <col width="254" customWidth="1" style="87" min="1546" max="1546"/>
    <col width="8" customWidth="1" style="87" min="1793" max="1793"/>
    <col width="6" customWidth="1" style="87" min="1794" max="1794"/>
    <col width="13" customWidth="1" style="87" min="1795" max="1795"/>
    <col width="22" customWidth="1" style="87" min="1796" max="1796"/>
    <col width="7" customWidth="1" style="87" min="1797" max="1797"/>
    <col width="8" customWidth="1" style="87" min="1798" max="1798"/>
    <col width="12" customWidth="1" style="87" min="1799" max="1799"/>
    <col width="50" customWidth="1" style="87" min="1800" max="1800"/>
    <col width="16" customWidth="1" style="87" min="1801" max="1801"/>
    <col width="254" customWidth="1" style="87" min="1802" max="1802"/>
    <col width="8" customWidth="1" style="87" min="2049" max="2049"/>
    <col width="6" customWidth="1" style="87" min="2050" max="2050"/>
    <col width="13" customWidth="1" style="87" min="2051" max="2051"/>
    <col width="22" customWidth="1" style="87" min="2052" max="2052"/>
    <col width="7" customWidth="1" style="87" min="2053" max="2053"/>
    <col width="8" customWidth="1" style="87" min="2054" max="2054"/>
    <col width="12" customWidth="1" style="87" min="2055" max="2055"/>
    <col width="50" customWidth="1" style="87" min="2056" max="2056"/>
    <col width="16" customWidth="1" style="87" min="2057" max="2057"/>
    <col width="254" customWidth="1" style="87" min="2058" max="2058"/>
    <col width="8" customWidth="1" style="87" min="2305" max="2305"/>
    <col width="6" customWidth="1" style="87" min="2306" max="2306"/>
    <col width="13" customWidth="1" style="87" min="2307" max="2307"/>
    <col width="22" customWidth="1" style="87" min="2308" max="2308"/>
    <col width="7" customWidth="1" style="87" min="2309" max="2309"/>
    <col width="8" customWidth="1" style="87" min="2310" max="2310"/>
    <col width="12" customWidth="1" style="87" min="2311" max="2311"/>
    <col width="50" customWidth="1" style="87" min="2312" max="2312"/>
    <col width="16" customWidth="1" style="87" min="2313" max="2313"/>
    <col width="254" customWidth="1" style="87" min="2314" max="2314"/>
    <col width="8" customWidth="1" style="87" min="2561" max="2561"/>
    <col width="6" customWidth="1" style="87" min="2562" max="2562"/>
    <col width="13" customWidth="1" style="87" min="2563" max="2563"/>
    <col width="22" customWidth="1" style="87" min="2564" max="2564"/>
    <col width="7" customWidth="1" style="87" min="2565" max="2565"/>
    <col width="8" customWidth="1" style="87" min="2566" max="2566"/>
    <col width="12" customWidth="1" style="87" min="2567" max="2567"/>
    <col width="50" customWidth="1" style="87" min="2568" max="2568"/>
    <col width="16" customWidth="1" style="87" min="2569" max="2569"/>
    <col width="254" customWidth="1" style="87" min="2570" max="2570"/>
    <col width="8" customWidth="1" style="87" min="2817" max="2817"/>
    <col width="6" customWidth="1" style="87" min="2818" max="2818"/>
    <col width="13" customWidth="1" style="87" min="2819" max="2819"/>
    <col width="22" customWidth="1" style="87" min="2820" max="2820"/>
    <col width="7" customWidth="1" style="87" min="2821" max="2821"/>
    <col width="8" customWidth="1" style="87" min="2822" max="2822"/>
    <col width="12" customWidth="1" style="87" min="2823" max="2823"/>
    <col width="50" customWidth="1" style="87" min="2824" max="2824"/>
    <col width="16" customWidth="1" style="87" min="2825" max="2825"/>
    <col width="254" customWidth="1" style="87" min="2826" max="2826"/>
    <col width="8" customWidth="1" style="87" min="3073" max="3073"/>
    <col width="6" customWidth="1" style="87" min="3074" max="3074"/>
    <col width="13" customWidth="1" style="87" min="3075" max="3075"/>
    <col width="22" customWidth="1" style="87" min="3076" max="3076"/>
    <col width="7" customWidth="1" style="87" min="3077" max="3077"/>
    <col width="8" customWidth="1" style="87" min="3078" max="3078"/>
    <col width="12" customWidth="1" style="87" min="3079" max="3079"/>
    <col width="50" customWidth="1" style="87" min="3080" max="3080"/>
    <col width="16" customWidth="1" style="87" min="3081" max="3081"/>
    <col width="254" customWidth="1" style="87" min="3082" max="3082"/>
    <col width="8" customWidth="1" style="87" min="3329" max="3329"/>
    <col width="6" customWidth="1" style="87" min="3330" max="3330"/>
    <col width="13" customWidth="1" style="87" min="3331" max="3331"/>
    <col width="22" customWidth="1" style="87" min="3332" max="3332"/>
    <col width="7" customWidth="1" style="87" min="3333" max="3333"/>
    <col width="8" customWidth="1" style="87" min="3334" max="3334"/>
    <col width="12" customWidth="1" style="87" min="3335" max="3335"/>
    <col width="50" customWidth="1" style="87" min="3336" max="3336"/>
    <col width="16" customWidth="1" style="87" min="3337" max="3337"/>
    <col width="254" customWidth="1" style="87" min="3338" max="3338"/>
    <col width="8" customWidth="1" style="87" min="3585" max="3585"/>
    <col width="6" customWidth="1" style="87" min="3586" max="3586"/>
    <col width="13" customWidth="1" style="87" min="3587" max="3587"/>
    <col width="22" customWidth="1" style="87" min="3588" max="3588"/>
    <col width="7" customWidth="1" style="87" min="3589" max="3589"/>
    <col width="8" customWidth="1" style="87" min="3590" max="3590"/>
    <col width="12" customWidth="1" style="87" min="3591" max="3591"/>
    <col width="50" customWidth="1" style="87" min="3592" max="3592"/>
    <col width="16" customWidth="1" style="87" min="3593" max="3593"/>
    <col width="254" customWidth="1" style="87" min="3594" max="3594"/>
    <col width="8" customWidth="1" style="87" min="3841" max="3841"/>
    <col width="6" customWidth="1" style="87" min="3842" max="3842"/>
    <col width="13" customWidth="1" style="87" min="3843" max="3843"/>
    <col width="22" customWidth="1" style="87" min="3844" max="3844"/>
    <col width="7" customWidth="1" style="87" min="3845" max="3845"/>
    <col width="8" customWidth="1" style="87" min="3846" max="3846"/>
    <col width="12" customWidth="1" style="87" min="3847" max="3847"/>
    <col width="50" customWidth="1" style="87" min="3848" max="3848"/>
    <col width="16" customWidth="1" style="87" min="3849" max="3849"/>
    <col width="254" customWidth="1" style="87" min="3850" max="3850"/>
    <col width="8" customWidth="1" style="87" min="4097" max="4097"/>
    <col width="6" customWidth="1" style="87" min="4098" max="4098"/>
    <col width="13" customWidth="1" style="87" min="4099" max="4099"/>
    <col width="22" customWidth="1" style="87" min="4100" max="4100"/>
    <col width="7" customWidth="1" style="87" min="4101" max="4101"/>
    <col width="8" customWidth="1" style="87" min="4102" max="4102"/>
    <col width="12" customWidth="1" style="87" min="4103" max="4103"/>
    <col width="50" customWidth="1" style="87" min="4104" max="4104"/>
    <col width="16" customWidth="1" style="87" min="4105" max="4105"/>
    <col width="254" customWidth="1" style="87" min="4106" max="4106"/>
    <col width="8" customWidth="1" style="87" min="4353" max="4353"/>
    <col width="6" customWidth="1" style="87" min="4354" max="4354"/>
    <col width="13" customWidth="1" style="87" min="4355" max="4355"/>
    <col width="22" customWidth="1" style="87" min="4356" max="4356"/>
    <col width="7" customWidth="1" style="87" min="4357" max="4357"/>
    <col width="8" customWidth="1" style="87" min="4358" max="4358"/>
    <col width="12" customWidth="1" style="87" min="4359" max="4359"/>
    <col width="50" customWidth="1" style="87" min="4360" max="4360"/>
    <col width="16" customWidth="1" style="87" min="4361" max="4361"/>
    <col width="254" customWidth="1" style="87" min="4362" max="4362"/>
    <col width="8" customWidth="1" style="87" min="4609" max="4609"/>
    <col width="6" customWidth="1" style="87" min="4610" max="4610"/>
    <col width="13" customWidth="1" style="87" min="4611" max="4611"/>
    <col width="22" customWidth="1" style="87" min="4612" max="4612"/>
    <col width="7" customWidth="1" style="87" min="4613" max="4613"/>
    <col width="8" customWidth="1" style="87" min="4614" max="4614"/>
    <col width="12" customWidth="1" style="87" min="4615" max="4615"/>
    <col width="50" customWidth="1" style="87" min="4616" max="4616"/>
    <col width="16" customWidth="1" style="87" min="4617" max="4617"/>
    <col width="254" customWidth="1" style="87" min="4618" max="4618"/>
    <col width="8" customWidth="1" style="87" min="4865" max="4865"/>
    <col width="6" customWidth="1" style="87" min="4866" max="4866"/>
    <col width="13" customWidth="1" style="87" min="4867" max="4867"/>
    <col width="22" customWidth="1" style="87" min="4868" max="4868"/>
    <col width="7" customWidth="1" style="87" min="4869" max="4869"/>
    <col width="8" customWidth="1" style="87" min="4870" max="4870"/>
    <col width="12" customWidth="1" style="87" min="4871" max="4871"/>
    <col width="50" customWidth="1" style="87" min="4872" max="4872"/>
    <col width="16" customWidth="1" style="87" min="4873" max="4873"/>
    <col width="254" customWidth="1" style="87" min="4874" max="4874"/>
    <col width="8" customWidth="1" style="87" min="5121" max="5121"/>
    <col width="6" customWidth="1" style="87" min="5122" max="5122"/>
    <col width="13" customWidth="1" style="87" min="5123" max="5123"/>
    <col width="22" customWidth="1" style="87" min="5124" max="5124"/>
    <col width="7" customWidth="1" style="87" min="5125" max="5125"/>
    <col width="8" customWidth="1" style="87" min="5126" max="5126"/>
    <col width="12" customWidth="1" style="87" min="5127" max="5127"/>
    <col width="50" customWidth="1" style="87" min="5128" max="5128"/>
    <col width="16" customWidth="1" style="87" min="5129" max="5129"/>
    <col width="254" customWidth="1" style="87" min="5130" max="5130"/>
    <col width="8" customWidth="1" style="87" min="5377" max="5377"/>
    <col width="6" customWidth="1" style="87" min="5378" max="5378"/>
    <col width="13" customWidth="1" style="87" min="5379" max="5379"/>
    <col width="22" customWidth="1" style="87" min="5380" max="5380"/>
    <col width="7" customWidth="1" style="87" min="5381" max="5381"/>
    <col width="8" customWidth="1" style="87" min="5382" max="5382"/>
    <col width="12" customWidth="1" style="87" min="5383" max="5383"/>
    <col width="50" customWidth="1" style="87" min="5384" max="5384"/>
    <col width="16" customWidth="1" style="87" min="5385" max="5385"/>
    <col width="254" customWidth="1" style="87" min="5386" max="5386"/>
    <col width="8" customWidth="1" style="87" min="5633" max="5633"/>
    <col width="6" customWidth="1" style="87" min="5634" max="5634"/>
    <col width="13" customWidth="1" style="87" min="5635" max="5635"/>
    <col width="22" customWidth="1" style="87" min="5636" max="5636"/>
    <col width="7" customWidth="1" style="87" min="5637" max="5637"/>
    <col width="8" customWidth="1" style="87" min="5638" max="5638"/>
    <col width="12" customWidth="1" style="87" min="5639" max="5639"/>
    <col width="50" customWidth="1" style="87" min="5640" max="5640"/>
    <col width="16" customWidth="1" style="87" min="5641" max="5641"/>
    <col width="254" customWidth="1" style="87" min="5642" max="5642"/>
    <col width="8" customWidth="1" style="87" min="5889" max="5889"/>
    <col width="6" customWidth="1" style="87" min="5890" max="5890"/>
    <col width="13" customWidth="1" style="87" min="5891" max="5891"/>
    <col width="22" customWidth="1" style="87" min="5892" max="5892"/>
    <col width="7" customWidth="1" style="87" min="5893" max="5893"/>
    <col width="8" customWidth="1" style="87" min="5894" max="5894"/>
    <col width="12" customWidth="1" style="87" min="5895" max="5895"/>
    <col width="50" customWidth="1" style="87" min="5896" max="5896"/>
    <col width="16" customWidth="1" style="87" min="5897" max="5897"/>
    <col width="254" customWidth="1" style="87" min="5898" max="5898"/>
    <col width="8" customWidth="1" style="87" min="6145" max="6145"/>
    <col width="6" customWidth="1" style="87" min="6146" max="6146"/>
    <col width="13" customWidth="1" style="87" min="6147" max="6147"/>
    <col width="22" customWidth="1" style="87" min="6148" max="6148"/>
    <col width="7" customWidth="1" style="87" min="6149" max="6149"/>
    <col width="8" customWidth="1" style="87" min="6150" max="6150"/>
    <col width="12" customWidth="1" style="87" min="6151" max="6151"/>
    <col width="50" customWidth="1" style="87" min="6152" max="6152"/>
    <col width="16" customWidth="1" style="87" min="6153" max="6153"/>
    <col width="254" customWidth="1" style="87" min="6154" max="6154"/>
    <col width="8" customWidth="1" style="87" min="6401" max="6401"/>
    <col width="6" customWidth="1" style="87" min="6402" max="6402"/>
    <col width="13" customWidth="1" style="87" min="6403" max="6403"/>
    <col width="22" customWidth="1" style="87" min="6404" max="6404"/>
    <col width="7" customWidth="1" style="87" min="6405" max="6405"/>
    <col width="8" customWidth="1" style="87" min="6406" max="6406"/>
    <col width="12" customWidth="1" style="87" min="6407" max="6407"/>
    <col width="50" customWidth="1" style="87" min="6408" max="6408"/>
    <col width="16" customWidth="1" style="87" min="6409" max="6409"/>
    <col width="254" customWidth="1" style="87" min="6410" max="6410"/>
    <col width="8" customWidth="1" style="87" min="6657" max="6657"/>
    <col width="6" customWidth="1" style="87" min="6658" max="6658"/>
    <col width="13" customWidth="1" style="87" min="6659" max="6659"/>
    <col width="22" customWidth="1" style="87" min="6660" max="6660"/>
    <col width="7" customWidth="1" style="87" min="6661" max="6661"/>
    <col width="8" customWidth="1" style="87" min="6662" max="6662"/>
    <col width="12" customWidth="1" style="87" min="6663" max="6663"/>
    <col width="50" customWidth="1" style="87" min="6664" max="6664"/>
    <col width="16" customWidth="1" style="87" min="6665" max="6665"/>
    <col width="254" customWidth="1" style="87" min="6666" max="6666"/>
    <col width="8" customWidth="1" style="87" min="6913" max="6913"/>
    <col width="6" customWidth="1" style="87" min="6914" max="6914"/>
    <col width="13" customWidth="1" style="87" min="6915" max="6915"/>
    <col width="22" customWidth="1" style="87" min="6916" max="6916"/>
    <col width="7" customWidth="1" style="87" min="6917" max="6917"/>
    <col width="8" customWidth="1" style="87" min="6918" max="6918"/>
    <col width="12" customWidth="1" style="87" min="6919" max="6919"/>
    <col width="50" customWidth="1" style="87" min="6920" max="6920"/>
    <col width="16" customWidth="1" style="87" min="6921" max="6921"/>
    <col width="254" customWidth="1" style="87" min="6922" max="6922"/>
    <col width="8" customWidth="1" style="87" min="7169" max="7169"/>
    <col width="6" customWidth="1" style="87" min="7170" max="7170"/>
    <col width="13" customWidth="1" style="87" min="7171" max="7171"/>
    <col width="22" customWidth="1" style="87" min="7172" max="7172"/>
    <col width="7" customWidth="1" style="87" min="7173" max="7173"/>
    <col width="8" customWidth="1" style="87" min="7174" max="7174"/>
    <col width="12" customWidth="1" style="87" min="7175" max="7175"/>
    <col width="50" customWidth="1" style="87" min="7176" max="7176"/>
    <col width="16" customWidth="1" style="87" min="7177" max="7177"/>
    <col width="254" customWidth="1" style="87" min="7178" max="7178"/>
    <col width="8" customWidth="1" style="87" min="7425" max="7425"/>
    <col width="6" customWidth="1" style="87" min="7426" max="7426"/>
    <col width="13" customWidth="1" style="87" min="7427" max="7427"/>
    <col width="22" customWidth="1" style="87" min="7428" max="7428"/>
    <col width="7" customWidth="1" style="87" min="7429" max="7429"/>
    <col width="8" customWidth="1" style="87" min="7430" max="7430"/>
    <col width="12" customWidth="1" style="87" min="7431" max="7431"/>
    <col width="50" customWidth="1" style="87" min="7432" max="7432"/>
    <col width="16" customWidth="1" style="87" min="7433" max="7433"/>
    <col width="254" customWidth="1" style="87" min="7434" max="7434"/>
    <col width="8" customWidth="1" style="87" min="7681" max="7681"/>
    <col width="6" customWidth="1" style="87" min="7682" max="7682"/>
    <col width="13" customWidth="1" style="87" min="7683" max="7683"/>
    <col width="22" customWidth="1" style="87" min="7684" max="7684"/>
    <col width="7" customWidth="1" style="87" min="7685" max="7685"/>
    <col width="8" customWidth="1" style="87" min="7686" max="7686"/>
    <col width="12" customWidth="1" style="87" min="7687" max="7687"/>
    <col width="50" customWidth="1" style="87" min="7688" max="7688"/>
    <col width="16" customWidth="1" style="87" min="7689" max="7689"/>
    <col width="254" customWidth="1" style="87" min="7690" max="7690"/>
    <col width="8" customWidth="1" style="87" min="7937" max="7937"/>
    <col width="6" customWidth="1" style="87" min="7938" max="7938"/>
    <col width="13" customWidth="1" style="87" min="7939" max="7939"/>
    <col width="22" customWidth="1" style="87" min="7940" max="7940"/>
    <col width="7" customWidth="1" style="87" min="7941" max="7941"/>
    <col width="8" customWidth="1" style="87" min="7942" max="7942"/>
    <col width="12" customWidth="1" style="87" min="7943" max="7943"/>
    <col width="50" customWidth="1" style="87" min="7944" max="7944"/>
    <col width="16" customWidth="1" style="87" min="7945" max="7945"/>
    <col width="254" customWidth="1" style="87" min="7946" max="7946"/>
    <col width="8" customWidth="1" style="87" min="8193" max="8193"/>
    <col width="6" customWidth="1" style="87" min="8194" max="8194"/>
    <col width="13" customWidth="1" style="87" min="8195" max="8195"/>
    <col width="22" customWidth="1" style="87" min="8196" max="8196"/>
    <col width="7" customWidth="1" style="87" min="8197" max="8197"/>
    <col width="8" customWidth="1" style="87" min="8198" max="8198"/>
    <col width="12" customWidth="1" style="87" min="8199" max="8199"/>
    <col width="50" customWidth="1" style="87" min="8200" max="8200"/>
    <col width="16" customWidth="1" style="87" min="8201" max="8201"/>
    <col width="254" customWidth="1" style="87" min="8202" max="8202"/>
    <col width="8" customWidth="1" style="87" min="8449" max="8449"/>
    <col width="6" customWidth="1" style="87" min="8450" max="8450"/>
    <col width="13" customWidth="1" style="87" min="8451" max="8451"/>
    <col width="22" customWidth="1" style="87" min="8452" max="8452"/>
    <col width="7" customWidth="1" style="87" min="8453" max="8453"/>
    <col width="8" customWidth="1" style="87" min="8454" max="8454"/>
    <col width="12" customWidth="1" style="87" min="8455" max="8455"/>
    <col width="50" customWidth="1" style="87" min="8456" max="8456"/>
    <col width="16" customWidth="1" style="87" min="8457" max="8457"/>
    <col width="254" customWidth="1" style="87" min="8458" max="8458"/>
    <col width="8" customWidth="1" style="87" min="8705" max="8705"/>
    <col width="6" customWidth="1" style="87" min="8706" max="8706"/>
    <col width="13" customWidth="1" style="87" min="8707" max="8707"/>
    <col width="22" customWidth="1" style="87" min="8708" max="8708"/>
    <col width="7" customWidth="1" style="87" min="8709" max="8709"/>
    <col width="8" customWidth="1" style="87" min="8710" max="8710"/>
    <col width="12" customWidth="1" style="87" min="8711" max="8711"/>
    <col width="50" customWidth="1" style="87" min="8712" max="8712"/>
    <col width="16" customWidth="1" style="87" min="8713" max="8713"/>
    <col width="254" customWidth="1" style="87" min="8714" max="8714"/>
    <col width="8" customWidth="1" style="87" min="8961" max="8961"/>
    <col width="6" customWidth="1" style="87" min="8962" max="8962"/>
    <col width="13" customWidth="1" style="87" min="8963" max="8963"/>
    <col width="22" customWidth="1" style="87" min="8964" max="8964"/>
    <col width="7" customWidth="1" style="87" min="8965" max="8965"/>
    <col width="8" customWidth="1" style="87" min="8966" max="8966"/>
    <col width="12" customWidth="1" style="87" min="8967" max="8967"/>
    <col width="50" customWidth="1" style="87" min="8968" max="8968"/>
    <col width="16" customWidth="1" style="87" min="8969" max="8969"/>
    <col width="254" customWidth="1" style="87" min="8970" max="8970"/>
    <col width="8" customWidth="1" style="87" min="9217" max="9217"/>
    <col width="6" customWidth="1" style="87" min="9218" max="9218"/>
    <col width="13" customWidth="1" style="87" min="9219" max="9219"/>
    <col width="22" customWidth="1" style="87" min="9220" max="9220"/>
    <col width="7" customWidth="1" style="87" min="9221" max="9221"/>
    <col width="8" customWidth="1" style="87" min="9222" max="9222"/>
    <col width="12" customWidth="1" style="87" min="9223" max="9223"/>
    <col width="50" customWidth="1" style="87" min="9224" max="9224"/>
    <col width="16" customWidth="1" style="87" min="9225" max="9225"/>
    <col width="254" customWidth="1" style="87" min="9226" max="9226"/>
    <col width="8" customWidth="1" style="87" min="9473" max="9473"/>
    <col width="6" customWidth="1" style="87" min="9474" max="9474"/>
    <col width="13" customWidth="1" style="87" min="9475" max="9475"/>
    <col width="22" customWidth="1" style="87" min="9476" max="9476"/>
    <col width="7" customWidth="1" style="87" min="9477" max="9477"/>
    <col width="8" customWidth="1" style="87" min="9478" max="9478"/>
    <col width="12" customWidth="1" style="87" min="9479" max="9479"/>
    <col width="50" customWidth="1" style="87" min="9480" max="9480"/>
    <col width="16" customWidth="1" style="87" min="9481" max="9481"/>
    <col width="254" customWidth="1" style="87" min="9482" max="9482"/>
    <col width="8" customWidth="1" style="87" min="9729" max="9729"/>
    <col width="6" customWidth="1" style="87" min="9730" max="9730"/>
    <col width="13" customWidth="1" style="87" min="9731" max="9731"/>
    <col width="22" customWidth="1" style="87" min="9732" max="9732"/>
    <col width="7" customWidth="1" style="87" min="9733" max="9733"/>
    <col width="8" customWidth="1" style="87" min="9734" max="9734"/>
    <col width="12" customWidth="1" style="87" min="9735" max="9735"/>
    <col width="50" customWidth="1" style="87" min="9736" max="9736"/>
    <col width="16" customWidth="1" style="87" min="9737" max="9737"/>
    <col width="254" customWidth="1" style="87" min="9738" max="9738"/>
    <col width="8" customWidth="1" style="87" min="9985" max="9985"/>
    <col width="6" customWidth="1" style="87" min="9986" max="9986"/>
    <col width="13" customWidth="1" style="87" min="9987" max="9987"/>
    <col width="22" customWidth="1" style="87" min="9988" max="9988"/>
    <col width="7" customWidth="1" style="87" min="9989" max="9989"/>
    <col width="8" customWidth="1" style="87" min="9990" max="9990"/>
    <col width="12" customWidth="1" style="87" min="9991" max="9991"/>
    <col width="50" customWidth="1" style="87" min="9992" max="9992"/>
    <col width="16" customWidth="1" style="87" min="9993" max="9993"/>
    <col width="254" customWidth="1" style="87" min="9994" max="9994"/>
    <col width="8" customWidth="1" style="87" min="10241" max="10241"/>
    <col width="6" customWidth="1" style="87" min="10242" max="10242"/>
    <col width="13" customWidth="1" style="87" min="10243" max="10243"/>
    <col width="22" customWidth="1" style="87" min="10244" max="10244"/>
    <col width="7" customWidth="1" style="87" min="10245" max="10245"/>
    <col width="8" customWidth="1" style="87" min="10246" max="10246"/>
    <col width="12" customWidth="1" style="87" min="10247" max="10247"/>
    <col width="50" customWidth="1" style="87" min="10248" max="10248"/>
    <col width="16" customWidth="1" style="87" min="10249" max="10249"/>
    <col width="254" customWidth="1" style="87" min="10250" max="10250"/>
    <col width="8" customWidth="1" style="87" min="10497" max="10497"/>
    <col width="6" customWidth="1" style="87" min="10498" max="10498"/>
    <col width="13" customWidth="1" style="87" min="10499" max="10499"/>
    <col width="22" customWidth="1" style="87" min="10500" max="10500"/>
    <col width="7" customWidth="1" style="87" min="10501" max="10501"/>
    <col width="8" customWidth="1" style="87" min="10502" max="10502"/>
    <col width="12" customWidth="1" style="87" min="10503" max="10503"/>
    <col width="50" customWidth="1" style="87" min="10504" max="10504"/>
    <col width="16" customWidth="1" style="87" min="10505" max="10505"/>
    <col width="254" customWidth="1" style="87" min="10506" max="10506"/>
    <col width="8" customWidth="1" style="87" min="10753" max="10753"/>
    <col width="6" customWidth="1" style="87" min="10754" max="10754"/>
    <col width="13" customWidth="1" style="87" min="10755" max="10755"/>
    <col width="22" customWidth="1" style="87" min="10756" max="10756"/>
    <col width="7" customWidth="1" style="87" min="10757" max="10757"/>
    <col width="8" customWidth="1" style="87" min="10758" max="10758"/>
    <col width="12" customWidth="1" style="87" min="10759" max="10759"/>
    <col width="50" customWidth="1" style="87" min="10760" max="10760"/>
    <col width="16" customWidth="1" style="87" min="10761" max="10761"/>
    <col width="254" customWidth="1" style="87" min="10762" max="10762"/>
    <col width="8" customWidth="1" style="87" min="11009" max="11009"/>
    <col width="6" customWidth="1" style="87" min="11010" max="11010"/>
    <col width="13" customWidth="1" style="87" min="11011" max="11011"/>
    <col width="22" customWidth="1" style="87" min="11012" max="11012"/>
    <col width="7" customWidth="1" style="87" min="11013" max="11013"/>
    <col width="8" customWidth="1" style="87" min="11014" max="11014"/>
    <col width="12" customWidth="1" style="87" min="11015" max="11015"/>
    <col width="50" customWidth="1" style="87" min="11016" max="11016"/>
    <col width="16" customWidth="1" style="87" min="11017" max="11017"/>
    <col width="254" customWidth="1" style="87" min="11018" max="11018"/>
    <col width="8" customWidth="1" style="87" min="11265" max="11265"/>
    <col width="6" customWidth="1" style="87" min="11266" max="11266"/>
    <col width="13" customWidth="1" style="87" min="11267" max="11267"/>
    <col width="22" customWidth="1" style="87" min="11268" max="11268"/>
    <col width="7" customWidth="1" style="87" min="11269" max="11269"/>
    <col width="8" customWidth="1" style="87" min="11270" max="11270"/>
    <col width="12" customWidth="1" style="87" min="11271" max="11271"/>
    <col width="50" customWidth="1" style="87" min="11272" max="11272"/>
    <col width="16" customWidth="1" style="87" min="11273" max="11273"/>
    <col width="254" customWidth="1" style="87" min="11274" max="11274"/>
    <col width="8" customWidth="1" style="87" min="11521" max="11521"/>
    <col width="6" customWidth="1" style="87" min="11522" max="11522"/>
    <col width="13" customWidth="1" style="87" min="11523" max="11523"/>
    <col width="22" customWidth="1" style="87" min="11524" max="11524"/>
    <col width="7" customWidth="1" style="87" min="11525" max="11525"/>
    <col width="8" customWidth="1" style="87" min="11526" max="11526"/>
    <col width="12" customWidth="1" style="87" min="11527" max="11527"/>
    <col width="50" customWidth="1" style="87" min="11528" max="11528"/>
    <col width="16" customWidth="1" style="87" min="11529" max="11529"/>
    <col width="254" customWidth="1" style="87" min="11530" max="11530"/>
    <col width="8" customWidth="1" style="87" min="11777" max="11777"/>
    <col width="6" customWidth="1" style="87" min="11778" max="11778"/>
    <col width="13" customWidth="1" style="87" min="11779" max="11779"/>
    <col width="22" customWidth="1" style="87" min="11780" max="11780"/>
    <col width="7" customWidth="1" style="87" min="11781" max="11781"/>
    <col width="8" customWidth="1" style="87" min="11782" max="11782"/>
    <col width="12" customWidth="1" style="87" min="11783" max="11783"/>
    <col width="50" customWidth="1" style="87" min="11784" max="11784"/>
    <col width="16" customWidth="1" style="87" min="11785" max="11785"/>
    <col width="254" customWidth="1" style="87" min="11786" max="11786"/>
    <col width="8" customWidth="1" style="87" min="12033" max="12033"/>
    <col width="6" customWidth="1" style="87" min="12034" max="12034"/>
    <col width="13" customWidth="1" style="87" min="12035" max="12035"/>
    <col width="22" customWidth="1" style="87" min="12036" max="12036"/>
    <col width="7" customWidth="1" style="87" min="12037" max="12037"/>
    <col width="8" customWidth="1" style="87" min="12038" max="12038"/>
    <col width="12" customWidth="1" style="87" min="12039" max="12039"/>
    <col width="50" customWidth="1" style="87" min="12040" max="12040"/>
    <col width="16" customWidth="1" style="87" min="12041" max="12041"/>
    <col width="254" customWidth="1" style="87" min="12042" max="12042"/>
    <col width="8" customWidth="1" style="87" min="12289" max="12289"/>
    <col width="6" customWidth="1" style="87" min="12290" max="12290"/>
    <col width="13" customWidth="1" style="87" min="12291" max="12291"/>
    <col width="22" customWidth="1" style="87" min="12292" max="12292"/>
    <col width="7" customWidth="1" style="87" min="12293" max="12293"/>
    <col width="8" customWidth="1" style="87" min="12294" max="12294"/>
    <col width="12" customWidth="1" style="87" min="12295" max="12295"/>
    <col width="50" customWidth="1" style="87" min="12296" max="12296"/>
    <col width="16" customWidth="1" style="87" min="12297" max="12297"/>
    <col width="254" customWidth="1" style="87" min="12298" max="12298"/>
    <col width="8" customWidth="1" style="87" min="12545" max="12545"/>
    <col width="6" customWidth="1" style="87" min="12546" max="12546"/>
    <col width="13" customWidth="1" style="87" min="12547" max="12547"/>
    <col width="22" customWidth="1" style="87" min="12548" max="12548"/>
    <col width="7" customWidth="1" style="87" min="12549" max="12549"/>
    <col width="8" customWidth="1" style="87" min="12550" max="12550"/>
    <col width="12" customWidth="1" style="87" min="12551" max="12551"/>
    <col width="50" customWidth="1" style="87" min="12552" max="12552"/>
    <col width="16" customWidth="1" style="87" min="12553" max="12553"/>
    <col width="254" customWidth="1" style="87" min="12554" max="12554"/>
    <col width="8" customWidth="1" style="87" min="12801" max="12801"/>
    <col width="6" customWidth="1" style="87" min="12802" max="12802"/>
    <col width="13" customWidth="1" style="87" min="12803" max="12803"/>
    <col width="22" customWidth="1" style="87" min="12804" max="12804"/>
    <col width="7" customWidth="1" style="87" min="12805" max="12805"/>
    <col width="8" customWidth="1" style="87" min="12806" max="12806"/>
    <col width="12" customWidth="1" style="87" min="12807" max="12807"/>
    <col width="50" customWidth="1" style="87" min="12808" max="12808"/>
    <col width="16" customWidth="1" style="87" min="12809" max="12809"/>
    <col width="254" customWidth="1" style="87" min="12810" max="12810"/>
    <col width="8" customWidth="1" style="87" min="13057" max="13057"/>
    <col width="6" customWidth="1" style="87" min="13058" max="13058"/>
    <col width="13" customWidth="1" style="87" min="13059" max="13059"/>
    <col width="22" customWidth="1" style="87" min="13060" max="13060"/>
    <col width="7" customWidth="1" style="87" min="13061" max="13061"/>
    <col width="8" customWidth="1" style="87" min="13062" max="13062"/>
    <col width="12" customWidth="1" style="87" min="13063" max="13063"/>
    <col width="50" customWidth="1" style="87" min="13064" max="13064"/>
    <col width="16" customWidth="1" style="87" min="13065" max="13065"/>
    <col width="254" customWidth="1" style="87" min="13066" max="13066"/>
    <col width="8" customWidth="1" style="87" min="13313" max="13313"/>
    <col width="6" customWidth="1" style="87" min="13314" max="13314"/>
    <col width="13" customWidth="1" style="87" min="13315" max="13315"/>
    <col width="22" customWidth="1" style="87" min="13316" max="13316"/>
    <col width="7" customWidth="1" style="87" min="13317" max="13317"/>
    <col width="8" customWidth="1" style="87" min="13318" max="13318"/>
    <col width="12" customWidth="1" style="87" min="13319" max="13319"/>
    <col width="50" customWidth="1" style="87" min="13320" max="13320"/>
    <col width="16" customWidth="1" style="87" min="13321" max="13321"/>
    <col width="254" customWidth="1" style="87" min="13322" max="13322"/>
    <col width="8" customWidth="1" style="87" min="13569" max="13569"/>
    <col width="6" customWidth="1" style="87" min="13570" max="13570"/>
    <col width="13" customWidth="1" style="87" min="13571" max="13571"/>
    <col width="22" customWidth="1" style="87" min="13572" max="13572"/>
    <col width="7" customWidth="1" style="87" min="13573" max="13573"/>
    <col width="8" customWidth="1" style="87" min="13574" max="13574"/>
    <col width="12" customWidth="1" style="87" min="13575" max="13575"/>
    <col width="50" customWidth="1" style="87" min="13576" max="13576"/>
    <col width="16" customWidth="1" style="87" min="13577" max="13577"/>
    <col width="254" customWidth="1" style="87" min="13578" max="13578"/>
    <col width="8" customWidth="1" style="87" min="13825" max="13825"/>
    <col width="6" customWidth="1" style="87" min="13826" max="13826"/>
    <col width="13" customWidth="1" style="87" min="13827" max="13827"/>
    <col width="22" customWidth="1" style="87" min="13828" max="13828"/>
    <col width="7" customWidth="1" style="87" min="13829" max="13829"/>
    <col width="8" customWidth="1" style="87" min="13830" max="13830"/>
    <col width="12" customWidth="1" style="87" min="13831" max="13831"/>
    <col width="50" customWidth="1" style="87" min="13832" max="13832"/>
    <col width="16" customWidth="1" style="87" min="13833" max="13833"/>
    <col width="254" customWidth="1" style="87" min="13834" max="13834"/>
    <col width="8" customWidth="1" style="87" min="14081" max="14081"/>
    <col width="6" customWidth="1" style="87" min="14082" max="14082"/>
    <col width="13" customWidth="1" style="87" min="14083" max="14083"/>
    <col width="22" customWidth="1" style="87" min="14084" max="14084"/>
    <col width="7" customWidth="1" style="87" min="14085" max="14085"/>
    <col width="8" customWidth="1" style="87" min="14086" max="14086"/>
    <col width="12" customWidth="1" style="87" min="14087" max="14087"/>
    <col width="50" customWidth="1" style="87" min="14088" max="14088"/>
    <col width="16" customWidth="1" style="87" min="14089" max="14089"/>
    <col width="254" customWidth="1" style="87" min="14090" max="14090"/>
    <col width="8" customWidth="1" style="87" min="14337" max="14337"/>
    <col width="6" customWidth="1" style="87" min="14338" max="14338"/>
    <col width="13" customWidth="1" style="87" min="14339" max="14339"/>
    <col width="22" customWidth="1" style="87" min="14340" max="14340"/>
    <col width="7" customWidth="1" style="87" min="14341" max="14341"/>
    <col width="8" customWidth="1" style="87" min="14342" max="14342"/>
    <col width="12" customWidth="1" style="87" min="14343" max="14343"/>
    <col width="50" customWidth="1" style="87" min="14344" max="14344"/>
    <col width="16" customWidth="1" style="87" min="14345" max="14345"/>
    <col width="254" customWidth="1" style="87" min="14346" max="14346"/>
    <col width="8" customWidth="1" style="87" min="14593" max="14593"/>
    <col width="6" customWidth="1" style="87" min="14594" max="14594"/>
    <col width="13" customWidth="1" style="87" min="14595" max="14595"/>
    <col width="22" customWidth="1" style="87" min="14596" max="14596"/>
    <col width="7" customWidth="1" style="87" min="14597" max="14597"/>
    <col width="8" customWidth="1" style="87" min="14598" max="14598"/>
    <col width="12" customWidth="1" style="87" min="14599" max="14599"/>
    <col width="50" customWidth="1" style="87" min="14600" max="14600"/>
    <col width="16" customWidth="1" style="87" min="14601" max="14601"/>
    <col width="254" customWidth="1" style="87" min="14602" max="14602"/>
    <col width="8" customWidth="1" style="87" min="14849" max="14849"/>
    <col width="6" customWidth="1" style="87" min="14850" max="14850"/>
    <col width="13" customWidth="1" style="87" min="14851" max="14851"/>
    <col width="22" customWidth="1" style="87" min="14852" max="14852"/>
    <col width="7" customWidth="1" style="87" min="14853" max="14853"/>
    <col width="8" customWidth="1" style="87" min="14854" max="14854"/>
    <col width="12" customWidth="1" style="87" min="14855" max="14855"/>
    <col width="50" customWidth="1" style="87" min="14856" max="14856"/>
    <col width="16" customWidth="1" style="87" min="14857" max="14857"/>
    <col width="254" customWidth="1" style="87" min="14858" max="14858"/>
    <col width="8" customWidth="1" style="87" min="15105" max="15105"/>
    <col width="6" customWidth="1" style="87" min="15106" max="15106"/>
    <col width="13" customWidth="1" style="87" min="15107" max="15107"/>
    <col width="22" customWidth="1" style="87" min="15108" max="15108"/>
    <col width="7" customWidth="1" style="87" min="15109" max="15109"/>
    <col width="8" customWidth="1" style="87" min="15110" max="15110"/>
    <col width="12" customWidth="1" style="87" min="15111" max="15111"/>
    <col width="50" customWidth="1" style="87" min="15112" max="15112"/>
    <col width="16" customWidth="1" style="87" min="15113" max="15113"/>
    <col width="254" customWidth="1" style="87" min="15114" max="15114"/>
    <col width="8" customWidth="1" style="87" min="15361" max="15361"/>
    <col width="6" customWidth="1" style="87" min="15362" max="15362"/>
    <col width="13" customWidth="1" style="87" min="15363" max="15363"/>
    <col width="22" customWidth="1" style="87" min="15364" max="15364"/>
    <col width="7" customWidth="1" style="87" min="15365" max="15365"/>
    <col width="8" customWidth="1" style="87" min="15366" max="15366"/>
    <col width="12" customWidth="1" style="87" min="15367" max="15367"/>
    <col width="50" customWidth="1" style="87" min="15368" max="15368"/>
    <col width="16" customWidth="1" style="87" min="15369" max="15369"/>
    <col width="254" customWidth="1" style="87" min="15370" max="15370"/>
    <col width="8" customWidth="1" style="87" min="15617" max="15617"/>
    <col width="6" customWidth="1" style="87" min="15618" max="15618"/>
    <col width="13" customWidth="1" style="87" min="15619" max="15619"/>
    <col width="22" customWidth="1" style="87" min="15620" max="15620"/>
    <col width="7" customWidth="1" style="87" min="15621" max="15621"/>
    <col width="8" customWidth="1" style="87" min="15622" max="15622"/>
    <col width="12" customWidth="1" style="87" min="15623" max="15623"/>
    <col width="50" customWidth="1" style="87" min="15624" max="15624"/>
    <col width="16" customWidth="1" style="87" min="15625" max="15625"/>
    <col width="254" customWidth="1" style="87" min="15626" max="15626"/>
    <col width="8" customWidth="1" style="87" min="15873" max="15873"/>
    <col width="6" customWidth="1" style="87" min="15874" max="15874"/>
    <col width="13" customWidth="1" style="87" min="15875" max="15875"/>
    <col width="22" customWidth="1" style="87" min="15876" max="15876"/>
    <col width="7" customWidth="1" style="87" min="15877" max="15877"/>
    <col width="8" customWidth="1" style="87" min="15878" max="15878"/>
    <col width="12" customWidth="1" style="87" min="15879" max="15879"/>
    <col width="50" customWidth="1" style="87" min="15880" max="15880"/>
    <col width="16" customWidth="1" style="87" min="15881" max="15881"/>
    <col width="254" customWidth="1" style="87" min="15882" max="15882"/>
    <col width="8" customWidth="1" style="87" min="16129" max="16129"/>
    <col width="6" customWidth="1" style="87" min="16130" max="16130"/>
    <col width="13" customWidth="1" style="87" min="16131" max="16131"/>
    <col width="22" customWidth="1" style="87" min="16132" max="16132"/>
    <col width="7" customWidth="1" style="87" min="16133" max="16133"/>
    <col width="8" customWidth="1" style="87" min="16134" max="16134"/>
    <col width="12" customWidth="1" style="87" min="16135" max="16135"/>
    <col width="50" customWidth="1" style="87" min="16136" max="16136"/>
    <col width="16" customWidth="1" style="87" min="16137" max="16137"/>
    <col width="254" customWidth="1" style="87" min="16138" max="16138"/>
  </cols>
  <sheetData>
    <row r="1">
      <c r="A1" t="inlineStr">
        <is>
          <t>ngaynt</t>
        </is>
      </c>
      <c r="B1" t="inlineStr">
        <is>
          <t>sobl</t>
        </is>
      </c>
      <c r="C1" t="inlineStr">
        <is>
          <t>masv</t>
        </is>
      </c>
      <c r="D1" t="inlineStr">
        <is>
          <t>hosv</t>
        </is>
      </c>
      <c r="E1" t="inlineStr">
        <is>
          <t>tensv</t>
        </is>
      </c>
      <c r="F1" t="inlineStr">
        <is>
          <t>ngaysinh</t>
        </is>
      </c>
      <c r="G1" t="inlineStr">
        <is>
          <t>mamonhoc</t>
        </is>
      </c>
      <c r="H1" t="inlineStr">
        <is>
          <t>tenmonhoc</t>
        </is>
      </c>
      <c r="I1" t="inlineStr">
        <is>
          <t>danop</t>
        </is>
      </c>
      <c r="J1" t="inlineStr">
        <is>
          <t>lienhe</t>
        </is>
      </c>
    </row>
    <row r="2">
      <c r="A2" t="inlineStr">
        <is>
          <t>02-Feb-26</t>
        </is>
      </c>
      <c r="B2" t="inlineStr">
        <is>
          <t>I88893</t>
        </is>
      </c>
      <c r="C2" t="inlineStr">
        <is>
          <t>25808500344</t>
        </is>
      </c>
      <c r="D2" t="inlineStr">
        <is>
          <t>Nguyeãn Kim Tröôøng</t>
        </is>
      </c>
      <c r="E2" t="inlineStr">
        <is>
          <t>Thònh</t>
        </is>
      </c>
      <c r="F2" t="inlineStr">
        <is>
          <t>24-Nov-07</t>
        </is>
      </c>
      <c r="G2" t="inlineStr">
        <is>
          <t>LNH0326ND01</t>
        </is>
      </c>
      <c r="H2" t="inlineStr">
        <is>
          <t>03AV AVGT Level 2 KG: T03/2026</t>
        </is>
      </c>
      <c r="I2" t="n">
        <v>2600000</v>
      </c>
      <c r="J2" t="inlineStr">
        <is>
          <t>LE THI THU YEN Nguyen Kim Truong Thinh 25808500344 LNH0326ND01 0916521828 TAI VietinBank</t>
        </is>
      </c>
    </row>
    <row r="3">
      <c r="A3" t="inlineStr">
        <is>
          <t>03-Feb-26</t>
        </is>
      </c>
      <c r="B3" t="inlineStr">
        <is>
          <t>I88905</t>
        </is>
      </c>
      <c r="C3" t="inlineStr">
        <is>
          <t>25808700001</t>
        </is>
      </c>
      <c r="D3" t="inlineStr">
        <is>
          <t>Nguyeãn Buøi Bình</t>
        </is>
      </c>
      <c r="E3" t="inlineStr">
        <is>
          <t>An</t>
        </is>
      </c>
      <c r="F3" t="inlineStr">
        <is>
          <t>05-Mar-07</t>
        </is>
      </c>
      <c r="G3" t="inlineStr">
        <is>
          <t>LNH0326ND01</t>
        </is>
      </c>
      <c r="H3" t="inlineStr">
        <is>
          <t>03AV AVGT Level 2 KG: T03/2026</t>
        </is>
      </c>
      <c r="I3" t="n">
        <v>8415000</v>
      </c>
      <c r="J3" t="inlineStr">
        <is>
          <t>LE THI THU YEN Nguyen Bui Binh An 2580870001 LNH09 25ND01 0901103642 TAI VietinBank</t>
        </is>
      </c>
    </row>
    <row r="4">
      <c r="A4" t="inlineStr">
        <is>
          <t>04-Feb-26</t>
        </is>
      </c>
      <c r="B4" t="inlineStr">
        <is>
          <t>I88991</t>
        </is>
      </c>
      <c r="C4" t="inlineStr">
        <is>
          <t>25801800094</t>
        </is>
      </c>
      <c r="D4" t="inlineStr">
        <is>
          <t>Beá Thò Hoàng</t>
        </is>
      </c>
      <c r="E4" t="inlineStr">
        <is>
          <t>Cuùc</t>
        </is>
      </c>
      <c r="F4" t="inlineStr">
        <is>
          <t>27-Apr-07</t>
        </is>
      </c>
      <c r="G4" t="inlineStr">
        <is>
          <t>LNH0326ND01</t>
        </is>
      </c>
      <c r="H4" t="inlineStr">
        <is>
          <t>03AV AVGT Level 2 KG: T03/2026</t>
        </is>
      </c>
      <c r="I4" t="n">
        <v>8415000</v>
      </c>
      <c r="J4" t="inlineStr">
        <is>
          <t>LE THI THU YEN Be Thi Hong Cuc 25801800094 LNH0925 ND01 0968426034 TAI VietinBank</t>
        </is>
      </c>
    </row>
    <row r="5">
      <c r="A5" t="inlineStr">
        <is>
          <t>06-Feb-26</t>
        </is>
      </c>
      <c r="B5" t="inlineStr">
        <is>
          <t>I89074</t>
        </is>
      </c>
      <c r="C5" t="inlineStr">
        <is>
          <t>2180608872</t>
        </is>
      </c>
      <c r="D5" t="inlineStr">
        <is>
          <t>Nguyeãn Thaønh</t>
        </is>
      </c>
      <c r="E5" t="inlineStr">
        <is>
          <t>Kieät</t>
        </is>
      </c>
      <c r="F5" t="inlineStr">
        <is>
          <t>07-May-03</t>
        </is>
      </c>
      <c r="G5" t="inlineStr">
        <is>
          <t>LNH0326NS01</t>
        </is>
      </c>
      <c r="H5" t="inlineStr">
        <is>
          <t>03AV Toeic Trung cap KG: T03/2026</t>
        </is>
      </c>
      <c r="I5" t="n">
        <v>2000000</v>
      </c>
      <c r="J5" t="inlineStr">
        <is>
          <t>NGUYEN THANH KIET NGUYEN THANH KIET  2180608872  LNH0 326NS02  0767737045-060226-14 50 33 6037ASCBJ28NIKH7 TAI Ngan hang a chau       IBT SMARLINK</t>
        </is>
      </c>
    </row>
    <row r="6">
      <c r="A6" t="inlineStr">
        <is>
          <t>06-Mar-26</t>
        </is>
      </c>
      <c r="B6" t="inlineStr">
        <is>
          <t>I91307</t>
        </is>
      </c>
      <c r="C6" t="inlineStr">
        <is>
          <t>2383000855</t>
        </is>
      </c>
      <c r="D6" t="inlineStr">
        <is>
          <t>Nguyeãn Minh</t>
        </is>
      </c>
      <c r="E6" t="inlineStr">
        <is>
          <t>Phöông</t>
        </is>
      </c>
      <c r="F6" t="inlineStr">
        <is>
          <t>06-Mar-05</t>
        </is>
      </c>
      <c r="G6" t="inlineStr">
        <is>
          <t>LNH0326NS01</t>
        </is>
      </c>
      <c r="H6" t="inlineStr">
        <is>
          <t>03AV Toeic Trung cap KG: T03/2026 (2KN)</t>
        </is>
      </c>
      <c r="I6" t="n">
        <v>2600000</v>
      </c>
      <c r="J6" t="inlineStr">
        <is>
          <t>VND-TGTT-NGUYEN MINH PHUONG NGUYEN MINH PHUONG 2383000855 09429 00930 FT26065020169010 TAI TECHCOMBANK            HANOI</t>
        </is>
      </c>
    </row>
    <row r="7">
      <c r="A7" t="inlineStr">
        <is>
          <t>11-Mar-26</t>
        </is>
      </c>
      <c r="B7" t="inlineStr">
        <is>
          <t>I92223</t>
        </is>
      </c>
      <c r="C7" t="inlineStr">
        <is>
          <t>25801700096</t>
        </is>
      </c>
      <c r="D7" t="inlineStr">
        <is>
          <t>Ñaëng Chí</t>
        </is>
      </c>
      <c r="E7" t="inlineStr">
        <is>
          <t>Duõng</t>
        </is>
      </c>
      <c r="F7" t="inlineStr">
        <is>
          <t>17-Apr-07</t>
        </is>
      </c>
      <c r="G7" t="inlineStr">
        <is>
          <t>LNH0326NS01</t>
        </is>
      </c>
      <c r="H7" t="inlineStr">
        <is>
          <t>03AV Toeic Trung cap KG: T03/2026 (2KN)</t>
        </is>
      </c>
      <c r="I7" t="n">
        <v>2000000</v>
      </c>
      <c r="J7" t="inlineStr">
        <is>
          <t>DANG CHI DUNG MBVCB.13321083119.722549.Dang Chi D ung mssv 25801700096 hoc ....CT tu 7707047087 DANG CHI DUNG toi 052104 3748045 HUTECH tai ABBank TAI Vietcombank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I2" sqref="I2:I18"/>
    </sheetView>
  </sheetViews>
  <sheetFormatPr baseColWidth="8" defaultColWidth="8.85546875" defaultRowHeight="15"/>
  <cols>
    <col width="8" customWidth="1" style="87" min="1" max="1"/>
    <col width="6" customWidth="1" style="87" min="2" max="2"/>
    <col width="13" customWidth="1" style="87" min="3" max="3"/>
    <col width="22" customWidth="1" style="87" min="4" max="4"/>
    <col width="7" customWidth="1" style="87" min="5" max="5"/>
    <col width="8" customWidth="1" style="87" min="6" max="6"/>
    <col width="12" customWidth="1" style="87" min="7" max="7"/>
    <col width="50" customWidth="1" style="87" min="8" max="8"/>
    <col width="16" customWidth="1" style="87" min="9" max="9"/>
    <col width="254" customWidth="1" style="87" min="10" max="10"/>
    <col width="8" customWidth="1" style="87" min="257" max="257"/>
    <col width="6" customWidth="1" style="87" min="258" max="258"/>
    <col width="13" customWidth="1" style="87" min="259" max="259"/>
    <col width="22" customWidth="1" style="87" min="260" max="260"/>
    <col width="7" customWidth="1" style="87" min="261" max="261"/>
    <col width="8" customWidth="1" style="87" min="262" max="262"/>
    <col width="12" customWidth="1" style="87" min="263" max="263"/>
    <col width="50" customWidth="1" style="87" min="264" max="264"/>
    <col width="16" customWidth="1" style="87" min="265" max="265"/>
    <col width="254" customWidth="1" style="87" min="266" max="266"/>
    <col width="8" customWidth="1" style="87" min="513" max="513"/>
    <col width="6" customWidth="1" style="87" min="514" max="514"/>
    <col width="13" customWidth="1" style="87" min="515" max="515"/>
    <col width="22" customWidth="1" style="87" min="516" max="516"/>
    <col width="7" customWidth="1" style="87" min="517" max="517"/>
    <col width="8" customWidth="1" style="87" min="518" max="518"/>
    <col width="12" customWidth="1" style="87" min="519" max="519"/>
    <col width="50" customWidth="1" style="87" min="520" max="520"/>
    <col width="16" customWidth="1" style="87" min="521" max="521"/>
    <col width="254" customWidth="1" style="87" min="522" max="522"/>
    <col width="8" customWidth="1" style="87" min="769" max="769"/>
    <col width="6" customWidth="1" style="87" min="770" max="770"/>
    <col width="13" customWidth="1" style="87" min="771" max="771"/>
    <col width="22" customWidth="1" style="87" min="772" max="772"/>
    <col width="7" customWidth="1" style="87" min="773" max="773"/>
    <col width="8" customWidth="1" style="87" min="774" max="774"/>
    <col width="12" customWidth="1" style="87" min="775" max="775"/>
    <col width="50" customWidth="1" style="87" min="776" max="776"/>
    <col width="16" customWidth="1" style="87" min="777" max="777"/>
    <col width="254" customWidth="1" style="87" min="778" max="778"/>
    <col width="8" customWidth="1" style="87" min="1025" max="1025"/>
    <col width="6" customWidth="1" style="87" min="1026" max="1026"/>
    <col width="13" customWidth="1" style="87" min="1027" max="1027"/>
    <col width="22" customWidth="1" style="87" min="1028" max="1028"/>
    <col width="7" customWidth="1" style="87" min="1029" max="1029"/>
    <col width="8" customWidth="1" style="87" min="1030" max="1030"/>
    <col width="12" customWidth="1" style="87" min="1031" max="1031"/>
    <col width="50" customWidth="1" style="87" min="1032" max="1032"/>
    <col width="16" customWidth="1" style="87" min="1033" max="1033"/>
    <col width="254" customWidth="1" style="87" min="1034" max="1034"/>
    <col width="8" customWidth="1" style="87" min="1281" max="1281"/>
    <col width="6" customWidth="1" style="87" min="1282" max="1282"/>
    <col width="13" customWidth="1" style="87" min="1283" max="1283"/>
    <col width="22" customWidth="1" style="87" min="1284" max="1284"/>
    <col width="7" customWidth="1" style="87" min="1285" max="1285"/>
    <col width="8" customWidth="1" style="87" min="1286" max="1286"/>
    <col width="12" customWidth="1" style="87" min="1287" max="1287"/>
    <col width="50" customWidth="1" style="87" min="1288" max="1288"/>
    <col width="16" customWidth="1" style="87" min="1289" max="1289"/>
    <col width="254" customWidth="1" style="87" min="1290" max="1290"/>
    <col width="8" customWidth="1" style="87" min="1537" max="1537"/>
    <col width="6" customWidth="1" style="87" min="1538" max="1538"/>
    <col width="13" customWidth="1" style="87" min="1539" max="1539"/>
    <col width="22" customWidth="1" style="87" min="1540" max="1540"/>
    <col width="7" customWidth="1" style="87" min="1541" max="1541"/>
    <col width="8" customWidth="1" style="87" min="1542" max="1542"/>
    <col width="12" customWidth="1" style="87" min="1543" max="1543"/>
    <col width="50" customWidth="1" style="87" min="1544" max="1544"/>
    <col width="16" customWidth="1" style="87" min="1545" max="1545"/>
    <col width="254" customWidth="1" style="87" min="1546" max="1546"/>
    <col width="8" customWidth="1" style="87" min="1793" max="1793"/>
    <col width="6" customWidth="1" style="87" min="1794" max="1794"/>
    <col width="13" customWidth="1" style="87" min="1795" max="1795"/>
    <col width="22" customWidth="1" style="87" min="1796" max="1796"/>
    <col width="7" customWidth="1" style="87" min="1797" max="1797"/>
    <col width="8" customWidth="1" style="87" min="1798" max="1798"/>
    <col width="12" customWidth="1" style="87" min="1799" max="1799"/>
    <col width="50" customWidth="1" style="87" min="1800" max="1800"/>
    <col width="16" customWidth="1" style="87" min="1801" max="1801"/>
    <col width="254" customWidth="1" style="87" min="1802" max="1802"/>
    <col width="8" customWidth="1" style="87" min="2049" max="2049"/>
    <col width="6" customWidth="1" style="87" min="2050" max="2050"/>
    <col width="13" customWidth="1" style="87" min="2051" max="2051"/>
    <col width="22" customWidth="1" style="87" min="2052" max="2052"/>
    <col width="7" customWidth="1" style="87" min="2053" max="2053"/>
    <col width="8" customWidth="1" style="87" min="2054" max="2054"/>
    <col width="12" customWidth="1" style="87" min="2055" max="2055"/>
    <col width="50" customWidth="1" style="87" min="2056" max="2056"/>
    <col width="16" customWidth="1" style="87" min="2057" max="2057"/>
    <col width="254" customWidth="1" style="87" min="2058" max="2058"/>
    <col width="8" customWidth="1" style="87" min="2305" max="2305"/>
    <col width="6" customWidth="1" style="87" min="2306" max="2306"/>
    <col width="13" customWidth="1" style="87" min="2307" max="2307"/>
    <col width="22" customWidth="1" style="87" min="2308" max="2308"/>
    <col width="7" customWidth="1" style="87" min="2309" max="2309"/>
    <col width="8" customWidth="1" style="87" min="2310" max="2310"/>
    <col width="12" customWidth="1" style="87" min="2311" max="2311"/>
    <col width="50" customWidth="1" style="87" min="2312" max="2312"/>
    <col width="16" customWidth="1" style="87" min="2313" max="2313"/>
    <col width="254" customWidth="1" style="87" min="2314" max="2314"/>
    <col width="8" customWidth="1" style="87" min="2561" max="2561"/>
    <col width="6" customWidth="1" style="87" min="2562" max="2562"/>
    <col width="13" customWidth="1" style="87" min="2563" max="2563"/>
    <col width="22" customWidth="1" style="87" min="2564" max="2564"/>
    <col width="7" customWidth="1" style="87" min="2565" max="2565"/>
    <col width="8" customWidth="1" style="87" min="2566" max="2566"/>
    <col width="12" customWidth="1" style="87" min="2567" max="2567"/>
    <col width="50" customWidth="1" style="87" min="2568" max="2568"/>
    <col width="16" customWidth="1" style="87" min="2569" max="2569"/>
    <col width="254" customWidth="1" style="87" min="2570" max="2570"/>
    <col width="8" customWidth="1" style="87" min="2817" max="2817"/>
    <col width="6" customWidth="1" style="87" min="2818" max="2818"/>
    <col width="13" customWidth="1" style="87" min="2819" max="2819"/>
    <col width="22" customWidth="1" style="87" min="2820" max="2820"/>
    <col width="7" customWidth="1" style="87" min="2821" max="2821"/>
    <col width="8" customWidth="1" style="87" min="2822" max="2822"/>
    <col width="12" customWidth="1" style="87" min="2823" max="2823"/>
    <col width="50" customWidth="1" style="87" min="2824" max="2824"/>
    <col width="16" customWidth="1" style="87" min="2825" max="2825"/>
    <col width="254" customWidth="1" style="87" min="2826" max="2826"/>
    <col width="8" customWidth="1" style="87" min="3073" max="3073"/>
    <col width="6" customWidth="1" style="87" min="3074" max="3074"/>
    <col width="13" customWidth="1" style="87" min="3075" max="3075"/>
    <col width="22" customWidth="1" style="87" min="3076" max="3076"/>
    <col width="7" customWidth="1" style="87" min="3077" max="3077"/>
    <col width="8" customWidth="1" style="87" min="3078" max="3078"/>
    <col width="12" customWidth="1" style="87" min="3079" max="3079"/>
    <col width="50" customWidth="1" style="87" min="3080" max="3080"/>
    <col width="16" customWidth="1" style="87" min="3081" max="3081"/>
    <col width="254" customWidth="1" style="87" min="3082" max="3082"/>
    <col width="8" customWidth="1" style="87" min="3329" max="3329"/>
    <col width="6" customWidth="1" style="87" min="3330" max="3330"/>
    <col width="13" customWidth="1" style="87" min="3331" max="3331"/>
    <col width="22" customWidth="1" style="87" min="3332" max="3332"/>
    <col width="7" customWidth="1" style="87" min="3333" max="3333"/>
    <col width="8" customWidth="1" style="87" min="3334" max="3334"/>
    <col width="12" customWidth="1" style="87" min="3335" max="3335"/>
    <col width="50" customWidth="1" style="87" min="3336" max="3336"/>
    <col width="16" customWidth="1" style="87" min="3337" max="3337"/>
    <col width="254" customWidth="1" style="87" min="3338" max="3338"/>
    <col width="8" customWidth="1" style="87" min="3585" max="3585"/>
    <col width="6" customWidth="1" style="87" min="3586" max="3586"/>
    <col width="13" customWidth="1" style="87" min="3587" max="3587"/>
    <col width="22" customWidth="1" style="87" min="3588" max="3588"/>
    <col width="7" customWidth="1" style="87" min="3589" max="3589"/>
    <col width="8" customWidth="1" style="87" min="3590" max="3590"/>
    <col width="12" customWidth="1" style="87" min="3591" max="3591"/>
    <col width="50" customWidth="1" style="87" min="3592" max="3592"/>
    <col width="16" customWidth="1" style="87" min="3593" max="3593"/>
    <col width="254" customWidth="1" style="87" min="3594" max="3594"/>
    <col width="8" customWidth="1" style="87" min="3841" max="3841"/>
    <col width="6" customWidth="1" style="87" min="3842" max="3842"/>
    <col width="13" customWidth="1" style="87" min="3843" max="3843"/>
    <col width="22" customWidth="1" style="87" min="3844" max="3844"/>
    <col width="7" customWidth="1" style="87" min="3845" max="3845"/>
    <col width="8" customWidth="1" style="87" min="3846" max="3846"/>
    <col width="12" customWidth="1" style="87" min="3847" max="3847"/>
    <col width="50" customWidth="1" style="87" min="3848" max="3848"/>
    <col width="16" customWidth="1" style="87" min="3849" max="3849"/>
    <col width="254" customWidth="1" style="87" min="3850" max="3850"/>
    <col width="8" customWidth="1" style="87" min="4097" max="4097"/>
    <col width="6" customWidth="1" style="87" min="4098" max="4098"/>
    <col width="13" customWidth="1" style="87" min="4099" max="4099"/>
    <col width="22" customWidth="1" style="87" min="4100" max="4100"/>
    <col width="7" customWidth="1" style="87" min="4101" max="4101"/>
    <col width="8" customWidth="1" style="87" min="4102" max="4102"/>
    <col width="12" customWidth="1" style="87" min="4103" max="4103"/>
    <col width="50" customWidth="1" style="87" min="4104" max="4104"/>
    <col width="16" customWidth="1" style="87" min="4105" max="4105"/>
    <col width="254" customWidth="1" style="87" min="4106" max="4106"/>
    <col width="8" customWidth="1" style="87" min="4353" max="4353"/>
    <col width="6" customWidth="1" style="87" min="4354" max="4354"/>
    <col width="13" customWidth="1" style="87" min="4355" max="4355"/>
    <col width="22" customWidth="1" style="87" min="4356" max="4356"/>
    <col width="7" customWidth="1" style="87" min="4357" max="4357"/>
    <col width="8" customWidth="1" style="87" min="4358" max="4358"/>
    <col width="12" customWidth="1" style="87" min="4359" max="4359"/>
    <col width="50" customWidth="1" style="87" min="4360" max="4360"/>
    <col width="16" customWidth="1" style="87" min="4361" max="4361"/>
    <col width="254" customWidth="1" style="87" min="4362" max="4362"/>
    <col width="8" customWidth="1" style="87" min="4609" max="4609"/>
    <col width="6" customWidth="1" style="87" min="4610" max="4610"/>
    <col width="13" customWidth="1" style="87" min="4611" max="4611"/>
    <col width="22" customWidth="1" style="87" min="4612" max="4612"/>
    <col width="7" customWidth="1" style="87" min="4613" max="4613"/>
    <col width="8" customWidth="1" style="87" min="4614" max="4614"/>
    <col width="12" customWidth="1" style="87" min="4615" max="4615"/>
    <col width="50" customWidth="1" style="87" min="4616" max="4616"/>
    <col width="16" customWidth="1" style="87" min="4617" max="4617"/>
    <col width="254" customWidth="1" style="87" min="4618" max="4618"/>
    <col width="8" customWidth="1" style="87" min="4865" max="4865"/>
    <col width="6" customWidth="1" style="87" min="4866" max="4866"/>
    <col width="13" customWidth="1" style="87" min="4867" max="4867"/>
    <col width="22" customWidth="1" style="87" min="4868" max="4868"/>
    <col width="7" customWidth="1" style="87" min="4869" max="4869"/>
    <col width="8" customWidth="1" style="87" min="4870" max="4870"/>
    <col width="12" customWidth="1" style="87" min="4871" max="4871"/>
    <col width="50" customWidth="1" style="87" min="4872" max="4872"/>
    <col width="16" customWidth="1" style="87" min="4873" max="4873"/>
    <col width="254" customWidth="1" style="87" min="4874" max="4874"/>
    <col width="8" customWidth="1" style="87" min="5121" max="5121"/>
    <col width="6" customWidth="1" style="87" min="5122" max="5122"/>
    <col width="13" customWidth="1" style="87" min="5123" max="5123"/>
    <col width="22" customWidth="1" style="87" min="5124" max="5124"/>
    <col width="7" customWidth="1" style="87" min="5125" max="5125"/>
    <col width="8" customWidth="1" style="87" min="5126" max="5126"/>
    <col width="12" customWidth="1" style="87" min="5127" max="5127"/>
    <col width="50" customWidth="1" style="87" min="5128" max="5128"/>
    <col width="16" customWidth="1" style="87" min="5129" max="5129"/>
    <col width="254" customWidth="1" style="87" min="5130" max="5130"/>
    <col width="8" customWidth="1" style="87" min="5377" max="5377"/>
    <col width="6" customWidth="1" style="87" min="5378" max="5378"/>
    <col width="13" customWidth="1" style="87" min="5379" max="5379"/>
    <col width="22" customWidth="1" style="87" min="5380" max="5380"/>
    <col width="7" customWidth="1" style="87" min="5381" max="5381"/>
    <col width="8" customWidth="1" style="87" min="5382" max="5382"/>
    <col width="12" customWidth="1" style="87" min="5383" max="5383"/>
    <col width="50" customWidth="1" style="87" min="5384" max="5384"/>
    <col width="16" customWidth="1" style="87" min="5385" max="5385"/>
    <col width="254" customWidth="1" style="87" min="5386" max="5386"/>
    <col width="8" customWidth="1" style="87" min="5633" max="5633"/>
    <col width="6" customWidth="1" style="87" min="5634" max="5634"/>
    <col width="13" customWidth="1" style="87" min="5635" max="5635"/>
    <col width="22" customWidth="1" style="87" min="5636" max="5636"/>
    <col width="7" customWidth="1" style="87" min="5637" max="5637"/>
    <col width="8" customWidth="1" style="87" min="5638" max="5638"/>
    <col width="12" customWidth="1" style="87" min="5639" max="5639"/>
    <col width="50" customWidth="1" style="87" min="5640" max="5640"/>
    <col width="16" customWidth="1" style="87" min="5641" max="5641"/>
    <col width="254" customWidth="1" style="87" min="5642" max="5642"/>
    <col width="8" customWidth="1" style="87" min="5889" max="5889"/>
    <col width="6" customWidth="1" style="87" min="5890" max="5890"/>
    <col width="13" customWidth="1" style="87" min="5891" max="5891"/>
    <col width="22" customWidth="1" style="87" min="5892" max="5892"/>
    <col width="7" customWidth="1" style="87" min="5893" max="5893"/>
    <col width="8" customWidth="1" style="87" min="5894" max="5894"/>
    <col width="12" customWidth="1" style="87" min="5895" max="5895"/>
    <col width="50" customWidth="1" style="87" min="5896" max="5896"/>
    <col width="16" customWidth="1" style="87" min="5897" max="5897"/>
    <col width="254" customWidth="1" style="87" min="5898" max="5898"/>
    <col width="8" customWidth="1" style="87" min="6145" max="6145"/>
    <col width="6" customWidth="1" style="87" min="6146" max="6146"/>
    <col width="13" customWidth="1" style="87" min="6147" max="6147"/>
    <col width="22" customWidth="1" style="87" min="6148" max="6148"/>
    <col width="7" customWidth="1" style="87" min="6149" max="6149"/>
    <col width="8" customWidth="1" style="87" min="6150" max="6150"/>
    <col width="12" customWidth="1" style="87" min="6151" max="6151"/>
    <col width="50" customWidth="1" style="87" min="6152" max="6152"/>
    <col width="16" customWidth="1" style="87" min="6153" max="6153"/>
    <col width="254" customWidth="1" style="87" min="6154" max="6154"/>
    <col width="8" customWidth="1" style="87" min="6401" max="6401"/>
    <col width="6" customWidth="1" style="87" min="6402" max="6402"/>
    <col width="13" customWidth="1" style="87" min="6403" max="6403"/>
    <col width="22" customWidth="1" style="87" min="6404" max="6404"/>
    <col width="7" customWidth="1" style="87" min="6405" max="6405"/>
    <col width="8" customWidth="1" style="87" min="6406" max="6406"/>
    <col width="12" customWidth="1" style="87" min="6407" max="6407"/>
    <col width="50" customWidth="1" style="87" min="6408" max="6408"/>
    <col width="16" customWidth="1" style="87" min="6409" max="6409"/>
    <col width="254" customWidth="1" style="87" min="6410" max="6410"/>
    <col width="8" customWidth="1" style="87" min="6657" max="6657"/>
    <col width="6" customWidth="1" style="87" min="6658" max="6658"/>
    <col width="13" customWidth="1" style="87" min="6659" max="6659"/>
    <col width="22" customWidth="1" style="87" min="6660" max="6660"/>
    <col width="7" customWidth="1" style="87" min="6661" max="6661"/>
    <col width="8" customWidth="1" style="87" min="6662" max="6662"/>
    <col width="12" customWidth="1" style="87" min="6663" max="6663"/>
    <col width="50" customWidth="1" style="87" min="6664" max="6664"/>
    <col width="16" customWidth="1" style="87" min="6665" max="6665"/>
    <col width="254" customWidth="1" style="87" min="6666" max="6666"/>
    <col width="8" customWidth="1" style="87" min="6913" max="6913"/>
    <col width="6" customWidth="1" style="87" min="6914" max="6914"/>
    <col width="13" customWidth="1" style="87" min="6915" max="6915"/>
    <col width="22" customWidth="1" style="87" min="6916" max="6916"/>
    <col width="7" customWidth="1" style="87" min="6917" max="6917"/>
    <col width="8" customWidth="1" style="87" min="6918" max="6918"/>
    <col width="12" customWidth="1" style="87" min="6919" max="6919"/>
    <col width="50" customWidth="1" style="87" min="6920" max="6920"/>
    <col width="16" customWidth="1" style="87" min="6921" max="6921"/>
    <col width="254" customWidth="1" style="87" min="6922" max="6922"/>
    <col width="8" customWidth="1" style="87" min="7169" max="7169"/>
    <col width="6" customWidth="1" style="87" min="7170" max="7170"/>
    <col width="13" customWidth="1" style="87" min="7171" max="7171"/>
    <col width="22" customWidth="1" style="87" min="7172" max="7172"/>
    <col width="7" customWidth="1" style="87" min="7173" max="7173"/>
    <col width="8" customWidth="1" style="87" min="7174" max="7174"/>
    <col width="12" customWidth="1" style="87" min="7175" max="7175"/>
    <col width="50" customWidth="1" style="87" min="7176" max="7176"/>
    <col width="16" customWidth="1" style="87" min="7177" max="7177"/>
    <col width="254" customWidth="1" style="87" min="7178" max="7178"/>
    <col width="8" customWidth="1" style="87" min="7425" max="7425"/>
    <col width="6" customWidth="1" style="87" min="7426" max="7426"/>
    <col width="13" customWidth="1" style="87" min="7427" max="7427"/>
    <col width="22" customWidth="1" style="87" min="7428" max="7428"/>
    <col width="7" customWidth="1" style="87" min="7429" max="7429"/>
    <col width="8" customWidth="1" style="87" min="7430" max="7430"/>
    <col width="12" customWidth="1" style="87" min="7431" max="7431"/>
    <col width="50" customWidth="1" style="87" min="7432" max="7432"/>
    <col width="16" customWidth="1" style="87" min="7433" max="7433"/>
    <col width="254" customWidth="1" style="87" min="7434" max="7434"/>
    <col width="8" customWidth="1" style="87" min="7681" max="7681"/>
    <col width="6" customWidth="1" style="87" min="7682" max="7682"/>
    <col width="13" customWidth="1" style="87" min="7683" max="7683"/>
    <col width="22" customWidth="1" style="87" min="7684" max="7684"/>
    <col width="7" customWidth="1" style="87" min="7685" max="7685"/>
    <col width="8" customWidth="1" style="87" min="7686" max="7686"/>
    <col width="12" customWidth="1" style="87" min="7687" max="7687"/>
    <col width="50" customWidth="1" style="87" min="7688" max="7688"/>
    <col width="16" customWidth="1" style="87" min="7689" max="7689"/>
    <col width="254" customWidth="1" style="87" min="7690" max="7690"/>
    <col width="8" customWidth="1" style="87" min="7937" max="7937"/>
    <col width="6" customWidth="1" style="87" min="7938" max="7938"/>
    <col width="13" customWidth="1" style="87" min="7939" max="7939"/>
    <col width="22" customWidth="1" style="87" min="7940" max="7940"/>
    <col width="7" customWidth="1" style="87" min="7941" max="7941"/>
    <col width="8" customWidth="1" style="87" min="7942" max="7942"/>
    <col width="12" customWidth="1" style="87" min="7943" max="7943"/>
    <col width="50" customWidth="1" style="87" min="7944" max="7944"/>
    <col width="16" customWidth="1" style="87" min="7945" max="7945"/>
    <col width="254" customWidth="1" style="87" min="7946" max="7946"/>
    <col width="8" customWidth="1" style="87" min="8193" max="8193"/>
    <col width="6" customWidth="1" style="87" min="8194" max="8194"/>
    <col width="13" customWidth="1" style="87" min="8195" max="8195"/>
    <col width="22" customWidth="1" style="87" min="8196" max="8196"/>
    <col width="7" customWidth="1" style="87" min="8197" max="8197"/>
    <col width="8" customWidth="1" style="87" min="8198" max="8198"/>
    <col width="12" customWidth="1" style="87" min="8199" max="8199"/>
    <col width="50" customWidth="1" style="87" min="8200" max="8200"/>
    <col width="16" customWidth="1" style="87" min="8201" max="8201"/>
    <col width="254" customWidth="1" style="87" min="8202" max="8202"/>
    <col width="8" customWidth="1" style="87" min="8449" max="8449"/>
    <col width="6" customWidth="1" style="87" min="8450" max="8450"/>
    <col width="13" customWidth="1" style="87" min="8451" max="8451"/>
    <col width="22" customWidth="1" style="87" min="8452" max="8452"/>
    <col width="7" customWidth="1" style="87" min="8453" max="8453"/>
    <col width="8" customWidth="1" style="87" min="8454" max="8454"/>
    <col width="12" customWidth="1" style="87" min="8455" max="8455"/>
    <col width="50" customWidth="1" style="87" min="8456" max="8456"/>
    <col width="16" customWidth="1" style="87" min="8457" max="8457"/>
    <col width="254" customWidth="1" style="87" min="8458" max="8458"/>
    <col width="8" customWidth="1" style="87" min="8705" max="8705"/>
    <col width="6" customWidth="1" style="87" min="8706" max="8706"/>
    <col width="13" customWidth="1" style="87" min="8707" max="8707"/>
    <col width="22" customWidth="1" style="87" min="8708" max="8708"/>
    <col width="7" customWidth="1" style="87" min="8709" max="8709"/>
    <col width="8" customWidth="1" style="87" min="8710" max="8710"/>
    <col width="12" customWidth="1" style="87" min="8711" max="8711"/>
    <col width="50" customWidth="1" style="87" min="8712" max="8712"/>
    <col width="16" customWidth="1" style="87" min="8713" max="8713"/>
    <col width="254" customWidth="1" style="87" min="8714" max="8714"/>
    <col width="8" customWidth="1" style="87" min="8961" max="8961"/>
    <col width="6" customWidth="1" style="87" min="8962" max="8962"/>
    <col width="13" customWidth="1" style="87" min="8963" max="8963"/>
    <col width="22" customWidth="1" style="87" min="8964" max="8964"/>
    <col width="7" customWidth="1" style="87" min="8965" max="8965"/>
    <col width="8" customWidth="1" style="87" min="8966" max="8966"/>
    <col width="12" customWidth="1" style="87" min="8967" max="8967"/>
    <col width="50" customWidth="1" style="87" min="8968" max="8968"/>
    <col width="16" customWidth="1" style="87" min="8969" max="8969"/>
    <col width="254" customWidth="1" style="87" min="8970" max="8970"/>
    <col width="8" customWidth="1" style="87" min="9217" max="9217"/>
    <col width="6" customWidth="1" style="87" min="9218" max="9218"/>
    <col width="13" customWidth="1" style="87" min="9219" max="9219"/>
    <col width="22" customWidth="1" style="87" min="9220" max="9220"/>
    <col width="7" customWidth="1" style="87" min="9221" max="9221"/>
    <col width="8" customWidth="1" style="87" min="9222" max="9222"/>
    <col width="12" customWidth="1" style="87" min="9223" max="9223"/>
    <col width="50" customWidth="1" style="87" min="9224" max="9224"/>
    <col width="16" customWidth="1" style="87" min="9225" max="9225"/>
    <col width="254" customWidth="1" style="87" min="9226" max="9226"/>
    <col width="8" customWidth="1" style="87" min="9473" max="9473"/>
    <col width="6" customWidth="1" style="87" min="9474" max="9474"/>
    <col width="13" customWidth="1" style="87" min="9475" max="9475"/>
    <col width="22" customWidth="1" style="87" min="9476" max="9476"/>
    <col width="7" customWidth="1" style="87" min="9477" max="9477"/>
    <col width="8" customWidth="1" style="87" min="9478" max="9478"/>
    <col width="12" customWidth="1" style="87" min="9479" max="9479"/>
    <col width="50" customWidth="1" style="87" min="9480" max="9480"/>
    <col width="16" customWidth="1" style="87" min="9481" max="9481"/>
    <col width="254" customWidth="1" style="87" min="9482" max="9482"/>
    <col width="8" customWidth="1" style="87" min="9729" max="9729"/>
    <col width="6" customWidth="1" style="87" min="9730" max="9730"/>
    <col width="13" customWidth="1" style="87" min="9731" max="9731"/>
    <col width="22" customWidth="1" style="87" min="9732" max="9732"/>
    <col width="7" customWidth="1" style="87" min="9733" max="9733"/>
    <col width="8" customWidth="1" style="87" min="9734" max="9734"/>
    <col width="12" customWidth="1" style="87" min="9735" max="9735"/>
    <col width="50" customWidth="1" style="87" min="9736" max="9736"/>
    <col width="16" customWidth="1" style="87" min="9737" max="9737"/>
    <col width="254" customWidth="1" style="87" min="9738" max="9738"/>
    <col width="8" customWidth="1" style="87" min="9985" max="9985"/>
    <col width="6" customWidth="1" style="87" min="9986" max="9986"/>
    <col width="13" customWidth="1" style="87" min="9987" max="9987"/>
    <col width="22" customWidth="1" style="87" min="9988" max="9988"/>
    <col width="7" customWidth="1" style="87" min="9989" max="9989"/>
    <col width="8" customWidth="1" style="87" min="9990" max="9990"/>
    <col width="12" customWidth="1" style="87" min="9991" max="9991"/>
    <col width="50" customWidth="1" style="87" min="9992" max="9992"/>
    <col width="16" customWidth="1" style="87" min="9993" max="9993"/>
    <col width="254" customWidth="1" style="87" min="9994" max="9994"/>
    <col width="8" customWidth="1" style="87" min="10241" max="10241"/>
    <col width="6" customWidth="1" style="87" min="10242" max="10242"/>
    <col width="13" customWidth="1" style="87" min="10243" max="10243"/>
    <col width="22" customWidth="1" style="87" min="10244" max="10244"/>
    <col width="7" customWidth="1" style="87" min="10245" max="10245"/>
    <col width="8" customWidth="1" style="87" min="10246" max="10246"/>
    <col width="12" customWidth="1" style="87" min="10247" max="10247"/>
    <col width="50" customWidth="1" style="87" min="10248" max="10248"/>
    <col width="16" customWidth="1" style="87" min="10249" max="10249"/>
    <col width="254" customWidth="1" style="87" min="10250" max="10250"/>
    <col width="8" customWidth="1" style="87" min="10497" max="10497"/>
    <col width="6" customWidth="1" style="87" min="10498" max="10498"/>
    <col width="13" customWidth="1" style="87" min="10499" max="10499"/>
    <col width="22" customWidth="1" style="87" min="10500" max="10500"/>
    <col width="7" customWidth="1" style="87" min="10501" max="10501"/>
    <col width="8" customWidth="1" style="87" min="10502" max="10502"/>
    <col width="12" customWidth="1" style="87" min="10503" max="10503"/>
    <col width="50" customWidth="1" style="87" min="10504" max="10504"/>
    <col width="16" customWidth="1" style="87" min="10505" max="10505"/>
    <col width="254" customWidth="1" style="87" min="10506" max="10506"/>
    <col width="8" customWidth="1" style="87" min="10753" max="10753"/>
    <col width="6" customWidth="1" style="87" min="10754" max="10754"/>
    <col width="13" customWidth="1" style="87" min="10755" max="10755"/>
    <col width="22" customWidth="1" style="87" min="10756" max="10756"/>
    <col width="7" customWidth="1" style="87" min="10757" max="10757"/>
    <col width="8" customWidth="1" style="87" min="10758" max="10758"/>
    <col width="12" customWidth="1" style="87" min="10759" max="10759"/>
    <col width="50" customWidth="1" style="87" min="10760" max="10760"/>
    <col width="16" customWidth="1" style="87" min="10761" max="10761"/>
    <col width="254" customWidth="1" style="87" min="10762" max="10762"/>
    <col width="8" customWidth="1" style="87" min="11009" max="11009"/>
    <col width="6" customWidth="1" style="87" min="11010" max="11010"/>
    <col width="13" customWidth="1" style="87" min="11011" max="11011"/>
    <col width="22" customWidth="1" style="87" min="11012" max="11012"/>
    <col width="7" customWidth="1" style="87" min="11013" max="11013"/>
    <col width="8" customWidth="1" style="87" min="11014" max="11014"/>
    <col width="12" customWidth="1" style="87" min="11015" max="11015"/>
    <col width="50" customWidth="1" style="87" min="11016" max="11016"/>
    <col width="16" customWidth="1" style="87" min="11017" max="11017"/>
    <col width="254" customWidth="1" style="87" min="11018" max="11018"/>
    <col width="8" customWidth="1" style="87" min="11265" max="11265"/>
    <col width="6" customWidth="1" style="87" min="11266" max="11266"/>
    <col width="13" customWidth="1" style="87" min="11267" max="11267"/>
    <col width="22" customWidth="1" style="87" min="11268" max="11268"/>
    <col width="7" customWidth="1" style="87" min="11269" max="11269"/>
    <col width="8" customWidth="1" style="87" min="11270" max="11270"/>
    <col width="12" customWidth="1" style="87" min="11271" max="11271"/>
    <col width="50" customWidth="1" style="87" min="11272" max="11272"/>
    <col width="16" customWidth="1" style="87" min="11273" max="11273"/>
    <col width="254" customWidth="1" style="87" min="11274" max="11274"/>
    <col width="8" customWidth="1" style="87" min="11521" max="11521"/>
    <col width="6" customWidth="1" style="87" min="11522" max="11522"/>
    <col width="13" customWidth="1" style="87" min="11523" max="11523"/>
    <col width="22" customWidth="1" style="87" min="11524" max="11524"/>
    <col width="7" customWidth="1" style="87" min="11525" max="11525"/>
    <col width="8" customWidth="1" style="87" min="11526" max="11526"/>
    <col width="12" customWidth="1" style="87" min="11527" max="11527"/>
    <col width="50" customWidth="1" style="87" min="11528" max="11528"/>
    <col width="16" customWidth="1" style="87" min="11529" max="11529"/>
    <col width="254" customWidth="1" style="87" min="11530" max="11530"/>
    <col width="8" customWidth="1" style="87" min="11777" max="11777"/>
    <col width="6" customWidth="1" style="87" min="11778" max="11778"/>
    <col width="13" customWidth="1" style="87" min="11779" max="11779"/>
    <col width="22" customWidth="1" style="87" min="11780" max="11780"/>
    <col width="7" customWidth="1" style="87" min="11781" max="11781"/>
    <col width="8" customWidth="1" style="87" min="11782" max="11782"/>
    <col width="12" customWidth="1" style="87" min="11783" max="11783"/>
    <col width="50" customWidth="1" style="87" min="11784" max="11784"/>
    <col width="16" customWidth="1" style="87" min="11785" max="11785"/>
    <col width="254" customWidth="1" style="87" min="11786" max="11786"/>
    <col width="8" customWidth="1" style="87" min="12033" max="12033"/>
    <col width="6" customWidth="1" style="87" min="12034" max="12034"/>
    <col width="13" customWidth="1" style="87" min="12035" max="12035"/>
    <col width="22" customWidth="1" style="87" min="12036" max="12036"/>
    <col width="7" customWidth="1" style="87" min="12037" max="12037"/>
    <col width="8" customWidth="1" style="87" min="12038" max="12038"/>
    <col width="12" customWidth="1" style="87" min="12039" max="12039"/>
    <col width="50" customWidth="1" style="87" min="12040" max="12040"/>
    <col width="16" customWidth="1" style="87" min="12041" max="12041"/>
    <col width="254" customWidth="1" style="87" min="12042" max="12042"/>
    <col width="8" customWidth="1" style="87" min="12289" max="12289"/>
    <col width="6" customWidth="1" style="87" min="12290" max="12290"/>
    <col width="13" customWidth="1" style="87" min="12291" max="12291"/>
    <col width="22" customWidth="1" style="87" min="12292" max="12292"/>
    <col width="7" customWidth="1" style="87" min="12293" max="12293"/>
    <col width="8" customWidth="1" style="87" min="12294" max="12294"/>
    <col width="12" customWidth="1" style="87" min="12295" max="12295"/>
    <col width="50" customWidth="1" style="87" min="12296" max="12296"/>
    <col width="16" customWidth="1" style="87" min="12297" max="12297"/>
    <col width="254" customWidth="1" style="87" min="12298" max="12298"/>
    <col width="8" customWidth="1" style="87" min="12545" max="12545"/>
    <col width="6" customWidth="1" style="87" min="12546" max="12546"/>
    <col width="13" customWidth="1" style="87" min="12547" max="12547"/>
    <col width="22" customWidth="1" style="87" min="12548" max="12548"/>
    <col width="7" customWidth="1" style="87" min="12549" max="12549"/>
    <col width="8" customWidth="1" style="87" min="12550" max="12550"/>
    <col width="12" customWidth="1" style="87" min="12551" max="12551"/>
    <col width="50" customWidth="1" style="87" min="12552" max="12552"/>
    <col width="16" customWidth="1" style="87" min="12553" max="12553"/>
    <col width="254" customWidth="1" style="87" min="12554" max="12554"/>
    <col width="8" customWidth="1" style="87" min="12801" max="12801"/>
    <col width="6" customWidth="1" style="87" min="12802" max="12802"/>
    <col width="13" customWidth="1" style="87" min="12803" max="12803"/>
    <col width="22" customWidth="1" style="87" min="12804" max="12804"/>
    <col width="7" customWidth="1" style="87" min="12805" max="12805"/>
    <col width="8" customWidth="1" style="87" min="12806" max="12806"/>
    <col width="12" customWidth="1" style="87" min="12807" max="12807"/>
    <col width="50" customWidth="1" style="87" min="12808" max="12808"/>
    <col width="16" customWidth="1" style="87" min="12809" max="12809"/>
    <col width="254" customWidth="1" style="87" min="12810" max="12810"/>
    <col width="8" customWidth="1" style="87" min="13057" max="13057"/>
    <col width="6" customWidth="1" style="87" min="13058" max="13058"/>
    <col width="13" customWidth="1" style="87" min="13059" max="13059"/>
    <col width="22" customWidth="1" style="87" min="13060" max="13060"/>
    <col width="7" customWidth="1" style="87" min="13061" max="13061"/>
    <col width="8" customWidth="1" style="87" min="13062" max="13062"/>
    <col width="12" customWidth="1" style="87" min="13063" max="13063"/>
    <col width="50" customWidth="1" style="87" min="13064" max="13064"/>
    <col width="16" customWidth="1" style="87" min="13065" max="13065"/>
    <col width="254" customWidth="1" style="87" min="13066" max="13066"/>
    <col width="8" customWidth="1" style="87" min="13313" max="13313"/>
    <col width="6" customWidth="1" style="87" min="13314" max="13314"/>
    <col width="13" customWidth="1" style="87" min="13315" max="13315"/>
    <col width="22" customWidth="1" style="87" min="13316" max="13316"/>
    <col width="7" customWidth="1" style="87" min="13317" max="13317"/>
    <col width="8" customWidth="1" style="87" min="13318" max="13318"/>
    <col width="12" customWidth="1" style="87" min="13319" max="13319"/>
    <col width="50" customWidth="1" style="87" min="13320" max="13320"/>
    <col width="16" customWidth="1" style="87" min="13321" max="13321"/>
    <col width="254" customWidth="1" style="87" min="13322" max="13322"/>
    <col width="8" customWidth="1" style="87" min="13569" max="13569"/>
    <col width="6" customWidth="1" style="87" min="13570" max="13570"/>
    <col width="13" customWidth="1" style="87" min="13571" max="13571"/>
    <col width="22" customWidth="1" style="87" min="13572" max="13572"/>
    <col width="7" customWidth="1" style="87" min="13573" max="13573"/>
    <col width="8" customWidth="1" style="87" min="13574" max="13574"/>
    <col width="12" customWidth="1" style="87" min="13575" max="13575"/>
    <col width="50" customWidth="1" style="87" min="13576" max="13576"/>
    <col width="16" customWidth="1" style="87" min="13577" max="13577"/>
    <col width="254" customWidth="1" style="87" min="13578" max="13578"/>
    <col width="8" customWidth="1" style="87" min="13825" max="13825"/>
    <col width="6" customWidth="1" style="87" min="13826" max="13826"/>
    <col width="13" customWidth="1" style="87" min="13827" max="13827"/>
    <col width="22" customWidth="1" style="87" min="13828" max="13828"/>
    <col width="7" customWidth="1" style="87" min="13829" max="13829"/>
    <col width="8" customWidth="1" style="87" min="13830" max="13830"/>
    <col width="12" customWidth="1" style="87" min="13831" max="13831"/>
    <col width="50" customWidth="1" style="87" min="13832" max="13832"/>
    <col width="16" customWidth="1" style="87" min="13833" max="13833"/>
    <col width="254" customWidth="1" style="87" min="13834" max="13834"/>
    <col width="8" customWidth="1" style="87" min="14081" max="14081"/>
    <col width="6" customWidth="1" style="87" min="14082" max="14082"/>
    <col width="13" customWidth="1" style="87" min="14083" max="14083"/>
    <col width="22" customWidth="1" style="87" min="14084" max="14084"/>
    <col width="7" customWidth="1" style="87" min="14085" max="14085"/>
    <col width="8" customWidth="1" style="87" min="14086" max="14086"/>
    <col width="12" customWidth="1" style="87" min="14087" max="14087"/>
    <col width="50" customWidth="1" style="87" min="14088" max="14088"/>
    <col width="16" customWidth="1" style="87" min="14089" max="14089"/>
    <col width="254" customWidth="1" style="87" min="14090" max="14090"/>
    <col width="8" customWidth="1" style="87" min="14337" max="14337"/>
    <col width="6" customWidth="1" style="87" min="14338" max="14338"/>
    <col width="13" customWidth="1" style="87" min="14339" max="14339"/>
    <col width="22" customWidth="1" style="87" min="14340" max="14340"/>
    <col width="7" customWidth="1" style="87" min="14341" max="14341"/>
    <col width="8" customWidth="1" style="87" min="14342" max="14342"/>
    <col width="12" customWidth="1" style="87" min="14343" max="14343"/>
    <col width="50" customWidth="1" style="87" min="14344" max="14344"/>
    <col width="16" customWidth="1" style="87" min="14345" max="14345"/>
    <col width="254" customWidth="1" style="87" min="14346" max="14346"/>
    <col width="8" customWidth="1" style="87" min="14593" max="14593"/>
    <col width="6" customWidth="1" style="87" min="14594" max="14594"/>
    <col width="13" customWidth="1" style="87" min="14595" max="14595"/>
    <col width="22" customWidth="1" style="87" min="14596" max="14596"/>
    <col width="7" customWidth="1" style="87" min="14597" max="14597"/>
    <col width="8" customWidth="1" style="87" min="14598" max="14598"/>
    <col width="12" customWidth="1" style="87" min="14599" max="14599"/>
    <col width="50" customWidth="1" style="87" min="14600" max="14600"/>
    <col width="16" customWidth="1" style="87" min="14601" max="14601"/>
    <col width="254" customWidth="1" style="87" min="14602" max="14602"/>
    <col width="8" customWidth="1" style="87" min="14849" max="14849"/>
    <col width="6" customWidth="1" style="87" min="14850" max="14850"/>
    <col width="13" customWidth="1" style="87" min="14851" max="14851"/>
    <col width="22" customWidth="1" style="87" min="14852" max="14852"/>
    <col width="7" customWidth="1" style="87" min="14853" max="14853"/>
    <col width="8" customWidth="1" style="87" min="14854" max="14854"/>
    <col width="12" customWidth="1" style="87" min="14855" max="14855"/>
    <col width="50" customWidth="1" style="87" min="14856" max="14856"/>
    <col width="16" customWidth="1" style="87" min="14857" max="14857"/>
    <col width="254" customWidth="1" style="87" min="14858" max="14858"/>
    <col width="8" customWidth="1" style="87" min="15105" max="15105"/>
    <col width="6" customWidth="1" style="87" min="15106" max="15106"/>
    <col width="13" customWidth="1" style="87" min="15107" max="15107"/>
    <col width="22" customWidth="1" style="87" min="15108" max="15108"/>
    <col width="7" customWidth="1" style="87" min="15109" max="15109"/>
    <col width="8" customWidth="1" style="87" min="15110" max="15110"/>
    <col width="12" customWidth="1" style="87" min="15111" max="15111"/>
    <col width="50" customWidth="1" style="87" min="15112" max="15112"/>
    <col width="16" customWidth="1" style="87" min="15113" max="15113"/>
    <col width="254" customWidth="1" style="87" min="15114" max="15114"/>
    <col width="8" customWidth="1" style="87" min="15361" max="15361"/>
    <col width="6" customWidth="1" style="87" min="15362" max="15362"/>
    <col width="13" customWidth="1" style="87" min="15363" max="15363"/>
    <col width="22" customWidth="1" style="87" min="15364" max="15364"/>
    <col width="7" customWidth="1" style="87" min="15365" max="15365"/>
    <col width="8" customWidth="1" style="87" min="15366" max="15366"/>
    <col width="12" customWidth="1" style="87" min="15367" max="15367"/>
    <col width="50" customWidth="1" style="87" min="15368" max="15368"/>
    <col width="16" customWidth="1" style="87" min="15369" max="15369"/>
    <col width="254" customWidth="1" style="87" min="15370" max="15370"/>
    <col width="8" customWidth="1" style="87" min="15617" max="15617"/>
    <col width="6" customWidth="1" style="87" min="15618" max="15618"/>
    <col width="13" customWidth="1" style="87" min="15619" max="15619"/>
    <col width="22" customWidth="1" style="87" min="15620" max="15620"/>
    <col width="7" customWidth="1" style="87" min="15621" max="15621"/>
    <col width="8" customWidth="1" style="87" min="15622" max="15622"/>
    <col width="12" customWidth="1" style="87" min="15623" max="15623"/>
    <col width="50" customWidth="1" style="87" min="15624" max="15624"/>
    <col width="16" customWidth="1" style="87" min="15625" max="15625"/>
    <col width="254" customWidth="1" style="87" min="15626" max="15626"/>
    <col width="8" customWidth="1" style="87" min="15873" max="15873"/>
    <col width="6" customWidth="1" style="87" min="15874" max="15874"/>
    <col width="13" customWidth="1" style="87" min="15875" max="15875"/>
    <col width="22" customWidth="1" style="87" min="15876" max="15876"/>
    <col width="7" customWidth="1" style="87" min="15877" max="15877"/>
    <col width="8" customWidth="1" style="87" min="15878" max="15878"/>
    <col width="12" customWidth="1" style="87" min="15879" max="15879"/>
    <col width="50" customWidth="1" style="87" min="15880" max="15880"/>
    <col width="16" customWidth="1" style="87" min="15881" max="15881"/>
    <col width="254" customWidth="1" style="87" min="15882" max="15882"/>
    <col width="8" customWidth="1" style="87" min="16129" max="16129"/>
    <col width="6" customWidth="1" style="87" min="16130" max="16130"/>
    <col width="13" customWidth="1" style="87" min="16131" max="16131"/>
    <col width="22" customWidth="1" style="87" min="16132" max="16132"/>
    <col width="7" customWidth="1" style="87" min="16133" max="16133"/>
    <col width="8" customWidth="1" style="87" min="16134" max="16134"/>
    <col width="12" customWidth="1" style="87" min="16135" max="16135"/>
    <col width="50" customWidth="1" style="87" min="16136" max="16136"/>
    <col width="16" customWidth="1" style="87" min="16137" max="16137"/>
    <col width="254" customWidth="1" style="87" min="16138" max="16138"/>
  </cols>
  <sheetData>
    <row r="1">
      <c r="A1" t="inlineStr">
        <is>
          <t>ngaynt</t>
        </is>
      </c>
      <c r="B1" t="inlineStr">
        <is>
          <t>sobl</t>
        </is>
      </c>
      <c r="C1" t="inlineStr">
        <is>
          <t>masv</t>
        </is>
      </c>
      <c r="D1" t="inlineStr">
        <is>
          <t>hosv</t>
        </is>
      </c>
      <c r="E1" t="inlineStr">
        <is>
          <t>tensv</t>
        </is>
      </c>
      <c r="F1" t="inlineStr">
        <is>
          <t>ngaysinh</t>
        </is>
      </c>
      <c r="G1" t="inlineStr">
        <is>
          <t>mamonhoc</t>
        </is>
      </c>
      <c r="H1" t="inlineStr">
        <is>
          <t>tenmonhoc</t>
        </is>
      </c>
      <c r="I1" t="inlineStr">
        <is>
          <t>danop</t>
        </is>
      </c>
      <c r="J1" t="inlineStr">
        <is>
          <t>lienhe</t>
        </is>
      </c>
    </row>
    <row r="2">
      <c r="A2" t="inlineStr">
        <is>
          <t>17-Jan-26</t>
        </is>
      </c>
      <c r="B2" t="inlineStr">
        <is>
          <t>I88149</t>
        </is>
      </c>
      <c r="C2" t="inlineStr">
        <is>
          <t>25807900051</t>
        </is>
      </c>
      <c r="D2" t="inlineStr">
        <is>
          <t>Traàn Chí</t>
        </is>
      </c>
      <c r="E2" t="inlineStr">
        <is>
          <t>Thieän</t>
        </is>
      </c>
      <c r="F2" t="inlineStr">
        <is>
          <t>01-Jan-07</t>
        </is>
      </c>
      <c r="G2" t="inlineStr">
        <is>
          <t>LNH0326NE01</t>
        </is>
      </c>
      <c r="H2" t="inlineStr">
        <is>
          <t>03AV AVGT Level 2 KG: 03/2026</t>
        </is>
      </c>
      <c r="I2" t="n">
        <v>4940000</v>
      </c>
      <c r="J2" t="inlineStr">
        <is>
          <t>TRAN HONG SON ABBank 0521043748045 TRAN CHI THIEN - 25807900051-LNH0326NE01- 08654115 75 TAI Agribank</t>
        </is>
      </c>
    </row>
    <row r="3">
      <c r="A3" t="inlineStr">
        <is>
          <t>27-Jan-26</t>
        </is>
      </c>
      <c r="B3" t="inlineStr">
        <is>
          <t>I88734</t>
        </is>
      </c>
      <c r="C3" t="inlineStr">
        <is>
          <t>25807800016</t>
        </is>
      </c>
      <c r="D3" t="inlineStr">
        <is>
          <t>Tröông Quoác</t>
        </is>
      </c>
      <c r="E3" t="inlineStr">
        <is>
          <t>Baûo</t>
        </is>
      </c>
      <c r="F3" t="inlineStr">
        <is>
          <t>10-Sep-01</t>
        </is>
      </c>
      <c r="G3" t="inlineStr">
        <is>
          <t>LNH0326NE01</t>
        </is>
      </c>
      <c r="H3" t="inlineStr">
        <is>
          <t>03AV AVGT Level 2 KG: 03/2026</t>
        </is>
      </c>
      <c r="I3" t="n">
        <v>2600000</v>
      </c>
      <c r="J3" t="inlineStr">
        <is>
          <t>TRUONG QUOC BAO TRUONG QUOC BAO  25807800016  LNH03 26NE01  0773345672-270126-09 02 37 6027ASCBJ28AT2DE TAI Ngan hang a chau       IBT SMARLINK</t>
        </is>
      </c>
    </row>
    <row r="4">
      <c r="A4" t="inlineStr">
        <is>
          <t>03-Feb-26</t>
        </is>
      </c>
      <c r="B4" t="inlineStr">
        <is>
          <t>I88941</t>
        </is>
      </c>
      <c r="C4" t="inlineStr">
        <is>
          <t>25820200036</t>
        </is>
      </c>
      <c r="D4" t="inlineStr">
        <is>
          <t>Voõ Hoaøng Anh</t>
        </is>
      </c>
      <c r="E4" t="inlineStr">
        <is>
          <t>Kieät</t>
        </is>
      </c>
      <c r="F4" t="inlineStr">
        <is>
          <t>15-May-07</t>
        </is>
      </c>
      <c r="G4" t="inlineStr">
        <is>
          <t>LNH0326NE01</t>
        </is>
      </c>
      <c r="H4" t="inlineStr">
        <is>
          <t>03AV AVGT Level 2 KG: 03/2026</t>
        </is>
      </c>
      <c r="I4" t="n">
        <v>2600000</v>
      </c>
      <c r="J4" t="inlineStr">
        <is>
          <t>LE THI THU YEN Vo Hoang Anh Kiet 25820200036 LNH11 25NE01 0798189839 TAI VietinBank</t>
        </is>
      </c>
    </row>
    <row r="5">
      <c r="A5" t="inlineStr">
        <is>
          <t>03-Feb-26</t>
        </is>
      </c>
      <c r="B5" t="inlineStr">
        <is>
          <t>I88942</t>
        </is>
      </c>
      <c r="C5" t="inlineStr">
        <is>
          <t>25807900124</t>
        </is>
      </c>
      <c r="D5" t="inlineStr">
        <is>
          <t>Ngoâ Nhaät</t>
        </is>
      </c>
      <c r="E5" t="inlineStr">
        <is>
          <t>Anh</t>
        </is>
      </c>
      <c r="F5" t="inlineStr">
        <is>
          <t>27-Mar-07</t>
        </is>
      </c>
      <c r="G5" t="inlineStr">
        <is>
          <t>LNH0326NE01</t>
        </is>
      </c>
      <c r="H5" t="inlineStr">
        <is>
          <t>03AV AVGT Level 2 KG: 03/2026</t>
        </is>
      </c>
      <c r="I5" t="n">
        <v>2600000</v>
      </c>
      <c r="J5" t="inlineStr">
        <is>
          <t>LE THI THU YEN Ngo Nhat Anh 25807900124 LNH1125NE0 1 0395922659 TAI VietinBank</t>
        </is>
      </c>
    </row>
    <row r="6">
      <c r="A6" t="inlineStr">
        <is>
          <t>03-Feb-26</t>
        </is>
      </c>
      <c r="B6" t="inlineStr">
        <is>
          <t>I88943</t>
        </is>
      </c>
      <c r="C6" t="inlineStr">
        <is>
          <t>25807900062</t>
        </is>
      </c>
      <c r="D6" t="inlineStr">
        <is>
          <t>Phaïm Vaên</t>
        </is>
      </c>
      <c r="E6" t="inlineStr">
        <is>
          <t>Vöôïng</t>
        </is>
      </c>
      <c r="F6" t="inlineStr">
        <is>
          <t>10-Jan-07</t>
        </is>
      </c>
      <c r="G6" t="inlineStr">
        <is>
          <t>LNH0326NE01</t>
        </is>
      </c>
      <c r="H6" t="inlineStr">
        <is>
          <t>03AV AVGT Level 2 KG: 03/2026</t>
        </is>
      </c>
      <c r="I6" t="n">
        <v>2600000</v>
      </c>
      <c r="J6" t="inlineStr">
        <is>
          <t>LE THI THU YEN Pham Van Vuong 25807900062 LNH1125N E01 0375769488 TAI VietinBank</t>
        </is>
      </c>
    </row>
    <row r="7">
      <c r="A7" t="inlineStr">
        <is>
          <t>03-Feb-26</t>
        </is>
      </c>
      <c r="B7" t="inlineStr">
        <is>
          <t>I88944</t>
        </is>
      </c>
      <c r="C7" t="inlineStr">
        <is>
          <t>25808200135</t>
        </is>
      </c>
      <c r="D7" t="inlineStr">
        <is>
          <t>Nguyeãn Phi</t>
        </is>
      </c>
      <c r="E7" t="inlineStr">
        <is>
          <t>Tröôøng</t>
        </is>
      </c>
      <c r="F7" t="inlineStr">
        <is>
          <t>22-Nov-01</t>
        </is>
      </c>
      <c r="G7" t="inlineStr">
        <is>
          <t>LNH0326NE01</t>
        </is>
      </c>
      <c r="H7" t="inlineStr">
        <is>
          <t>03AV AVGT Level 2 KG: 03/2026</t>
        </is>
      </c>
      <c r="I7" t="n">
        <v>2600000</v>
      </c>
      <c r="J7" t="inlineStr">
        <is>
          <t>LE THI THU YEN Nguyen Phi Truong 25808200135 LNH11 25NE01 0985470342 TAI VietinBank</t>
        </is>
      </c>
    </row>
    <row r="8">
      <c r="A8" t="inlineStr">
        <is>
          <t>03-Feb-26</t>
        </is>
      </c>
      <c r="B8" t="inlineStr">
        <is>
          <t>I88945</t>
        </is>
      </c>
      <c r="C8" t="inlineStr">
        <is>
          <t>25802600010</t>
        </is>
      </c>
      <c r="D8" t="inlineStr">
        <is>
          <t>Taêng Hoàng</t>
        </is>
      </c>
      <c r="E8" t="inlineStr">
        <is>
          <t>Anh</t>
        </is>
      </c>
      <c r="F8" t="inlineStr">
        <is>
          <t>17-Aug-07</t>
        </is>
      </c>
      <c r="G8" t="inlineStr">
        <is>
          <t>LNH0326NE01</t>
        </is>
      </c>
      <c r="H8" t="inlineStr">
        <is>
          <t>03AV AVGT Level 2 KG: 03/2026</t>
        </is>
      </c>
      <c r="I8" t="n">
        <v>2600000</v>
      </c>
      <c r="J8" t="inlineStr">
        <is>
          <t>LE THI THU YEN Tang Hong Anh 25802600010 LNH1125NE 01 0906921500 TAI VietinBank</t>
        </is>
      </c>
    </row>
    <row r="9">
      <c r="A9" t="inlineStr">
        <is>
          <t>03-Feb-26</t>
        </is>
      </c>
      <c r="B9" t="inlineStr">
        <is>
          <t>I88946</t>
        </is>
      </c>
      <c r="C9" t="inlineStr">
        <is>
          <t>25801600178</t>
        </is>
      </c>
      <c r="D9" t="inlineStr">
        <is>
          <t>Leâ Ngoïc Thaûo</t>
        </is>
      </c>
      <c r="E9" t="inlineStr">
        <is>
          <t>Vy</t>
        </is>
      </c>
      <c r="F9" t="inlineStr">
        <is>
          <t>11-Jan-07</t>
        </is>
      </c>
      <c r="G9" t="inlineStr">
        <is>
          <t>LNH0326NE01</t>
        </is>
      </c>
      <c r="H9" t="inlineStr">
        <is>
          <t>03AV AVGT Level 2 KG: 03/2026</t>
        </is>
      </c>
      <c r="I9" t="n">
        <v>2600000</v>
      </c>
      <c r="J9" t="inlineStr">
        <is>
          <t>LE THI THU YEN Le Ngoc Thao Vy 25801600178 LNH1125 NE01 0349936790 TAI VietinBank</t>
        </is>
      </c>
    </row>
    <row r="10">
      <c r="A10" t="inlineStr">
        <is>
          <t>03-Feb-26</t>
        </is>
      </c>
      <c r="B10" t="inlineStr">
        <is>
          <t>I88947</t>
        </is>
      </c>
      <c r="C10" t="inlineStr">
        <is>
          <t>25808900070</t>
        </is>
      </c>
      <c r="D10" t="inlineStr">
        <is>
          <t>Traàn Khaùnh</t>
        </is>
      </c>
      <c r="E10" t="inlineStr">
        <is>
          <t>Linh</t>
        </is>
      </c>
      <c r="F10" t="inlineStr">
        <is>
          <t>15-Apr-07</t>
        </is>
      </c>
      <c r="G10" t="inlineStr">
        <is>
          <t>LNH0326NE01</t>
        </is>
      </c>
      <c r="H10" t="inlineStr">
        <is>
          <t>03AV AVGT Level 2 KG: 03/2026</t>
        </is>
      </c>
      <c r="I10" t="n">
        <v>2600000</v>
      </c>
      <c r="J10" t="inlineStr">
        <is>
          <t>LE THI THU YEN Tran Khanh Linh 25808900070 LNH1125 NE01 0931820764 TAI VietinBank</t>
        </is>
      </c>
    </row>
    <row r="11">
      <c r="A11" t="inlineStr">
        <is>
          <t>03-Feb-26</t>
        </is>
      </c>
      <c r="B11" t="inlineStr">
        <is>
          <t>I88948</t>
        </is>
      </c>
      <c r="C11" t="inlineStr">
        <is>
          <t>25802500026</t>
        </is>
      </c>
      <c r="D11" t="inlineStr">
        <is>
          <t>Hoàng Quoác</t>
        </is>
      </c>
      <c r="E11" t="inlineStr">
        <is>
          <t>Baûo</t>
        </is>
      </c>
      <c r="F11" t="inlineStr">
        <is>
          <t>06-Dec-07</t>
        </is>
      </c>
      <c r="G11" t="inlineStr">
        <is>
          <t>LNH0326NE01</t>
        </is>
      </c>
      <c r="H11" t="inlineStr">
        <is>
          <t>03AV AVGT Level 2 KG: 03/2026</t>
        </is>
      </c>
      <c r="I11" t="n">
        <v>2600000</v>
      </c>
      <c r="J11" t="inlineStr">
        <is>
          <t>LE THI THU YEN Hong Quoc Bao 25802500026 LNH0326NE 01 949143002 TAI VietinBank</t>
        </is>
      </c>
    </row>
    <row r="12">
      <c r="A12" t="inlineStr">
        <is>
          <t>03-Feb-26</t>
        </is>
      </c>
      <c r="B12" t="inlineStr">
        <is>
          <t>I88949</t>
        </is>
      </c>
      <c r="C12" t="inlineStr">
        <is>
          <t>25800400016</t>
        </is>
      </c>
      <c r="D12" t="inlineStr">
        <is>
          <t>Phaïm Leâ Gia</t>
        </is>
      </c>
      <c r="E12" t="inlineStr">
        <is>
          <t>Baûo</t>
        </is>
      </c>
      <c r="F12" t="inlineStr">
        <is>
          <t>31-Jul-07</t>
        </is>
      </c>
      <c r="G12" t="inlineStr">
        <is>
          <t>LNH0326NE01</t>
        </is>
      </c>
      <c r="H12" t="inlineStr">
        <is>
          <t>03AV AVGT Level 2 KG: 03/2026</t>
        </is>
      </c>
      <c r="I12" t="n">
        <v>2600000</v>
      </c>
      <c r="J12" t="inlineStr">
        <is>
          <t>LE THI THU YEN Pham Le Gia Bao 25800400016 LNH0326 NE01 945497165 TAI VietinBank</t>
        </is>
      </c>
    </row>
    <row r="13">
      <c r="A13" t="inlineStr">
        <is>
          <t>03-Feb-26</t>
        </is>
      </c>
      <c r="B13" t="inlineStr">
        <is>
          <t>I88950</t>
        </is>
      </c>
      <c r="C13" t="inlineStr">
        <is>
          <t>25820700033</t>
        </is>
      </c>
      <c r="D13" t="inlineStr">
        <is>
          <t>Voõ Ngoïc Minh</t>
        </is>
      </c>
      <c r="E13" t="inlineStr">
        <is>
          <t>Phöông</t>
        </is>
      </c>
      <c r="F13" t="inlineStr">
        <is>
          <t>29-Nov-07</t>
        </is>
      </c>
      <c r="G13" t="inlineStr">
        <is>
          <t>LNH0326NE01</t>
        </is>
      </c>
      <c r="H13" t="inlineStr">
        <is>
          <t>03AV AVGT Level 2 KG: 03/2026</t>
        </is>
      </c>
      <c r="I13" t="n">
        <v>2600000</v>
      </c>
      <c r="J13" t="inlineStr">
        <is>
          <t>LE THI THU YEN Vo Ngoc Minh Phuong 25820700033 LNH 0326NE01 782874636 TAI VietinBank</t>
        </is>
      </c>
    </row>
    <row r="14">
      <c r="A14" t="inlineStr">
        <is>
          <t>02-Mar-26</t>
        </is>
      </c>
      <c r="B14" t="inlineStr">
        <is>
          <t>I90629</t>
        </is>
      </c>
      <c r="C14" t="inlineStr">
        <is>
          <t>25802800107</t>
        </is>
      </c>
      <c r="D14" t="inlineStr">
        <is>
          <t>Traàn Vónh</t>
        </is>
      </c>
      <c r="E14" t="inlineStr">
        <is>
          <t>Khang</t>
        </is>
      </c>
      <c r="F14" t="inlineStr">
        <is>
          <t>21-Aug-07</t>
        </is>
      </c>
      <c r="G14" t="inlineStr">
        <is>
          <t>LNH0326NE01</t>
        </is>
      </c>
      <c r="H14" t="inlineStr">
        <is>
          <t>02YT TAI KHOAN TREO</t>
        </is>
      </c>
      <c r="I14" t="n">
        <v>4465000</v>
      </c>
      <c r="J14" t="inlineStr">
        <is>
          <t>MBBANK IBFT 25802800107 TRAN VINH KHANG TAI IBT-MB                   HANOI</t>
        </is>
      </c>
    </row>
    <row r="15">
      <c r="A15" t="inlineStr">
        <is>
          <t>03-Mar-26</t>
        </is>
      </c>
      <c r="B15" t="inlineStr">
        <is>
          <t>I90966</t>
        </is>
      </c>
      <c r="C15" t="inlineStr">
        <is>
          <t>25801700103</t>
        </is>
      </c>
      <c r="D15" t="inlineStr">
        <is>
          <t>Phaïm Trung</t>
        </is>
      </c>
      <c r="E15" t="inlineStr">
        <is>
          <t>Nghóa</t>
        </is>
      </c>
      <c r="F15" t="inlineStr">
        <is>
          <t>12-Jun-07</t>
        </is>
      </c>
      <c r="G15" t="inlineStr">
        <is>
          <t>LNH0326NE01</t>
        </is>
      </c>
      <c r="H15" t="inlineStr">
        <is>
          <t>03AV AVGT Level 2 KG: 03/2026</t>
        </is>
      </c>
      <c r="I15" t="n">
        <v>3500000</v>
      </c>
      <c r="J15" t="inlineStr">
        <is>
          <t>PHAM TRUNG NGHIA MBVCB.13222873988.679740.PHAM TRUNG NGHIA chuyen tienPhamTrungNghia-25 801700103-LNH0326NE01-0866925830.CT tu 1042614033 PHAM TRUNG NGHIA toi0521043748045 HUTECH tai ABBank TAI Vietcombank</t>
        </is>
      </c>
    </row>
    <row r="16">
      <c r="A16" t="inlineStr">
        <is>
          <t>03-Mar-26</t>
        </is>
      </c>
      <c r="B16" t="inlineStr">
        <is>
          <t>I90967</t>
        </is>
      </c>
      <c r="C16" t="inlineStr">
        <is>
          <t>25801700103</t>
        </is>
      </c>
      <c r="D16" t="inlineStr">
        <is>
          <t>Phaïm Trung</t>
        </is>
      </c>
      <c r="E16" t="inlineStr">
        <is>
          <t>Nghóa</t>
        </is>
      </c>
      <c r="F16" t="inlineStr">
        <is>
          <t>12-Jun-07</t>
        </is>
      </c>
      <c r="G16" t="inlineStr">
        <is>
          <t>LNH0326NE01</t>
        </is>
      </c>
      <c r="H16" t="inlineStr">
        <is>
          <t>03AV AVGT Level 2 KG: 03/2026</t>
        </is>
      </c>
      <c r="I16" t="n">
        <v>1365000</v>
      </c>
      <c r="J16" t="inlineStr">
        <is>
          <t>PHAM TRUNG NGHIA MBVCB.13222894313.695415.PHAM TRUNG NGHIA chuyen tienPhamTrungNghia-25 801700103-LNH0326NE01-0866925830.CT tu 1042614033 PHAM TRUNG NGHIA toi0521043748045 HUTECH tai ABBank TAI Vietcombank</t>
        </is>
      </c>
    </row>
    <row r="17">
      <c r="A17" t="inlineStr">
        <is>
          <t>04-Mar-26</t>
        </is>
      </c>
      <c r="B17" t="inlineStr">
        <is>
          <t>I91088</t>
        </is>
      </c>
      <c r="C17" t="inlineStr">
        <is>
          <t>25801700103</t>
        </is>
      </c>
      <c r="D17" t="inlineStr">
        <is>
          <t>Phaïm Trung</t>
        </is>
      </c>
      <c r="E17" t="inlineStr">
        <is>
          <t>Nghóa</t>
        </is>
      </c>
      <c r="F17" t="inlineStr">
        <is>
          <t>12-Jun-07</t>
        </is>
      </c>
      <c r="G17" t="inlineStr">
        <is>
          <t>LNH0326NE01</t>
        </is>
      </c>
      <c r="H17" t="inlineStr">
        <is>
          <t>03AV AVGT Level 2 KG: 03/2026</t>
        </is>
      </c>
      <c r="I17" t="n">
        <v>40000</v>
      </c>
      <c r="J17" t="inlineStr">
        <is>
          <t>PHAM TRUNG NGHIA MBVCB.13230437025.529544.PHAM TRUNG NGHIA chuyen tientPhamTrungNghia-2 5801700103-LNH0326NE01-0866925830.C T tu 1042614033 PHAM TRUNG NGHIA toi 0521043748045 HUTECH tai ABBank TAI Vietcombank</t>
        </is>
      </c>
    </row>
    <row r="18">
      <c r="A18" t="inlineStr">
        <is>
          <t>05-Mar-26</t>
        </is>
      </c>
      <c r="B18" t="inlineStr">
        <is>
          <t>I91175</t>
        </is>
      </c>
      <c r="C18" t="inlineStr">
        <is>
          <t>25802800107</t>
        </is>
      </c>
      <c r="D18" t="inlineStr">
        <is>
          <t>Traàn Vónh</t>
        </is>
      </c>
      <c r="E18" t="inlineStr">
        <is>
          <t>Khang</t>
        </is>
      </c>
      <c r="F18" t="inlineStr">
        <is>
          <t>21-Aug-07</t>
        </is>
      </c>
      <c r="G18" t="inlineStr">
        <is>
          <t>LNH0326NE01</t>
        </is>
      </c>
      <c r="H18" t="inlineStr">
        <is>
          <t>03AV AVGT Level 2 KG: 03/2026</t>
        </is>
      </c>
      <c r="I18" t="n">
        <v>475000</v>
      </c>
      <c r="J18" t="inlineStr">
        <is>
          <t>TRAN VINH KHANG TRAN VINH KHANG 25802800107   LNH03 26NE01   0784210807-050326-12 24 41 6064ASCB022TZGW2 TAI Ngan hang a chau       IBT SMARLINK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topLeftCell="C1" workbookViewId="0">
      <selection activeCell="J28" sqref="J28"/>
    </sheetView>
  </sheetViews>
  <sheetFormatPr baseColWidth="8" defaultColWidth="8.85546875" defaultRowHeight="15"/>
  <cols>
    <col width="8" customWidth="1" style="87" min="1" max="1"/>
    <col width="6" customWidth="1" style="87" min="2" max="2"/>
    <col width="13" customWidth="1" style="87" min="3" max="3"/>
    <col width="22" customWidth="1" style="87" min="4" max="4"/>
    <col width="7" customWidth="1" style="87" min="5" max="5"/>
    <col width="8" customWidth="1" style="87" min="6" max="6"/>
    <col width="12" customWidth="1" style="87" min="7" max="7"/>
    <col width="50" customWidth="1" style="87" min="8" max="8"/>
    <col width="16" customWidth="1" style="87" min="9" max="9"/>
    <col width="254" customWidth="1" style="87" min="10" max="10"/>
    <col width="8" customWidth="1" style="87" min="257" max="257"/>
    <col width="6" customWidth="1" style="87" min="258" max="258"/>
    <col width="13" customWidth="1" style="87" min="259" max="259"/>
    <col width="22" customWidth="1" style="87" min="260" max="260"/>
    <col width="7" customWidth="1" style="87" min="261" max="261"/>
    <col width="8" customWidth="1" style="87" min="262" max="262"/>
    <col width="12" customWidth="1" style="87" min="263" max="263"/>
    <col width="50" customWidth="1" style="87" min="264" max="264"/>
    <col width="16" customWidth="1" style="87" min="265" max="265"/>
    <col width="254" customWidth="1" style="87" min="266" max="266"/>
    <col width="8" customWidth="1" style="87" min="513" max="513"/>
    <col width="6" customWidth="1" style="87" min="514" max="514"/>
    <col width="13" customWidth="1" style="87" min="515" max="515"/>
    <col width="22" customWidth="1" style="87" min="516" max="516"/>
    <col width="7" customWidth="1" style="87" min="517" max="517"/>
    <col width="8" customWidth="1" style="87" min="518" max="518"/>
    <col width="12" customWidth="1" style="87" min="519" max="519"/>
    <col width="50" customWidth="1" style="87" min="520" max="520"/>
    <col width="16" customWidth="1" style="87" min="521" max="521"/>
    <col width="254" customWidth="1" style="87" min="522" max="522"/>
    <col width="8" customWidth="1" style="87" min="769" max="769"/>
    <col width="6" customWidth="1" style="87" min="770" max="770"/>
    <col width="13" customWidth="1" style="87" min="771" max="771"/>
    <col width="22" customWidth="1" style="87" min="772" max="772"/>
    <col width="7" customWidth="1" style="87" min="773" max="773"/>
    <col width="8" customWidth="1" style="87" min="774" max="774"/>
    <col width="12" customWidth="1" style="87" min="775" max="775"/>
    <col width="50" customWidth="1" style="87" min="776" max="776"/>
    <col width="16" customWidth="1" style="87" min="777" max="777"/>
    <col width="254" customWidth="1" style="87" min="778" max="778"/>
    <col width="8" customWidth="1" style="87" min="1025" max="1025"/>
    <col width="6" customWidth="1" style="87" min="1026" max="1026"/>
    <col width="13" customWidth="1" style="87" min="1027" max="1027"/>
    <col width="22" customWidth="1" style="87" min="1028" max="1028"/>
    <col width="7" customWidth="1" style="87" min="1029" max="1029"/>
    <col width="8" customWidth="1" style="87" min="1030" max="1030"/>
    <col width="12" customWidth="1" style="87" min="1031" max="1031"/>
    <col width="50" customWidth="1" style="87" min="1032" max="1032"/>
    <col width="16" customWidth="1" style="87" min="1033" max="1033"/>
    <col width="254" customWidth="1" style="87" min="1034" max="1034"/>
    <col width="8" customWidth="1" style="87" min="1281" max="1281"/>
    <col width="6" customWidth="1" style="87" min="1282" max="1282"/>
    <col width="13" customWidth="1" style="87" min="1283" max="1283"/>
    <col width="22" customWidth="1" style="87" min="1284" max="1284"/>
    <col width="7" customWidth="1" style="87" min="1285" max="1285"/>
    <col width="8" customWidth="1" style="87" min="1286" max="1286"/>
    <col width="12" customWidth="1" style="87" min="1287" max="1287"/>
    <col width="50" customWidth="1" style="87" min="1288" max="1288"/>
    <col width="16" customWidth="1" style="87" min="1289" max="1289"/>
    <col width="254" customWidth="1" style="87" min="1290" max="1290"/>
    <col width="8" customWidth="1" style="87" min="1537" max="1537"/>
    <col width="6" customWidth="1" style="87" min="1538" max="1538"/>
    <col width="13" customWidth="1" style="87" min="1539" max="1539"/>
    <col width="22" customWidth="1" style="87" min="1540" max="1540"/>
    <col width="7" customWidth="1" style="87" min="1541" max="1541"/>
    <col width="8" customWidth="1" style="87" min="1542" max="1542"/>
    <col width="12" customWidth="1" style="87" min="1543" max="1543"/>
    <col width="50" customWidth="1" style="87" min="1544" max="1544"/>
    <col width="16" customWidth="1" style="87" min="1545" max="1545"/>
    <col width="254" customWidth="1" style="87" min="1546" max="1546"/>
    <col width="8" customWidth="1" style="87" min="1793" max="1793"/>
    <col width="6" customWidth="1" style="87" min="1794" max="1794"/>
    <col width="13" customWidth="1" style="87" min="1795" max="1795"/>
    <col width="22" customWidth="1" style="87" min="1796" max="1796"/>
    <col width="7" customWidth="1" style="87" min="1797" max="1797"/>
    <col width="8" customWidth="1" style="87" min="1798" max="1798"/>
    <col width="12" customWidth="1" style="87" min="1799" max="1799"/>
    <col width="50" customWidth="1" style="87" min="1800" max="1800"/>
    <col width="16" customWidth="1" style="87" min="1801" max="1801"/>
    <col width="254" customWidth="1" style="87" min="1802" max="1802"/>
    <col width="8" customWidth="1" style="87" min="2049" max="2049"/>
    <col width="6" customWidth="1" style="87" min="2050" max="2050"/>
    <col width="13" customWidth="1" style="87" min="2051" max="2051"/>
    <col width="22" customWidth="1" style="87" min="2052" max="2052"/>
    <col width="7" customWidth="1" style="87" min="2053" max="2053"/>
    <col width="8" customWidth="1" style="87" min="2054" max="2054"/>
    <col width="12" customWidth="1" style="87" min="2055" max="2055"/>
    <col width="50" customWidth="1" style="87" min="2056" max="2056"/>
    <col width="16" customWidth="1" style="87" min="2057" max="2057"/>
    <col width="254" customWidth="1" style="87" min="2058" max="2058"/>
    <col width="8" customWidth="1" style="87" min="2305" max="2305"/>
    <col width="6" customWidth="1" style="87" min="2306" max="2306"/>
    <col width="13" customWidth="1" style="87" min="2307" max="2307"/>
    <col width="22" customWidth="1" style="87" min="2308" max="2308"/>
    <col width="7" customWidth="1" style="87" min="2309" max="2309"/>
    <col width="8" customWidth="1" style="87" min="2310" max="2310"/>
    <col width="12" customWidth="1" style="87" min="2311" max="2311"/>
    <col width="50" customWidth="1" style="87" min="2312" max="2312"/>
    <col width="16" customWidth="1" style="87" min="2313" max="2313"/>
    <col width="254" customWidth="1" style="87" min="2314" max="2314"/>
    <col width="8" customWidth="1" style="87" min="2561" max="2561"/>
    <col width="6" customWidth="1" style="87" min="2562" max="2562"/>
    <col width="13" customWidth="1" style="87" min="2563" max="2563"/>
    <col width="22" customWidth="1" style="87" min="2564" max="2564"/>
    <col width="7" customWidth="1" style="87" min="2565" max="2565"/>
    <col width="8" customWidth="1" style="87" min="2566" max="2566"/>
    <col width="12" customWidth="1" style="87" min="2567" max="2567"/>
    <col width="50" customWidth="1" style="87" min="2568" max="2568"/>
    <col width="16" customWidth="1" style="87" min="2569" max="2569"/>
    <col width="254" customWidth="1" style="87" min="2570" max="2570"/>
    <col width="8" customWidth="1" style="87" min="2817" max="2817"/>
    <col width="6" customWidth="1" style="87" min="2818" max="2818"/>
    <col width="13" customWidth="1" style="87" min="2819" max="2819"/>
    <col width="22" customWidth="1" style="87" min="2820" max="2820"/>
    <col width="7" customWidth="1" style="87" min="2821" max="2821"/>
    <col width="8" customWidth="1" style="87" min="2822" max="2822"/>
    <col width="12" customWidth="1" style="87" min="2823" max="2823"/>
    <col width="50" customWidth="1" style="87" min="2824" max="2824"/>
    <col width="16" customWidth="1" style="87" min="2825" max="2825"/>
    <col width="254" customWidth="1" style="87" min="2826" max="2826"/>
    <col width="8" customWidth="1" style="87" min="3073" max="3073"/>
    <col width="6" customWidth="1" style="87" min="3074" max="3074"/>
    <col width="13" customWidth="1" style="87" min="3075" max="3075"/>
    <col width="22" customWidth="1" style="87" min="3076" max="3076"/>
    <col width="7" customWidth="1" style="87" min="3077" max="3077"/>
    <col width="8" customWidth="1" style="87" min="3078" max="3078"/>
    <col width="12" customWidth="1" style="87" min="3079" max="3079"/>
    <col width="50" customWidth="1" style="87" min="3080" max="3080"/>
    <col width="16" customWidth="1" style="87" min="3081" max="3081"/>
    <col width="254" customWidth="1" style="87" min="3082" max="3082"/>
    <col width="8" customWidth="1" style="87" min="3329" max="3329"/>
    <col width="6" customWidth="1" style="87" min="3330" max="3330"/>
    <col width="13" customWidth="1" style="87" min="3331" max="3331"/>
    <col width="22" customWidth="1" style="87" min="3332" max="3332"/>
    <col width="7" customWidth="1" style="87" min="3333" max="3333"/>
    <col width="8" customWidth="1" style="87" min="3334" max="3334"/>
    <col width="12" customWidth="1" style="87" min="3335" max="3335"/>
    <col width="50" customWidth="1" style="87" min="3336" max="3336"/>
    <col width="16" customWidth="1" style="87" min="3337" max="3337"/>
    <col width="254" customWidth="1" style="87" min="3338" max="3338"/>
    <col width="8" customWidth="1" style="87" min="3585" max="3585"/>
    <col width="6" customWidth="1" style="87" min="3586" max="3586"/>
    <col width="13" customWidth="1" style="87" min="3587" max="3587"/>
    <col width="22" customWidth="1" style="87" min="3588" max="3588"/>
    <col width="7" customWidth="1" style="87" min="3589" max="3589"/>
    <col width="8" customWidth="1" style="87" min="3590" max="3590"/>
    <col width="12" customWidth="1" style="87" min="3591" max="3591"/>
    <col width="50" customWidth="1" style="87" min="3592" max="3592"/>
    <col width="16" customWidth="1" style="87" min="3593" max="3593"/>
    <col width="254" customWidth="1" style="87" min="3594" max="3594"/>
    <col width="8" customWidth="1" style="87" min="3841" max="3841"/>
    <col width="6" customWidth="1" style="87" min="3842" max="3842"/>
    <col width="13" customWidth="1" style="87" min="3843" max="3843"/>
    <col width="22" customWidth="1" style="87" min="3844" max="3844"/>
    <col width="7" customWidth="1" style="87" min="3845" max="3845"/>
    <col width="8" customWidth="1" style="87" min="3846" max="3846"/>
    <col width="12" customWidth="1" style="87" min="3847" max="3847"/>
    <col width="50" customWidth="1" style="87" min="3848" max="3848"/>
    <col width="16" customWidth="1" style="87" min="3849" max="3849"/>
    <col width="254" customWidth="1" style="87" min="3850" max="3850"/>
    <col width="8" customWidth="1" style="87" min="4097" max="4097"/>
    <col width="6" customWidth="1" style="87" min="4098" max="4098"/>
    <col width="13" customWidth="1" style="87" min="4099" max="4099"/>
    <col width="22" customWidth="1" style="87" min="4100" max="4100"/>
    <col width="7" customWidth="1" style="87" min="4101" max="4101"/>
    <col width="8" customWidth="1" style="87" min="4102" max="4102"/>
    <col width="12" customWidth="1" style="87" min="4103" max="4103"/>
    <col width="50" customWidth="1" style="87" min="4104" max="4104"/>
    <col width="16" customWidth="1" style="87" min="4105" max="4105"/>
    <col width="254" customWidth="1" style="87" min="4106" max="4106"/>
    <col width="8" customWidth="1" style="87" min="4353" max="4353"/>
    <col width="6" customWidth="1" style="87" min="4354" max="4354"/>
    <col width="13" customWidth="1" style="87" min="4355" max="4355"/>
    <col width="22" customWidth="1" style="87" min="4356" max="4356"/>
    <col width="7" customWidth="1" style="87" min="4357" max="4357"/>
    <col width="8" customWidth="1" style="87" min="4358" max="4358"/>
    <col width="12" customWidth="1" style="87" min="4359" max="4359"/>
    <col width="50" customWidth="1" style="87" min="4360" max="4360"/>
    <col width="16" customWidth="1" style="87" min="4361" max="4361"/>
    <col width="254" customWidth="1" style="87" min="4362" max="4362"/>
    <col width="8" customWidth="1" style="87" min="4609" max="4609"/>
    <col width="6" customWidth="1" style="87" min="4610" max="4610"/>
    <col width="13" customWidth="1" style="87" min="4611" max="4611"/>
    <col width="22" customWidth="1" style="87" min="4612" max="4612"/>
    <col width="7" customWidth="1" style="87" min="4613" max="4613"/>
    <col width="8" customWidth="1" style="87" min="4614" max="4614"/>
    <col width="12" customWidth="1" style="87" min="4615" max="4615"/>
    <col width="50" customWidth="1" style="87" min="4616" max="4616"/>
    <col width="16" customWidth="1" style="87" min="4617" max="4617"/>
    <col width="254" customWidth="1" style="87" min="4618" max="4618"/>
    <col width="8" customWidth="1" style="87" min="4865" max="4865"/>
    <col width="6" customWidth="1" style="87" min="4866" max="4866"/>
    <col width="13" customWidth="1" style="87" min="4867" max="4867"/>
    <col width="22" customWidth="1" style="87" min="4868" max="4868"/>
    <col width="7" customWidth="1" style="87" min="4869" max="4869"/>
    <col width="8" customWidth="1" style="87" min="4870" max="4870"/>
    <col width="12" customWidth="1" style="87" min="4871" max="4871"/>
    <col width="50" customWidth="1" style="87" min="4872" max="4872"/>
    <col width="16" customWidth="1" style="87" min="4873" max="4873"/>
    <col width="254" customWidth="1" style="87" min="4874" max="4874"/>
    <col width="8" customWidth="1" style="87" min="5121" max="5121"/>
    <col width="6" customWidth="1" style="87" min="5122" max="5122"/>
    <col width="13" customWidth="1" style="87" min="5123" max="5123"/>
    <col width="22" customWidth="1" style="87" min="5124" max="5124"/>
    <col width="7" customWidth="1" style="87" min="5125" max="5125"/>
    <col width="8" customWidth="1" style="87" min="5126" max="5126"/>
    <col width="12" customWidth="1" style="87" min="5127" max="5127"/>
    <col width="50" customWidth="1" style="87" min="5128" max="5128"/>
    <col width="16" customWidth="1" style="87" min="5129" max="5129"/>
    <col width="254" customWidth="1" style="87" min="5130" max="5130"/>
    <col width="8" customWidth="1" style="87" min="5377" max="5377"/>
    <col width="6" customWidth="1" style="87" min="5378" max="5378"/>
    <col width="13" customWidth="1" style="87" min="5379" max="5379"/>
    <col width="22" customWidth="1" style="87" min="5380" max="5380"/>
    <col width="7" customWidth="1" style="87" min="5381" max="5381"/>
    <col width="8" customWidth="1" style="87" min="5382" max="5382"/>
    <col width="12" customWidth="1" style="87" min="5383" max="5383"/>
    <col width="50" customWidth="1" style="87" min="5384" max="5384"/>
    <col width="16" customWidth="1" style="87" min="5385" max="5385"/>
    <col width="254" customWidth="1" style="87" min="5386" max="5386"/>
    <col width="8" customWidth="1" style="87" min="5633" max="5633"/>
    <col width="6" customWidth="1" style="87" min="5634" max="5634"/>
    <col width="13" customWidth="1" style="87" min="5635" max="5635"/>
    <col width="22" customWidth="1" style="87" min="5636" max="5636"/>
    <col width="7" customWidth="1" style="87" min="5637" max="5637"/>
    <col width="8" customWidth="1" style="87" min="5638" max="5638"/>
    <col width="12" customWidth="1" style="87" min="5639" max="5639"/>
    <col width="50" customWidth="1" style="87" min="5640" max="5640"/>
    <col width="16" customWidth="1" style="87" min="5641" max="5641"/>
    <col width="254" customWidth="1" style="87" min="5642" max="5642"/>
    <col width="8" customWidth="1" style="87" min="5889" max="5889"/>
    <col width="6" customWidth="1" style="87" min="5890" max="5890"/>
    <col width="13" customWidth="1" style="87" min="5891" max="5891"/>
    <col width="22" customWidth="1" style="87" min="5892" max="5892"/>
    <col width="7" customWidth="1" style="87" min="5893" max="5893"/>
    <col width="8" customWidth="1" style="87" min="5894" max="5894"/>
    <col width="12" customWidth="1" style="87" min="5895" max="5895"/>
    <col width="50" customWidth="1" style="87" min="5896" max="5896"/>
    <col width="16" customWidth="1" style="87" min="5897" max="5897"/>
    <col width="254" customWidth="1" style="87" min="5898" max="5898"/>
    <col width="8" customWidth="1" style="87" min="6145" max="6145"/>
    <col width="6" customWidth="1" style="87" min="6146" max="6146"/>
    <col width="13" customWidth="1" style="87" min="6147" max="6147"/>
    <col width="22" customWidth="1" style="87" min="6148" max="6148"/>
    <col width="7" customWidth="1" style="87" min="6149" max="6149"/>
    <col width="8" customWidth="1" style="87" min="6150" max="6150"/>
    <col width="12" customWidth="1" style="87" min="6151" max="6151"/>
    <col width="50" customWidth="1" style="87" min="6152" max="6152"/>
    <col width="16" customWidth="1" style="87" min="6153" max="6153"/>
    <col width="254" customWidth="1" style="87" min="6154" max="6154"/>
    <col width="8" customWidth="1" style="87" min="6401" max="6401"/>
    <col width="6" customWidth="1" style="87" min="6402" max="6402"/>
    <col width="13" customWidth="1" style="87" min="6403" max="6403"/>
    <col width="22" customWidth="1" style="87" min="6404" max="6404"/>
    <col width="7" customWidth="1" style="87" min="6405" max="6405"/>
    <col width="8" customWidth="1" style="87" min="6406" max="6406"/>
    <col width="12" customWidth="1" style="87" min="6407" max="6407"/>
    <col width="50" customWidth="1" style="87" min="6408" max="6408"/>
    <col width="16" customWidth="1" style="87" min="6409" max="6409"/>
    <col width="254" customWidth="1" style="87" min="6410" max="6410"/>
    <col width="8" customWidth="1" style="87" min="6657" max="6657"/>
    <col width="6" customWidth="1" style="87" min="6658" max="6658"/>
    <col width="13" customWidth="1" style="87" min="6659" max="6659"/>
    <col width="22" customWidth="1" style="87" min="6660" max="6660"/>
    <col width="7" customWidth="1" style="87" min="6661" max="6661"/>
    <col width="8" customWidth="1" style="87" min="6662" max="6662"/>
    <col width="12" customWidth="1" style="87" min="6663" max="6663"/>
    <col width="50" customWidth="1" style="87" min="6664" max="6664"/>
    <col width="16" customWidth="1" style="87" min="6665" max="6665"/>
    <col width="254" customWidth="1" style="87" min="6666" max="6666"/>
    <col width="8" customWidth="1" style="87" min="6913" max="6913"/>
    <col width="6" customWidth="1" style="87" min="6914" max="6914"/>
    <col width="13" customWidth="1" style="87" min="6915" max="6915"/>
    <col width="22" customWidth="1" style="87" min="6916" max="6916"/>
    <col width="7" customWidth="1" style="87" min="6917" max="6917"/>
    <col width="8" customWidth="1" style="87" min="6918" max="6918"/>
    <col width="12" customWidth="1" style="87" min="6919" max="6919"/>
    <col width="50" customWidth="1" style="87" min="6920" max="6920"/>
    <col width="16" customWidth="1" style="87" min="6921" max="6921"/>
    <col width="254" customWidth="1" style="87" min="6922" max="6922"/>
    <col width="8" customWidth="1" style="87" min="7169" max="7169"/>
    <col width="6" customWidth="1" style="87" min="7170" max="7170"/>
    <col width="13" customWidth="1" style="87" min="7171" max="7171"/>
    <col width="22" customWidth="1" style="87" min="7172" max="7172"/>
    <col width="7" customWidth="1" style="87" min="7173" max="7173"/>
    <col width="8" customWidth="1" style="87" min="7174" max="7174"/>
    <col width="12" customWidth="1" style="87" min="7175" max="7175"/>
    <col width="50" customWidth="1" style="87" min="7176" max="7176"/>
    <col width="16" customWidth="1" style="87" min="7177" max="7177"/>
    <col width="254" customWidth="1" style="87" min="7178" max="7178"/>
    <col width="8" customWidth="1" style="87" min="7425" max="7425"/>
    <col width="6" customWidth="1" style="87" min="7426" max="7426"/>
    <col width="13" customWidth="1" style="87" min="7427" max="7427"/>
    <col width="22" customWidth="1" style="87" min="7428" max="7428"/>
    <col width="7" customWidth="1" style="87" min="7429" max="7429"/>
    <col width="8" customWidth="1" style="87" min="7430" max="7430"/>
    <col width="12" customWidth="1" style="87" min="7431" max="7431"/>
    <col width="50" customWidth="1" style="87" min="7432" max="7432"/>
    <col width="16" customWidth="1" style="87" min="7433" max="7433"/>
    <col width="254" customWidth="1" style="87" min="7434" max="7434"/>
    <col width="8" customWidth="1" style="87" min="7681" max="7681"/>
    <col width="6" customWidth="1" style="87" min="7682" max="7682"/>
    <col width="13" customWidth="1" style="87" min="7683" max="7683"/>
    <col width="22" customWidth="1" style="87" min="7684" max="7684"/>
    <col width="7" customWidth="1" style="87" min="7685" max="7685"/>
    <col width="8" customWidth="1" style="87" min="7686" max="7686"/>
    <col width="12" customWidth="1" style="87" min="7687" max="7687"/>
    <col width="50" customWidth="1" style="87" min="7688" max="7688"/>
    <col width="16" customWidth="1" style="87" min="7689" max="7689"/>
    <col width="254" customWidth="1" style="87" min="7690" max="7690"/>
    <col width="8" customWidth="1" style="87" min="7937" max="7937"/>
    <col width="6" customWidth="1" style="87" min="7938" max="7938"/>
    <col width="13" customWidth="1" style="87" min="7939" max="7939"/>
    <col width="22" customWidth="1" style="87" min="7940" max="7940"/>
    <col width="7" customWidth="1" style="87" min="7941" max="7941"/>
    <col width="8" customWidth="1" style="87" min="7942" max="7942"/>
    <col width="12" customWidth="1" style="87" min="7943" max="7943"/>
    <col width="50" customWidth="1" style="87" min="7944" max="7944"/>
    <col width="16" customWidth="1" style="87" min="7945" max="7945"/>
    <col width="254" customWidth="1" style="87" min="7946" max="7946"/>
    <col width="8" customWidth="1" style="87" min="8193" max="8193"/>
    <col width="6" customWidth="1" style="87" min="8194" max="8194"/>
    <col width="13" customWidth="1" style="87" min="8195" max="8195"/>
    <col width="22" customWidth="1" style="87" min="8196" max="8196"/>
    <col width="7" customWidth="1" style="87" min="8197" max="8197"/>
    <col width="8" customWidth="1" style="87" min="8198" max="8198"/>
    <col width="12" customWidth="1" style="87" min="8199" max="8199"/>
    <col width="50" customWidth="1" style="87" min="8200" max="8200"/>
    <col width="16" customWidth="1" style="87" min="8201" max="8201"/>
    <col width="254" customWidth="1" style="87" min="8202" max="8202"/>
    <col width="8" customWidth="1" style="87" min="8449" max="8449"/>
    <col width="6" customWidth="1" style="87" min="8450" max="8450"/>
    <col width="13" customWidth="1" style="87" min="8451" max="8451"/>
    <col width="22" customWidth="1" style="87" min="8452" max="8452"/>
    <col width="7" customWidth="1" style="87" min="8453" max="8453"/>
    <col width="8" customWidth="1" style="87" min="8454" max="8454"/>
    <col width="12" customWidth="1" style="87" min="8455" max="8455"/>
    <col width="50" customWidth="1" style="87" min="8456" max="8456"/>
    <col width="16" customWidth="1" style="87" min="8457" max="8457"/>
    <col width="254" customWidth="1" style="87" min="8458" max="8458"/>
    <col width="8" customWidth="1" style="87" min="8705" max="8705"/>
    <col width="6" customWidth="1" style="87" min="8706" max="8706"/>
    <col width="13" customWidth="1" style="87" min="8707" max="8707"/>
    <col width="22" customWidth="1" style="87" min="8708" max="8708"/>
    <col width="7" customWidth="1" style="87" min="8709" max="8709"/>
    <col width="8" customWidth="1" style="87" min="8710" max="8710"/>
    <col width="12" customWidth="1" style="87" min="8711" max="8711"/>
    <col width="50" customWidth="1" style="87" min="8712" max="8712"/>
    <col width="16" customWidth="1" style="87" min="8713" max="8713"/>
    <col width="254" customWidth="1" style="87" min="8714" max="8714"/>
    <col width="8" customWidth="1" style="87" min="8961" max="8961"/>
    <col width="6" customWidth="1" style="87" min="8962" max="8962"/>
    <col width="13" customWidth="1" style="87" min="8963" max="8963"/>
    <col width="22" customWidth="1" style="87" min="8964" max="8964"/>
    <col width="7" customWidth="1" style="87" min="8965" max="8965"/>
    <col width="8" customWidth="1" style="87" min="8966" max="8966"/>
    <col width="12" customWidth="1" style="87" min="8967" max="8967"/>
    <col width="50" customWidth="1" style="87" min="8968" max="8968"/>
    <col width="16" customWidth="1" style="87" min="8969" max="8969"/>
    <col width="254" customWidth="1" style="87" min="8970" max="8970"/>
    <col width="8" customWidth="1" style="87" min="9217" max="9217"/>
    <col width="6" customWidth="1" style="87" min="9218" max="9218"/>
    <col width="13" customWidth="1" style="87" min="9219" max="9219"/>
    <col width="22" customWidth="1" style="87" min="9220" max="9220"/>
    <col width="7" customWidth="1" style="87" min="9221" max="9221"/>
    <col width="8" customWidth="1" style="87" min="9222" max="9222"/>
    <col width="12" customWidth="1" style="87" min="9223" max="9223"/>
    <col width="50" customWidth="1" style="87" min="9224" max="9224"/>
    <col width="16" customWidth="1" style="87" min="9225" max="9225"/>
    <col width="254" customWidth="1" style="87" min="9226" max="9226"/>
    <col width="8" customWidth="1" style="87" min="9473" max="9473"/>
    <col width="6" customWidth="1" style="87" min="9474" max="9474"/>
    <col width="13" customWidth="1" style="87" min="9475" max="9475"/>
    <col width="22" customWidth="1" style="87" min="9476" max="9476"/>
    <col width="7" customWidth="1" style="87" min="9477" max="9477"/>
    <col width="8" customWidth="1" style="87" min="9478" max="9478"/>
    <col width="12" customWidth="1" style="87" min="9479" max="9479"/>
    <col width="50" customWidth="1" style="87" min="9480" max="9480"/>
    <col width="16" customWidth="1" style="87" min="9481" max="9481"/>
    <col width="254" customWidth="1" style="87" min="9482" max="9482"/>
    <col width="8" customWidth="1" style="87" min="9729" max="9729"/>
    <col width="6" customWidth="1" style="87" min="9730" max="9730"/>
    <col width="13" customWidth="1" style="87" min="9731" max="9731"/>
    <col width="22" customWidth="1" style="87" min="9732" max="9732"/>
    <col width="7" customWidth="1" style="87" min="9733" max="9733"/>
    <col width="8" customWidth="1" style="87" min="9734" max="9734"/>
    <col width="12" customWidth="1" style="87" min="9735" max="9735"/>
    <col width="50" customWidth="1" style="87" min="9736" max="9736"/>
    <col width="16" customWidth="1" style="87" min="9737" max="9737"/>
    <col width="254" customWidth="1" style="87" min="9738" max="9738"/>
    <col width="8" customWidth="1" style="87" min="9985" max="9985"/>
    <col width="6" customWidth="1" style="87" min="9986" max="9986"/>
    <col width="13" customWidth="1" style="87" min="9987" max="9987"/>
    <col width="22" customWidth="1" style="87" min="9988" max="9988"/>
    <col width="7" customWidth="1" style="87" min="9989" max="9989"/>
    <col width="8" customWidth="1" style="87" min="9990" max="9990"/>
    <col width="12" customWidth="1" style="87" min="9991" max="9991"/>
    <col width="50" customWidth="1" style="87" min="9992" max="9992"/>
    <col width="16" customWidth="1" style="87" min="9993" max="9993"/>
    <col width="254" customWidth="1" style="87" min="9994" max="9994"/>
    <col width="8" customWidth="1" style="87" min="10241" max="10241"/>
    <col width="6" customWidth="1" style="87" min="10242" max="10242"/>
    <col width="13" customWidth="1" style="87" min="10243" max="10243"/>
    <col width="22" customWidth="1" style="87" min="10244" max="10244"/>
    <col width="7" customWidth="1" style="87" min="10245" max="10245"/>
    <col width="8" customWidth="1" style="87" min="10246" max="10246"/>
    <col width="12" customWidth="1" style="87" min="10247" max="10247"/>
    <col width="50" customWidth="1" style="87" min="10248" max="10248"/>
    <col width="16" customWidth="1" style="87" min="10249" max="10249"/>
    <col width="254" customWidth="1" style="87" min="10250" max="10250"/>
    <col width="8" customWidth="1" style="87" min="10497" max="10497"/>
    <col width="6" customWidth="1" style="87" min="10498" max="10498"/>
    <col width="13" customWidth="1" style="87" min="10499" max="10499"/>
    <col width="22" customWidth="1" style="87" min="10500" max="10500"/>
    <col width="7" customWidth="1" style="87" min="10501" max="10501"/>
    <col width="8" customWidth="1" style="87" min="10502" max="10502"/>
    <col width="12" customWidth="1" style="87" min="10503" max="10503"/>
    <col width="50" customWidth="1" style="87" min="10504" max="10504"/>
    <col width="16" customWidth="1" style="87" min="10505" max="10505"/>
    <col width="254" customWidth="1" style="87" min="10506" max="10506"/>
    <col width="8" customWidth="1" style="87" min="10753" max="10753"/>
    <col width="6" customWidth="1" style="87" min="10754" max="10754"/>
    <col width="13" customWidth="1" style="87" min="10755" max="10755"/>
    <col width="22" customWidth="1" style="87" min="10756" max="10756"/>
    <col width="7" customWidth="1" style="87" min="10757" max="10757"/>
    <col width="8" customWidth="1" style="87" min="10758" max="10758"/>
    <col width="12" customWidth="1" style="87" min="10759" max="10759"/>
    <col width="50" customWidth="1" style="87" min="10760" max="10760"/>
    <col width="16" customWidth="1" style="87" min="10761" max="10761"/>
    <col width="254" customWidth="1" style="87" min="10762" max="10762"/>
    <col width="8" customWidth="1" style="87" min="11009" max="11009"/>
    <col width="6" customWidth="1" style="87" min="11010" max="11010"/>
    <col width="13" customWidth="1" style="87" min="11011" max="11011"/>
    <col width="22" customWidth="1" style="87" min="11012" max="11012"/>
    <col width="7" customWidth="1" style="87" min="11013" max="11013"/>
    <col width="8" customWidth="1" style="87" min="11014" max="11014"/>
    <col width="12" customWidth="1" style="87" min="11015" max="11015"/>
    <col width="50" customWidth="1" style="87" min="11016" max="11016"/>
    <col width="16" customWidth="1" style="87" min="11017" max="11017"/>
    <col width="254" customWidth="1" style="87" min="11018" max="11018"/>
    <col width="8" customWidth="1" style="87" min="11265" max="11265"/>
    <col width="6" customWidth="1" style="87" min="11266" max="11266"/>
    <col width="13" customWidth="1" style="87" min="11267" max="11267"/>
    <col width="22" customWidth="1" style="87" min="11268" max="11268"/>
    <col width="7" customWidth="1" style="87" min="11269" max="11269"/>
    <col width="8" customWidth="1" style="87" min="11270" max="11270"/>
    <col width="12" customWidth="1" style="87" min="11271" max="11271"/>
    <col width="50" customWidth="1" style="87" min="11272" max="11272"/>
    <col width="16" customWidth="1" style="87" min="11273" max="11273"/>
    <col width="254" customWidth="1" style="87" min="11274" max="11274"/>
    <col width="8" customWidth="1" style="87" min="11521" max="11521"/>
    <col width="6" customWidth="1" style="87" min="11522" max="11522"/>
    <col width="13" customWidth="1" style="87" min="11523" max="11523"/>
    <col width="22" customWidth="1" style="87" min="11524" max="11524"/>
    <col width="7" customWidth="1" style="87" min="11525" max="11525"/>
    <col width="8" customWidth="1" style="87" min="11526" max="11526"/>
    <col width="12" customWidth="1" style="87" min="11527" max="11527"/>
    <col width="50" customWidth="1" style="87" min="11528" max="11528"/>
    <col width="16" customWidth="1" style="87" min="11529" max="11529"/>
    <col width="254" customWidth="1" style="87" min="11530" max="11530"/>
    <col width="8" customWidth="1" style="87" min="11777" max="11777"/>
    <col width="6" customWidth="1" style="87" min="11778" max="11778"/>
    <col width="13" customWidth="1" style="87" min="11779" max="11779"/>
    <col width="22" customWidth="1" style="87" min="11780" max="11780"/>
    <col width="7" customWidth="1" style="87" min="11781" max="11781"/>
    <col width="8" customWidth="1" style="87" min="11782" max="11782"/>
    <col width="12" customWidth="1" style="87" min="11783" max="11783"/>
    <col width="50" customWidth="1" style="87" min="11784" max="11784"/>
    <col width="16" customWidth="1" style="87" min="11785" max="11785"/>
    <col width="254" customWidth="1" style="87" min="11786" max="11786"/>
    <col width="8" customWidth="1" style="87" min="12033" max="12033"/>
    <col width="6" customWidth="1" style="87" min="12034" max="12034"/>
    <col width="13" customWidth="1" style="87" min="12035" max="12035"/>
    <col width="22" customWidth="1" style="87" min="12036" max="12036"/>
    <col width="7" customWidth="1" style="87" min="12037" max="12037"/>
    <col width="8" customWidth="1" style="87" min="12038" max="12038"/>
    <col width="12" customWidth="1" style="87" min="12039" max="12039"/>
    <col width="50" customWidth="1" style="87" min="12040" max="12040"/>
    <col width="16" customWidth="1" style="87" min="12041" max="12041"/>
    <col width="254" customWidth="1" style="87" min="12042" max="12042"/>
    <col width="8" customWidth="1" style="87" min="12289" max="12289"/>
    <col width="6" customWidth="1" style="87" min="12290" max="12290"/>
    <col width="13" customWidth="1" style="87" min="12291" max="12291"/>
    <col width="22" customWidth="1" style="87" min="12292" max="12292"/>
    <col width="7" customWidth="1" style="87" min="12293" max="12293"/>
    <col width="8" customWidth="1" style="87" min="12294" max="12294"/>
    <col width="12" customWidth="1" style="87" min="12295" max="12295"/>
    <col width="50" customWidth="1" style="87" min="12296" max="12296"/>
    <col width="16" customWidth="1" style="87" min="12297" max="12297"/>
    <col width="254" customWidth="1" style="87" min="12298" max="12298"/>
    <col width="8" customWidth="1" style="87" min="12545" max="12545"/>
    <col width="6" customWidth="1" style="87" min="12546" max="12546"/>
    <col width="13" customWidth="1" style="87" min="12547" max="12547"/>
    <col width="22" customWidth="1" style="87" min="12548" max="12548"/>
    <col width="7" customWidth="1" style="87" min="12549" max="12549"/>
    <col width="8" customWidth="1" style="87" min="12550" max="12550"/>
    <col width="12" customWidth="1" style="87" min="12551" max="12551"/>
    <col width="50" customWidth="1" style="87" min="12552" max="12552"/>
    <col width="16" customWidth="1" style="87" min="12553" max="12553"/>
    <col width="254" customWidth="1" style="87" min="12554" max="12554"/>
    <col width="8" customWidth="1" style="87" min="12801" max="12801"/>
    <col width="6" customWidth="1" style="87" min="12802" max="12802"/>
    <col width="13" customWidth="1" style="87" min="12803" max="12803"/>
    <col width="22" customWidth="1" style="87" min="12804" max="12804"/>
    <col width="7" customWidth="1" style="87" min="12805" max="12805"/>
    <col width="8" customWidth="1" style="87" min="12806" max="12806"/>
    <col width="12" customWidth="1" style="87" min="12807" max="12807"/>
    <col width="50" customWidth="1" style="87" min="12808" max="12808"/>
    <col width="16" customWidth="1" style="87" min="12809" max="12809"/>
    <col width="254" customWidth="1" style="87" min="12810" max="12810"/>
    <col width="8" customWidth="1" style="87" min="13057" max="13057"/>
    <col width="6" customWidth="1" style="87" min="13058" max="13058"/>
    <col width="13" customWidth="1" style="87" min="13059" max="13059"/>
    <col width="22" customWidth="1" style="87" min="13060" max="13060"/>
    <col width="7" customWidth="1" style="87" min="13061" max="13061"/>
    <col width="8" customWidth="1" style="87" min="13062" max="13062"/>
    <col width="12" customWidth="1" style="87" min="13063" max="13063"/>
    <col width="50" customWidth="1" style="87" min="13064" max="13064"/>
    <col width="16" customWidth="1" style="87" min="13065" max="13065"/>
    <col width="254" customWidth="1" style="87" min="13066" max="13066"/>
    <col width="8" customWidth="1" style="87" min="13313" max="13313"/>
    <col width="6" customWidth="1" style="87" min="13314" max="13314"/>
    <col width="13" customWidth="1" style="87" min="13315" max="13315"/>
    <col width="22" customWidth="1" style="87" min="13316" max="13316"/>
    <col width="7" customWidth="1" style="87" min="13317" max="13317"/>
    <col width="8" customWidth="1" style="87" min="13318" max="13318"/>
    <col width="12" customWidth="1" style="87" min="13319" max="13319"/>
    <col width="50" customWidth="1" style="87" min="13320" max="13320"/>
    <col width="16" customWidth="1" style="87" min="13321" max="13321"/>
    <col width="254" customWidth="1" style="87" min="13322" max="13322"/>
    <col width="8" customWidth="1" style="87" min="13569" max="13569"/>
    <col width="6" customWidth="1" style="87" min="13570" max="13570"/>
    <col width="13" customWidth="1" style="87" min="13571" max="13571"/>
    <col width="22" customWidth="1" style="87" min="13572" max="13572"/>
    <col width="7" customWidth="1" style="87" min="13573" max="13573"/>
    <col width="8" customWidth="1" style="87" min="13574" max="13574"/>
    <col width="12" customWidth="1" style="87" min="13575" max="13575"/>
    <col width="50" customWidth="1" style="87" min="13576" max="13576"/>
    <col width="16" customWidth="1" style="87" min="13577" max="13577"/>
    <col width="254" customWidth="1" style="87" min="13578" max="13578"/>
    <col width="8" customWidth="1" style="87" min="13825" max="13825"/>
    <col width="6" customWidth="1" style="87" min="13826" max="13826"/>
    <col width="13" customWidth="1" style="87" min="13827" max="13827"/>
    <col width="22" customWidth="1" style="87" min="13828" max="13828"/>
    <col width="7" customWidth="1" style="87" min="13829" max="13829"/>
    <col width="8" customWidth="1" style="87" min="13830" max="13830"/>
    <col width="12" customWidth="1" style="87" min="13831" max="13831"/>
    <col width="50" customWidth="1" style="87" min="13832" max="13832"/>
    <col width="16" customWidth="1" style="87" min="13833" max="13833"/>
    <col width="254" customWidth="1" style="87" min="13834" max="13834"/>
    <col width="8" customWidth="1" style="87" min="14081" max="14081"/>
    <col width="6" customWidth="1" style="87" min="14082" max="14082"/>
    <col width="13" customWidth="1" style="87" min="14083" max="14083"/>
    <col width="22" customWidth="1" style="87" min="14084" max="14084"/>
    <col width="7" customWidth="1" style="87" min="14085" max="14085"/>
    <col width="8" customWidth="1" style="87" min="14086" max="14086"/>
    <col width="12" customWidth="1" style="87" min="14087" max="14087"/>
    <col width="50" customWidth="1" style="87" min="14088" max="14088"/>
    <col width="16" customWidth="1" style="87" min="14089" max="14089"/>
    <col width="254" customWidth="1" style="87" min="14090" max="14090"/>
    <col width="8" customWidth="1" style="87" min="14337" max="14337"/>
    <col width="6" customWidth="1" style="87" min="14338" max="14338"/>
    <col width="13" customWidth="1" style="87" min="14339" max="14339"/>
    <col width="22" customWidth="1" style="87" min="14340" max="14340"/>
    <col width="7" customWidth="1" style="87" min="14341" max="14341"/>
    <col width="8" customWidth="1" style="87" min="14342" max="14342"/>
    <col width="12" customWidth="1" style="87" min="14343" max="14343"/>
    <col width="50" customWidth="1" style="87" min="14344" max="14344"/>
    <col width="16" customWidth="1" style="87" min="14345" max="14345"/>
    <col width="254" customWidth="1" style="87" min="14346" max="14346"/>
    <col width="8" customWidth="1" style="87" min="14593" max="14593"/>
    <col width="6" customWidth="1" style="87" min="14594" max="14594"/>
    <col width="13" customWidth="1" style="87" min="14595" max="14595"/>
    <col width="22" customWidth="1" style="87" min="14596" max="14596"/>
    <col width="7" customWidth="1" style="87" min="14597" max="14597"/>
    <col width="8" customWidth="1" style="87" min="14598" max="14598"/>
    <col width="12" customWidth="1" style="87" min="14599" max="14599"/>
    <col width="50" customWidth="1" style="87" min="14600" max="14600"/>
    <col width="16" customWidth="1" style="87" min="14601" max="14601"/>
    <col width="254" customWidth="1" style="87" min="14602" max="14602"/>
    <col width="8" customWidth="1" style="87" min="14849" max="14849"/>
    <col width="6" customWidth="1" style="87" min="14850" max="14850"/>
    <col width="13" customWidth="1" style="87" min="14851" max="14851"/>
    <col width="22" customWidth="1" style="87" min="14852" max="14852"/>
    <col width="7" customWidth="1" style="87" min="14853" max="14853"/>
    <col width="8" customWidth="1" style="87" min="14854" max="14854"/>
    <col width="12" customWidth="1" style="87" min="14855" max="14855"/>
    <col width="50" customWidth="1" style="87" min="14856" max="14856"/>
    <col width="16" customWidth="1" style="87" min="14857" max="14857"/>
    <col width="254" customWidth="1" style="87" min="14858" max="14858"/>
    <col width="8" customWidth="1" style="87" min="15105" max="15105"/>
    <col width="6" customWidth="1" style="87" min="15106" max="15106"/>
    <col width="13" customWidth="1" style="87" min="15107" max="15107"/>
    <col width="22" customWidth="1" style="87" min="15108" max="15108"/>
    <col width="7" customWidth="1" style="87" min="15109" max="15109"/>
    <col width="8" customWidth="1" style="87" min="15110" max="15110"/>
    <col width="12" customWidth="1" style="87" min="15111" max="15111"/>
    <col width="50" customWidth="1" style="87" min="15112" max="15112"/>
    <col width="16" customWidth="1" style="87" min="15113" max="15113"/>
    <col width="254" customWidth="1" style="87" min="15114" max="15114"/>
    <col width="8" customWidth="1" style="87" min="15361" max="15361"/>
    <col width="6" customWidth="1" style="87" min="15362" max="15362"/>
    <col width="13" customWidth="1" style="87" min="15363" max="15363"/>
    <col width="22" customWidth="1" style="87" min="15364" max="15364"/>
    <col width="7" customWidth="1" style="87" min="15365" max="15365"/>
    <col width="8" customWidth="1" style="87" min="15366" max="15366"/>
    <col width="12" customWidth="1" style="87" min="15367" max="15367"/>
    <col width="50" customWidth="1" style="87" min="15368" max="15368"/>
    <col width="16" customWidth="1" style="87" min="15369" max="15369"/>
    <col width="254" customWidth="1" style="87" min="15370" max="15370"/>
    <col width="8" customWidth="1" style="87" min="15617" max="15617"/>
    <col width="6" customWidth="1" style="87" min="15618" max="15618"/>
    <col width="13" customWidth="1" style="87" min="15619" max="15619"/>
    <col width="22" customWidth="1" style="87" min="15620" max="15620"/>
    <col width="7" customWidth="1" style="87" min="15621" max="15621"/>
    <col width="8" customWidth="1" style="87" min="15622" max="15622"/>
    <col width="12" customWidth="1" style="87" min="15623" max="15623"/>
    <col width="50" customWidth="1" style="87" min="15624" max="15624"/>
    <col width="16" customWidth="1" style="87" min="15625" max="15625"/>
    <col width="254" customWidth="1" style="87" min="15626" max="15626"/>
    <col width="8" customWidth="1" style="87" min="15873" max="15873"/>
    <col width="6" customWidth="1" style="87" min="15874" max="15874"/>
    <col width="13" customWidth="1" style="87" min="15875" max="15875"/>
    <col width="22" customWidth="1" style="87" min="15876" max="15876"/>
    <col width="7" customWidth="1" style="87" min="15877" max="15877"/>
    <col width="8" customWidth="1" style="87" min="15878" max="15878"/>
    <col width="12" customWidth="1" style="87" min="15879" max="15879"/>
    <col width="50" customWidth="1" style="87" min="15880" max="15880"/>
    <col width="16" customWidth="1" style="87" min="15881" max="15881"/>
    <col width="254" customWidth="1" style="87" min="15882" max="15882"/>
    <col width="8" customWidth="1" style="87" min="16129" max="16129"/>
    <col width="6" customWidth="1" style="87" min="16130" max="16130"/>
    <col width="13" customWidth="1" style="87" min="16131" max="16131"/>
    <col width="22" customWidth="1" style="87" min="16132" max="16132"/>
    <col width="7" customWidth="1" style="87" min="16133" max="16133"/>
    <col width="8" customWidth="1" style="87" min="16134" max="16134"/>
    <col width="12" customWidth="1" style="87" min="16135" max="16135"/>
    <col width="50" customWidth="1" style="87" min="16136" max="16136"/>
    <col width="16" customWidth="1" style="87" min="16137" max="16137"/>
    <col width="254" customWidth="1" style="87" min="16138" max="16138"/>
  </cols>
  <sheetData>
    <row r="1">
      <c r="A1" t="inlineStr">
        <is>
          <t>ngaynt</t>
        </is>
      </c>
      <c r="B1" t="inlineStr">
        <is>
          <t>sobl</t>
        </is>
      </c>
      <c r="C1" t="inlineStr">
        <is>
          <t>masv</t>
        </is>
      </c>
      <c r="D1" t="inlineStr">
        <is>
          <t>hosv</t>
        </is>
      </c>
      <c r="E1" t="inlineStr">
        <is>
          <t>tensv</t>
        </is>
      </c>
      <c r="F1" t="inlineStr">
        <is>
          <t>ngaysinh</t>
        </is>
      </c>
      <c r="G1" t="inlineStr">
        <is>
          <t>mamonhoc</t>
        </is>
      </c>
      <c r="H1" t="inlineStr">
        <is>
          <t>tenmonhoc</t>
        </is>
      </c>
      <c r="I1" t="inlineStr">
        <is>
          <t>danop</t>
        </is>
      </c>
      <c r="J1" t="inlineStr">
        <is>
          <t>lienhe</t>
        </is>
      </c>
    </row>
    <row r="2">
      <c r="A2" t="inlineStr">
        <is>
          <t>02-Feb-26</t>
        </is>
      </c>
      <c r="B2" t="inlineStr">
        <is>
          <t>I88878</t>
        </is>
      </c>
      <c r="C2" t="inlineStr">
        <is>
          <t>2383000855</t>
        </is>
      </c>
      <c r="D2" t="inlineStr">
        <is>
          <t>Nguyeãn Minh</t>
        </is>
      </c>
      <c r="E2" t="inlineStr">
        <is>
          <t>Phöông</t>
        </is>
      </c>
      <c r="F2" t="inlineStr">
        <is>
          <t>06-Mar-05</t>
        </is>
      </c>
      <c r="G2" t="inlineStr">
        <is>
          <t>LNH0326NP01</t>
        </is>
      </c>
      <c r="H2" t="inlineStr">
        <is>
          <t>03NN TOIEC tien trung cap KG: T03/2026</t>
        </is>
      </c>
      <c r="I2" t="n">
        <v>1600000</v>
      </c>
      <c r="J2" t="inlineStr">
        <is>
          <t>LE THI THU YEN Nguyen Minh Phuong 2383000855 LNH11 25NO01 0942900930 TAI VietinBank</t>
        </is>
      </c>
    </row>
    <row r="3">
      <c r="A3" t="inlineStr">
        <is>
          <t>02-Feb-26</t>
        </is>
      </c>
      <c r="B3" t="inlineStr">
        <is>
          <t>I88879</t>
        </is>
      </c>
      <c r="C3" t="inlineStr">
        <is>
          <t>2286000115</t>
        </is>
      </c>
      <c r="D3" t="inlineStr">
        <is>
          <t>Traàn Vaên</t>
        </is>
      </c>
      <c r="E3" t="inlineStr">
        <is>
          <t>Sang</t>
        </is>
      </c>
      <c r="F3" t="inlineStr">
        <is>
          <t>29-Dec-03</t>
        </is>
      </c>
      <c r="G3" t="inlineStr">
        <is>
          <t>LNH0326NP01</t>
        </is>
      </c>
      <c r="H3" t="inlineStr">
        <is>
          <t>03NN TOIEC tien trung cap KG: T03/2026</t>
        </is>
      </c>
      <c r="I3" t="n">
        <v>1600000</v>
      </c>
      <c r="J3" t="inlineStr">
        <is>
          <t>LE THI THU YEN Tran Van Sang 2286000115 1124TOE201 0352459908 TAI VietinBank</t>
        </is>
      </c>
    </row>
    <row r="4">
      <c r="A4" t="inlineStr">
        <is>
          <t>02-Feb-26</t>
        </is>
      </c>
      <c r="B4" t="inlineStr">
        <is>
          <t>I88881</t>
        </is>
      </c>
      <c r="C4" t="inlineStr">
        <is>
          <t>2383000855</t>
        </is>
      </c>
      <c r="D4" t="inlineStr">
        <is>
          <t>Nguyeãn Minh</t>
        </is>
      </c>
      <c r="E4" t="inlineStr">
        <is>
          <t>Phöông</t>
        </is>
      </c>
      <c r="F4" t="inlineStr">
        <is>
          <t>06-Mar-05</t>
        </is>
      </c>
      <c r="G4" t="inlineStr">
        <is>
          <t>LNH0326NP01</t>
        </is>
      </c>
      <c r="H4" t="inlineStr">
        <is>
          <t>03NN TOIEC tien trung cap KG: T03/2026</t>
        </is>
      </c>
      <c r="I4" t="n">
        <v>2000000</v>
      </c>
      <c r="J4" t="inlineStr">
        <is>
          <t>LE THI THU YEN Nguyen Minh Phuong 2383000855 LNH01 26NP01 0942900930 TAI VietinBank</t>
        </is>
      </c>
    </row>
    <row r="5">
      <c r="A5" t="inlineStr">
        <is>
          <t>02-Feb-26</t>
        </is>
      </c>
      <c r="B5" t="inlineStr">
        <is>
          <t>I88882</t>
        </is>
      </c>
      <c r="C5" t="inlineStr">
        <is>
          <t>2286000115</t>
        </is>
      </c>
      <c r="D5" t="inlineStr">
        <is>
          <t>Traàn Vaên</t>
        </is>
      </c>
      <c r="E5" t="inlineStr">
        <is>
          <t>Sang</t>
        </is>
      </c>
      <c r="F5" t="inlineStr">
        <is>
          <t>29-Dec-03</t>
        </is>
      </c>
      <c r="G5" t="inlineStr">
        <is>
          <t>LNH0326NP01</t>
        </is>
      </c>
      <c r="H5" t="inlineStr">
        <is>
          <t>03NN TOIEC tien trung cap KG: T03/2026</t>
        </is>
      </c>
      <c r="I5" t="n">
        <v>2000000</v>
      </c>
      <c r="J5" t="inlineStr">
        <is>
          <t>LE THI THU YEN Tran Van Sang 2286000115 LNH0225NP0 1 0352459908 TAI VietinBank</t>
        </is>
      </c>
    </row>
    <row r="6">
      <c r="A6" t="inlineStr">
        <is>
          <t>02-Feb-26</t>
        </is>
      </c>
      <c r="B6" t="inlineStr">
        <is>
          <t>I88883</t>
        </is>
      </c>
      <c r="C6" t="inlineStr">
        <is>
          <t>2286000115</t>
        </is>
      </c>
      <c r="D6" t="inlineStr">
        <is>
          <t>Traàn Vaên</t>
        </is>
      </c>
      <c r="E6" t="inlineStr">
        <is>
          <t>Sang</t>
        </is>
      </c>
      <c r="F6" t="inlineStr">
        <is>
          <t>29-Dec-03</t>
        </is>
      </c>
      <c r="G6" t="inlineStr">
        <is>
          <t>LNH0326NP01</t>
        </is>
      </c>
      <c r="H6" t="inlineStr">
        <is>
          <t>03NN TOIEC tien trung cap KG: T03/2026</t>
        </is>
      </c>
      <c r="I6" t="n">
        <v>2000000</v>
      </c>
      <c r="J6" t="inlineStr">
        <is>
          <t>LE THI THU YEN Tran Van Sang 2286000115 LNH0525NS0 1 0352459908 TAI VietinBank</t>
        </is>
      </c>
    </row>
    <row r="7">
      <c r="A7" t="inlineStr">
        <is>
          <t>05-Feb-26</t>
        </is>
      </c>
      <c r="B7" t="inlineStr">
        <is>
          <t>I88997</t>
        </is>
      </c>
      <c r="C7" t="inlineStr">
        <is>
          <t>24820100043</t>
        </is>
      </c>
      <c r="D7" t="inlineStr">
        <is>
          <t>Nguyeãn Minh</t>
        </is>
      </c>
      <c r="E7" t="inlineStr">
        <is>
          <t>Nhaät</t>
        </is>
      </c>
      <c r="F7" t="inlineStr">
        <is>
          <t>11-Sep-06</t>
        </is>
      </c>
      <c r="G7" t="inlineStr">
        <is>
          <t>LNH0326NP01</t>
        </is>
      </c>
      <c r="H7" t="inlineStr">
        <is>
          <t>03NN TOIEC tien trung cap KG: T03/2026</t>
        </is>
      </c>
      <c r="I7" t="n">
        <v>2000000</v>
      </c>
      <c r="J7" t="inlineStr">
        <is>
          <t>LE THI THU YEN Nguyen Minh Nhat 24820100043 LNH012 6NP01 0946419314 TAI VietinBank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65"/>
  <sheetViews>
    <sheetView topLeftCell="A1243" zoomScale="86" zoomScaleNormal="86" workbookViewId="0">
      <selection activeCell="C1265" sqref="C1265"/>
    </sheetView>
  </sheetViews>
  <sheetFormatPr baseColWidth="8" defaultColWidth="8.85546875" defaultRowHeight="12.75"/>
  <cols>
    <col width="8" customWidth="1" style="1" min="1" max="1"/>
    <col width="6" customWidth="1" style="1" min="2" max="2"/>
    <col width="13" customWidth="1" style="1" min="3" max="3"/>
    <col width="22" customWidth="1" style="1" min="4" max="4"/>
    <col width="7" customWidth="1" style="1" min="5" max="5"/>
    <col width="8" customWidth="1" style="1" min="6" max="6"/>
    <col width="14.140625" customWidth="1" style="1" min="7" max="7"/>
    <col width="28.42578125" customWidth="1" style="1" min="8" max="8"/>
    <col width="16" customWidth="1" style="1" min="9" max="9"/>
    <col width="42" customWidth="1" style="1" min="10" max="10"/>
    <col width="8.85546875" customWidth="1" style="1" min="11" max="16384"/>
  </cols>
  <sheetData>
    <row r="1">
      <c r="A1" s="1" t="inlineStr">
        <is>
          <t>ngaynt</t>
        </is>
      </c>
      <c r="B1" s="1" t="inlineStr">
        <is>
          <t>sobl</t>
        </is>
      </c>
      <c r="C1" s="1" t="inlineStr">
        <is>
          <t>masv</t>
        </is>
      </c>
      <c r="D1" s="1" t="inlineStr">
        <is>
          <t>hosv</t>
        </is>
      </c>
      <c r="E1" s="1" t="inlineStr">
        <is>
          <t>tensv</t>
        </is>
      </c>
      <c r="F1" s="1" t="inlineStr">
        <is>
          <t>ngaysinh</t>
        </is>
      </c>
      <c r="G1" s="1" t="inlineStr">
        <is>
          <t>mamonhoc</t>
        </is>
      </c>
      <c r="H1" s="1" t="inlineStr">
        <is>
          <t>tenmonhoc</t>
        </is>
      </c>
      <c r="I1" s="1" t="inlineStr">
        <is>
          <t>danop</t>
        </is>
      </c>
      <c r="J1" s="1" t="inlineStr">
        <is>
          <t>lienhe</t>
        </is>
      </c>
    </row>
    <row r="2">
      <c r="A2" s="1" t="inlineStr">
        <is>
          <t>23-Aug-25</t>
        </is>
      </c>
      <c r="B2" s="1" t="inlineStr">
        <is>
          <t>I58470</t>
        </is>
      </c>
      <c r="C2" s="1" t="inlineStr">
        <is>
          <t>25802300384</t>
        </is>
      </c>
      <c r="D2" s="1" t="inlineStr">
        <is>
          <t>Mai Thien</t>
        </is>
      </c>
      <c r="E2" s="1" t="inlineStr">
        <is>
          <t>Tan</t>
        </is>
      </c>
      <c r="F2" s="1" t="inlineStr">
        <is>
          <t xml:space="preserve">  -   -</t>
        </is>
      </c>
      <c r="G2" s="1" t="inlineStr">
        <is>
          <t>LNH0925ND01</t>
        </is>
      </c>
      <c r="H2" s="1" t="inlineStr">
        <is>
          <t>09AV Giao tiep QT (TS)</t>
        </is>
      </c>
      <c r="I2" s="1" t="n">
        <v>700000</v>
      </c>
      <c r="J2" s="1" t="inlineStr">
        <is>
          <t>MBBANK IBFT MAI THIEN TAN chuyen tien TAI IBT-MB                   HANOI</t>
        </is>
      </c>
    </row>
    <row r="3">
      <c r="A3" s="1" t="inlineStr">
        <is>
          <t>25-Aug-25</t>
        </is>
      </c>
      <c r="B3" s="1" t="inlineStr">
        <is>
          <t>I59059</t>
        </is>
      </c>
      <c r="C3" s="1" t="inlineStr">
        <is>
          <t>25800500246</t>
        </is>
      </c>
      <c r="D3" s="1" t="inlineStr">
        <is>
          <t>Phan Le Duy</t>
        </is>
      </c>
      <c r="E3" s="1" t="inlineStr">
        <is>
          <t>Minh</t>
        </is>
      </c>
      <c r="F3" s="1" t="inlineStr">
        <is>
          <t xml:space="preserve">  -   -</t>
        </is>
      </c>
      <c r="G3" s="1" t="inlineStr">
        <is>
          <t>LNH0925ND01</t>
        </is>
      </c>
      <c r="H3" s="1" t="inlineStr">
        <is>
          <t>09AV Giao tiep QT (TS)</t>
        </is>
      </c>
      <c r="I3" s="1" t="n">
        <v>1000000</v>
      </c>
      <c r="J3" s="1" t="inlineStr">
        <is>
          <t>(cap nhat 12.09.25)PHAN LE MINH DUY PHAN LE MINH DUY chuyen tien FT2523 7127225600 TAI TECHCOMBANK            HANOI</t>
        </is>
      </c>
    </row>
    <row r="4">
      <c r="A4" s="1" t="inlineStr">
        <is>
          <t>25-Aug-25</t>
        </is>
      </c>
      <c r="B4" s="1" t="inlineStr">
        <is>
          <t>I59060</t>
        </is>
      </c>
      <c r="C4" s="1" t="inlineStr">
        <is>
          <t>25807500216</t>
        </is>
      </c>
      <c r="D4" s="1" t="inlineStr">
        <is>
          <t>Dang Dinh</t>
        </is>
      </c>
      <c r="E4" s="1" t="inlineStr">
        <is>
          <t>Hieu</t>
        </is>
      </c>
      <c r="F4" s="1" t="inlineStr">
        <is>
          <t xml:space="preserve">  -   -</t>
        </is>
      </c>
      <c r="G4" s="1" t="inlineStr">
        <is>
          <t>LNH0925ND01</t>
        </is>
      </c>
      <c r="H4" s="1" t="inlineStr">
        <is>
          <t>09AV Giao tiep QT (TS)</t>
        </is>
      </c>
      <c r="I4" s="1" t="n">
        <v>1000000</v>
      </c>
      <c r="J4" s="1" t="inlineStr">
        <is>
          <t>(cap nhat 12.09.25)VND-TGTT-DANG DINH HAU DANG DINH HAU chuyen tien FT2523730 0019161 TAI TECHCOMBANK            HANOI</t>
        </is>
      </c>
    </row>
    <row r="5">
      <c r="A5" s="1" t="inlineStr">
        <is>
          <t>25-Aug-25</t>
        </is>
      </c>
      <c r="B5" s="1" t="inlineStr">
        <is>
          <t>I59061</t>
        </is>
      </c>
      <c r="C5" s="1" t="inlineStr">
        <is>
          <t>25801700020</t>
        </is>
      </c>
      <c r="D5" s="1" t="inlineStr">
        <is>
          <t>Bui Quang</t>
        </is>
      </c>
      <c r="E5" s="1" t="inlineStr">
        <is>
          <t>Huy</t>
        </is>
      </c>
      <c r="F5" s="1" t="inlineStr">
        <is>
          <t xml:space="preserve">  -   -</t>
        </is>
      </c>
      <c r="G5" s="1" t="inlineStr">
        <is>
          <t>LNH0925ND01</t>
        </is>
      </c>
      <c r="H5" s="1" t="inlineStr">
        <is>
          <t>09AV Giao tiep QT (TS)</t>
        </is>
      </c>
      <c r="I5" s="1" t="n">
        <v>1000000</v>
      </c>
      <c r="J5" s="1" t="inlineStr">
        <is>
          <t>(cap nhat 12.09.2025)PHAM THI HA PHAM THI HA chuyen tien TAI IBT VPB EBANKING         HANOI</t>
        </is>
      </c>
    </row>
    <row r="6">
      <c r="A6" s="1" t="inlineStr">
        <is>
          <t>26-Aug-25</t>
        </is>
      </c>
      <c r="B6" s="1" t="inlineStr">
        <is>
          <t>I59419</t>
        </is>
      </c>
      <c r="C6" s="1" t="inlineStr">
        <is>
          <t>25808900008</t>
        </is>
      </c>
      <c r="D6" s="1" t="inlineStr">
        <is>
          <t>Le Do Hung</t>
        </is>
      </c>
      <c r="E6" s="1" t="inlineStr">
        <is>
          <t>Anh</t>
        </is>
      </c>
      <c r="F6" s="1" t="inlineStr">
        <is>
          <t xml:space="preserve">  -   -</t>
        </is>
      </c>
      <c r="G6" s="1" t="inlineStr">
        <is>
          <t>LNH0925ND01</t>
        </is>
      </c>
      <c r="H6" s="1" t="inlineStr">
        <is>
          <t>09AV Giao tiep QT (TS)</t>
        </is>
      </c>
      <c r="I6" s="1" t="n">
        <v>1000000</v>
      </c>
      <c r="J6" s="1" t="inlineStr">
        <is>
          <t>(cap nhat 12.09.25)TKTT-VND-LE VIET TRUNG LE VIET TRUNG chuyen tien FT2523823 7393194 TAI TECHCOMBANK            HANOI</t>
        </is>
      </c>
    </row>
    <row r="7">
      <c r="A7" s="1" t="inlineStr">
        <is>
          <t>27-Aug-25</t>
        </is>
      </c>
      <c r="B7" s="1" t="inlineStr">
        <is>
          <t>I59751</t>
        </is>
      </c>
      <c r="C7" s="1" t="inlineStr">
        <is>
          <t>25800400162</t>
        </is>
      </c>
      <c r="D7" s="1" t="inlineStr">
        <is>
          <t>Nguyen Van</t>
        </is>
      </c>
      <c r="E7" s="1" t="inlineStr">
        <is>
          <t>Truyen</t>
        </is>
      </c>
      <c r="F7" s="1" t="inlineStr">
        <is>
          <t xml:space="preserve">  -   -</t>
        </is>
      </c>
      <c r="G7" s="1" t="inlineStr">
        <is>
          <t>LNH0925ND01</t>
        </is>
      </c>
      <c r="H7" s="1" t="inlineStr">
        <is>
          <t>09AV Giao tiep QT (TS)</t>
        </is>
      </c>
      <c r="I7" s="1" t="n">
        <v>1000000</v>
      </c>
      <c r="J7" s="1" t="inlineStr">
        <is>
          <t>(cap nhat 12.09.25)MBBANK IBFT NGUYEN VAN TRUYEN chuyen tien TAI IBT-MB                   HANOI</t>
        </is>
      </c>
    </row>
    <row r="8">
      <c r="A8" s="1" t="inlineStr">
        <is>
          <t>27-Aug-25</t>
        </is>
      </c>
      <c r="B8" s="1" t="inlineStr">
        <is>
          <t>I59754</t>
        </is>
      </c>
      <c r="C8" s="1" t="inlineStr">
        <is>
          <t>25808300049</t>
        </is>
      </c>
      <c r="D8" s="1" t="inlineStr">
        <is>
          <t>Nguyen Thi Anh</t>
        </is>
      </c>
      <c r="E8" s="1" t="inlineStr">
        <is>
          <t>Thu</t>
        </is>
      </c>
      <c r="F8" s="1" t="inlineStr">
        <is>
          <t xml:space="preserve">  -   -</t>
        </is>
      </c>
      <c r="G8" s="1" t="inlineStr">
        <is>
          <t>LNH0925ND01</t>
        </is>
      </c>
      <c r="H8" s="1" t="inlineStr">
        <is>
          <t>09AV Giao tiep QT (TS)</t>
        </is>
      </c>
      <c r="I8" s="1" t="n">
        <v>1000000</v>
      </c>
      <c r="J8" s="1" t="inlineStr">
        <is>
          <t>(cap nhat 12.09.25)NGUYEN THI ANH THU ABBank 0521043748045 NGUYEN THI ANH THU chuyen tien TAI Agribank</t>
        </is>
      </c>
    </row>
    <row r="9">
      <c r="A9" s="1" t="inlineStr">
        <is>
          <t>27-Aug-25</t>
        </is>
      </c>
      <c r="B9" s="1" t="inlineStr">
        <is>
          <t>I59755</t>
        </is>
      </c>
      <c r="C9" s="1" t="inlineStr">
        <is>
          <t>25808200085</t>
        </is>
      </c>
      <c r="D9" s="1" t="inlineStr">
        <is>
          <t>Nguyen Hoang</t>
        </is>
      </c>
      <c r="E9" s="1" t="inlineStr">
        <is>
          <t>Minh</t>
        </is>
      </c>
      <c r="F9" s="1" t="inlineStr">
        <is>
          <t xml:space="preserve">  -   -</t>
        </is>
      </c>
      <c r="G9" s="1" t="inlineStr">
        <is>
          <t>LNH0925ND01</t>
        </is>
      </c>
      <c r="H9" s="1" t="inlineStr">
        <is>
          <t>09AV Giao tiep QT (TS)</t>
        </is>
      </c>
      <c r="I9" s="1" t="n">
        <v>1000000</v>
      </c>
      <c r="J9" s="1" t="inlineStr">
        <is>
          <t>(cap nhat 12.09.25)VND-TGTT-NGUYEN MINH HIEN NGUYEN MINH HIEN chuyen tien FT2523 9054810500 TAI TECHCOMBANK            HANOI</t>
        </is>
      </c>
    </row>
    <row r="10">
      <c r="A10" s="1" t="inlineStr">
        <is>
          <t>28-Aug-25</t>
        </is>
      </c>
      <c r="B10" s="1" t="inlineStr">
        <is>
          <t>I59914</t>
        </is>
      </c>
      <c r="C10" s="1" t="inlineStr">
        <is>
          <t>25802800253</t>
        </is>
      </c>
      <c r="D10" s="1" t="inlineStr">
        <is>
          <t>Nguyen Ngoc Anh</t>
        </is>
      </c>
      <c r="E10" s="1" t="inlineStr">
        <is>
          <t>Thu</t>
        </is>
      </c>
      <c r="F10" s="1" t="inlineStr">
        <is>
          <t xml:space="preserve">  -   -</t>
        </is>
      </c>
      <c r="G10" s="1" t="inlineStr">
        <is>
          <t>LNH0925ND01</t>
        </is>
      </c>
      <c r="H10" s="1" t="inlineStr">
        <is>
          <t>09AV Giao tiep QT (TS)</t>
        </is>
      </c>
      <c r="I10" s="1" t="n">
        <v>0</v>
      </c>
      <c r="J10" s="1" t="inlineStr">
        <is>
          <t>(cap nhat 12.09.25)VND-TGTT-NGUYEN NGOC TU ANH NGUYEN NGOC TU ANH chuyen tien FT25 240484564550 TAI TECHCOMBANK            HANOI</t>
        </is>
      </c>
    </row>
    <row r="11">
      <c r="A11" s="1" t="inlineStr">
        <is>
          <t>28-Aug-25</t>
        </is>
      </c>
      <c r="B11" s="1" t="inlineStr">
        <is>
          <t>I59919</t>
        </is>
      </c>
      <c r="C11" s="1" t="inlineStr">
        <is>
          <t>25820300015</t>
        </is>
      </c>
      <c r="D11" s="1" t="inlineStr">
        <is>
          <t>Cao Quang</t>
        </is>
      </c>
      <c r="E11" s="1" t="inlineStr">
        <is>
          <t>Huy</t>
        </is>
      </c>
      <c r="F11" s="1" t="inlineStr">
        <is>
          <t xml:space="preserve">  -   -</t>
        </is>
      </c>
      <c r="G11" s="1" t="inlineStr">
        <is>
          <t>LNH0925ND01</t>
        </is>
      </c>
      <c r="H11" s="1" t="inlineStr">
        <is>
          <t>09AV Giao tiep QT (TS)</t>
        </is>
      </c>
      <c r="I11" s="1" t="n">
        <v>1000000</v>
      </c>
      <c r="J11" s="1" t="inlineStr">
        <is>
          <t>(cap nhat 12.09.25)CAO THI TRA MY Cao Thi Tra My chuyen tien tu Timo TAI Timo                   412 NTMK</t>
        </is>
      </c>
    </row>
    <row r="12">
      <c r="A12" s="1" t="inlineStr">
        <is>
          <t>28-Aug-25</t>
        </is>
      </c>
      <c r="B12" s="1" t="inlineStr">
        <is>
          <t>I59920</t>
        </is>
      </c>
      <c r="C12" s="1" t="inlineStr">
        <is>
          <t>25802600004</t>
        </is>
      </c>
      <c r="D12" s="1" t="inlineStr">
        <is>
          <t>Nguyen Chau</t>
        </is>
      </c>
      <c r="E12" s="1" t="inlineStr">
        <is>
          <t>Anh</t>
        </is>
      </c>
      <c r="F12" s="1" t="inlineStr">
        <is>
          <t xml:space="preserve">  -   -</t>
        </is>
      </c>
      <c r="G12" s="1" t="inlineStr">
        <is>
          <t>LNH0925ND01</t>
        </is>
      </c>
      <c r="H12" s="1" t="inlineStr">
        <is>
          <t>09AV Giao tiep QT (TS)</t>
        </is>
      </c>
      <c r="I12" s="1" t="n">
        <v>1000000</v>
      </c>
      <c r="J12" s="1" t="inlineStr">
        <is>
          <t>(cap nhat 12.09.25)NGUYEN CAO MINH NGUYEN CAO MINH chuyen tien TAI IBT TIENPHONGBANK      HANOI</t>
        </is>
      </c>
    </row>
    <row r="13">
      <c r="A13" s="1" t="inlineStr">
        <is>
          <t>28-Aug-25</t>
        </is>
      </c>
      <c r="B13" s="1" t="inlineStr">
        <is>
          <t>I59922</t>
        </is>
      </c>
      <c r="C13" s="1" t="inlineStr">
        <is>
          <t>25808900260</t>
        </is>
      </c>
      <c r="D13" s="1" t="inlineStr">
        <is>
          <t>Dinh Gia</t>
        </is>
      </c>
      <c r="E13" s="1" t="inlineStr">
        <is>
          <t>Bao</t>
        </is>
      </c>
      <c r="F13" s="1" t="inlineStr">
        <is>
          <t xml:space="preserve">  -   -</t>
        </is>
      </c>
      <c r="G13" s="1" t="inlineStr">
        <is>
          <t>LNH0925ND01</t>
        </is>
      </c>
      <c r="H13" s="1" t="inlineStr">
        <is>
          <t>09AV Giao tiep QT (TS)</t>
        </is>
      </c>
      <c r="I13" s="1" t="n">
        <v>1000000</v>
      </c>
      <c r="J13" s="1" t="inlineStr">
        <is>
          <t>(cap nhat 12.09.25)DINH GIA BAO DINH GIA BAO chuyen tien FT25240605 990930 TAI TECHCOMBANK            HANOI</t>
        </is>
      </c>
    </row>
    <row r="14">
      <c r="A14" s="1" t="inlineStr">
        <is>
          <t>29-Aug-25</t>
        </is>
      </c>
      <c r="B14" s="1" t="inlineStr">
        <is>
          <t>I60083</t>
        </is>
      </c>
      <c r="C14" s="1" t="inlineStr">
        <is>
          <t>25801100045</t>
        </is>
      </c>
      <c r="D14" s="1" t="inlineStr">
        <is>
          <t>Pham Minh</t>
        </is>
      </c>
      <c r="E14" s="1" t="inlineStr">
        <is>
          <t>Nhat</t>
        </is>
      </c>
      <c r="F14" s="1" t="inlineStr">
        <is>
          <t xml:space="preserve">  -   -</t>
        </is>
      </c>
      <c r="G14" s="1" t="inlineStr">
        <is>
          <t>LNH0925ND01</t>
        </is>
      </c>
      <c r="H14" s="1" t="inlineStr">
        <is>
          <t>09AV Giao tiep QT (TS)</t>
        </is>
      </c>
      <c r="I14" s="1" t="n">
        <v>3465000</v>
      </c>
      <c r="J14" s="1" t="inlineStr">
        <is>
          <t>MBBANK IBFT PHAM THI BICH TRA chuyen tien TAI IBT-MB                   HANOI</t>
        </is>
      </c>
    </row>
    <row r="15">
      <c r="A15" s="1" t="inlineStr">
        <is>
          <t>23-Aug-25</t>
        </is>
      </c>
      <c r="B15" s="1" t="inlineStr">
        <is>
          <t>I60142</t>
        </is>
      </c>
      <c r="C15" s="1" t="inlineStr">
        <is>
          <t>25802300384</t>
        </is>
      </c>
      <c r="D15" s="1" t="inlineStr">
        <is>
          <t>Mai Thieân</t>
        </is>
      </c>
      <c r="E15" s="1" t="inlineStr">
        <is>
          <t>Taán</t>
        </is>
      </c>
      <c r="F15" s="1" t="inlineStr">
        <is>
          <t>22-Oct-07</t>
        </is>
      </c>
      <c r="G15" s="1" t="inlineStr">
        <is>
          <t>LNH0925ND01</t>
        </is>
      </c>
      <c r="H15" s="1" t="inlineStr">
        <is>
          <t>09AV Giao tiep QT (TS)</t>
        </is>
      </c>
      <c r="I15" s="1" t="n">
        <v>300000</v>
      </c>
      <c r="J15" s="1" t="inlineStr">
        <is>
          <t>NGUYEN TRUNG NGHIA QR - Mai Thien Tan  25802300384 LNH 0925ND01  0366632135 TAI VietinBank</t>
        </is>
      </c>
    </row>
    <row r="16">
      <c r="A16" s="1" t="inlineStr">
        <is>
          <t>23-Aug-25</t>
        </is>
      </c>
      <c r="B16" s="1" t="inlineStr">
        <is>
          <t>I60143</t>
        </is>
      </c>
      <c r="C16" s="1" t="inlineStr">
        <is>
          <t>25800400195</t>
        </is>
      </c>
      <c r="D16" s="1" t="inlineStr">
        <is>
          <t>Tröông Gia</t>
        </is>
      </c>
      <c r="E16" s="1" t="inlineStr">
        <is>
          <t>Khaùnh</t>
        </is>
      </c>
      <c r="F16" s="1" t="inlineStr">
        <is>
          <t>01-Mar-06</t>
        </is>
      </c>
      <c r="G16" s="1" t="inlineStr">
        <is>
          <t>LNH0925ND01</t>
        </is>
      </c>
      <c r="H16" s="1" t="inlineStr">
        <is>
          <t>09AV Giao tiep QT (TS)</t>
        </is>
      </c>
      <c r="I16" s="1" t="n">
        <v>500000</v>
      </c>
      <c r="J16" s="1" t="inlineStr">
        <is>
          <t>MBBANK IBFT truong gia khanh 25800400195 LNH092 5ND01 0766023779 246 TAI IBT-MB                   HANOI</t>
        </is>
      </c>
    </row>
    <row r="17">
      <c r="A17" s="1" t="inlineStr">
        <is>
          <t>23-Aug-25</t>
        </is>
      </c>
      <c r="B17" s="1" t="inlineStr">
        <is>
          <t>I60144</t>
        </is>
      </c>
      <c r="C17" s="1" t="inlineStr">
        <is>
          <t>25809600060</t>
        </is>
      </c>
      <c r="D17" s="1" t="inlineStr">
        <is>
          <t>Ñoã Ñöùc</t>
        </is>
      </c>
      <c r="E17" s="1" t="inlineStr">
        <is>
          <t>Taøi</t>
        </is>
      </c>
      <c r="F17" s="1" t="inlineStr">
        <is>
          <t>10-May-07</t>
        </is>
      </c>
      <c r="G17" s="1" t="inlineStr">
        <is>
          <t>LNH0925ND01</t>
        </is>
      </c>
      <c r="H17" s="1" t="inlineStr">
        <is>
          <t>09AV Giao tiep QT (TS)</t>
        </is>
      </c>
      <c r="I17" s="1" t="n">
        <v>900000</v>
      </c>
      <c r="J17" s="1" t="inlineStr">
        <is>
          <t>DINH THI THE PHUONG QR - DO DUC TAI 25809600060 LNH0925 ND01 09336171999 TAI VietinBank</t>
        </is>
      </c>
    </row>
    <row r="18">
      <c r="A18" s="1" t="inlineStr">
        <is>
          <t>23-Aug-25</t>
        </is>
      </c>
      <c r="B18" s="1" t="inlineStr">
        <is>
          <t>I60145</t>
        </is>
      </c>
      <c r="C18" s="1" t="inlineStr">
        <is>
          <t>25801800110</t>
        </is>
      </c>
      <c r="D18" s="1" t="inlineStr">
        <is>
          <t>Leâ Thò</t>
        </is>
      </c>
      <c r="E18" s="1" t="inlineStr">
        <is>
          <t>Nguyeân</t>
        </is>
      </c>
      <c r="F18" s="1" t="inlineStr">
        <is>
          <t>14-Dec-07</t>
        </is>
      </c>
      <c r="G18" s="1" t="inlineStr">
        <is>
          <t>LNH0925ND01</t>
        </is>
      </c>
      <c r="H18" s="1" t="inlineStr">
        <is>
          <t>09AV Giao tiep QT (TS)</t>
        </is>
      </c>
      <c r="I18" s="1" t="n">
        <v>1000000</v>
      </c>
      <c r="J18" s="1" t="inlineStr">
        <is>
          <t>LE HO XUAN PHUONG ABBank 0521043748045 LE THI NGUYEN 25801800110 LNH0925ND01 0327574118 TAI Agribank</t>
        </is>
      </c>
    </row>
    <row r="19">
      <c r="A19" s="1" t="inlineStr">
        <is>
          <t>23-Aug-25</t>
        </is>
      </c>
      <c r="B19" s="1" t="inlineStr">
        <is>
          <t>I60146</t>
        </is>
      </c>
      <c r="C19" s="1" t="inlineStr">
        <is>
          <t>25807500016</t>
        </is>
      </c>
      <c r="D19" s="1" t="inlineStr">
        <is>
          <t>Nguyeãn Cao Thaùi</t>
        </is>
      </c>
      <c r="E19" s="1" t="inlineStr">
        <is>
          <t>Duy</t>
        </is>
      </c>
      <c r="F19" s="1" t="inlineStr">
        <is>
          <t>18-Jan-07</t>
        </is>
      </c>
      <c r="G19" s="1" t="inlineStr">
        <is>
          <t>LNH0925ND01</t>
        </is>
      </c>
      <c r="H19" s="1" t="inlineStr">
        <is>
          <t>09AV Giao tiep QT (TS)</t>
        </is>
      </c>
      <c r="I19" s="1" t="n">
        <v>1000000</v>
      </c>
      <c r="J19" s="1" t="inlineStr">
        <is>
          <t>SHBMB Nguyen Cao Thai Duy MSSV 2580750001 6 LNH0925ND01. 0928264515 TAI NganhangthuongmaicpSHB HaNoiVietNam</t>
        </is>
      </c>
    </row>
    <row r="20">
      <c r="A20" s="1" t="inlineStr">
        <is>
          <t>23-Aug-25</t>
        </is>
      </c>
      <c r="B20" s="1" t="inlineStr">
        <is>
          <t>I60147</t>
        </is>
      </c>
      <c r="C20" s="1" t="inlineStr">
        <is>
          <t>25802800180</t>
        </is>
      </c>
      <c r="D20" s="1" t="inlineStr">
        <is>
          <t>Thaùi Huyønh</t>
        </is>
      </c>
      <c r="E20" s="1" t="inlineStr">
        <is>
          <t>Nhaân</t>
        </is>
      </c>
      <c r="F20" s="1" t="inlineStr">
        <is>
          <t>30-Oct-07</t>
        </is>
      </c>
      <c r="G20" s="1" t="inlineStr">
        <is>
          <t>LNH0925ND01</t>
        </is>
      </c>
      <c r="H20" s="1" t="inlineStr">
        <is>
          <t>09AV Giao tiep QT (TS)</t>
        </is>
      </c>
      <c r="I20" s="1" t="n">
        <v>1000000</v>
      </c>
      <c r="J20" s="1" t="inlineStr">
        <is>
          <t>NGUYEN TRUNG NGHIA Thai Huynh Nhan  25802800180  LNH09 25ND01  0933250042 TAI VietinBank</t>
        </is>
      </c>
    </row>
    <row r="21">
      <c r="A21" s="1" t="inlineStr">
        <is>
          <t>23-Aug-25</t>
        </is>
      </c>
      <c r="B21" s="1" t="inlineStr">
        <is>
          <t>I60148</t>
        </is>
      </c>
      <c r="C21" s="1" t="inlineStr">
        <is>
          <t>25800400117</t>
        </is>
      </c>
      <c r="D21" s="1" t="inlineStr">
        <is>
          <t>Vuõ Hoaøng Minh</t>
        </is>
      </c>
      <c r="E21" s="1" t="inlineStr">
        <is>
          <t>Nhaät</t>
        </is>
      </c>
      <c r="F21" s="1" t="inlineStr">
        <is>
          <t>01-Jan-07</t>
        </is>
      </c>
      <c r="G21" s="1" t="inlineStr">
        <is>
          <t>LNH0925ND01</t>
        </is>
      </c>
      <c r="H21" s="1" t="inlineStr">
        <is>
          <t>09AV Giao tiep QT (TS)</t>
        </is>
      </c>
      <c r="I21" s="1" t="n">
        <v>1000000</v>
      </c>
      <c r="J21" s="1" t="inlineStr">
        <is>
          <t>PHAM THI CUC QR - VU HOANG MINH NHAT  2580040011 7 LNH0925ND01 0817127468 TAI VietinBank</t>
        </is>
      </c>
    </row>
    <row r="22">
      <c r="A22" s="1" t="inlineStr">
        <is>
          <t>23-Aug-25</t>
        </is>
      </c>
      <c r="B22" s="1" t="inlineStr">
        <is>
          <t>I60149</t>
        </is>
      </c>
      <c r="C22" s="1" t="inlineStr">
        <is>
          <t>25802800096</t>
        </is>
      </c>
      <c r="D22" s="1" t="inlineStr">
        <is>
          <t>Tran Gia</t>
        </is>
      </c>
      <c r="E22" s="1" t="inlineStr">
        <is>
          <t>Huy</t>
        </is>
      </c>
      <c r="F22" s="1" t="inlineStr">
        <is>
          <t xml:space="preserve">  -   -</t>
        </is>
      </c>
      <c r="G22" s="1" t="inlineStr">
        <is>
          <t>LNH0925ND01</t>
        </is>
      </c>
      <c r="H22" s="1" t="inlineStr">
        <is>
          <t>09AV Giao tiep QT (TS)</t>
        </is>
      </c>
      <c r="I22" s="1" t="n">
        <v>1000000</v>
      </c>
      <c r="J22" s="1" t="inlineStr">
        <is>
          <t>SACOMBANK IBFT TRAN GIA HUY 258028000096 LNH0 925ND01 TAI SACOMBANK              HCM</t>
        </is>
      </c>
    </row>
    <row r="23">
      <c r="A23" s="1" t="inlineStr">
        <is>
          <t>23-Aug-25</t>
        </is>
      </c>
      <c r="B23" s="1" t="inlineStr">
        <is>
          <t>I60150</t>
        </is>
      </c>
      <c r="C23" s="1" t="inlineStr">
        <is>
          <t>25807500152</t>
        </is>
      </c>
      <c r="D23" s="1" t="inlineStr">
        <is>
          <t>Ñaëng Minh</t>
        </is>
      </c>
      <c r="E23" s="1" t="inlineStr">
        <is>
          <t>Tröôøng</t>
        </is>
      </c>
      <c r="F23" s="1" t="inlineStr">
        <is>
          <t>03-Dec-07</t>
        </is>
      </c>
      <c r="G23" s="1" t="inlineStr">
        <is>
          <t>LNH0925ND01</t>
        </is>
      </c>
      <c r="H23" s="1" t="inlineStr">
        <is>
          <t>09AV Giao tiep QT (TS)</t>
        </is>
      </c>
      <c r="I23" s="1" t="n">
        <v>1000000</v>
      </c>
      <c r="J23" s="1" t="inlineStr">
        <is>
          <t>MBBANK IBFT DangMinhTruong 25807500152 LNH0925N D01 0345226152 246 TAI IBT-MB                   HANOI</t>
        </is>
      </c>
    </row>
    <row r="24">
      <c r="A24" s="1" t="inlineStr">
        <is>
          <t>23-Aug-25</t>
        </is>
      </c>
      <c r="B24" s="1" t="inlineStr">
        <is>
          <t>I60151</t>
        </is>
      </c>
      <c r="C24" s="1" t="inlineStr">
        <is>
          <t>25801600070</t>
        </is>
      </c>
      <c r="D24" s="1" t="inlineStr">
        <is>
          <t>Phan Thaønh</t>
        </is>
      </c>
      <c r="E24" s="1" t="inlineStr">
        <is>
          <t>Nhaân</t>
        </is>
      </c>
      <c r="F24" s="1" t="inlineStr">
        <is>
          <t>09-Nov-07</t>
        </is>
      </c>
      <c r="G24" s="1" t="inlineStr">
        <is>
          <t>LNH0925ND01</t>
        </is>
      </c>
      <c r="H24" s="1" t="inlineStr">
        <is>
          <t>09AV Giao tiep QT (TS)</t>
        </is>
      </c>
      <c r="I24" s="1" t="n">
        <v>1000000</v>
      </c>
      <c r="J24" s="1" t="inlineStr">
        <is>
          <t>NGUYEN TRUNG NGHIA Phan Thanh Nhan  25801600070  LNH09 25ND01  0914608327 TAI VietinBank</t>
        </is>
      </c>
    </row>
    <row r="25">
      <c r="A25" s="1" t="inlineStr">
        <is>
          <t>23-Aug-25</t>
        </is>
      </c>
      <c r="B25" s="1" t="inlineStr">
        <is>
          <t>I60152</t>
        </is>
      </c>
      <c r="C25" s="1" t="inlineStr">
        <is>
          <t>25802600107</t>
        </is>
      </c>
      <c r="D25" s="1" t="inlineStr">
        <is>
          <t>Ngoâ Ñoàng</t>
        </is>
      </c>
      <c r="E25" s="1" t="inlineStr">
        <is>
          <t>Taâm</t>
        </is>
      </c>
      <c r="F25" s="1" t="inlineStr">
        <is>
          <t>22-Dec-07</t>
        </is>
      </c>
      <c r="G25" s="1" t="inlineStr">
        <is>
          <t>LNH0925ND01</t>
        </is>
      </c>
      <c r="H25" s="1" t="inlineStr">
        <is>
          <t>09AV Giao tiep QT (TS)</t>
        </is>
      </c>
      <c r="I25" s="1" t="n">
        <v>1000000</v>
      </c>
      <c r="J25" s="1" t="inlineStr">
        <is>
          <t>MBBANK IBFT NGO DONG TAM 25802600107 LNH0925ND0 1  SDT 0394025019 TAI IBT-MB                   HANOI</t>
        </is>
      </c>
    </row>
    <row r="26">
      <c r="A26" s="1" t="inlineStr">
        <is>
          <t>23-Aug-25</t>
        </is>
      </c>
      <c r="B26" s="1" t="inlineStr">
        <is>
          <t>I60153</t>
        </is>
      </c>
      <c r="C26" s="1" t="inlineStr">
        <is>
          <t>25802100002</t>
        </is>
      </c>
      <c r="D26" s="1" t="inlineStr">
        <is>
          <t>Nguyeãn Hoaøng</t>
        </is>
      </c>
      <c r="E26" s="1" t="inlineStr">
        <is>
          <t>Anh</t>
        </is>
      </c>
      <c r="F26" s="1" t="inlineStr">
        <is>
          <t>09-Apr-02</t>
        </is>
      </c>
      <c r="G26" s="1" t="inlineStr">
        <is>
          <t>LNH0925ND01</t>
        </is>
      </c>
      <c r="H26" s="1" t="inlineStr">
        <is>
          <t>09AV Giao tiep QT (TS)</t>
        </is>
      </c>
      <c r="I26" s="1" t="n">
        <v>1000000</v>
      </c>
      <c r="J26" s="1" t="inlineStr">
        <is>
          <t>NGUYEN PHU BAO nguyen hoang anh  25802100002 LNH09 25ND01   0355281276 TAI IBT BIDV                 HANOI</t>
        </is>
      </c>
    </row>
    <row r="27">
      <c r="A27" s="1" t="inlineStr">
        <is>
          <t>23-Aug-25</t>
        </is>
      </c>
      <c r="B27" s="1" t="inlineStr">
        <is>
          <t>I60154</t>
        </is>
      </c>
      <c r="C27" s="1" t="inlineStr">
        <is>
          <t>25808600150</t>
        </is>
      </c>
      <c r="D27" s="1" t="inlineStr">
        <is>
          <t>Nguyeãn Thò Ngoïc</t>
        </is>
      </c>
      <c r="E27" s="1" t="inlineStr">
        <is>
          <t>Vi</t>
        </is>
      </c>
      <c r="F27" s="1" t="inlineStr">
        <is>
          <t>31-Jul-07</t>
        </is>
      </c>
      <c r="G27" s="1" t="inlineStr">
        <is>
          <t>LNH0925ND01</t>
        </is>
      </c>
      <c r="H27" s="1" t="inlineStr">
        <is>
          <t>09AV Giao tiep QT (TS)</t>
        </is>
      </c>
      <c r="I27" s="1" t="n">
        <v>1000000</v>
      </c>
      <c r="J27" s="1" t="inlineStr">
        <is>
          <t>NGUYEN TRUNG NGHIA Nguyen Thi Ngoc Vi  25808600150  LN H0925ND01  0965555169 TAI VietinBank</t>
        </is>
      </c>
    </row>
    <row r="28">
      <c r="A28" s="1" t="inlineStr">
        <is>
          <t>23-Aug-25</t>
        </is>
      </c>
      <c r="B28" s="1" t="inlineStr">
        <is>
          <t>I60155</t>
        </is>
      </c>
      <c r="C28" s="1" t="inlineStr">
        <is>
          <t>25808600083</t>
        </is>
      </c>
      <c r="D28" s="1" t="inlineStr">
        <is>
          <t>Nguyeãn Thò Khaùnh</t>
        </is>
      </c>
      <c r="E28" s="1" t="inlineStr">
        <is>
          <t>Nhi</t>
        </is>
      </c>
      <c r="F28" s="1" t="inlineStr">
        <is>
          <t>24-Apr-07</t>
        </is>
      </c>
      <c r="G28" s="1" t="inlineStr">
        <is>
          <t>LNH0925ND01</t>
        </is>
      </c>
      <c r="H28" s="1" t="inlineStr">
        <is>
          <t>09AV Giao tiep QT (TS)</t>
        </is>
      </c>
      <c r="I28" s="1" t="n">
        <v>1000000</v>
      </c>
      <c r="J28" s="1" t="inlineStr">
        <is>
          <t>NGUYEN QUOC PHUONG QR - nguyenthikhanhnhi 25808600083 LNH0925ND01 0369254668 TAI VietinBank</t>
        </is>
      </c>
    </row>
    <row r="29">
      <c r="A29" s="1" t="inlineStr">
        <is>
          <t>23-Aug-25</t>
        </is>
      </c>
      <c r="B29" s="1" t="inlineStr">
        <is>
          <t>I60156</t>
        </is>
      </c>
      <c r="C29" s="1" t="inlineStr">
        <is>
          <t>25808700077</t>
        </is>
      </c>
      <c r="D29" s="1" t="inlineStr">
        <is>
          <t>Traàn Thanh</t>
        </is>
      </c>
      <c r="E29" s="1" t="inlineStr">
        <is>
          <t>Phong</t>
        </is>
      </c>
      <c r="F29" s="1" t="inlineStr">
        <is>
          <t>10-Oct-07</t>
        </is>
      </c>
      <c r="G29" s="1" t="inlineStr">
        <is>
          <t>LNH0925ND01</t>
        </is>
      </c>
      <c r="H29" s="1" t="inlineStr">
        <is>
          <t>09AV Giao tiep QT (TS)</t>
        </is>
      </c>
      <c r="I29" s="1" t="n">
        <v>1000000</v>
      </c>
      <c r="J29" s="1" t="inlineStr">
        <is>
          <t>Tran Thanh Phong MBVCB.10652690313.635847.Tran Thanh Phong 25808700077 LNH0925ND01 0332 003089.CT tu 1048630218 Tran Thanh Phong toi 0521043748045 HUTECH taiABBANK TAI Vietcombank</t>
        </is>
      </c>
    </row>
    <row r="30">
      <c r="A30" s="1" t="inlineStr">
        <is>
          <t>23-Aug-25</t>
        </is>
      </c>
      <c r="B30" s="1" t="inlineStr">
        <is>
          <t>I60157</t>
        </is>
      </c>
      <c r="C30" s="1" t="inlineStr">
        <is>
          <t>25808600120</t>
        </is>
      </c>
      <c r="D30" s="1" t="inlineStr">
        <is>
          <t>Traàn Nguyeãn Anh</t>
        </is>
      </c>
      <c r="E30" s="1" t="inlineStr">
        <is>
          <t>Thö</t>
        </is>
      </c>
      <c r="F30" s="1" t="inlineStr">
        <is>
          <t>27-May-07</t>
        </is>
      </c>
      <c r="G30" s="1" t="inlineStr">
        <is>
          <t>LNH0925ND01</t>
        </is>
      </c>
      <c r="H30" s="1" t="inlineStr">
        <is>
          <t>09AV Giao tiep QT (TS)</t>
        </is>
      </c>
      <c r="I30" s="1" t="n">
        <v>1000000</v>
      </c>
      <c r="J30" s="1" t="inlineStr">
        <is>
          <t>TRAN THI THANH MAI QR - Tran Nguyen Anh Thu 2580860012 0 LNH0925ND01 0971806574 TAI VietinBank</t>
        </is>
      </c>
    </row>
    <row r="31">
      <c r="A31" s="1" t="inlineStr">
        <is>
          <t>23-Aug-25</t>
        </is>
      </c>
      <c r="B31" s="1" t="inlineStr">
        <is>
          <t>I60158</t>
        </is>
      </c>
      <c r="C31" s="1" t="inlineStr">
        <is>
          <t>25808900016</t>
        </is>
      </c>
      <c r="D31" s="1" t="inlineStr">
        <is>
          <t>Nguyeãn Thaønh</t>
        </is>
      </c>
      <c r="E31" s="1" t="inlineStr">
        <is>
          <t>Coâng</t>
        </is>
      </c>
      <c r="F31" s="1" t="inlineStr">
        <is>
          <t>26-May-07</t>
        </is>
      </c>
      <c r="G31" s="1" t="inlineStr">
        <is>
          <t>LNH0925ND01</t>
        </is>
      </c>
      <c r="H31" s="1" t="inlineStr">
        <is>
          <t>09AV Giao tiep QT (TS)</t>
        </is>
      </c>
      <c r="I31" s="1" t="n">
        <v>1000000</v>
      </c>
      <c r="J31" s="1" t="inlineStr">
        <is>
          <t>NGUYEN THANH CONG QR - NGUYEN THANH CONG 25808900016 LNH0925ND01 0352063692 TAI VietinBank</t>
        </is>
      </c>
    </row>
    <row r="32">
      <c r="A32" s="1" t="inlineStr">
        <is>
          <t>23-Aug-25</t>
        </is>
      </c>
      <c r="B32" s="1" t="inlineStr">
        <is>
          <t>I60159</t>
        </is>
      </c>
      <c r="C32" s="1" t="inlineStr">
        <is>
          <t>25801100062</t>
        </is>
      </c>
      <c r="D32" s="1" t="inlineStr">
        <is>
          <t>Phaïm Nhaät</t>
        </is>
      </c>
      <c r="E32" s="1" t="inlineStr">
        <is>
          <t>Thieân</t>
        </is>
      </c>
      <c r="F32" s="1" t="inlineStr">
        <is>
          <t>10-Aug-07</t>
        </is>
      </c>
      <c r="G32" s="1" t="inlineStr">
        <is>
          <t>LNH0925ND01</t>
        </is>
      </c>
      <c r="H32" s="1" t="inlineStr">
        <is>
          <t>09AV Giao tiep QT (TS)</t>
        </is>
      </c>
      <c r="I32" s="1" t="n">
        <v>1000000</v>
      </c>
      <c r="J32" s="1" t="inlineStr">
        <is>
          <t>NGUYEN TRUNG NGHIA Pham Nhat Thien  25801100062  LNH09 25ND01  0385001410 TAI VietinBank</t>
        </is>
      </c>
    </row>
    <row r="33">
      <c r="A33" s="1" t="inlineStr">
        <is>
          <t>23-Aug-25</t>
        </is>
      </c>
      <c r="B33" s="1" t="inlineStr">
        <is>
          <t>I60160</t>
        </is>
      </c>
      <c r="C33" s="1" t="inlineStr">
        <is>
          <t>25808600065</t>
        </is>
      </c>
      <c r="D33" s="1" t="inlineStr">
        <is>
          <t>Nguyeãn Traø</t>
        </is>
      </c>
      <c r="E33" s="1" t="inlineStr">
        <is>
          <t>My</t>
        </is>
      </c>
      <c r="F33" s="1" t="inlineStr">
        <is>
          <t>13-May-07</t>
        </is>
      </c>
      <c r="G33" s="1" t="inlineStr">
        <is>
          <t>LNH0925ND01</t>
        </is>
      </c>
      <c r="H33" s="1" t="inlineStr">
        <is>
          <t>09AV Giao tiep QT (TS)</t>
        </is>
      </c>
      <c r="I33" s="1" t="n">
        <v>1000000</v>
      </c>
      <c r="J33" s="1" t="inlineStr">
        <is>
          <t>NGUYEN THE HUY NGUYEN TRA MY 25808600065 LNH0925ND 01 0344692585 TAI IBT VPB EBANKING         HANOI</t>
        </is>
      </c>
    </row>
    <row r="34">
      <c r="A34" s="1" t="inlineStr">
        <is>
          <t>23-Aug-25</t>
        </is>
      </c>
      <c r="B34" s="1" t="inlineStr">
        <is>
          <t>I60161</t>
        </is>
      </c>
      <c r="C34" s="1" t="inlineStr">
        <is>
          <t>25802700127</t>
        </is>
      </c>
      <c r="D34" s="1" t="inlineStr">
        <is>
          <t>Leâ Xuaân</t>
        </is>
      </c>
      <c r="E34" s="1" t="inlineStr">
        <is>
          <t>Höng</t>
        </is>
      </c>
      <c r="F34" s="1" t="inlineStr">
        <is>
          <t>20-Jun-07</t>
        </is>
      </c>
      <c r="G34" s="1" t="inlineStr">
        <is>
          <t>LNH0925ND01</t>
        </is>
      </c>
      <c r="H34" s="1" t="inlineStr">
        <is>
          <t>09AV Giao tiep QT (TS)</t>
        </is>
      </c>
      <c r="I34" s="1" t="n">
        <v>1000000</v>
      </c>
      <c r="J34" s="1" t="inlineStr">
        <is>
          <t>LE XUAN HUNG LE XUAN HUNG 25802700127 LNH0925ND0 1 0816575458 lop hoc toi 3 5 7 TAI IBT BIDV                 HANOI</t>
        </is>
      </c>
    </row>
    <row r="35">
      <c r="A35" s="1" t="inlineStr">
        <is>
          <t>23-Aug-25</t>
        </is>
      </c>
      <c r="B35" s="1" t="inlineStr">
        <is>
          <t>I60162</t>
        </is>
      </c>
      <c r="C35" s="1" t="inlineStr">
        <is>
          <t>25802800205</t>
        </is>
      </c>
      <c r="D35" s="1" t="inlineStr">
        <is>
          <t>Phuøng Theá</t>
        </is>
      </c>
      <c r="E35" s="1" t="inlineStr">
        <is>
          <t>Phong</t>
        </is>
      </c>
      <c r="F35" s="1" t="inlineStr">
        <is>
          <t>24-Dec-07</t>
        </is>
      </c>
      <c r="G35" s="1" t="inlineStr">
        <is>
          <t>LNH0925ND01</t>
        </is>
      </c>
      <c r="H35" s="1" t="inlineStr">
        <is>
          <t>09AV Giao tiep QT (TS)</t>
        </is>
      </c>
      <c r="I35" s="1" t="n">
        <v>1000000</v>
      </c>
      <c r="J35" s="1" t="inlineStr">
        <is>
          <t>PHUNG THE PHONG MBVCB.10653465472.154171.PHUNG THE PHONG  25802800205  LNH0925ND01  03 68617087  2-4-6.CT tu 1040191638 PH UNG THE PHONG toi 0521043748045 HUTECH tai ABBANK TAI Vietcombank</t>
        </is>
      </c>
    </row>
    <row r="36">
      <c r="A36" s="1" t="inlineStr">
        <is>
          <t>23-Aug-25</t>
        </is>
      </c>
      <c r="B36" s="1" t="inlineStr">
        <is>
          <t>I60163</t>
        </is>
      </c>
      <c r="C36" s="1" t="inlineStr">
        <is>
          <t>25802600109</t>
        </is>
      </c>
      <c r="D36" s="1" t="inlineStr">
        <is>
          <t>Ngoâ Taâm</t>
        </is>
      </c>
      <c r="E36" s="1" t="inlineStr">
        <is>
          <t>Thanh</t>
        </is>
      </c>
      <c r="F36" s="1" t="inlineStr">
        <is>
          <t>12-Jul-07</t>
        </is>
      </c>
      <c r="G36" s="1" t="inlineStr">
        <is>
          <t>LNH0925ND01</t>
        </is>
      </c>
      <c r="H36" s="1" t="inlineStr">
        <is>
          <t>09AV Giao tiep QT (TS)</t>
        </is>
      </c>
      <c r="I36" s="1" t="n">
        <v>1000000</v>
      </c>
      <c r="J36" s="1" t="inlineStr">
        <is>
          <t>SHBMB NgoTamThanh 25802600109 LNH0925ND01 0985837975 TAI NganhangthuongmaicpSHB HaNoiVietNam</t>
        </is>
      </c>
    </row>
    <row r="37">
      <c r="A37" s="1" t="inlineStr">
        <is>
          <t>23-Aug-25</t>
        </is>
      </c>
      <c r="B37" s="1" t="inlineStr">
        <is>
          <t>I60164</t>
        </is>
      </c>
      <c r="C37" s="1" t="inlineStr">
        <is>
          <t>25802800160</t>
        </is>
      </c>
      <c r="D37" s="1" t="inlineStr">
        <is>
          <t>Cao Nguyeãn Yeán</t>
        </is>
      </c>
      <c r="E37" s="1" t="inlineStr">
        <is>
          <t>Ngoïc</t>
        </is>
      </c>
      <c r="F37" s="1" t="inlineStr">
        <is>
          <t>05-Jan-07</t>
        </is>
      </c>
      <c r="G37" s="1" t="inlineStr">
        <is>
          <t>LNH0925ND01</t>
        </is>
      </c>
      <c r="H37" s="1" t="inlineStr">
        <is>
          <t>09AV Giao tiep QT (TS)</t>
        </is>
      </c>
      <c r="I37" s="1" t="n">
        <v>1000000</v>
      </c>
      <c r="J37" s="1" t="inlineStr">
        <is>
          <t>MBBANK IBFT CAO NGUYEN YEN NGOC MA SV 258028001 60 LNH0925ND01 SDT 0707525858 lop h oc 246 TAI IBT-MB                   HANOI</t>
        </is>
      </c>
    </row>
    <row r="38">
      <c r="A38" s="1" t="inlineStr">
        <is>
          <t>23-Aug-25</t>
        </is>
      </c>
      <c r="B38" s="1" t="inlineStr">
        <is>
          <t>I60165</t>
        </is>
      </c>
      <c r="C38" s="1" t="inlineStr">
        <is>
          <t>25820700030</t>
        </is>
      </c>
      <c r="D38" s="1" t="inlineStr">
        <is>
          <t>Traàn Minh</t>
        </is>
      </c>
      <c r="E38" s="1" t="inlineStr">
        <is>
          <t>Phaùt</t>
        </is>
      </c>
      <c r="F38" s="1" t="inlineStr">
        <is>
          <t>06-Mar-07</t>
        </is>
      </c>
      <c r="G38" s="1" t="inlineStr">
        <is>
          <t>LNH0925ND01</t>
        </is>
      </c>
      <c r="H38" s="1" t="inlineStr">
        <is>
          <t>09AV Giao tiep QT (TS)</t>
        </is>
      </c>
      <c r="I38" s="1" t="n">
        <v>1000000</v>
      </c>
      <c r="J38" s="1" t="inlineStr">
        <is>
          <t>NGUYEN TRUNG NGHIA Tran Minh Phat  25820700030  LNH092 5ND01  0973708021 TAI VietinBank</t>
        </is>
      </c>
    </row>
    <row r="39">
      <c r="A39" s="1" t="inlineStr">
        <is>
          <t>23-Aug-25</t>
        </is>
      </c>
      <c r="B39" s="1" t="inlineStr">
        <is>
          <t>I60166</t>
        </is>
      </c>
      <c r="C39" s="1" t="inlineStr">
        <is>
          <t>25807500079</t>
        </is>
      </c>
      <c r="D39" s="1" t="inlineStr">
        <is>
          <t>Leâ Thaûo Haïnh</t>
        </is>
      </c>
      <c r="E39" s="1" t="inlineStr">
        <is>
          <t>Nguyeân</t>
        </is>
      </c>
      <c r="F39" s="1" t="inlineStr">
        <is>
          <t>23-Dec-07</t>
        </is>
      </c>
      <c r="G39" s="1" t="inlineStr">
        <is>
          <t>LNH0925ND01</t>
        </is>
      </c>
      <c r="H39" s="1" t="inlineStr">
        <is>
          <t>09AV Giao tiep QT (TS)</t>
        </is>
      </c>
      <c r="I39" s="1" t="n">
        <v>1000000</v>
      </c>
      <c r="J39" s="1" t="inlineStr">
        <is>
          <t>NGUYEN TRUNG NGHIA LE THAO HANH NGUYEN  25807500079  L NH0925ND01  0823161178 TAI VietinBank</t>
        </is>
      </c>
    </row>
    <row r="40">
      <c r="A40" s="1" t="inlineStr">
        <is>
          <t>23-Aug-25</t>
        </is>
      </c>
      <c r="B40" s="1" t="inlineStr">
        <is>
          <t>I60167</t>
        </is>
      </c>
      <c r="C40" s="1" t="inlineStr">
        <is>
          <t>25803800039</t>
        </is>
      </c>
      <c r="D40" s="1" t="inlineStr">
        <is>
          <t>Laâm Ñinh Baûo</t>
        </is>
      </c>
      <c r="E40" s="1" t="inlineStr">
        <is>
          <t>Nghi</t>
        </is>
      </c>
      <c r="F40" s="1" t="inlineStr">
        <is>
          <t>01-Nov-07</t>
        </is>
      </c>
      <c r="G40" s="1" t="inlineStr">
        <is>
          <t>LNH0925ND01</t>
        </is>
      </c>
      <c r="H40" s="1" t="inlineStr">
        <is>
          <t>09AV Giao tiep QT (TS)</t>
        </is>
      </c>
      <c r="I40" s="1" t="n">
        <v>1000000</v>
      </c>
      <c r="J40" s="1" t="inlineStr">
        <is>
          <t>NGUYEN TRUNG NGHIA LAM DINH BAO NGHI  25803800039  LNH 0925ND01  0899472047 TAI VietinBank</t>
        </is>
      </c>
    </row>
    <row r="41">
      <c r="A41" s="1" t="inlineStr">
        <is>
          <t>23-Aug-25</t>
        </is>
      </c>
      <c r="B41" s="1" t="inlineStr">
        <is>
          <t>I60168</t>
        </is>
      </c>
      <c r="C41" s="1" t="inlineStr">
        <is>
          <t>25801100079</t>
        </is>
      </c>
      <c r="D41" s="1" t="inlineStr">
        <is>
          <t>Traàn Thò Bích</t>
        </is>
      </c>
      <c r="E41" s="1" t="inlineStr">
        <is>
          <t>Tuyeàn</t>
        </is>
      </c>
      <c r="F41" s="1" t="inlineStr">
        <is>
          <t>23-May-07</t>
        </is>
      </c>
      <c r="G41" s="1" t="inlineStr">
        <is>
          <t>LNH0925ND01</t>
        </is>
      </c>
      <c r="H41" s="1" t="inlineStr">
        <is>
          <t>09AV Giao tiep QT (TS)</t>
        </is>
      </c>
      <c r="I41" s="1" t="n">
        <v>1000000</v>
      </c>
      <c r="J41" s="1" t="inlineStr">
        <is>
          <t>NGUYEN TRUNG NGHIA Tran Thi Bich Tuyen 25801100079  LN H0925ND01  0939510367 TAI VietinBank</t>
        </is>
      </c>
    </row>
    <row r="42">
      <c r="A42" s="1" t="inlineStr">
        <is>
          <t>23-Aug-25</t>
        </is>
      </c>
      <c r="B42" s="1" t="inlineStr">
        <is>
          <t>I60169</t>
        </is>
      </c>
      <c r="C42" s="1" t="inlineStr">
        <is>
          <t>25807800024</t>
        </is>
      </c>
      <c r="D42" s="1" t="inlineStr">
        <is>
          <t>Hoà Minh</t>
        </is>
      </c>
      <c r="E42" s="1" t="inlineStr">
        <is>
          <t>Duy</t>
        </is>
      </c>
      <c r="F42" s="1" t="inlineStr">
        <is>
          <t>19-Jan-07</t>
        </is>
      </c>
      <c r="G42" s="1" t="inlineStr">
        <is>
          <t>LNH0925ND01</t>
        </is>
      </c>
      <c r="H42" s="1" t="inlineStr">
        <is>
          <t>09AV Giao tiep QT (TS)</t>
        </is>
      </c>
      <c r="I42" s="1" t="n">
        <v>1000000</v>
      </c>
      <c r="J42" s="1" t="inlineStr">
        <is>
          <t>DINH THI THE PHUONG QR - HO MINH DUY 25807800024 LNH092 5ND01 0984946367 TAI VietinBank</t>
        </is>
      </c>
    </row>
    <row r="43">
      <c r="A43" s="1" t="inlineStr">
        <is>
          <t>23-Aug-25</t>
        </is>
      </c>
      <c r="B43" s="1" t="inlineStr">
        <is>
          <t>I60170</t>
        </is>
      </c>
      <c r="C43" s="1" t="inlineStr">
        <is>
          <t>25808200070</t>
        </is>
      </c>
      <c r="D43" s="1" t="inlineStr">
        <is>
          <t>Traàn Minh</t>
        </is>
      </c>
      <c r="E43" s="1" t="inlineStr">
        <is>
          <t>Khoa</t>
        </is>
      </c>
      <c r="F43" s="1" t="inlineStr">
        <is>
          <t>20-Dec-07</t>
        </is>
      </c>
      <c r="G43" s="1" t="inlineStr">
        <is>
          <t>LNH0925ND01</t>
        </is>
      </c>
      <c r="H43" s="1" t="inlineStr">
        <is>
          <t>09AV Giao tiep QT (TS)</t>
        </is>
      </c>
      <c r="I43" s="1" t="n">
        <v>1000000</v>
      </c>
      <c r="J43" s="1" t="inlineStr">
        <is>
          <t>DINH THI THE PHUONG TRAN MINH KHOA 25808200070 LNH0925N D01 0708253302 TAI VietinBank</t>
        </is>
      </c>
    </row>
    <row r="44">
      <c r="A44" s="1" t="inlineStr">
        <is>
          <t>23-Aug-25</t>
        </is>
      </c>
      <c r="B44" s="1" t="inlineStr">
        <is>
          <t>I60171</t>
        </is>
      </c>
      <c r="C44" s="1" t="inlineStr">
        <is>
          <t>25801800081</t>
        </is>
      </c>
      <c r="D44" s="1" t="inlineStr">
        <is>
          <t>Voõ Thò Ngoïc</t>
        </is>
      </c>
      <c r="E44" s="1" t="inlineStr">
        <is>
          <t>Traâm</t>
        </is>
      </c>
      <c r="F44" s="1" t="inlineStr">
        <is>
          <t>28-Jan-06</t>
        </is>
      </c>
      <c r="G44" s="1" t="inlineStr">
        <is>
          <t>LNH0925ND01</t>
        </is>
      </c>
      <c r="H44" s="1" t="inlineStr">
        <is>
          <t>09AV Giao tiep QT (TS)</t>
        </is>
      </c>
      <c r="I44" s="1" t="n">
        <v>1000000</v>
      </c>
      <c r="J44" s="1" t="inlineStr">
        <is>
          <t>NGUYEN TRUNG NGHIA VO THI NGOC TRAM  25801800081  LNH0 925ND01  0979774948 TAI VietinBank</t>
        </is>
      </c>
    </row>
    <row r="45">
      <c r="A45" s="1" t="inlineStr">
        <is>
          <t>23-Aug-25</t>
        </is>
      </c>
      <c r="B45" s="1" t="inlineStr">
        <is>
          <t>I60172</t>
        </is>
      </c>
      <c r="C45" s="1" t="inlineStr">
        <is>
          <t>25807000040</t>
        </is>
      </c>
      <c r="D45" s="1" t="inlineStr">
        <is>
          <t>Huyønh Trí</t>
        </is>
      </c>
      <c r="E45" s="1" t="inlineStr">
        <is>
          <t>Thònh</t>
        </is>
      </c>
      <c r="F45" s="1" t="inlineStr">
        <is>
          <t>29-Apr-07</t>
        </is>
      </c>
      <c r="G45" s="1" t="inlineStr">
        <is>
          <t>LNH0925ND01</t>
        </is>
      </c>
      <c r="H45" s="1" t="inlineStr">
        <is>
          <t>09AV Giao tiep QT (TS)</t>
        </is>
      </c>
      <c r="I45" s="1" t="n">
        <v>1000000</v>
      </c>
      <c r="J45" s="1" t="inlineStr">
        <is>
          <t>DINH THI THE PHUONG QR - HUYNH TRI THINH 25807000040 LN H0925ND01 0985713931 TAI VietinBank</t>
        </is>
      </c>
    </row>
    <row r="46">
      <c r="A46" s="1" t="inlineStr">
        <is>
          <t>23-Aug-25</t>
        </is>
      </c>
      <c r="B46" s="1" t="inlineStr">
        <is>
          <t>I60173</t>
        </is>
      </c>
      <c r="C46" s="1" t="inlineStr">
        <is>
          <t>25801100042</t>
        </is>
      </c>
      <c r="D46" s="1" t="inlineStr">
        <is>
          <t>Nguyeãn Troïng</t>
        </is>
      </c>
      <c r="E46" s="1" t="inlineStr">
        <is>
          <t>Nguyeãn</t>
        </is>
      </c>
      <c r="F46" s="1" t="inlineStr">
        <is>
          <t>29-Dec-07</t>
        </is>
      </c>
      <c r="G46" s="1" t="inlineStr">
        <is>
          <t>LNH0925ND01</t>
        </is>
      </c>
      <c r="H46" s="1" t="inlineStr">
        <is>
          <t>09AV Giao tiep QT (TS)</t>
        </is>
      </c>
      <c r="I46" s="1" t="n">
        <v>1000000</v>
      </c>
      <c r="J46" s="1" t="inlineStr">
        <is>
          <t>NGUYEN VAN HUNG ABBank 0521043748045 Nguyen Trong N guyen 25801100042 LNH0925ND01 07837 19178 TAI Agribank</t>
        </is>
      </c>
    </row>
    <row r="47">
      <c r="A47" s="1" t="inlineStr">
        <is>
          <t>23-Aug-25</t>
        </is>
      </c>
      <c r="B47" s="1" t="inlineStr">
        <is>
          <t>I60174</t>
        </is>
      </c>
      <c r="C47" s="1" t="inlineStr">
        <is>
          <t>25808600086</t>
        </is>
      </c>
      <c r="D47" s="1" t="inlineStr">
        <is>
          <t>Taï Thò Tuyeát</t>
        </is>
      </c>
      <c r="E47" s="1" t="inlineStr">
        <is>
          <t>Nhung</t>
        </is>
      </c>
      <c r="F47" s="1" t="inlineStr">
        <is>
          <t>22-May-06</t>
        </is>
      </c>
      <c r="G47" s="1" t="inlineStr">
        <is>
          <t>LNH0925ND01</t>
        </is>
      </c>
      <c r="H47" s="1" t="inlineStr">
        <is>
          <t>09AV Giao tiep QT (TS)</t>
        </is>
      </c>
      <c r="I47" s="1" t="n">
        <v>1000000</v>
      </c>
      <c r="J47" s="1" t="inlineStr">
        <is>
          <t>DINH THI THE PHUONG QR - TA THI TUYET NHUNG 25808600086 LNH0925ND01 0933063782 TAI VietinBank</t>
        </is>
      </c>
    </row>
    <row r="48">
      <c r="A48" s="1" t="inlineStr">
        <is>
          <t>23-Aug-25</t>
        </is>
      </c>
      <c r="B48" s="1" t="inlineStr">
        <is>
          <t>I60175</t>
        </is>
      </c>
      <c r="C48" s="1" t="inlineStr">
        <is>
          <t>25807900008</t>
        </is>
      </c>
      <c r="D48" s="1" t="inlineStr">
        <is>
          <t>Voõ Khaéc</t>
        </is>
      </c>
      <c r="E48" s="1" t="inlineStr">
        <is>
          <t>Duy</t>
        </is>
      </c>
      <c r="F48" s="1" t="inlineStr">
        <is>
          <t>01-Jun-07</t>
        </is>
      </c>
      <c r="G48" s="1" t="inlineStr">
        <is>
          <t>LNH0925ND01</t>
        </is>
      </c>
      <c r="H48" s="1" t="inlineStr">
        <is>
          <t>09AV Giao tiep QT (TS)</t>
        </is>
      </c>
      <c r="I48" s="1" t="n">
        <v>1000000</v>
      </c>
      <c r="J48" s="1" t="inlineStr">
        <is>
          <t>DINH THI THE PHUONG QR - VO KHAC DUY 25807900008 LNH092 5ND01 0563930944 TAI VietinBank</t>
        </is>
      </c>
    </row>
    <row r="49">
      <c r="A49" s="1" t="inlineStr">
        <is>
          <t>23-Aug-25</t>
        </is>
      </c>
      <c r="B49" s="1" t="inlineStr">
        <is>
          <t>I60176</t>
        </is>
      </c>
      <c r="C49" s="1" t="inlineStr">
        <is>
          <t>25805800009</t>
        </is>
      </c>
      <c r="D49" s="1" t="inlineStr">
        <is>
          <t>Vuõ Haûi</t>
        </is>
      </c>
      <c r="E49" s="1" t="inlineStr">
        <is>
          <t>Haø</t>
        </is>
      </c>
      <c r="F49" s="1" t="inlineStr">
        <is>
          <t>12-Nov-07</t>
        </is>
      </c>
      <c r="G49" s="1" t="inlineStr">
        <is>
          <t>LNH0925ND01</t>
        </is>
      </c>
      <c r="H49" s="1" t="inlineStr">
        <is>
          <t>09AV Giao tiep QT (TS)</t>
        </is>
      </c>
      <c r="I49" s="1" t="n">
        <v>1000000</v>
      </c>
      <c r="J49" s="1" t="inlineStr">
        <is>
          <t>DINH THI THE PHUONG QR - VU HAI HA 25805800009 LNH0925N D01 0396865797 TAI VietinBank</t>
        </is>
      </c>
    </row>
    <row r="50">
      <c r="A50" s="1" t="inlineStr">
        <is>
          <t>23-Aug-25</t>
        </is>
      </c>
      <c r="B50" s="1" t="inlineStr">
        <is>
          <t>I60177</t>
        </is>
      </c>
      <c r="C50" s="1" t="inlineStr">
        <is>
          <t>25802600110</t>
        </is>
      </c>
      <c r="D50" s="1" t="inlineStr">
        <is>
          <t>Nguyeãn Traàn Nhaät</t>
        </is>
      </c>
      <c r="E50" s="1" t="inlineStr">
        <is>
          <t>Thanh</t>
        </is>
      </c>
      <c r="F50" s="1" t="inlineStr">
        <is>
          <t>28-Jun-07</t>
        </is>
      </c>
      <c r="G50" s="1" t="inlineStr">
        <is>
          <t>LNH0925ND01</t>
        </is>
      </c>
      <c r="H50" s="1" t="inlineStr">
        <is>
          <t>09AV Giao tiep QT (TS)</t>
        </is>
      </c>
      <c r="I50" s="1" t="n">
        <v>1000000</v>
      </c>
      <c r="J50" s="1" t="inlineStr">
        <is>
          <t>DINH THI THE PHUONG QR - NGUYEN TRAN NHAT THANH 2580260 0110 LNH0925ND01 0919218221 TAI VietinBank</t>
        </is>
      </c>
    </row>
    <row r="51">
      <c r="A51" s="1" t="inlineStr">
        <is>
          <t>23-Aug-25</t>
        </is>
      </c>
      <c r="B51" s="1" t="inlineStr">
        <is>
          <t>I60178</t>
        </is>
      </c>
      <c r="C51" s="1" t="inlineStr">
        <is>
          <t>25800400110</t>
        </is>
      </c>
      <c r="D51" s="1" t="inlineStr">
        <is>
          <t>Leâ Trung</t>
        </is>
      </c>
      <c r="E51" s="1" t="inlineStr">
        <is>
          <t>Nguyeân</t>
        </is>
      </c>
      <c r="F51" s="1" t="inlineStr">
        <is>
          <t>12-Aug-07</t>
        </is>
      </c>
      <c r="G51" s="1" t="inlineStr">
        <is>
          <t>LNH0925ND01</t>
        </is>
      </c>
      <c r="H51" s="1" t="inlineStr">
        <is>
          <t>09AV Giao tiep QT (TS)</t>
        </is>
      </c>
      <c r="I51" s="1" t="n">
        <v>1000000</v>
      </c>
      <c r="J51" s="1" t="inlineStr">
        <is>
          <t>MBBANK IBFT LE TRUNG NGUYEN 25800400110 LNH0925 ND01 0398947751 TAI IBT-MB                   HANOI</t>
        </is>
      </c>
    </row>
    <row r="52">
      <c r="A52" s="1" t="inlineStr">
        <is>
          <t>23-Aug-25</t>
        </is>
      </c>
      <c r="B52" s="1" t="inlineStr">
        <is>
          <t>I60179</t>
        </is>
      </c>
      <c r="C52" s="1" t="inlineStr">
        <is>
          <t>25806000071</t>
        </is>
      </c>
      <c r="D52" s="1" t="inlineStr">
        <is>
          <t>Traàn Gia</t>
        </is>
      </c>
      <c r="E52" s="1" t="inlineStr">
        <is>
          <t>Nghi</t>
        </is>
      </c>
      <c r="F52" s="1" t="inlineStr">
        <is>
          <t>12-Jun-07</t>
        </is>
      </c>
      <c r="G52" s="1" t="inlineStr">
        <is>
          <t>LNH0925ND01</t>
        </is>
      </c>
      <c r="H52" s="1" t="inlineStr">
        <is>
          <t>09AV Giao tiep QT (TS)</t>
        </is>
      </c>
      <c r="I52" s="1" t="n">
        <v>1000000</v>
      </c>
      <c r="J52" s="1" t="inlineStr">
        <is>
          <t>TRAN THI PHUONG QUYNH TRAN GIA NGHI  2506000026 TAI IBT BIDV                 HANOI</t>
        </is>
      </c>
    </row>
    <row r="53">
      <c r="A53" s="1" t="inlineStr">
        <is>
          <t>23-Aug-25</t>
        </is>
      </c>
      <c r="B53" s="1" t="inlineStr">
        <is>
          <t>I60180</t>
        </is>
      </c>
      <c r="C53" s="1" t="inlineStr">
        <is>
          <t>25806800071</t>
        </is>
      </c>
      <c r="D53" s="1" t="inlineStr">
        <is>
          <t>Nguyeãn Ngoïc Anh</t>
        </is>
      </c>
      <c r="E53" s="1" t="inlineStr">
        <is>
          <t>Thuøy</t>
        </is>
      </c>
      <c r="F53" s="1" t="inlineStr">
        <is>
          <t>12-Mar-07</t>
        </is>
      </c>
      <c r="G53" s="1" t="inlineStr">
        <is>
          <t>LNH0925ND01</t>
        </is>
      </c>
      <c r="H53" s="1" t="inlineStr">
        <is>
          <t>09AV Giao tiep QT (TS)</t>
        </is>
      </c>
      <c r="I53" s="1" t="n">
        <v>1000000</v>
      </c>
      <c r="J53" s="1" t="inlineStr">
        <is>
          <t>SACOMBANK IBFT NGUYEN NGOC ANH THUY 258068000 71 LNH0925ND01 TAI SACOMBANK              HCM</t>
        </is>
      </c>
    </row>
    <row r="54">
      <c r="A54" s="1" t="inlineStr">
        <is>
          <t>23-Aug-25</t>
        </is>
      </c>
      <c r="B54" s="1" t="inlineStr">
        <is>
          <t>I60181</t>
        </is>
      </c>
      <c r="C54" s="1" t="inlineStr">
        <is>
          <t>25808900060</t>
        </is>
      </c>
      <c r="D54" s="1" t="inlineStr">
        <is>
          <t>Vuõ Minh</t>
        </is>
      </c>
      <c r="E54" s="1" t="inlineStr">
        <is>
          <t>Khoâi</t>
        </is>
      </c>
      <c r="F54" s="1" t="inlineStr">
        <is>
          <t>20-Mar-07</t>
        </is>
      </c>
      <c r="G54" s="1" t="inlineStr">
        <is>
          <t>LNH0925ND01</t>
        </is>
      </c>
      <c r="H54" s="1" t="inlineStr">
        <is>
          <t>09AV Giao tiep QT (TS)</t>
        </is>
      </c>
      <c r="I54" s="1" t="n">
        <v>1000000</v>
      </c>
      <c r="J54" s="1" t="inlineStr">
        <is>
          <t>VU VAN VINH MBVCB.10655646542.638400.vu minh kh oi 25808900060 LNH0925ND01 07670253 34.CT tu 0421000507590 VU VAN VINH toi 0521043748045 HUTECH tai ABBANK TAI Vietcombank</t>
        </is>
      </c>
    </row>
    <row r="55">
      <c r="A55" s="1" t="inlineStr">
        <is>
          <t>23-Aug-25</t>
        </is>
      </c>
      <c r="B55" s="1" t="inlineStr">
        <is>
          <t>I60182</t>
        </is>
      </c>
      <c r="C55" s="1" t="inlineStr">
        <is>
          <t>25820500001</t>
        </is>
      </c>
      <c r="D55" s="1" t="inlineStr">
        <is>
          <t>Buøi Duy</t>
        </is>
      </c>
      <c r="E55" s="1" t="inlineStr">
        <is>
          <t>Baûo</t>
        </is>
      </c>
      <c r="F55" s="1" t="inlineStr">
        <is>
          <t>28-Jul-07</t>
        </is>
      </c>
      <c r="G55" s="1" t="inlineStr">
        <is>
          <t>LNH0925ND01</t>
        </is>
      </c>
      <c r="H55" s="1" t="inlineStr">
        <is>
          <t>09AV Giao tiep QT (TS)</t>
        </is>
      </c>
      <c r="I55" s="1" t="n">
        <v>1000000</v>
      </c>
      <c r="J55" s="1" t="inlineStr">
        <is>
          <t>DINH THI THE PHUONG QR - BUI DUY BAO 25820500001 LNH092 5ND01 0857296421 TAI VietinBank</t>
        </is>
      </c>
    </row>
    <row r="56">
      <c r="A56" s="1" t="inlineStr">
        <is>
          <t>23-Aug-25</t>
        </is>
      </c>
      <c r="B56" s="1" t="inlineStr">
        <is>
          <t>I60183</t>
        </is>
      </c>
      <c r="C56" s="1" t="inlineStr">
        <is>
          <t>25800500107</t>
        </is>
      </c>
      <c r="D56" s="1" t="inlineStr">
        <is>
          <t>Nguyeãn Phaïm Taán</t>
        </is>
      </c>
      <c r="E56" s="1" t="inlineStr">
        <is>
          <t>Loäc</t>
        </is>
      </c>
      <c r="F56" s="1" t="inlineStr">
        <is>
          <t>01-Nov-07</t>
        </is>
      </c>
      <c r="G56" s="1" t="inlineStr">
        <is>
          <t>LNH0925ND01</t>
        </is>
      </c>
      <c r="H56" s="1" t="inlineStr">
        <is>
          <t>09AV Giao tiep QT (TS)</t>
        </is>
      </c>
      <c r="I56" s="1" t="n">
        <v>1000000</v>
      </c>
      <c r="J56" s="1" t="inlineStr">
        <is>
          <t>DINH THI THE PHUONG QR - NGUYEN PHAM TAN LOC 2580050010 7 LNH0925ND01 0906893753 TAI VietinBank</t>
        </is>
      </c>
    </row>
    <row r="57">
      <c r="A57" s="1" t="inlineStr">
        <is>
          <t>23-Aug-25</t>
        </is>
      </c>
      <c r="B57" s="1" t="inlineStr">
        <is>
          <t>I60184</t>
        </is>
      </c>
      <c r="C57" s="1" t="inlineStr">
        <is>
          <t>25809600013</t>
        </is>
      </c>
      <c r="D57" s="1" t="inlineStr">
        <is>
          <t>Nguyeãn Phuùc</t>
        </is>
      </c>
      <c r="E57" s="1" t="inlineStr">
        <is>
          <t>Ñaït</t>
        </is>
      </c>
      <c r="F57" s="1" t="inlineStr">
        <is>
          <t>26-Nov-07</t>
        </is>
      </c>
      <c r="G57" s="1" t="inlineStr">
        <is>
          <t>LNH0925ND01</t>
        </is>
      </c>
      <c r="H57" s="1" t="inlineStr">
        <is>
          <t>09AV Giao tiep QT (TS)</t>
        </is>
      </c>
      <c r="I57" s="1" t="n">
        <v>1000000</v>
      </c>
      <c r="J57" s="1" t="inlineStr">
        <is>
          <t>DINH THI THE PHUONG QR - NGUYEN PHUC DAT 25809600013 LN H0925ND01 0792321727 TAI VietinBank</t>
        </is>
      </c>
    </row>
    <row r="58">
      <c r="A58" s="1" t="inlineStr">
        <is>
          <t>23-Aug-25</t>
        </is>
      </c>
      <c r="B58" s="1" t="inlineStr">
        <is>
          <t>I60185</t>
        </is>
      </c>
      <c r="C58" s="1" t="inlineStr">
        <is>
          <t>25820200083</t>
        </is>
      </c>
      <c r="D58" s="1" t="inlineStr">
        <is>
          <t>Buøi Quang</t>
        </is>
      </c>
      <c r="E58" s="1" t="inlineStr">
        <is>
          <t>Thaéng</t>
        </is>
      </c>
      <c r="F58" s="1" t="inlineStr">
        <is>
          <t>02-Jan-04</t>
        </is>
      </c>
      <c r="G58" s="1" t="inlineStr">
        <is>
          <t>LNH0925ND01</t>
        </is>
      </c>
      <c r="H58" s="1" t="inlineStr">
        <is>
          <t>09AV Giao tiep QT (TS)</t>
        </is>
      </c>
      <c r="I58" s="1" t="n">
        <v>1000000</v>
      </c>
      <c r="J58" s="1" t="inlineStr">
        <is>
          <t>BUI QUANG THANG Bui Quang Thang 25820200083 LNH0925 ND01 0769429393 2-4-6 TAI IBT TIENPHONGBANK      HANOI</t>
        </is>
      </c>
    </row>
    <row r="59">
      <c r="A59" s="1" t="inlineStr">
        <is>
          <t>23-Aug-25</t>
        </is>
      </c>
      <c r="B59" s="1" t="inlineStr">
        <is>
          <t>I60186</t>
        </is>
      </c>
      <c r="C59" s="1" t="inlineStr">
        <is>
          <t>25808700067</t>
        </is>
      </c>
      <c r="D59" s="1" t="inlineStr">
        <is>
          <t>Nguyeãn Thò Yeán</t>
        </is>
      </c>
      <c r="E59" s="1" t="inlineStr">
        <is>
          <t>Nhi</t>
        </is>
      </c>
      <c r="F59" s="1" t="inlineStr">
        <is>
          <t>11-Aug-06</t>
        </is>
      </c>
      <c r="G59" s="1" t="inlineStr">
        <is>
          <t>LNH0925ND01</t>
        </is>
      </c>
      <c r="H59" s="1" t="inlineStr">
        <is>
          <t>09AV Giao tiep QT (TS)</t>
        </is>
      </c>
      <c r="I59" s="1" t="n">
        <v>1000000</v>
      </c>
      <c r="J59" s="1" t="inlineStr">
        <is>
          <t>NGUYEN TIEN DUNG MBVCB.10656405471.160208.Nguyen Thi Yen Nhi  25808700067 LNH0925ND01 0 929477411.CT tu 1051615952 NGUYEN T IEN DUNG toi 0521043748045 HUTECH tai ABBANK TAI Vietcombank</t>
        </is>
      </c>
    </row>
    <row r="60">
      <c r="A60" s="1" t="inlineStr">
        <is>
          <t>23-Aug-25</t>
        </is>
      </c>
      <c r="B60" s="1" t="inlineStr">
        <is>
          <t>I60187</t>
        </is>
      </c>
      <c r="C60" s="1" t="inlineStr">
        <is>
          <t>25820200103</t>
        </is>
      </c>
      <c r="D60" s="1" t="inlineStr">
        <is>
          <t>Nguyeãn Taán</t>
        </is>
      </c>
      <c r="E60" s="1" t="inlineStr">
        <is>
          <t>Phaùt</t>
        </is>
      </c>
      <c r="F60" s="1" t="inlineStr">
        <is>
          <t>29-Dec-07</t>
        </is>
      </c>
      <c r="G60" s="1" t="inlineStr">
        <is>
          <t>LNH0925ND01</t>
        </is>
      </c>
      <c r="H60" s="1" t="inlineStr">
        <is>
          <t>09AV Giao tiep QT (TS)</t>
        </is>
      </c>
      <c r="I60" s="1" t="n">
        <v>0</v>
      </c>
      <c r="J60" s="1" t="inlineStr">
        <is>
          <t>(Rut Hp)DINH THI THE PHUONG QR - NGUYEN TAN PHAT 2520200029 LNH 0925ND01 0961718587 TAI VietinBank</t>
        </is>
      </c>
    </row>
    <row r="61">
      <c r="A61" s="1" t="inlineStr">
        <is>
          <t>23-Aug-25</t>
        </is>
      </c>
      <c r="B61" s="1" t="inlineStr">
        <is>
          <t>I60188</t>
        </is>
      </c>
      <c r="C61" s="1" t="inlineStr">
        <is>
          <t>25802800379</t>
        </is>
      </c>
      <c r="D61" s="1" t="inlineStr">
        <is>
          <t>Nguyen Thien</t>
        </is>
      </c>
      <c r="E61" s="1" t="inlineStr">
        <is>
          <t>Phuc</t>
        </is>
      </c>
      <c r="F61" s="1" t="inlineStr">
        <is>
          <t xml:space="preserve">  -   -</t>
        </is>
      </c>
      <c r="G61" s="1" t="inlineStr">
        <is>
          <t>LNH0925ND01</t>
        </is>
      </c>
      <c r="H61" s="1" t="inlineStr">
        <is>
          <t>09AV Giao tiep QT (TS)</t>
        </is>
      </c>
      <c r="I61" s="1" t="n">
        <v>1000000</v>
      </c>
      <c r="J61" s="1" t="inlineStr">
        <is>
          <t>NGUYEN TRUNG NGHIA NGUYEN THIEN PHUC  25802800067  LNH 0925ND01  0913196814 TAI VietinBank</t>
        </is>
      </c>
    </row>
    <row r="62">
      <c r="A62" s="1" t="inlineStr">
        <is>
          <t>23-Aug-25</t>
        </is>
      </c>
      <c r="B62" s="1" t="inlineStr">
        <is>
          <t>I60189</t>
        </is>
      </c>
      <c r="C62" s="1" t="inlineStr">
        <is>
          <t>25800400220</t>
        </is>
      </c>
      <c r="D62" s="1" t="inlineStr">
        <is>
          <t>Nguyeãn Traàn Vöông</t>
        </is>
      </c>
      <c r="E62" s="1" t="inlineStr">
        <is>
          <t>Thònh</t>
        </is>
      </c>
      <c r="F62" s="1" t="inlineStr">
        <is>
          <t>14-Aug-07</t>
        </is>
      </c>
      <c r="G62" s="1" t="inlineStr">
        <is>
          <t>LNH0925ND01</t>
        </is>
      </c>
      <c r="H62" s="1" t="inlineStr">
        <is>
          <t>09AV Giao tiep QT (TS)</t>
        </is>
      </c>
      <c r="I62" s="1" t="n">
        <v>2100000</v>
      </c>
      <c r="J62" s="1" t="inlineStr">
        <is>
          <t>TRAN DUC THIEN NGA Nguyen Tran Vuong Thinh 2500400043 LNH0925ND01 0934217779 TAI IBT BIDV                 HANOI</t>
        </is>
      </c>
    </row>
    <row r="63">
      <c r="A63" s="1" t="inlineStr">
        <is>
          <t>23-Aug-25</t>
        </is>
      </c>
      <c r="B63" s="1" t="inlineStr">
        <is>
          <t>I60190</t>
        </is>
      </c>
      <c r="C63" s="1" t="inlineStr">
        <is>
          <t>25802600070</t>
        </is>
      </c>
      <c r="D63" s="1" t="inlineStr">
        <is>
          <t>Nguyeãn Quyønh</t>
        </is>
      </c>
      <c r="E63" s="1" t="inlineStr">
        <is>
          <t>Loan</t>
        </is>
      </c>
      <c r="F63" s="1" t="inlineStr">
        <is>
          <t>06-Sep-07</t>
        </is>
      </c>
      <c r="G63" s="1" t="inlineStr">
        <is>
          <t>LNH0925ND01</t>
        </is>
      </c>
      <c r="H63" s="1" t="inlineStr">
        <is>
          <t>09AV Giao tiep QT (TS)</t>
        </is>
      </c>
      <c r="I63" s="1" t="n">
        <v>2100000</v>
      </c>
      <c r="J63" s="1" t="inlineStr">
        <is>
          <t>TRAN THI THANH MAI QR - Nguyen Quynh Loan 25802600070 LNH0925ND01 0902824010 TAI VietinBank</t>
        </is>
      </c>
    </row>
    <row r="64">
      <c r="A64" s="1" t="inlineStr">
        <is>
          <t>23-Aug-25</t>
        </is>
      </c>
      <c r="B64" s="1" t="inlineStr">
        <is>
          <t>I60191</t>
        </is>
      </c>
      <c r="C64" s="1" t="inlineStr">
        <is>
          <t>25808500496</t>
        </is>
      </c>
      <c r="D64" s="1" t="inlineStr">
        <is>
          <t>Nguyeãn Minh</t>
        </is>
      </c>
      <c r="E64" s="1" t="inlineStr">
        <is>
          <t>Nhö</t>
        </is>
      </c>
      <c r="F64" s="1" t="inlineStr">
        <is>
          <t>06-Sep-07</t>
        </is>
      </c>
      <c r="G64" s="1" t="inlineStr">
        <is>
          <t>LNH0925ND01</t>
        </is>
      </c>
      <c r="H64" s="1" t="inlineStr">
        <is>
          <t>09AV Giao tiep QT (TS)</t>
        </is>
      </c>
      <c r="I64" s="1" t="n">
        <v>2100000</v>
      </c>
      <c r="J64" s="1" t="inlineStr">
        <is>
          <t>SACOMBANK IBFT Nguyen Minh Nhu 25808500496 LN H0925ND01 0706705158 TAI SACOMBANK              HCM</t>
        </is>
      </c>
    </row>
    <row r="65">
      <c r="A65" s="1" t="inlineStr">
        <is>
          <t>23-Aug-25</t>
        </is>
      </c>
      <c r="B65" s="1" t="inlineStr">
        <is>
          <t>I60192</t>
        </is>
      </c>
      <c r="C65" s="1" t="inlineStr">
        <is>
          <t>25802800201</t>
        </is>
      </c>
      <c r="D65" s="1" t="inlineStr">
        <is>
          <t>Cao Vuõ Anh</t>
        </is>
      </c>
      <c r="E65" s="1" t="inlineStr">
        <is>
          <t>Phong</t>
        </is>
      </c>
      <c r="F65" s="1" t="inlineStr">
        <is>
          <t>03-Dec-07</t>
        </is>
      </c>
      <c r="G65" s="1" t="inlineStr">
        <is>
          <t>LNH0925ND01</t>
        </is>
      </c>
      <c r="H65" s="1" t="inlineStr">
        <is>
          <t>09AV Giao tiep QT (TS)</t>
        </is>
      </c>
      <c r="I65" s="1" t="n">
        <v>2100000</v>
      </c>
      <c r="J65" s="1" t="inlineStr">
        <is>
          <t>VU THI THANH THUY CAO VU ANH PHONG 25802800201 LNH092 5ND01-230825-12 36 59 212318 TAI Ngan hang a chau       IBT SMARLINK</t>
        </is>
      </c>
    </row>
    <row r="66">
      <c r="A66" s="1" t="inlineStr">
        <is>
          <t>23-Aug-25</t>
        </is>
      </c>
      <c r="B66" s="1" t="inlineStr">
        <is>
          <t>I60193</t>
        </is>
      </c>
      <c r="C66" s="1" t="inlineStr">
        <is>
          <t>25802800371</t>
        </is>
      </c>
      <c r="D66" s="1" t="inlineStr">
        <is>
          <t>Vuõ Leâ Minh</t>
        </is>
      </c>
      <c r="E66" s="1" t="inlineStr">
        <is>
          <t>Vöông</t>
        </is>
      </c>
      <c r="F66" s="1" t="inlineStr">
        <is>
          <t>17-Oct-07</t>
        </is>
      </c>
      <c r="G66" s="1" t="inlineStr">
        <is>
          <t>LNH0925ND01</t>
        </is>
      </c>
      <c r="H66" s="1" t="inlineStr">
        <is>
          <t>09AV Giao tiep QT (TS)</t>
        </is>
      </c>
      <c r="I66" s="1" t="n">
        <v>4415000</v>
      </c>
      <c r="J66" s="1" t="inlineStr">
        <is>
          <t>NGUYEN TRUNG NGHIA VU LE MINH VUONG  2502800060  LNH09 25ND01  0396382538 TAI VietinBank</t>
        </is>
      </c>
    </row>
    <row r="67">
      <c r="A67" s="1" t="inlineStr">
        <is>
          <t>23-Aug-25</t>
        </is>
      </c>
      <c r="B67" s="1" t="inlineStr">
        <is>
          <t>I60194</t>
        </is>
      </c>
      <c r="C67" s="1" t="inlineStr">
        <is>
          <t>25802800260</t>
        </is>
      </c>
      <c r="D67" s="1" t="inlineStr">
        <is>
          <t>Traàn Leâ Thuûy</t>
        </is>
      </c>
      <c r="E67" s="1" t="inlineStr">
        <is>
          <t>Tieân</t>
        </is>
      </c>
      <c r="F67" s="1" t="inlineStr">
        <is>
          <t>20-Sep-06</t>
        </is>
      </c>
      <c r="G67" s="1" t="inlineStr">
        <is>
          <t>LNH0925ND01</t>
        </is>
      </c>
      <c r="H67" s="1" t="inlineStr">
        <is>
          <t>09AV Giao tiep QT (TS)</t>
        </is>
      </c>
      <c r="I67" s="1" t="n">
        <v>4465000</v>
      </c>
      <c r="J67" s="1" t="inlineStr">
        <is>
          <t>LE THI HONG THUY tran le thuy tien 25802800260 lnh09 25nd01 0912266539 TAI IBT TIENPHONGBANK      HANOI</t>
        </is>
      </c>
    </row>
    <row r="68">
      <c r="A68" s="1" t="inlineStr">
        <is>
          <t>23-Aug-25</t>
        </is>
      </c>
      <c r="B68" s="1" t="inlineStr">
        <is>
          <t>I60195</t>
        </is>
      </c>
      <c r="C68" s="1" t="inlineStr">
        <is>
          <t>25802600082</t>
        </is>
      </c>
      <c r="D68" s="1" t="inlineStr">
        <is>
          <t>Döông Nguyeãn Haïnh</t>
        </is>
      </c>
      <c r="E68" s="1" t="inlineStr">
        <is>
          <t>Ngaân</t>
        </is>
      </c>
      <c r="F68" s="1" t="inlineStr">
        <is>
          <t>10-Jun-07</t>
        </is>
      </c>
      <c r="G68" s="1" t="inlineStr">
        <is>
          <t>LNH0925ND01</t>
        </is>
      </c>
      <c r="H68" s="1" t="inlineStr">
        <is>
          <t>09AV Giao tiep QT (TS)</t>
        </is>
      </c>
      <c r="I68" s="1" t="n">
        <v>4465000</v>
      </c>
      <c r="J68" s="1" t="inlineStr">
        <is>
          <t>VND-GVANG-NGUYEN THI HANG HANH NGAN 25802600082 LNH0925ND01 0 986833351 FT25235882674751 TAI TECHCOMBANK            HANOI</t>
        </is>
      </c>
    </row>
    <row r="69">
      <c r="A69" s="1" t="inlineStr">
        <is>
          <t>23-Aug-25</t>
        </is>
      </c>
      <c r="B69" s="1" t="inlineStr">
        <is>
          <t>I60196</t>
        </is>
      </c>
      <c r="C69" s="1" t="inlineStr">
        <is>
          <t>25807000043</t>
        </is>
      </c>
      <c r="D69" s="1" t="inlineStr">
        <is>
          <t>Phan Thò Thuyù</t>
        </is>
      </c>
      <c r="E69" s="1" t="inlineStr">
        <is>
          <t>Vi</t>
        </is>
      </c>
      <c r="F69" s="1" t="inlineStr">
        <is>
          <t>25-Feb-07</t>
        </is>
      </c>
      <c r="G69" s="1" t="inlineStr">
        <is>
          <t>LNH0925ND01</t>
        </is>
      </c>
      <c r="H69" s="1" t="inlineStr">
        <is>
          <t>09AV Giao tiep QT (TS)</t>
        </is>
      </c>
      <c r="I69" s="1" t="n">
        <v>4465000</v>
      </c>
      <c r="J69" s="1" t="inlineStr">
        <is>
          <t>SACOMBANK IBFT PHAN THI THUY VI 25807000043 L NH0925ND01  0939244194 TAI SACOMBANK              HCM</t>
        </is>
      </c>
    </row>
    <row r="70">
      <c r="A70" s="1" t="inlineStr">
        <is>
          <t>23-Aug-25</t>
        </is>
      </c>
      <c r="B70" s="1" t="inlineStr">
        <is>
          <t>I60197</t>
        </is>
      </c>
      <c r="C70" s="1" t="inlineStr">
        <is>
          <t>25807800112</t>
        </is>
      </c>
      <c r="D70" s="1" t="inlineStr">
        <is>
          <t>Nguyeãn Hoaøng Minh</t>
        </is>
      </c>
      <c r="E70" s="1" t="inlineStr">
        <is>
          <t>Quang</t>
        </is>
      </c>
      <c r="F70" s="1" t="inlineStr">
        <is>
          <t>13-Oct-07</t>
        </is>
      </c>
      <c r="G70" s="1" t="inlineStr">
        <is>
          <t>LNH0925ND01</t>
        </is>
      </c>
      <c r="H70" s="1" t="inlineStr">
        <is>
          <t>09AV Giao tiep QT (TS)</t>
        </is>
      </c>
      <c r="I70" s="1" t="n">
        <v>4465000</v>
      </c>
      <c r="J70" s="1" t="inlineStr">
        <is>
          <t>NGUYEN HOANG LONG ABBank 0521043748045 NGUYEN HOANGmi nh quang25807800112LNH0925ND0103867 65430lophoc246 TAI Agribank</t>
        </is>
      </c>
    </row>
    <row r="71">
      <c r="A71" s="1" t="inlineStr">
        <is>
          <t>23-Aug-25</t>
        </is>
      </c>
      <c r="B71" s="1" t="inlineStr">
        <is>
          <t>I60198</t>
        </is>
      </c>
      <c r="C71" s="1" t="inlineStr">
        <is>
          <t>25805800030</t>
        </is>
      </c>
      <c r="D71" s="1" t="inlineStr">
        <is>
          <t>Ngoâ Ngoïc Minh</t>
        </is>
      </c>
      <c r="E71" s="1" t="inlineStr">
        <is>
          <t>Thö</t>
        </is>
      </c>
      <c r="F71" s="1" t="inlineStr">
        <is>
          <t>02-Mar-07</t>
        </is>
      </c>
      <c r="G71" s="1" t="inlineStr">
        <is>
          <t>LNH0925ND01</t>
        </is>
      </c>
      <c r="H71" s="1" t="inlineStr">
        <is>
          <t>09AV Giao tiep QT (TS)</t>
        </is>
      </c>
      <c r="I71" s="1" t="n">
        <v>4465000</v>
      </c>
      <c r="J71" s="1" t="inlineStr">
        <is>
          <t>VO NGOC HOA ABBank 0521043748045 Ngo Ngoc Minh Thu 25805800030 LNH0925ND01 TAI Agribank</t>
        </is>
      </c>
    </row>
    <row r="72">
      <c r="A72" s="1" t="inlineStr">
        <is>
          <t>23-Aug-25</t>
        </is>
      </c>
      <c r="B72" s="1" t="inlineStr">
        <is>
          <t>I60199</t>
        </is>
      </c>
      <c r="C72" s="1" t="inlineStr">
        <is>
          <t>25808200053</t>
        </is>
      </c>
      <c r="D72" s="1" t="inlineStr">
        <is>
          <t>Thaùi Ngoïc</t>
        </is>
      </c>
      <c r="E72" s="1" t="inlineStr">
        <is>
          <t>Huy</t>
        </is>
      </c>
      <c r="F72" s="1" t="inlineStr">
        <is>
          <t>16-Aug-07</t>
        </is>
      </c>
      <c r="G72" s="1" t="inlineStr">
        <is>
          <t>LNH0925ND01</t>
        </is>
      </c>
      <c r="H72" s="1" t="inlineStr">
        <is>
          <t>09AV Giao tiep QT (TS)</t>
        </is>
      </c>
      <c r="I72" s="1" t="n">
        <v>4465000</v>
      </c>
      <c r="J72" s="1" t="inlineStr">
        <is>
          <t>DINH THI THE PHUONG QR - THAI NGOC HUY 25808200053 LNH0 925ND01 0909251712 TAI VietinBank</t>
        </is>
      </c>
    </row>
    <row r="73">
      <c r="A73" s="1" t="inlineStr">
        <is>
          <t>23-Aug-25</t>
        </is>
      </c>
      <c r="B73" s="1" t="inlineStr">
        <is>
          <t>I60200</t>
        </is>
      </c>
      <c r="C73" s="1" t="inlineStr">
        <is>
          <t>25807000012</t>
        </is>
      </c>
      <c r="D73" s="1" t="inlineStr">
        <is>
          <t>Traàn Ngoïc Minh</t>
        </is>
      </c>
      <c r="E73" s="1" t="inlineStr">
        <is>
          <t>Huyeàn</t>
        </is>
      </c>
      <c r="F73" s="1" t="inlineStr">
        <is>
          <t>20-Apr-07</t>
        </is>
      </c>
      <c r="G73" s="1" t="inlineStr">
        <is>
          <t>LNH0925ND01</t>
        </is>
      </c>
      <c r="H73" s="1" t="inlineStr">
        <is>
          <t>09AV Giao tiep QT (TS)</t>
        </is>
      </c>
      <c r="I73" s="1" t="n">
        <v>4465000</v>
      </c>
      <c r="J73" s="1" t="inlineStr">
        <is>
          <t>NGUYEN TRUNG NGHIA TRAN NGOC MINH HUYEN  25807000012 LNH0925ND01  0346267741 TAI VietinBank</t>
        </is>
      </c>
    </row>
    <row r="74">
      <c r="A74" s="1" t="inlineStr">
        <is>
          <t>23-Aug-25</t>
        </is>
      </c>
      <c r="B74" s="1" t="inlineStr">
        <is>
          <t>I60201</t>
        </is>
      </c>
      <c r="C74" s="1" t="inlineStr">
        <is>
          <t>25808900011</t>
        </is>
      </c>
      <c r="D74" s="1" t="inlineStr">
        <is>
          <t>Döông Hoaøng</t>
        </is>
      </c>
      <c r="E74" s="1" t="inlineStr">
        <is>
          <t>AÂn</t>
        </is>
      </c>
      <c r="F74" s="1" t="inlineStr">
        <is>
          <t>07-Apr-07</t>
        </is>
      </c>
      <c r="G74" s="1" t="inlineStr">
        <is>
          <t>LNH0925ND01</t>
        </is>
      </c>
      <c r="H74" s="1" t="inlineStr">
        <is>
          <t>09AV Giao tiep QT (TS)</t>
        </is>
      </c>
      <c r="I74" s="1" t="n">
        <v>4465000</v>
      </c>
      <c r="J74" s="1" t="inlineStr">
        <is>
          <t>DUONG KIM SANG DUONG Hoang An - 25808900011-LNH092 5ND01- 0949131971 TAI HDBank                 Ebanking</t>
        </is>
      </c>
    </row>
    <row r="75">
      <c r="A75" s="1" t="inlineStr">
        <is>
          <t>23-Aug-25</t>
        </is>
      </c>
      <c r="B75" s="1" t="inlineStr">
        <is>
          <t>I60202</t>
        </is>
      </c>
      <c r="C75" s="1" t="inlineStr">
        <is>
          <t>25820300030</t>
        </is>
      </c>
      <c r="D75" s="1" t="inlineStr">
        <is>
          <t>Laâm Hoaøng</t>
        </is>
      </c>
      <c r="E75" s="1" t="inlineStr">
        <is>
          <t>Long</t>
        </is>
      </c>
      <c r="F75" s="1" t="inlineStr">
        <is>
          <t>30-Dec-07</t>
        </is>
      </c>
      <c r="G75" s="1" t="inlineStr">
        <is>
          <t>LNH0925ND01</t>
        </is>
      </c>
      <c r="H75" s="1" t="inlineStr">
        <is>
          <t>09AV Giao tiep QT (TS)</t>
        </is>
      </c>
      <c r="I75" s="1" t="n">
        <v>4465000</v>
      </c>
      <c r="J75" s="1" t="inlineStr">
        <is>
          <t>DINH THI THE PHUONG QR - LAM HOANG LONG 25820300030 LNH 0925ND01 0378767354 TAI VietinBank</t>
        </is>
      </c>
    </row>
    <row r="76">
      <c r="A76" s="1" t="inlineStr">
        <is>
          <t>23-Aug-25</t>
        </is>
      </c>
      <c r="B76" s="1" t="inlineStr">
        <is>
          <t>I60203</t>
        </is>
      </c>
      <c r="C76" s="1" t="inlineStr">
        <is>
          <t>25808200028</t>
        </is>
      </c>
      <c r="D76" s="1" t="inlineStr">
        <is>
          <t>Nguyeãn Baù Hoaøng</t>
        </is>
      </c>
      <c r="E76" s="1" t="inlineStr">
        <is>
          <t>Döông</t>
        </is>
      </c>
      <c r="F76" s="1" t="inlineStr">
        <is>
          <t>28-Nov-07</t>
        </is>
      </c>
      <c r="G76" s="1" t="inlineStr">
        <is>
          <t>LNH0925ND01</t>
        </is>
      </c>
      <c r="H76" s="1" t="inlineStr">
        <is>
          <t>09AV Giao tiep QT (TS)</t>
        </is>
      </c>
      <c r="I76" s="1" t="n">
        <v>4465000</v>
      </c>
      <c r="J76" s="1" t="inlineStr">
        <is>
          <t>NGUYEN THI UYEN Nguyen Ba Hoang Duong 25808200028 L NH0925ND01  0343962458</t>
        </is>
      </c>
    </row>
    <row r="77">
      <c r="A77" s="1" t="inlineStr">
        <is>
          <t>23-Aug-25</t>
        </is>
      </c>
      <c r="B77" s="1" t="inlineStr">
        <is>
          <t>I60204</t>
        </is>
      </c>
      <c r="C77" s="1" t="inlineStr">
        <is>
          <t>25802800107</t>
        </is>
      </c>
      <c r="D77" s="1" t="inlineStr">
        <is>
          <t>Traàn Vónh</t>
        </is>
      </c>
      <c r="E77" s="1" t="inlineStr">
        <is>
          <t>Khang</t>
        </is>
      </c>
      <c r="F77" s="1" t="inlineStr">
        <is>
          <t>21-Aug-07</t>
        </is>
      </c>
      <c r="G77" s="1" t="inlineStr">
        <is>
          <t>LNH0925ND01</t>
        </is>
      </c>
      <c r="H77" s="1" t="inlineStr">
        <is>
          <t>09AV Giao tiep QT (TS)</t>
        </is>
      </c>
      <c r="I77" s="1" t="n">
        <v>4465000</v>
      </c>
      <c r="J77" s="1" t="inlineStr">
        <is>
          <t>DINH THI THE PHUONG QR - TRAN VINH KHANG 25802800107 LN H0925ND01 0784210807 TAI VietinBank</t>
        </is>
      </c>
    </row>
    <row r="78">
      <c r="A78" s="1" t="inlineStr">
        <is>
          <t>23-Aug-25</t>
        </is>
      </c>
      <c r="B78" s="1" t="inlineStr">
        <is>
          <t>I60205</t>
        </is>
      </c>
      <c r="C78" s="1" t="inlineStr">
        <is>
          <t>25802100038</t>
        </is>
      </c>
      <c r="D78" s="1" t="inlineStr">
        <is>
          <t>Ngoâ Xuaân</t>
        </is>
      </c>
      <c r="E78" s="1" t="inlineStr">
        <is>
          <t>Thieân</t>
        </is>
      </c>
      <c r="F78" s="1" t="inlineStr">
        <is>
          <t>12-Dec-06</t>
        </is>
      </c>
      <c r="G78" s="1" t="inlineStr">
        <is>
          <t>LNH0925ND01</t>
        </is>
      </c>
      <c r="H78" s="1" t="inlineStr">
        <is>
          <t>09AV Giao tiep QT (TS)</t>
        </is>
      </c>
      <c r="I78" s="1" t="n">
        <v>4465000</v>
      </c>
      <c r="J78" s="1" t="inlineStr">
        <is>
          <t>NGO XUAN THIEN NGO XUAN THIEN   25802100038 LNH925 ND01 0375498221 TAI IBT BIDV                 HANOI</t>
        </is>
      </c>
    </row>
    <row r="79">
      <c r="A79" s="1" t="inlineStr">
        <is>
          <t>23-Aug-25</t>
        </is>
      </c>
      <c r="B79" s="1" t="inlineStr">
        <is>
          <t>I60206</t>
        </is>
      </c>
      <c r="C79" s="1" t="inlineStr">
        <is>
          <t>25800500056</t>
        </is>
      </c>
      <c r="D79" s="1" t="inlineStr">
        <is>
          <t>Ñoàng Minh</t>
        </is>
      </c>
      <c r="E79" s="1" t="inlineStr">
        <is>
          <t>Hoaøng</t>
        </is>
      </c>
      <c r="F79" s="1" t="inlineStr">
        <is>
          <t>17-Nov-07</t>
        </is>
      </c>
      <c r="G79" s="1" t="inlineStr">
        <is>
          <t>LNH0925ND01</t>
        </is>
      </c>
      <c r="H79" s="1" t="inlineStr">
        <is>
          <t>09AV Giao tiep QT (TS)</t>
        </is>
      </c>
      <c r="I79" s="1" t="n">
        <v>4940000</v>
      </c>
      <c r="J79" s="1" t="inlineStr">
        <is>
          <t>DONG VAN NAM QR - Dong Minh Hoang 25800500056 LN H0925ND01 sdt 0348914979 TAI VietinBank</t>
        </is>
      </c>
    </row>
    <row r="80">
      <c r="A80" s="1" t="inlineStr">
        <is>
          <t>23-Aug-25</t>
        </is>
      </c>
      <c r="B80" s="1" t="inlineStr">
        <is>
          <t>I60207</t>
        </is>
      </c>
      <c r="C80" s="1" t="inlineStr">
        <is>
          <t>25808600086</t>
        </is>
      </c>
      <c r="D80" s="1" t="inlineStr">
        <is>
          <t>Taï Thò Tuyeát</t>
        </is>
      </c>
      <c r="E80" s="1" t="inlineStr">
        <is>
          <t>Nhung</t>
        </is>
      </c>
      <c r="F80" s="1" t="inlineStr">
        <is>
          <t>22-May-06</t>
        </is>
      </c>
      <c r="G80" s="1" t="inlineStr">
        <is>
          <t>LNH0925ND01</t>
        </is>
      </c>
      <c r="H80" s="1" t="inlineStr">
        <is>
          <t>09AV Giao tiep QT (TS)</t>
        </is>
      </c>
      <c r="I80" s="1" t="n">
        <v>7415000</v>
      </c>
      <c r="J80" s="1" t="inlineStr">
        <is>
          <t>TA THI TUYET NHUNG ABBank 0521043748045 TA THI TUYET N HUNG 25808600086 LNH0925ND01 sdt093 3063782 lophoc3-5-7 TAI Agribank</t>
        </is>
      </c>
    </row>
    <row r="81">
      <c r="A81" s="1" t="inlineStr">
        <is>
          <t>23-Aug-25</t>
        </is>
      </c>
      <c r="B81" s="1" t="inlineStr">
        <is>
          <t>I60208</t>
        </is>
      </c>
      <c r="C81" s="1" t="inlineStr">
        <is>
          <t>25807900008</t>
        </is>
      </c>
      <c r="D81" s="1" t="inlineStr">
        <is>
          <t>Voõ Khaéc</t>
        </is>
      </c>
      <c r="E81" s="1" t="inlineStr">
        <is>
          <t>Duy</t>
        </is>
      </c>
      <c r="F81" s="1" t="inlineStr">
        <is>
          <t>01-Jun-07</t>
        </is>
      </c>
      <c r="G81" s="1" t="inlineStr">
        <is>
          <t>LNH0925ND01</t>
        </is>
      </c>
      <c r="H81" s="1" t="inlineStr">
        <is>
          <t>09AV Giao tiep QT (TS)</t>
        </is>
      </c>
      <c r="I81" s="1" t="n">
        <v>7415000</v>
      </c>
      <c r="J81" s="1" t="inlineStr">
        <is>
          <t>LAM THI HIEP MBVCB.10656539323.253503.Vo khac Du y   25807900008  LNH0925ND01 056393 0944  lop hoc 3-5-7.CT tu 935759123 2 LAM THI HIEP toi 0521043748045 HUTECH tai ABBANK TAI Vietcombank</t>
        </is>
      </c>
    </row>
    <row r="82">
      <c r="A82" s="1" t="inlineStr">
        <is>
          <t>23-Aug-25</t>
        </is>
      </c>
      <c r="B82" s="1" t="inlineStr">
        <is>
          <t>I60209</t>
        </is>
      </c>
      <c r="C82" s="1" t="inlineStr">
        <is>
          <t>25800600669</t>
        </is>
      </c>
      <c r="D82" s="1" t="inlineStr">
        <is>
          <t>Traàn Thò Hoaøi</t>
        </is>
      </c>
      <c r="E82" s="1" t="inlineStr">
        <is>
          <t>Thöông</t>
        </is>
      </c>
      <c r="F82" s="1" t="inlineStr">
        <is>
          <t>26-Apr-07</t>
        </is>
      </c>
      <c r="G82" s="1" t="inlineStr">
        <is>
          <t>LNH0925ND01</t>
        </is>
      </c>
      <c r="H82" s="1" t="inlineStr">
        <is>
          <t>09AV Giao tiep QT (TS)</t>
        </is>
      </c>
      <c r="I82" s="1" t="n">
        <v>8415000</v>
      </c>
      <c r="J82" s="1" t="inlineStr">
        <is>
          <t>DUONG THI KIM NGOAI MBVCB.10651702083.963900.Tran Thi H oai Thuong 25800600669 LNH0925ND01 0364540214.CT tu 1036988047 DUONG T HI KIM NGOAI toi 0521043748045 HUTECH tai ABBANK TAI Vietcombank</t>
        </is>
      </c>
    </row>
    <row r="83">
      <c r="A83" s="1" t="inlineStr">
        <is>
          <t>23-Aug-25</t>
        </is>
      </c>
      <c r="B83" s="1" t="inlineStr">
        <is>
          <t>I60210</t>
        </is>
      </c>
      <c r="C83" s="1" t="inlineStr">
        <is>
          <t>25820500002</t>
        </is>
      </c>
      <c r="D83" s="1" t="inlineStr">
        <is>
          <t>Ñaëng Quoác</t>
        </is>
      </c>
      <c r="E83" s="1" t="inlineStr">
        <is>
          <t>Baûo</t>
        </is>
      </c>
      <c r="F83" s="1" t="inlineStr">
        <is>
          <t>11-Nov-07</t>
        </is>
      </c>
      <c r="G83" s="1" t="inlineStr">
        <is>
          <t>LNH0925ND01</t>
        </is>
      </c>
      <c r="H83" s="1" t="inlineStr">
        <is>
          <t>09AV Giao tiep QT (TS)</t>
        </is>
      </c>
      <c r="I83" s="1" t="n">
        <v>8415000</v>
      </c>
      <c r="J83" s="1" t="inlineStr">
        <is>
          <t>DANG XUAN CUONG ABBank 0521043748045 DANG QUOC BAO 25822500002. LNH0925ND01 TAI Agribank</t>
        </is>
      </c>
    </row>
    <row r="84">
      <c r="A84" s="1" t="inlineStr">
        <is>
          <t>23-Aug-25</t>
        </is>
      </c>
      <c r="B84" s="1" t="inlineStr">
        <is>
          <t>I60211</t>
        </is>
      </c>
      <c r="C84" s="1" t="inlineStr">
        <is>
          <t>25808600084</t>
        </is>
      </c>
      <c r="D84" s="1" t="inlineStr">
        <is>
          <t>Lyù Thò Tuyeát</t>
        </is>
      </c>
      <c r="E84" s="1" t="inlineStr">
        <is>
          <t>Nhung</t>
        </is>
      </c>
      <c r="F84" s="1" t="inlineStr">
        <is>
          <t>11-Feb-07</t>
        </is>
      </c>
      <c r="G84" s="1" t="inlineStr">
        <is>
          <t>LNH0925ND01</t>
        </is>
      </c>
      <c r="H84" s="1" t="inlineStr">
        <is>
          <t>09AV Giao tiep QT (TS)</t>
        </is>
      </c>
      <c r="I84" s="1" t="n">
        <v>8415000</v>
      </c>
      <c r="J84" s="1" t="inlineStr">
        <is>
          <t>NGUYEN TRUNG NGHIA Ly Thi Tuyet Nhung  25808600084  LN H0925ND01  098117450 TAI VietinBank</t>
        </is>
      </c>
    </row>
    <row r="85">
      <c r="A85" s="1" t="inlineStr">
        <is>
          <t>23-Aug-25</t>
        </is>
      </c>
      <c r="B85" s="1" t="inlineStr">
        <is>
          <t>I60212</t>
        </is>
      </c>
      <c r="C85" s="1" t="inlineStr">
        <is>
          <t>25806300028</t>
        </is>
      </c>
      <c r="D85" s="1" t="inlineStr">
        <is>
          <t>Traàn Hoaøi</t>
        </is>
      </c>
      <c r="E85" s="1" t="inlineStr">
        <is>
          <t>Nam</t>
        </is>
      </c>
      <c r="F85" s="1" t="inlineStr">
        <is>
          <t>24-Jul-07</t>
        </is>
      </c>
      <c r="G85" s="1" t="inlineStr">
        <is>
          <t>LNH0925ND01</t>
        </is>
      </c>
      <c r="H85" s="1" t="inlineStr">
        <is>
          <t>09AV Giao tiep QT (TS)</t>
        </is>
      </c>
      <c r="I85" s="1" t="n">
        <v>8415000</v>
      </c>
      <c r="J85" s="1" t="inlineStr">
        <is>
          <t>TRAN THAI ABBank 0521043748045 Tran Hoai Nam 25806300028 LNH0925ND01  sdt 039474 6685 TAI Agribank</t>
        </is>
      </c>
    </row>
    <row r="86">
      <c r="A86" s="1" t="inlineStr">
        <is>
          <t>23-Aug-25</t>
        </is>
      </c>
      <c r="B86" s="1" t="inlineStr">
        <is>
          <t>I60213</t>
        </is>
      </c>
      <c r="C86" s="1" t="inlineStr">
        <is>
          <t>25820700014</t>
        </is>
      </c>
      <c r="D86" s="1" t="inlineStr">
        <is>
          <t>Nguyeãn Thò Kieàu</t>
        </is>
      </c>
      <c r="E86" s="1" t="inlineStr">
        <is>
          <t>Loan</t>
        </is>
      </c>
      <c r="F86" s="1" t="inlineStr">
        <is>
          <t>04-Oct-07</t>
        </is>
      </c>
      <c r="G86" s="1" t="inlineStr">
        <is>
          <t>LNH0925ND01</t>
        </is>
      </c>
      <c r="H86" s="1" t="inlineStr">
        <is>
          <t>09AV Giao tiep QT (TS)</t>
        </is>
      </c>
      <c r="I86" s="1" t="n">
        <v>8415000</v>
      </c>
      <c r="J86" s="1" t="inlineStr">
        <is>
          <t>NGUYEN TRUNG NGHIA Nguyen Thi Kieu Loan  25820700014 LNH0925ND01  0398443514 TAI VietinBank</t>
        </is>
      </c>
    </row>
    <row r="87">
      <c r="A87" s="1" t="inlineStr">
        <is>
          <t>23-Aug-25</t>
        </is>
      </c>
      <c r="B87" s="1" t="inlineStr">
        <is>
          <t>I60214</t>
        </is>
      </c>
      <c r="C87" s="1" t="inlineStr">
        <is>
          <t>25809600050</t>
        </is>
      </c>
      <c r="D87" s="1" t="inlineStr">
        <is>
          <t>Nguyeãn Hoaøng Baûo</t>
        </is>
      </c>
      <c r="E87" s="1" t="inlineStr">
        <is>
          <t>Phuùc</t>
        </is>
      </c>
      <c r="F87" s="1" t="inlineStr">
        <is>
          <t>19-May-07</t>
        </is>
      </c>
      <c r="G87" s="1" t="inlineStr">
        <is>
          <t>LNH0925ND01</t>
        </is>
      </c>
      <c r="H87" s="1" t="inlineStr">
        <is>
          <t>09AV Giao tiep QT (TS)</t>
        </is>
      </c>
      <c r="I87" s="1" t="n">
        <v>8415000</v>
      </c>
      <c r="J87" s="1" t="inlineStr">
        <is>
          <t>NGUYEN TRUNG NGHIA Nguyen Hoang Bao Phuc  25809600050 LNH0925ND01  0707639693 TAI VietinBank</t>
        </is>
      </c>
    </row>
    <row r="88">
      <c r="A88" s="1" t="inlineStr">
        <is>
          <t>23-Aug-25</t>
        </is>
      </c>
      <c r="B88" s="1" t="inlineStr">
        <is>
          <t>I60215</t>
        </is>
      </c>
      <c r="C88" s="1" t="inlineStr">
        <is>
          <t>25800500108</t>
        </is>
      </c>
      <c r="D88" s="1" t="inlineStr">
        <is>
          <t>Toâ Taán</t>
        </is>
      </c>
      <c r="E88" s="1" t="inlineStr">
        <is>
          <t>Loäc</t>
        </is>
      </c>
      <c r="F88" s="1" t="inlineStr">
        <is>
          <t>21-Oct-07</t>
        </is>
      </c>
      <c r="G88" s="1" t="inlineStr">
        <is>
          <t>LNH0925ND01</t>
        </is>
      </c>
      <c r="H88" s="1" t="inlineStr">
        <is>
          <t>09AV Giao tiep QT (TS)</t>
        </is>
      </c>
      <c r="I88" s="1" t="n">
        <v>8415000</v>
      </c>
      <c r="J88" s="1" t="inlineStr">
        <is>
          <t>NGUYEN TRUNG NGHIA To Tan Loc  25800500108  LNH0925ND0 1  0707063720 TAI VietinBank</t>
        </is>
      </c>
    </row>
    <row r="89">
      <c r="A89" s="1" t="inlineStr">
        <is>
          <t>23-Aug-25</t>
        </is>
      </c>
      <c r="B89" s="1" t="inlineStr">
        <is>
          <t>I60216</t>
        </is>
      </c>
      <c r="C89" s="1" t="inlineStr">
        <is>
          <t>25808500135</t>
        </is>
      </c>
      <c r="D89" s="1" t="inlineStr">
        <is>
          <t>Chu Quang</t>
        </is>
      </c>
      <c r="E89" s="1" t="inlineStr">
        <is>
          <t>Huy</t>
        </is>
      </c>
      <c r="F89" s="1" t="inlineStr">
        <is>
          <t>03-Dec-07</t>
        </is>
      </c>
      <c r="G89" s="1" t="inlineStr">
        <is>
          <t>LNH0925ND01</t>
        </is>
      </c>
      <c r="H89" s="1" t="inlineStr">
        <is>
          <t>09AV Giao tiep QT (TS)</t>
        </is>
      </c>
      <c r="I89" s="1" t="n">
        <v>8415000</v>
      </c>
      <c r="J89" s="1" t="inlineStr">
        <is>
          <t>MBBANK IBFT Chu Quang Huy 25808500135 LNH0925ND 01 0399182523 TAI IBT-MB                   HANOI</t>
        </is>
      </c>
    </row>
    <row r="90">
      <c r="A90" s="1" t="inlineStr">
        <is>
          <t>23-Aug-25</t>
        </is>
      </c>
      <c r="B90" s="1" t="inlineStr">
        <is>
          <t>I60217</t>
        </is>
      </c>
      <c r="C90" s="1" t="inlineStr">
        <is>
          <t>25801400451</t>
        </is>
      </c>
      <c r="D90" s="1" t="inlineStr">
        <is>
          <t>Nguyeãn Thaønh</t>
        </is>
      </c>
      <c r="E90" s="1" t="inlineStr">
        <is>
          <t>Taøi</t>
        </is>
      </c>
      <c r="F90" s="1" t="inlineStr">
        <is>
          <t>08-Jun-06</t>
        </is>
      </c>
      <c r="G90" s="1" t="inlineStr">
        <is>
          <t>LNH0925ND01</t>
        </is>
      </c>
      <c r="H90" s="1" t="inlineStr">
        <is>
          <t>09AV Giao tiep QT (TS)</t>
        </is>
      </c>
      <c r="I90" s="1" t="n">
        <v>8415000</v>
      </c>
      <c r="J90" s="1" t="inlineStr">
        <is>
          <t>TRAN THI THANH MAI QR - Nguyen Thanh Tai 2501400114 LN H0925ND01 0898487607 TAI VietinBank</t>
        </is>
      </c>
    </row>
    <row r="91">
      <c r="A91" s="1" t="inlineStr">
        <is>
          <t>23-Aug-25</t>
        </is>
      </c>
      <c r="B91" s="1" t="inlineStr">
        <is>
          <t>I60218</t>
        </is>
      </c>
      <c r="C91" s="1" t="inlineStr">
        <is>
          <t>25802600167</t>
        </is>
      </c>
      <c r="D91" s="1" t="inlineStr">
        <is>
          <t>Leâ Thò Ngoïc</t>
        </is>
      </c>
      <c r="E91" s="1" t="inlineStr">
        <is>
          <t>Vy</t>
        </is>
      </c>
      <c r="F91" s="1" t="inlineStr">
        <is>
          <t>21-Feb-07</t>
        </is>
      </c>
      <c r="G91" s="1" t="inlineStr">
        <is>
          <t>LNH0925ND01</t>
        </is>
      </c>
      <c r="H91" s="1" t="inlineStr">
        <is>
          <t>09AV Giao tiep QT (TS)</t>
        </is>
      </c>
      <c r="I91" s="1" t="n">
        <v>8415000</v>
      </c>
      <c r="J91" s="1" t="inlineStr">
        <is>
          <t>TRAN THI THANH MAI QR - Le Thi Ngoc Vy 25802600167 LNH 0925ND01 0934217779 TAI VietinBank</t>
        </is>
      </c>
    </row>
    <row r="92">
      <c r="A92" s="1" t="inlineStr">
        <is>
          <t>23-Aug-25</t>
        </is>
      </c>
      <c r="B92" s="1" t="inlineStr">
        <is>
          <t>I60219</t>
        </is>
      </c>
      <c r="C92" s="1" t="inlineStr">
        <is>
          <t>25802800355</t>
        </is>
      </c>
      <c r="D92" s="1" t="inlineStr">
        <is>
          <t>Traàn Thanh</t>
        </is>
      </c>
      <c r="E92" s="1" t="inlineStr">
        <is>
          <t>Tín</t>
        </is>
      </c>
      <c r="F92" s="1" t="inlineStr">
        <is>
          <t>06-Sep-07</t>
        </is>
      </c>
      <c r="G92" s="1" t="inlineStr">
        <is>
          <t>LNH0925ND01</t>
        </is>
      </c>
      <c r="H92" s="1" t="inlineStr">
        <is>
          <t>09AV Giao tiep QT (TS)</t>
        </is>
      </c>
      <c r="I92" s="1" t="n">
        <v>8415000</v>
      </c>
      <c r="J92" s="1" t="inlineStr">
        <is>
          <t>MBBANK IBFT 25802800355 Tran Thanh Tin LNH0925N D01 TAI IBT-MB                   HANOI</t>
        </is>
      </c>
    </row>
    <row r="93">
      <c r="A93" s="1" t="inlineStr">
        <is>
          <t>23-Aug-25</t>
        </is>
      </c>
      <c r="B93" s="1" t="inlineStr">
        <is>
          <t>I60220</t>
        </is>
      </c>
      <c r="C93" s="1" t="inlineStr">
        <is>
          <t>25802800185</t>
        </is>
      </c>
      <c r="D93" s="1" t="inlineStr">
        <is>
          <t>Chu Yeán</t>
        </is>
      </c>
      <c r="E93" s="1" t="inlineStr">
        <is>
          <t>Nhi</t>
        </is>
      </c>
      <c r="F93" s="1" t="inlineStr">
        <is>
          <t>10-Dec-07</t>
        </is>
      </c>
      <c r="G93" s="1" t="inlineStr">
        <is>
          <t>LNH0925ND01</t>
        </is>
      </c>
      <c r="H93" s="1" t="inlineStr">
        <is>
          <t>09AV Giao tiep QT (TS)</t>
        </is>
      </c>
      <c r="I93" s="1" t="n">
        <v>8415000</v>
      </c>
      <c r="J93" s="1" t="inlineStr">
        <is>
          <t>NGUYEN TRUNG NGHIA Chu Yen Nhi  25802800185  LNH0925ND 01  0902760316 TAI VietinBank</t>
        </is>
      </c>
    </row>
    <row r="94">
      <c r="A94" s="1" t="inlineStr">
        <is>
          <t>23-Aug-25</t>
        </is>
      </c>
      <c r="B94" s="1" t="inlineStr">
        <is>
          <t>I60221</t>
        </is>
      </c>
      <c r="C94" s="1" t="inlineStr">
        <is>
          <t>25807500078</t>
        </is>
      </c>
      <c r="D94" s="1" t="inlineStr">
        <is>
          <t>Nguyeãn Hoaøi Nhö</t>
        </is>
      </c>
      <c r="E94" s="1" t="inlineStr">
        <is>
          <t>Ngoïc</t>
        </is>
      </c>
      <c r="F94" s="1" t="inlineStr">
        <is>
          <t>27-May-07</t>
        </is>
      </c>
      <c r="G94" s="1" t="inlineStr">
        <is>
          <t>LNH0925ND01</t>
        </is>
      </c>
      <c r="H94" s="1" t="inlineStr">
        <is>
          <t>09AV Giao tiep QT (TS)</t>
        </is>
      </c>
      <c r="I94" s="1" t="n">
        <v>8415000</v>
      </c>
      <c r="J94" s="1" t="inlineStr">
        <is>
          <t>NGUYEN THI QUYNH LE MBVCB.10653304932.043137.NGUYEN HOA I NHU NGOC - 25807500078 - 08365802 75 - 246  LNH0925ND01.CT tu 1020846 404 NGUYEN THI QUYNH LE toi 0521043748045 HUTECH tai ABBANK TAI Vietcombank</t>
        </is>
      </c>
    </row>
    <row r="95">
      <c r="A95" s="1" t="inlineStr">
        <is>
          <t>23-Aug-25</t>
        </is>
      </c>
      <c r="B95" s="1" t="inlineStr">
        <is>
          <t>I60222</t>
        </is>
      </c>
      <c r="C95" s="1" t="inlineStr">
        <is>
          <t>25802100009</t>
        </is>
      </c>
      <c r="D95" s="1" t="inlineStr">
        <is>
          <t>Nguyeãn Vaên</t>
        </is>
      </c>
      <c r="E95" s="1" t="inlineStr">
        <is>
          <t>Ñoâng</t>
        </is>
      </c>
      <c r="F95" s="1" t="inlineStr">
        <is>
          <t>11-Nov-07</t>
        </is>
      </c>
      <c r="G95" s="1" t="inlineStr">
        <is>
          <t>LNH0925ND01</t>
        </is>
      </c>
      <c r="H95" s="1" t="inlineStr">
        <is>
          <t>09AV Giao tiep QT (TS)</t>
        </is>
      </c>
      <c r="I95" s="1" t="n">
        <v>8415000</v>
      </c>
      <c r="J95" s="1" t="inlineStr">
        <is>
          <t>PHAM THI TUOI QR - Nguyen Van Dong 25802100009 LN H0925ND01 0395498007 2-4-6 TAI VietinBank</t>
        </is>
      </c>
    </row>
    <row r="96">
      <c r="A96" s="1" t="inlineStr">
        <is>
          <t>23-Aug-25</t>
        </is>
      </c>
      <c r="B96" s="1" t="inlineStr">
        <is>
          <t>I60223</t>
        </is>
      </c>
      <c r="C96" s="1" t="inlineStr">
        <is>
          <t>25802700104</t>
        </is>
      </c>
      <c r="D96" s="1" t="inlineStr">
        <is>
          <t>Leâ Thò Myõ</t>
        </is>
      </c>
      <c r="E96" s="1" t="inlineStr">
        <is>
          <t>Tuyeàn</t>
        </is>
      </c>
      <c r="F96" s="1" t="inlineStr">
        <is>
          <t>14-Apr-07</t>
        </is>
      </c>
      <c r="G96" s="1" t="inlineStr">
        <is>
          <t>LNH0925ND01</t>
        </is>
      </c>
      <c r="H96" s="1" t="inlineStr">
        <is>
          <t>09AV Giao tiep QT (TS)</t>
        </is>
      </c>
      <c r="I96" s="1" t="n">
        <v>8415000</v>
      </c>
      <c r="J96" s="1" t="inlineStr">
        <is>
          <t>LE THI THANH XUAN Le Thi My Tuyen 25802700104 LNH0925 ND01 0377255816 lop hoc 2 4 6 TAI PVCB NAPAS               HANOI</t>
        </is>
      </c>
    </row>
    <row r="97">
      <c r="A97" s="1" t="inlineStr">
        <is>
          <t>23-Aug-25</t>
        </is>
      </c>
      <c r="B97" s="1" t="inlineStr">
        <is>
          <t>I60224</t>
        </is>
      </c>
      <c r="C97" s="1" t="inlineStr">
        <is>
          <t>25806500029</t>
        </is>
      </c>
      <c r="D97" s="1" t="inlineStr">
        <is>
          <t>Laâm Phuùc</t>
        </is>
      </c>
      <c r="E97" s="1" t="inlineStr">
        <is>
          <t>Nguyeân</t>
        </is>
      </c>
      <c r="F97" s="1" t="inlineStr">
        <is>
          <t>21-Feb-06</t>
        </is>
      </c>
      <c r="G97" s="1" t="inlineStr">
        <is>
          <t>LNH0925ND01</t>
        </is>
      </c>
      <c r="H97" s="1" t="inlineStr">
        <is>
          <t>09AV Giao tiep QT (TS)</t>
        </is>
      </c>
      <c r="I97" s="1" t="n">
        <v>8415000</v>
      </c>
      <c r="J97" s="1" t="inlineStr">
        <is>
          <t>MBBANK IBFT Lam Phuc Nguyen  25806500029  LNH09 25ND01  0913761517 TAI IBT-MB                   HANOI</t>
        </is>
      </c>
    </row>
    <row r="98">
      <c r="A98" s="1" t="inlineStr">
        <is>
          <t>23-Aug-25</t>
        </is>
      </c>
      <c r="B98" s="1" t="inlineStr">
        <is>
          <t>I60225</t>
        </is>
      </c>
      <c r="C98" s="1" t="inlineStr">
        <is>
          <t>25808600094</t>
        </is>
      </c>
      <c r="D98" s="1" t="inlineStr">
        <is>
          <t>Döông Tuù</t>
        </is>
      </c>
      <c r="E98" s="1" t="inlineStr">
        <is>
          <t>Quaân</t>
        </is>
      </c>
      <c r="F98" s="1" t="inlineStr">
        <is>
          <t>30-Jul-07</t>
        </is>
      </c>
      <c r="G98" s="1" t="inlineStr">
        <is>
          <t>LNH0925ND01</t>
        </is>
      </c>
      <c r="H98" s="1" t="inlineStr">
        <is>
          <t>09AV Giao tiep QT (TS)</t>
        </is>
      </c>
      <c r="I98" s="1" t="n">
        <v>8415000</v>
      </c>
      <c r="J98" s="1" t="inlineStr">
        <is>
          <t>DUONG CHI QUANG DUONG TU QUAN 25808600094 LNH0925ND 01 0346531869 TAI IBT SMARTLINK            HANOI</t>
        </is>
      </c>
    </row>
    <row r="99">
      <c r="A99" s="1" t="inlineStr">
        <is>
          <t>23-Aug-25</t>
        </is>
      </c>
      <c r="B99" s="1" t="inlineStr">
        <is>
          <t>I60226</t>
        </is>
      </c>
      <c r="C99" s="1" t="inlineStr">
        <is>
          <t>25806800058</t>
        </is>
      </c>
      <c r="D99" s="1" t="inlineStr">
        <is>
          <t>Huyønh Hoa Trinh</t>
        </is>
      </c>
      <c r="E99" s="1" t="inlineStr">
        <is>
          <t>Nöõ</t>
        </is>
      </c>
      <c r="F99" s="1" t="inlineStr">
        <is>
          <t>08-Oct-07</t>
        </is>
      </c>
      <c r="G99" s="1" t="inlineStr">
        <is>
          <t>LNH0925ND01</t>
        </is>
      </c>
      <c r="H99" s="1" t="inlineStr">
        <is>
          <t>09AV Giao tiep QT (TS)</t>
        </is>
      </c>
      <c r="I99" s="1" t="n">
        <v>8415000</v>
      </c>
      <c r="J99" s="1" t="inlineStr">
        <is>
          <t>DINH THI THE PHUONG QR - HUYNH HOA TRINH NU 25806800058 LNH0925ND01 0706891080 TAI VietinBank</t>
        </is>
      </c>
    </row>
    <row r="100">
      <c r="A100" s="1" t="inlineStr">
        <is>
          <t>23-Aug-25</t>
        </is>
      </c>
      <c r="B100" s="1" t="inlineStr">
        <is>
          <t>I60227</t>
        </is>
      </c>
      <c r="C100" s="1" t="inlineStr">
        <is>
          <t>25808200079</t>
        </is>
      </c>
      <c r="D100" s="1" t="inlineStr">
        <is>
          <t>Ñaëng Thaùi</t>
        </is>
      </c>
      <c r="E100" s="1" t="inlineStr">
        <is>
          <t>Loäc</t>
        </is>
      </c>
      <c r="F100" s="1" t="inlineStr">
        <is>
          <t>01-Nov-07</t>
        </is>
      </c>
      <c r="G100" s="1" t="inlineStr">
        <is>
          <t>LNH0925ND01</t>
        </is>
      </c>
      <c r="H100" s="1" t="inlineStr">
        <is>
          <t>09AV Giao tiep QT (TS)</t>
        </is>
      </c>
      <c r="I100" s="1" t="n">
        <v>8415000</v>
      </c>
      <c r="J100" s="1" t="inlineStr">
        <is>
          <t>LUU NGUYEN HUYEN TRANG ABBank 0521043748045 Dang Thai Loc 25808200079 LNH0925ND01 0769386507 lop 2-4-6 TAI Agribank</t>
        </is>
      </c>
    </row>
    <row r="101">
      <c r="A101" s="1" t="inlineStr">
        <is>
          <t>25-Aug-25</t>
        </is>
      </c>
      <c r="B101" s="1" t="inlineStr">
        <is>
          <t>I60231</t>
        </is>
      </c>
      <c r="C101" s="1" t="inlineStr">
        <is>
          <t>25807500161</t>
        </is>
      </c>
      <c r="D101" s="1" t="inlineStr">
        <is>
          <t>Nguyeãn Phöông</t>
        </is>
      </c>
      <c r="E101" s="1" t="inlineStr">
        <is>
          <t>Uyeân</t>
        </is>
      </c>
      <c r="F101" s="1" t="inlineStr">
        <is>
          <t>23-Jul-07</t>
        </is>
      </c>
      <c r="G101" s="1" t="inlineStr">
        <is>
          <t>LNH0925ND01</t>
        </is>
      </c>
      <c r="H101" s="1" t="inlineStr">
        <is>
          <t>09AV Toeic 2 KN</t>
        </is>
      </c>
      <c r="I101" s="1" t="n">
        <v>1000000</v>
      </c>
      <c r="J101" s="1" t="inlineStr">
        <is>
          <t>(ma cu LNH0925NL01) NGUYEN CAM LE NguyenPhuongUyen25807500161 LNH0925 NL01 0834200776 FT25237430373703 TAI TECHCOMBANK            HANOI</t>
        </is>
      </c>
    </row>
    <row r="102">
      <c r="A102" s="1" t="inlineStr">
        <is>
          <t>25-Aug-25</t>
        </is>
      </c>
      <c r="B102" s="1" t="inlineStr">
        <is>
          <t>I60241</t>
        </is>
      </c>
      <c r="C102" s="1" t="inlineStr">
        <is>
          <t>25802700162</t>
        </is>
      </c>
      <c r="D102" s="1" t="inlineStr">
        <is>
          <t>Vuõ Thò Minh</t>
        </is>
      </c>
      <c r="E102" s="1" t="inlineStr">
        <is>
          <t>Thö</t>
        </is>
      </c>
      <c r="F102" s="1" t="inlineStr">
        <is>
          <t>01-May-07</t>
        </is>
      </c>
      <c r="G102" s="1" t="inlineStr">
        <is>
          <t>LNH0925ND01</t>
        </is>
      </c>
      <c r="H102" s="1" t="inlineStr">
        <is>
          <t>09AV Giao tiep QT (TS)</t>
        </is>
      </c>
      <c r="I102" s="1" t="n">
        <v>270000</v>
      </c>
      <c r="J102" s="1" t="inlineStr">
        <is>
          <t>VU THE DAI VU THI MINH THU 2502700042 LNH0925N D01 0343948502-240825-15 43 29 9827 35 TAI Ngan hang a chau       IBT SMARLINK</t>
        </is>
      </c>
    </row>
    <row r="103">
      <c r="A103" s="1" t="inlineStr">
        <is>
          <t>25-Aug-25</t>
        </is>
      </c>
      <c r="B103" s="1" t="inlineStr">
        <is>
          <t>I60242</t>
        </is>
      </c>
      <c r="C103" s="1" t="inlineStr">
        <is>
          <t>25800500278</t>
        </is>
      </c>
      <c r="D103" s="1" t="inlineStr">
        <is>
          <t>Phaïm Theá</t>
        </is>
      </c>
      <c r="E103" s="1" t="inlineStr">
        <is>
          <t>Laân</t>
        </is>
      </c>
      <c r="F103" s="1" t="inlineStr">
        <is>
          <t>30-Oct-07</t>
        </is>
      </c>
      <c r="G103" s="1" t="inlineStr">
        <is>
          <t>LNH0925ND01</t>
        </is>
      </c>
      <c r="H103" s="1" t="inlineStr">
        <is>
          <t>09AV Giao tiep QT (TS)</t>
        </is>
      </c>
      <c r="I103" s="1" t="n">
        <v>500000</v>
      </c>
      <c r="J103" s="1" t="inlineStr">
        <is>
          <t>NGUYEN TRUNG NGHIA PHAM THE LAN  2500500069  LNH0925ND 01  076917653 TAI VietinBank</t>
        </is>
      </c>
    </row>
    <row r="104">
      <c r="A104" s="1" t="inlineStr">
        <is>
          <t>25-Aug-25</t>
        </is>
      </c>
      <c r="B104" s="1" t="inlineStr">
        <is>
          <t>I60243</t>
        </is>
      </c>
      <c r="C104" s="1" t="inlineStr">
        <is>
          <t>25807500098</t>
        </is>
      </c>
      <c r="D104" s="1" t="inlineStr">
        <is>
          <t>Phan Ngoïc Phuù</t>
        </is>
      </c>
      <c r="E104" s="1" t="inlineStr">
        <is>
          <t>Quí</t>
        </is>
      </c>
      <c r="F104" s="1" t="inlineStr">
        <is>
          <t>12-Sep-07</t>
        </is>
      </c>
      <c r="G104" s="1" t="inlineStr">
        <is>
          <t>LNH0925ND01</t>
        </is>
      </c>
      <c r="H104" s="1" t="inlineStr">
        <is>
          <t>09AV Giao tiep QT (TS)</t>
        </is>
      </c>
      <c r="I104" s="1" t="n">
        <v>500000</v>
      </c>
      <c r="J104" s="1" t="inlineStr">
        <is>
          <t>NGUYEN TRUNG NGHIA PHAN NGOC PHU QUI  25807500098  LNH 0925ND01  0937769087 TAI VietinBank</t>
        </is>
      </c>
    </row>
    <row r="105">
      <c r="A105" s="1" t="inlineStr">
        <is>
          <t>25-Aug-25</t>
        </is>
      </c>
      <c r="B105" s="1" t="inlineStr">
        <is>
          <t>I60244</t>
        </is>
      </c>
      <c r="C105" s="1" t="inlineStr">
        <is>
          <t>25802700153</t>
        </is>
      </c>
      <c r="D105" s="1" t="inlineStr">
        <is>
          <t>Leâ Thaùi</t>
        </is>
      </c>
      <c r="E105" s="1" t="inlineStr">
        <is>
          <t>Long</t>
        </is>
      </c>
      <c r="F105" s="1" t="inlineStr">
        <is>
          <t>20-May-07</t>
        </is>
      </c>
      <c r="G105" s="1" t="inlineStr">
        <is>
          <t>LNH0925ND01</t>
        </is>
      </c>
      <c r="H105" s="1" t="inlineStr">
        <is>
          <t>09AV Giao tiep QT (TS)</t>
        </is>
      </c>
      <c r="I105" s="1" t="n">
        <v>841500</v>
      </c>
      <c r="J105" s="1" t="inlineStr">
        <is>
          <t>MBBANK IBFT LE THAI LONG  25802700153 LNH0925ND 010765269816 TAI IBT-MB                   HANOI</t>
        </is>
      </c>
    </row>
    <row r="106">
      <c r="A106" s="1" t="inlineStr">
        <is>
          <t>25-Aug-25</t>
        </is>
      </c>
      <c r="B106" s="1" t="inlineStr">
        <is>
          <t>I60245</t>
        </is>
      </c>
      <c r="C106" s="1" t="inlineStr">
        <is>
          <t>25808600054</t>
        </is>
      </c>
      <c r="D106" s="1" t="inlineStr">
        <is>
          <t>Ñaëng Thò Thuøy</t>
        </is>
      </c>
      <c r="E106" s="1" t="inlineStr">
        <is>
          <t>Linh</t>
        </is>
      </c>
      <c r="F106" s="1" t="inlineStr">
        <is>
          <t>16-Feb-07</t>
        </is>
      </c>
      <c r="G106" s="1" t="inlineStr">
        <is>
          <t>LNH0925ND01</t>
        </is>
      </c>
      <c r="H106" s="1" t="inlineStr">
        <is>
          <t>09AV Giao tiep QT (TS)</t>
        </is>
      </c>
      <c r="I106" s="1" t="n">
        <v>1000000</v>
      </c>
      <c r="J106" s="1" t="inlineStr">
        <is>
          <t>TRANSFER LE THANH TIEN chuyen tien Dang Thi Thuy Linh 25808600054 LNH0925ND01 ma GD 100000002090941 TAI LienVietPostBank       Ha Noi</t>
        </is>
      </c>
    </row>
    <row r="107">
      <c r="A107" s="1" t="inlineStr">
        <is>
          <t>25-Aug-25</t>
        </is>
      </c>
      <c r="B107" s="1" t="inlineStr">
        <is>
          <t>I60246</t>
        </is>
      </c>
      <c r="C107" s="1" t="inlineStr">
        <is>
          <t>25809300008</t>
        </is>
      </c>
      <c r="D107" s="1" t="inlineStr">
        <is>
          <t>Huyønh Traø Sôn</t>
        </is>
      </c>
      <c r="E107" s="1" t="inlineStr">
        <is>
          <t>Tuøng</t>
        </is>
      </c>
      <c r="F107" s="1" t="inlineStr">
        <is>
          <t>09-Dec-07</t>
        </is>
      </c>
      <c r="G107" s="1" t="inlineStr">
        <is>
          <t>LNH0925ND01</t>
        </is>
      </c>
      <c r="H107" s="1" t="inlineStr">
        <is>
          <t>09AV Giao tiep QT (TS)</t>
        </is>
      </c>
      <c r="I107" s="1" t="n">
        <v>1000000</v>
      </c>
      <c r="J107" s="1" t="inlineStr">
        <is>
          <t>NGUYEN TRUNG NGHIA Huynh Tra Son Tung  25809300008  LN H0925ND01  0363746791 TAI VietinBank</t>
        </is>
      </c>
    </row>
    <row r="108">
      <c r="A108" s="1" t="inlineStr">
        <is>
          <t>25-Aug-25</t>
        </is>
      </c>
      <c r="B108" s="1" t="inlineStr">
        <is>
          <t>I60247</t>
        </is>
      </c>
      <c r="C108" s="1" t="inlineStr">
        <is>
          <t>25820700045</t>
        </is>
      </c>
      <c r="D108" s="1" t="inlineStr">
        <is>
          <t>Nguyeãn Caåm</t>
        </is>
      </c>
      <c r="E108" s="1" t="inlineStr">
        <is>
          <t>Tuù</t>
        </is>
      </c>
      <c r="F108" s="1" t="inlineStr">
        <is>
          <t>22-Nov-07</t>
        </is>
      </c>
      <c r="G108" s="1" t="inlineStr">
        <is>
          <t>LNH0925ND01</t>
        </is>
      </c>
      <c r="H108" s="1" t="inlineStr">
        <is>
          <t>09AV Giao tiep QT (TS)</t>
        </is>
      </c>
      <c r="I108" s="1" t="n">
        <v>1000000</v>
      </c>
      <c r="J108" s="1" t="inlineStr">
        <is>
          <t>NGUYEN CAM TU ABBank 0521043748045 Nguyen Cam Tu 25820700045   LNH0925ND01  08692172 31 TAI Agribank</t>
        </is>
      </c>
    </row>
    <row r="109">
      <c r="A109" s="1" t="inlineStr">
        <is>
          <t>25-Aug-25</t>
        </is>
      </c>
      <c r="B109" s="1" t="inlineStr">
        <is>
          <t>I60248</t>
        </is>
      </c>
      <c r="C109" s="1" t="inlineStr">
        <is>
          <t>25800500248</t>
        </is>
      </c>
      <c r="D109" s="1" t="inlineStr">
        <is>
          <t>Vuõ Minh</t>
        </is>
      </c>
      <c r="E109" s="1" t="inlineStr">
        <is>
          <t>Hieáu</t>
        </is>
      </c>
      <c r="F109" s="1" t="inlineStr">
        <is>
          <t>09-Jul-07</t>
        </is>
      </c>
      <c r="G109" s="1" t="inlineStr">
        <is>
          <t>LNH0925ND01</t>
        </is>
      </c>
      <c r="H109" s="1" t="inlineStr">
        <is>
          <t>09AV Giao tiep QT (TS)</t>
        </is>
      </c>
      <c r="I109" s="1" t="n">
        <v>1000000</v>
      </c>
      <c r="J109" s="1" t="inlineStr">
        <is>
          <t>VU MINH HIEU VU MINH HIEU 2500500040 LNH0925ND01 0364143073 TAI IBT BIDV                 HANOI</t>
        </is>
      </c>
    </row>
    <row r="110">
      <c r="A110" s="1" t="inlineStr">
        <is>
          <t>25-Aug-25</t>
        </is>
      </c>
      <c r="B110" s="1" t="inlineStr">
        <is>
          <t>I60249</t>
        </is>
      </c>
      <c r="C110" s="1" t="inlineStr">
        <is>
          <t>25801600178</t>
        </is>
      </c>
      <c r="D110" s="1" t="inlineStr">
        <is>
          <t>Leâ Ngoïc Thaûo</t>
        </is>
      </c>
      <c r="E110" s="1" t="inlineStr">
        <is>
          <t>Vy</t>
        </is>
      </c>
      <c r="F110" s="1" t="inlineStr">
        <is>
          <t>11-Jan-07</t>
        </is>
      </c>
      <c r="G110" s="1" t="inlineStr">
        <is>
          <t>LNH0925ND01</t>
        </is>
      </c>
      <c r="H110" s="1" t="inlineStr">
        <is>
          <t>09AV Giao tiep QT (TS)</t>
        </is>
      </c>
      <c r="I110" s="1" t="n">
        <v>1000000</v>
      </c>
      <c r="J110" s="1" t="inlineStr">
        <is>
          <t>SACOMBANK IBFT LE NGOC THAO VY 25801600178 LN H0925ND01  0349936790 TAI SACOMBANK              HCM</t>
        </is>
      </c>
    </row>
    <row r="111">
      <c r="A111" s="1" t="inlineStr">
        <is>
          <t>25-Aug-25</t>
        </is>
      </c>
      <c r="B111" s="1" t="inlineStr">
        <is>
          <t>I60250</t>
        </is>
      </c>
      <c r="C111" s="1" t="inlineStr">
        <is>
          <t>25807400009</t>
        </is>
      </c>
      <c r="D111" s="1" t="inlineStr">
        <is>
          <t>Traàn Thanh</t>
        </is>
      </c>
      <c r="E111" s="1" t="inlineStr">
        <is>
          <t>Nhaøn</t>
        </is>
      </c>
      <c r="F111" s="1" t="inlineStr">
        <is>
          <t>24-Aug-07</t>
        </is>
      </c>
      <c r="G111" s="1" t="inlineStr">
        <is>
          <t>LNH0925ND01</t>
        </is>
      </c>
      <c r="H111" s="1" t="inlineStr">
        <is>
          <t>09AV Giao tiep QT (TS)</t>
        </is>
      </c>
      <c r="I111" s="1" t="n">
        <v>1000000</v>
      </c>
      <c r="J111" s="1" t="inlineStr">
        <is>
          <t>NGUYEN NGOC SON Tran Thanh Nhan 25807400009 LNH0925 ND01 FT25237582841006 TAI TECHCOMBANK            HANOI</t>
        </is>
      </c>
    </row>
    <row r="112">
      <c r="A112" s="1" t="inlineStr">
        <is>
          <t>25-Aug-25</t>
        </is>
      </c>
      <c r="B112" s="1" t="inlineStr">
        <is>
          <t>I60251</t>
        </is>
      </c>
      <c r="C112" s="1" t="inlineStr">
        <is>
          <t>25806800057</t>
        </is>
      </c>
      <c r="D112" s="1" t="inlineStr">
        <is>
          <t>Leâ Taâm</t>
        </is>
      </c>
      <c r="E112" s="1" t="inlineStr">
        <is>
          <t>Nhö</t>
        </is>
      </c>
      <c r="F112" s="1" t="inlineStr">
        <is>
          <t>01-Feb-07</t>
        </is>
      </c>
      <c r="G112" s="1" t="inlineStr">
        <is>
          <t>LNH0925ND01</t>
        </is>
      </c>
      <c r="H112" s="1" t="inlineStr">
        <is>
          <t>09AV Giao tiep QT (TS)</t>
        </is>
      </c>
      <c r="I112" s="1" t="n">
        <v>1000000</v>
      </c>
      <c r="J112" s="1" t="inlineStr">
        <is>
          <t>NGUYEN TRUNG NGHIA LE TAM NHU  25806800057  LNH0925ND0 1  0382436130 TAI VietinBank</t>
        </is>
      </c>
    </row>
    <row r="113">
      <c r="A113" s="1" t="inlineStr">
        <is>
          <t>25-Aug-25</t>
        </is>
      </c>
      <c r="B113" s="1" t="inlineStr">
        <is>
          <t>I60252</t>
        </is>
      </c>
      <c r="C113" s="1" t="inlineStr">
        <is>
          <t>25806000038</t>
        </is>
      </c>
      <c r="D113" s="1" t="inlineStr">
        <is>
          <t>Nguyeãn Hoà Thu</t>
        </is>
      </c>
      <c r="E113" s="1" t="inlineStr">
        <is>
          <t>Thuûy</t>
        </is>
      </c>
      <c r="F113" s="1" t="inlineStr">
        <is>
          <t>29-Mar-07</t>
        </is>
      </c>
      <c r="G113" s="1" t="inlineStr">
        <is>
          <t>LNH0925ND01</t>
        </is>
      </c>
      <c r="H113" s="1" t="inlineStr">
        <is>
          <t>09AV Giao tiep QT (TS)</t>
        </is>
      </c>
      <c r="I113" s="1" t="n">
        <v>1000000</v>
      </c>
      <c r="J113" s="1" t="inlineStr">
        <is>
          <t>NGUYEN TRUNG NGHIA NGUYEN HO THU THUY  25806000038  LN H0925ND01  0867262271 TAI VietinBank</t>
        </is>
      </c>
    </row>
    <row r="114">
      <c r="A114" s="1" t="inlineStr">
        <is>
          <t>25-Aug-25</t>
        </is>
      </c>
      <c r="B114" s="1" t="inlineStr">
        <is>
          <t>I60253</t>
        </is>
      </c>
      <c r="C114" s="1" t="inlineStr">
        <is>
          <t>25800500025</t>
        </is>
      </c>
      <c r="D114" s="1" t="inlineStr">
        <is>
          <t>Hoaøng Ngoïc</t>
        </is>
      </c>
      <c r="E114" s="1" t="inlineStr">
        <is>
          <t>Duy</t>
        </is>
      </c>
      <c r="F114" s="1" t="inlineStr">
        <is>
          <t>13-Jan-07</t>
        </is>
      </c>
      <c r="G114" s="1" t="inlineStr">
        <is>
          <t>LNH0925ND01</t>
        </is>
      </c>
      <c r="H114" s="1" t="inlineStr">
        <is>
          <t>09AV Giao tiep QT (TS)</t>
        </is>
      </c>
      <c r="I114" s="1" t="n">
        <v>1000000</v>
      </c>
      <c r="J114" s="1" t="inlineStr">
        <is>
          <t>NGUYEN TRUNG NGHIA Hoang Ngoc Duy  25800500025  LNH092 5ND01  0902877216 TAI VietinBank</t>
        </is>
      </c>
    </row>
    <row r="115">
      <c r="A115" s="1" t="inlineStr">
        <is>
          <t>25-Aug-25</t>
        </is>
      </c>
      <c r="B115" s="1" t="inlineStr">
        <is>
          <t>I60254</t>
        </is>
      </c>
      <c r="C115" s="1" t="inlineStr">
        <is>
          <t>25802500713</t>
        </is>
      </c>
      <c r="D115" s="1" t="inlineStr">
        <is>
          <t>Nguyeãn Minh</t>
        </is>
      </c>
      <c r="E115" s="1" t="inlineStr">
        <is>
          <t>Trieát</t>
        </is>
      </c>
      <c r="F115" s="1" t="inlineStr">
        <is>
          <t>28-Jul-07</t>
        </is>
      </c>
      <c r="G115" s="1" t="inlineStr">
        <is>
          <t>LNH0925ND01</t>
        </is>
      </c>
      <c r="H115" s="1" t="inlineStr">
        <is>
          <t>09AV Giao tiep QT (TS)</t>
        </is>
      </c>
      <c r="I115" s="1" t="n">
        <v>0</v>
      </c>
      <c r="J115" s="1" t="inlineStr">
        <is>
          <t>(Rut Hp)NGUYEN VAN MINH QR - Nguyen minh Triet 25802500713 LNH0925ND01 0967674378 TAI VietinBank</t>
        </is>
      </c>
    </row>
    <row r="116">
      <c r="A116" s="1" t="inlineStr">
        <is>
          <t>25-Aug-25</t>
        </is>
      </c>
      <c r="B116" s="1" t="inlineStr">
        <is>
          <t>I60255</t>
        </is>
      </c>
      <c r="C116" s="1" t="inlineStr">
        <is>
          <t>25803800060</t>
        </is>
      </c>
      <c r="D116" s="1" t="inlineStr">
        <is>
          <t>Nguyeãn Thuøy</t>
        </is>
      </c>
      <c r="E116" s="1" t="inlineStr">
        <is>
          <t>Trang</t>
        </is>
      </c>
      <c r="F116" s="1" t="inlineStr">
        <is>
          <t>12-Sep-07</t>
        </is>
      </c>
      <c r="G116" s="1" t="inlineStr">
        <is>
          <t>LNH0925ND01</t>
        </is>
      </c>
      <c r="H116" s="1" t="inlineStr">
        <is>
          <t>09AV Giao tiep QT (TS)</t>
        </is>
      </c>
      <c r="I116" s="1" t="n">
        <v>1000000</v>
      </c>
      <c r="J116" s="1" t="inlineStr">
        <is>
          <t>NGUYEN TRUNG NGHIA NGUYEN THUY TRANG  25803800060  LNH 0925ND01  0362362477 TAI VietinBank</t>
        </is>
      </c>
    </row>
    <row r="117">
      <c r="A117" s="1" t="inlineStr">
        <is>
          <t>25-Aug-25</t>
        </is>
      </c>
      <c r="B117" s="1" t="inlineStr">
        <is>
          <t>I60256</t>
        </is>
      </c>
      <c r="C117" s="1" t="inlineStr">
        <is>
          <t>25807800074</t>
        </is>
      </c>
      <c r="D117" s="1" t="inlineStr">
        <is>
          <t>Nguyeãn Haûi</t>
        </is>
      </c>
      <c r="E117" s="1" t="inlineStr">
        <is>
          <t>Lónh</t>
        </is>
      </c>
      <c r="F117" s="1" t="inlineStr">
        <is>
          <t>04-Apr-07</t>
        </is>
      </c>
      <c r="G117" s="1" t="inlineStr">
        <is>
          <t>LNH0925ND01</t>
        </is>
      </c>
      <c r="H117" s="1" t="inlineStr">
        <is>
          <t>09AV Giao tiep QT (TS)</t>
        </is>
      </c>
      <c r="I117" s="1" t="n">
        <v>1000000</v>
      </c>
      <c r="J117" s="1" t="inlineStr">
        <is>
          <t>NGUYEN TRUNG NGHIA NGUYEN HAI LINH  25807800074  LNH09 25ND01  0338326755 TAI VietinBank</t>
        </is>
      </c>
    </row>
    <row r="118">
      <c r="A118" s="1" t="inlineStr">
        <is>
          <t>25-Aug-25</t>
        </is>
      </c>
      <c r="B118" s="1" t="inlineStr">
        <is>
          <t>I60257</t>
        </is>
      </c>
      <c r="C118" s="1" t="inlineStr">
        <is>
          <t>25802100055</t>
        </is>
      </c>
      <c r="D118" s="1" t="inlineStr">
        <is>
          <t>Nguyeãn Traàn Phöông</t>
        </is>
      </c>
      <c r="E118" s="1" t="inlineStr">
        <is>
          <t>Nam</t>
        </is>
      </c>
      <c r="F118" s="1" t="inlineStr">
        <is>
          <t>13-May-07</t>
        </is>
      </c>
      <c r="G118" s="1" t="inlineStr">
        <is>
          <t>LNH0925ND01</t>
        </is>
      </c>
      <c r="H118" s="1" t="inlineStr">
        <is>
          <t>09AV Giao tiep QT (TS)</t>
        </is>
      </c>
      <c r="I118" s="1" t="n">
        <v>0</v>
      </c>
      <c r="J118" s="1" t="inlineStr">
        <is>
          <t>(chuyen EDU)NGO CHI HUNG Nguyen Tran Phuong Nam 25802100055 LNH0925ND01 0965226426 TAI IBT VPB EBANKING         HANOI</t>
        </is>
      </c>
    </row>
    <row r="119">
      <c r="A119" s="1" t="inlineStr">
        <is>
          <t>25-Aug-25</t>
        </is>
      </c>
      <c r="B119" s="1" t="inlineStr">
        <is>
          <t>I60258</t>
        </is>
      </c>
      <c r="C119" s="1" t="inlineStr">
        <is>
          <t>25807700041</t>
        </is>
      </c>
      <c r="D119" s="1" t="inlineStr">
        <is>
          <t>Phan Töû Gia</t>
        </is>
      </c>
      <c r="E119" s="1" t="inlineStr">
        <is>
          <t>Khieâm</t>
        </is>
      </c>
      <c r="F119" s="1" t="inlineStr">
        <is>
          <t>29-Jun-07</t>
        </is>
      </c>
      <c r="G119" s="1" t="inlineStr">
        <is>
          <t>LNH0925ND01</t>
        </is>
      </c>
      <c r="H119" s="1" t="inlineStr">
        <is>
          <t>09AV Giao tiep QT (TS)</t>
        </is>
      </c>
      <c r="I119" s="1" t="n">
        <v>1000000</v>
      </c>
      <c r="J119" s="1" t="inlineStr">
        <is>
          <t>PHAN TU QUANG QR - Phan Tu Gia Khiem. 25807700041 . LNH0925ND01. 0979598417 TAI VietinBank</t>
        </is>
      </c>
    </row>
    <row r="120">
      <c r="A120" s="1" t="inlineStr">
        <is>
          <t>25-Aug-25</t>
        </is>
      </c>
      <c r="B120" s="1" t="inlineStr">
        <is>
          <t>I60259</t>
        </is>
      </c>
      <c r="C120" s="1" t="inlineStr">
        <is>
          <t>25808300013</t>
        </is>
      </c>
      <c r="D120" s="1" t="inlineStr">
        <is>
          <t>Vi Thò Tuù</t>
        </is>
      </c>
      <c r="E120" s="1" t="inlineStr">
        <is>
          <t>Haûo</t>
        </is>
      </c>
      <c r="F120" s="1" t="inlineStr">
        <is>
          <t>02-Nov-07</t>
        </is>
      </c>
      <c r="G120" s="1" t="inlineStr">
        <is>
          <t>LNH0925ND01</t>
        </is>
      </c>
      <c r="H120" s="1" t="inlineStr">
        <is>
          <t>09AV Giao tiep QT (TS)</t>
        </is>
      </c>
      <c r="I120" s="1" t="n">
        <v>1000000</v>
      </c>
      <c r="J120" s="1" t="inlineStr">
        <is>
          <t>NGUYEN TRUNG NGHIA VI THI TU HAO  25808300013  LNH0925 ND01  0376888969 TAI VietinBank</t>
        </is>
      </c>
    </row>
    <row r="121">
      <c r="A121" s="1" t="inlineStr">
        <is>
          <t>25-Aug-25</t>
        </is>
      </c>
      <c r="B121" s="1" t="inlineStr">
        <is>
          <t>I60260</t>
        </is>
      </c>
      <c r="C121" s="1" t="inlineStr">
        <is>
          <t>25800500096</t>
        </is>
      </c>
      <c r="D121" s="1" t="inlineStr">
        <is>
          <t>Ñoã Chí</t>
        </is>
      </c>
      <c r="E121" s="1" t="inlineStr">
        <is>
          <t>Kieân</t>
        </is>
      </c>
      <c r="F121" s="1" t="inlineStr">
        <is>
          <t>23-Jan-07</t>
        </is>
      </c>
      <c r="G121" s="1" t="inlineStr">
        <is>
          <t>LNH0925ND01</t>
        </is>
      </c>
      <c r="H121" s="1" t="inlineStr">
        <is>
          <t>09AV Giao tiep QT (TS)</t>
        </is>
      </c>
      <c r="I121" s="1" t="n">
        <v>1000000</v>
      </c>
      <c r="J121" s="1" t="inlineStr">
        <is>
          <t>NGUYEN TRUNG NGHIA DO CHI KIEN  25800500096  LNH0925ND 01  0389650295 TAI VietinBank</t>
        </is>
      </c>
    </row>
    <row r="122">
      <c r="A122" s="1" t="inlineStr">
        <is>
          <t>25-Aug-25</t>
        </is>
      </c>
      <c r="B122" s="1" t="inlineStr">
        <is>
          <t>I60261</t>
        </is>
      </c>
      <c r="C122" s="1" t="inlineStr">
        <is>
          <t>25808600135</t>
        </is>
      </c>
      <c r="D122" s="1" t="inlineStr">
        <is>
          <t>Traàn Thò Huyeàn</t>
        </is>
      </c>
      <c r="E122" s="1" t="inlineStr">
        <is>
          <t>Traân</t>
        </is>
      </c>
      <c r="F122" s="1" t="inlineStr">
        <is>
          <t>25-Feb-07</t>
        </is>
      </c>
      <c r="G122" s="1" t="inlineStr">
        <is>
          <t>LNH0925ND01</t>
        </is>
      </c>
      <c r="H122" s="1" t="inlineStr">
        <is>
          <t>09AV Giao tiep QT (TS)</t>
        </is>
      </c>
      <c r="I122" s="1" t="n">
        <v>1000000</v>
      </c>
      <c r="J122" s="1" t="inlineStr">
        <is>
          <t>NGUYEN TRUNG NGHIA TRAN THI HUYEN TRAN  25808600135  L NH0925ND01  0814466523 TAI VietinBank</t>
        </is>
      </c>
    </row>
    <row r="123">
      <c r="A123" s="1" t="inlineStr">
        <is>
          <t>25-Aug-25</t>
        </is>
      </c>
      <c r="B123" s="1" t="inlineStr">
        <is>
          <t>I60262</t>
        </is>
      </c>
      <c r="C123" s="1" t="inlineStr">
        <is>
          <t>25820700032</t>
        </is>
      </c>
      <c r="D123" s="1" t="inlineStr">
        <is>
          <t>Nguyeãn Haø Linh</t>
        </is>
      </c>
      <c r="E123" s="1" t="inlineStr">
        <is>
          <t>Phöông</t>
        </is>
      </c>
      <c r="F123" s="1" t="inlineStr">
        <is>
          <t>07-Aug-07</t>
        </is>
      </c>
      <c r="G123" s="1" t="inlineStr">
        <is>
          <t>LNH0925ND01</t>
        </is>
      </c>
      <c r="H123" s="1" t="inlineStr">
        <is>
          <t>09AV Giao tiep QT (TS)</t>
        </is>
      </c>
      <c r="I123" s="1" t="n">
        <v>1000000</v>
      </c>
      <c r="J123" s="1" t="inlineStr">
        <is>
          <t>NGUYEN TRUNG NGHIA Nguyen Ha Linh Phuong  25820700032 LNH0925ND01  0933124908 TAI VietinBank</t>
        </is>
      </c>
    </row>
    <row r="124">
      <c r="A124" s="1" t="inlineStr">
        <is>
          <t>25-Aug-25</t>
        </is>
      </c>
      <c r="B124" s="1" t="inlineStr">
        <is>
          <t>I60263</t>
        </is>
      </c>
      <c r="C124" s="1" t="inlineStr">
        <is>
          <t>25807500126</t>
        </is>
      </c>
      <c r="D124" s="1" t="inlineStr">
        <is>
          <t>Phan Ngoïc Anh</t>
        </is>
      </c>
      <c r="E124" s="1" t="inlineStr">
        <is>
          <t>Thö</t>
        </is>
      </c>
      <c r="F124" s="1" t="inlineStr">
        <is>
          <t>28-Feb-07</t>
        </is>
      </c>
      <c r="G124" s="1" t="inlineStr">
        <is>
          <t>LNH0925ND01</t>
        </is>
      </c>
      <c r="H124" s="1" t="inlineStr">
        <is>
          <t>09AV Giao tiep QT (TS)</t>
        </is>
      </c>
      <c r="I124" s="1" t="n">
        <v>1000000</v>
      </c>
      <c r="J124" s="1" t="inlineStr">
        <is>
          <t>SACOMBANK IBFT PHAN NGOC ANH THU 25807500126 LNH0925ND01 0908754854 TAI SACOMBANK              HCM</t>
        </is>
      </c>
    </row>
    <row r="125">
      <c r="A125" s="1" t="inlineStr">
        <is>
          <t>25-Aug-25</t>
        </is>
      </c>
      <c r="B125" s="1" t="inlineStr">
        <is>
          <t>I60264</t>
        </is>
      </c>
      <c r="C125" s="1" t="inlineStr">
        <is>
          <t>25803800020</t>
        </is>
      </c>
      <c r="D125" s="1" t="inlineStr">
        <is>
          <t>Phaïm Minh</t>
        </is>
      </c>
      <c r="E125" s="1" t="inlineStr">
        <is>
          <t>Khang</t>
        </is>
      </c>
      <c r="F125" s="1" t="inlineStr">
        <is>
          <t>21-Apr-07</t>
        </is>
      </c>
      <c r="G125" s="1" t="inlineStr">
        <is>
          <t>LNH0925ND01</t>
        </is>
      </c>
      <c r="H125" s="1" t="inlineStr">
        <is>
          <t>09AV Giao tiep QT (TS)</t>
        </is>
      </c>
      <c r="I125" s="1" t="n">
        <v>1000000</v>
      </c>
      <c r="J125" s="1" t="inlineStr">
        <is>
          <t>PHAM MINH LONG QR - Pham Minh Khang 25803800020 LN H0925ND01 0909371831 TAI VietinBank</t>
        </is>
      </c>
    </row>
    <row r="126">
      <c r="A126" s="1" t="inlineStr">
        <is>
          <t>25-Aug-25</t>
        </is>
      </c>
      <c r="B126" s="1" t="inlineStr">
        <is>
          <t>I60265</t>
        </is>
      </c>
      <c r="C126" s="1" t="inlineStr">
        <is>
          <t>25807800073</t>
        </is>
      </c>
      <c r="D126" s="1" t="inlineStr">
        <is>
          <t>Voõ Thanh</t>
        </is>
      </c>
      <c r="E126" s="1" t="inlineStr">
        <is>
          <t>Lieâm</t>
        </is>
      </c>
      <c r="F126" s="1" t="inlineStr">
        <is>
          <t>19-Nov-07</t>
        </is>
      </c>
      <c r="G126" s="1" t="inlineStr">
        <is>
          <t>LNH0925ND01</t>
        </is>
      </c>
      <c r="H126" s="1" t="inlineStr">
        <is>
          <t>09AV Giao tiep QT (TS)</t>
        </is>
      </c>
      <c r="I126" s="1" t="n">
        <v>1000000</v>
      </c>
      <c r="J126" s="1" t="inlineStr">
        <is>
          <t>MBBANK IBFT VO THANH LIEM 25807800073 LNH0925ND 01 0343346587 lop toi 246 TAI IBT-MB                   HANOI</t>
        </is>
      </c>
    </row>
    <row r="127">
      <c r="A127" s="1" t="inlineStr">
        <is>
          <t>25-Aug-25</t>
        </is>
      </c>
      <c r="B127" s="1" t="inlineStr">
        <is>
          <t>I60266</t>
        </is>
      </c>
      <c r="C127" s="1" t="inlineStr">
        <is>
          <t>25800500134</t>
        </is>
      </c>
      <c r="D127" s="1" t="inlineStr">
        <is>
          <t>Huyønh Nguyeãn Laâm</t>
        </is>
      </c>
      <c r="E127" s="1" t="inlineStr">
        <is>
          <t>Phong</t>
        </is>
      </c>
      <c r="F127" s="1" t="inlineStr">
        <is>
          <t>25-Dec-07</t>
        </is>
      </c>
      <c r="G127" s="1" t="inlineStr">
        <is>
          <t>LNH0925ND01</t>
        </is>
      </c>
      <c r="H127" s="1" t="inlineStr">
        <is>
          <t>09AV Giao tiep QT (TS)</t>
        </is>
      </c>
      <c r="I127" s="1" t="n">
        <v>1000000</v>
      </c>
      <c r="J127" s="1" t="inlineStr">
        <is>
          <t>HUYNH LAM TAI ABBank 0521043748045 huynh nguyen l am phong 25800500134 LNH0925ND01 .0 372568289 TAI Agribank</t>
        </is>
      </c>
    </row>
    <row r="128">
      <c r="A128" s="1" t="inlineStr">
        <is>
          <t>25-Aug-25</t>
        </is>
      </c>
      <c r="B128" s="1" t="inlineStr">
        <is>
          <t>I60267</t>
        </is>
      </c>
      <c r="C128" s="1" t="inlineStr">
        <is>
          <t>25808200049</t>
        </is>
      </c>
      <c r="D128" s="1" t="inlineStr">
        <is>
          <t>Nguyeãn Tuaán</t>
        </is>
      </c>
      <c r="E128" s="1" t="inlineStr">
        <is>
          <t>Huøng</t>
        </is>
      </c>
      <c r="F128" s="1" t="inlineStr">
        <is>
          <t>18-Oct-07</t>
        </is>
      </c>
      <c r="G128" s="1" t="inlineStr">
        <is>
          <t>LNH0925ND01</t>
        </is>
      </c>
      <c r="H128" s="1" t="inlineStr">
        <is>
          <t>09AV Giao tiep QT (TS)</t>
        </is>
      </c>
      <c r="I128" s="1" t="n">
        <v>1000000</v>
      </c>
      <c r="J128" s="1" t="inlineStr">
        <is>
          <t>SHBMB NGUYEN TUAN HUNG 25808200049 TAI NganhangthuongmaicpSHB HaNoiVietNam</t>
        </is>
      </c>
    </row>
    <row r="129">
      <c r="A129" s="1" t="inlineStr">
        <is>
          <t>25-Aug-25</t>
        </is>
      </c>
      <c r="B129" s="1" t="inlineStr">
        <is>
          <t>I60268</t>
        </is>
      </c>
      <c r="C129" s="1" t="inlineStr">
        <is>
          <t>25800500112</t>
        </is>
      </c>
      <c r="D129" s="1" t="inlineStr">
        <is>
          <t>Leâ Hoaøi</t>
        </is>
      </c>
      <c r="E129" s="1" t="inlineStr">
        <is>
          <t>Nam</t>
        </is>
      </c>
      <c r="F129" s="1" t="inlineStr">
        <is>
          <t>15-May-07</t>
        </is>
      </c>
      <c r="G129" s="1" t="inlineStr">
        <is>
          <t>LNH0925ND01</t>
        </is>
      </c>
      <c r="H129" s="1" t="inlineStr">
        <is>
          <t>09AV Giao tiep QT (TS)</t>
        </is>
      </c>
      <c r="I129" s="1" t="n">
        <v>1000000</v>
      </c>
      <c r="J129" s="1" t="inlineStr">
        <is>
          <t>LE THI CHUNG Le Hoai Nam. 25800500112. LNH0925ND 01. 0325004715 TAI SHINHAN BANK VIETNAM   2nd Floor  N</t>
        </is>
      </c>
    </row>
    <row r="130">
      <c r="A130" s="1" t="inlineStr">
        <is>
          <t>25-Aug-25</t>
        </is>
      </c>
      <c r="B130" s="1" t="inlineStr">
        <is>
          <t>I60269</t>
        </is>
      </c>
      <c r="C130" s="1" t="inlineStr">
        <is>
          <t>25808900140</t>
        </is>
      </c>
      <c r="D130" s="1" t="inlineStr">
        <is>
          <t>Nguyeãn Ñöùc</t>
        </is>
      </c>
      <c r="E130" s="1" t="inlineStr">
        <is>
          <t>Tröôøng</t>
        </is>
      </c>
      <c r="F130" s="1" t="inlineStr">
        <is>
          <t>24-Feb-07</t>
        </is>
      </c>
      <c r="G130" s="1" t="inlineStr">
        <is>
          <t>LNH0925ND01</t>
        </is>
      </c>
      <c r="H130" s="1" t="inlineStr">
        <is>
          <t>09AV Giao tiep QT (TS)</t>
        </is>
      </c>
      <c r="I130" s="1" t="n">
        <v>1000000</v>
      </c>
      <c r="J130" s="1" t="inlineStr">
        <is>
          <t>NGUYEN TRUNG NGHIA NGUYEN DUC TUONG  25808900140  LNH0 925ND01  0382047160 TAI VietinBank</t>
        </is>
      </c>
    </row>
    <row r="131">
      <c r="A131" s="1" t="inlineStr">
        <is>
          <t>25-Aug-25</t>
        </is>
      </c>
      <c r="B131" s="1" t="inlineStr">
        <is>
          <t>I60270</t>
        </is>
      </c>
      <c r="C131" s="1" t="inlineStr">
        <is>
          <t>25805900035</t>
        </is>
      </c>
      <c r="D131" s="1" t="inlineStr">
        <is>
          <t>Chu Laäp</t>
        </is>
      </c>
      <c r="E131" s="1" t="inlineStr">
        <is>
          <t>Quoác</t>
        </is>
      </c>
      <c r="F131" s="1" t="inlineStr">
        <is>
          <t>23-Dec-07</t>
        </is>
      </c>
      <c r="G131" s="1" t="inlineStr">
        <is>
          <t>LNH0925ND01</t>
        </is>
      </c>
      <c r="H131" s="1" t="inlineStr">
        <is>
          <t>09AV Giao tiep QT (TS)</t>
        </is>
      </c>
      <c r="I131" s="1" t="n">
        <v>1000000</v>
      </c>
      <c r="J131" s="1" t="inlineStr">
        <is>
          <t>NGUYEN TRUNG NGHIA CHU LAP QUOC  25805900035  LNH0925N D01 TAI VietinBank</t>
        </is>
      </c>
    </row>
    <row r="132">
      <c r="A132" s="1" t="inlineStr">
        <is>
          <t>25-Aug-25</t>
        </is>
      </c>
      <c r="B132" s="1" t="inlineStr">
        <is>
          <t>I60271</t>
        </is>
      </c>
      <c r="C132" s="1" t="inlineStr">
        <is>
          <t>25801800021</t>
        </is>
      </c>
      <c r="D132" s="1" t="inlineStr">
        <is>
          <t>Voõ Thaûo</t>
        </is>
      </c>
      <c r="E132" s="1" t="inlineStr">
        <is>
          <t>Huyeàn</t>
        </is>
      </c>
      <c r="F132" s="1" t="inlineStr">
        <is>
          <t>03-Dec-05</t>
        </is>
      </c>
      <c r="G132" s="1" t="inlineStr">
        <is>
          <t>LNH0925ND01</t>
        </is>
      </c>
      <c r="H132" s="1" t="inlineStr">
        <is>
          <t>09AV Giao tiep QT (TS)</t>
        </is>
      </c>
      <c r="I132" s="1" t="n">
        <v>1000000</v>
      </c>
      <c r="J132" s="1" t="inlineStr">
        <is>
          <t>NGUYEN TRUNG NGHIA VO THAO HUYEN  25801800021  LNH0925 ND01  0385347249 TAI VietinBank</t>
        </is>
      </c>
    </row>
    <row r="133">
      <c r="A133" s="1" t="inlineStr">
        <is>
          <t>25-Aug-25</t>
        </is>
      </c>
      <c r="B133" s="1" t="inlineStr">
        <is>
          <t>I60272</t>
        </is>
      </c>
      <c r="C133" s="1" t="inlineStr">
        <is>
          <t>25800500121</t>
        </is>
      </c>
      <c r="D133" s="1" t="inlineStr">
        <is>
          <t>Nguyeãn Chænh</t>
        </is>
      </c>
      <c r="E133" s="1" t="inlineStr">
        <is>
          <t>Nghieâm</t>
        </is>
      </c>
      <c r="F133" s="1" t="inlineStr">
        <is>
          <t>02-Dec-07</t>
        </is>
      </c>
      <c r="G133" s="1" t="inlineStr">
        <is>
          <t>LNH0925ND01</t>
        </is>
      </c>
      <c r="H133" s="1" t="inlineStr">
        <is>
          <t>09AV Giao tiep QT (TS)</t>
        </is>
      </c>
      <c r="I133" s="1" t="n">
        <v>1000000</v>
      </c>
      <c r="J133" s="1" t="inlineStr">
        <is>
          <t>NGUYEN PHAM PHUONG ANH MBVCB.10664436057.753661.Nguyen Chi nh Nghiem MSV: 25800500121 Mdt:lnh0 925nd01  sdt:0901558206.CT tu 10259 59588 NGUYEN PHAM PHUONG ANH toi 0521043748045 HUTECH tai ABBANK TAI Vietcombank</t>
        </is>
      </c>
    </row>
    <row r="134">
      <c r="A134" s="1" t="inlineStr">
        <is>
          <t>25-Aug-25</t>
        </is>
      </c>
      <c r="B134" s="1" t="inlineStr">
        <is>
          <t>I60273</t>
        </is>
      </c>
      <c r="C134" s="1" t="inlineStr">
        <is>
          <t>25802800274</t>
        </is>
      </c>
      <c r="D134" s="1" t="inlineStr">
        <is>
          <t>Leâ Hoaøng Baûo</t>
        </is>
      </c>
      <c r="E134" s="1" t="inlineStr">
        <is>
          <t>Traân</t>
        </is>
      </c>
      <c r="F134" s="1" t="inlineStr">
        <is>
          <t>22-Jul-07</t>
        </is>
      </c>
      <c r="G134" s="1" t="inlineStr">
        <is>
          <t>LNH0925ND01</t>
        </is>
      </c>
      <c r="H134" s="1" t="inlineStr">
        <is>
          <t>09AV Giao tiep QT (TS)</t>
        </is>
      </c>
      <c r="I134" s="1" t="n">
        <v>1000000</v>
      </c>
      <c r="J134" s="1" t="inlineStr">
        <is>
          <t>NGUYEN TRUNG NGHIA LE HOANG BAO TRAN  2580800274  LNH0 925ND01  0974799554 TAI VietinBank</t>
        </is>
      </c>
    </row>
    <row r="135">
      <c r="A135" s="1" t="inlineStr">
        <is>
          <t>25-Aug-25</t>
        </is>
      </c>
      <c r="B135" s="1" t="inlineStr">
        <is>
          <t>I60274</t>
        </is>
      </c>
      <c r="C135" s="1" t="inlineStr">
        <is>
          <t>25802600056</t>
        </is>
      </c>
      <c r="D135" s="1" t="inlineStr">
        <is>
          <t>Nguyeãn Duy</t>
        </is>
      </c>
      <c r="E135" s="1" t="inlineStr">
        <is>
          <t>Khang</t>
        </is>
      </c>
      <c r="F135" s="1" t="inlineStr">
        <is>
          <t>23-Mar-07</t>
        </is>
      </c>
      <c r="G135" s="1" t="inlineStr">
        <is>
          <t>LNH0925ND01</t>
        </is>
      </c>
      <c r="H135" s="1" t="inlineStr">
        <is>
          <t>09AV Giao tiep QT (TS)</t>
        </is>
      </c>
      <c r="I135" s="1" t="n">
        <v>1000000</v>
      </c>
      <c r="J135" s="1" t="inlineStr">
        <is>
          <t>NGUYEN TRUNG NGHIA NGUYEN DUY KHANG  25802600056  LNH0 925ND01  0346841692 TAI VietinBank</t>
        </is>
      </c>
    </row>
    <row r="136">
      <c r="A136" s="1" t="inlineStr">
        <is>
          <t>25-Aug-25</t>
        </is>
      </c>
      <c r="B136" s="1" t="inlineStr">
        <is>
          <t>I60275</t>
        </is>
      </c>
      <c r="C136" s="1" t="inlineStr">
        <is>
          <t>25809600015</t>
        </is>
      </c>
      <c r="D136" s="1" t="inlineStr">
        <is>
          <t>Leâ Duy Haûi</t>
        </is>
      </c>
      <c r="E136" s="1" t="inlineStr">
        <is>
          <t>Ñaêng</t>
        </is>
      </c>
      <c r="F136" s="1" t="inlineStr">
        <is>
          <t>21-Dec-06</t>
        </is>
      </c>
      <c r="G136" s="1" t="inlineStr">
        <is>
          <t>LNH0925ND01</t>
        </is>
      </c>
      <c r="H136" s="1" t="inlineStr">
        <is>
          <t>09AV Giao tiep QT (TS)</t>
        </is>
      </c>
      <c r="I136" s="1" t="n">
        <v>1000000</v>
      </c>
      <c r="J136" s="1" t="inlineStr">
        <is>
          <t>NGUYEN TRUNG NGHIA LE DUY HAI DANG  25809600015  LNH09 25ND01  0903173658 TAI VietinBank</t>
        </is>
      </c>
    </row>
    <row r="137">
      <c r="A137" s="1" t="inlineStr">
        <is>
          <t>25-Aug-25</t>
        </is>
      </c>
      <c r="B137" s="1" t="inlineStr">
        <is>
          <t>I60276</t>
        </is>
      </c>
      <c r="C137" s="1" t="inlineStr">
        <is>
          <t>25802800064</t>
        </is>
      </c>
      <c r="D137" s="1" t="inlineStr">
        <is>
          <t>Leâ Laâm Gia</t>
        </is>
      </c>
      <c r="E137" s="1" t="inlineStr">
        <is>
          <t>Haân</t>
        </is>
      </c>
      <c r="F137" s="1" t="inlineStr">
        <is>
          <t>23-Oct-07</t>
        </is>
      </c>
      <c r="G137" s="1" t="inlineStr">
        <is>
          <t>LNH0925ND01</t>
        </is>
      </c>
      <c r="H137" s="1" t="inlineStr">
        <is>
          <t>09AV Giao tiep QT (TS)</t>
        </is>
      </c>
      <c r="I137" s="1" t="n">
        <v>0</v>
      </c>
      <c r="J137" s="1" t="inlineStr">
        <is>
          <t>(chuyen edu)NGUYEN TRUNG NGHIA LE LAM GIA HAN  25802800064  LNH092 5ND01  0944622973 TAI VietinBank</t>
        </is>
      </c>
    </row>
    <row r="138">
      <c r="A138" s="1" t="inlineStr">
        <is>
          <t>25-Aug-25</t>
        </is>
      </c>
      <c r="B138" s="1" t="inlineStr">
        <is>
          <t>I60277</t>
        </is>
      </c>
      <c r="C138" s="1" t="inlineStr">
        <is>
          <t>25802800114</t>
        </is>
      </c>
      <c r="D138" s="1" t="inlineStr">
        <is>
          <t>Vuõ Buøi Ñaêng</t>
        </is>
      </c>
      <c r="E138" s="1" t="inlineStr">
        <is>
          <t>Khoa</t>
        </is>
      </c>
      <c r="F138" s="1" t="inlineStr">
        <is>
          <t>28-Apr-07</t>
        </is>
      </c>
      <c r="G138" s="1" t="inlineStr">
        <is>
          <t>LNH0925ND01</t>
        </is>
      </c>
      <c r="H138" s="1" t="inlineStr">
        <is>
          <t>09AV Giao tiep QT (TS)</t>
        </is>
      </c>
      <c r="I138" s="1" t="n">
        <v>1000000</v>
      </c>
      <c r="J138" s="1" t="inlineStr">
        <is>
          <t>NGUYEN TRUNG NGHIA VU BUI DANG KHOA  2580280114  LNH09 25ND01  0764452804 TAI VietinBank</t>
        </is>
      </c>
    </row>
    <row r="139">
      <c r="A139" s="1" t="inlineStr">
        <is>
          <t>25-Aug-25</t>
        </is>
      </c>
      <c r="B139" s="1" t="inlineStr">
        <is>
          <t>I60278</t>
        </is>
      </c>
      <c r="C139" s="1" t="inlineStr">
        <is>
          <t>25805900069</t>
        </is>
      </c>
      <c r="D139" s="1" t="inlineStr">
        <is>
          <t>Buøi Nguyeãn Minh</t>
        </is>
      </c>
      <c r="E139" s="1" t="inlineStr">
        <is>
          <t>Anh</t>
        </is>
      </c>
      <c r="F139" s="1" t="inlineStr">
        <is>
          <t>28-Jun-04</t>
        </is>
      </c>
      <c r="G139" s="1" t="inlineStr">
        <is>
          <t>LNH0925ND01</t>
        </is>
      </c>
      <c r="H139" s="1" t="inlineStr">
        <is>
          <t>09AV Giao tiep QT (TS)</t>
        </is>
      </c>
      <c r="I139" s="1" t="n">
        <v>1000000</v>
      </c>
      <c r="J139" s="1" t="inlineStr">
        <is>
          <t>NGUYEN TRUNG NGHIA BUI NGUYEN MINH ANH  25805900069  L NH0925ND01  0937974702 TAI VietinBank</t>
        </is>
      </c>
    </row>
    <row r="140">
      <c r="A140" s="1" t="inlineStr">
        <is>
          <t>25-Aug-25</t>
        </is>
      </c>
      <c r="B140" s="1" t="inlineStr">
        <is>
          <t>I60279</t>
        </is>
      </c>
      <c r="C140" s="1" t="inlineStr">
        <is>
          <t>25820200021</t>
        </is>
      </c>
      <c r="D140" s="1" t="inlineStr">
        <is>
          <t>Phan</t>
        </is>
      </c>
      <c r="E140" s="1" t="inlineStr">
        <is>
          <t>Haøo</t>
        </is>
      </c>
      <c r="F140" s="1" t="inlineStr">
        <is>
          <t>23-Nov-07</t>
        </is>
      </c>
      <c r="G140" s="1" t="inlineStr">
        <is>
          <t>LNH0925ND01</t>
        </is>
      </c>
      <c r="H140" s="1" t="inlineStr">
        <is>
          <t>09AV Giao tiep QT (TS)</t>
        </is>
      </c>
      <c r="I140" s="1" t="n">
        <v>1000000</v>
      </c>
      <c r="J140" s="1" t="inlineStr">
        <is>
          <t>BO THI YEN TUYET MBVCB.10665407601.412760.phanHao 25 820200021 LNH0925ND01.CT tu 0281001 584424 BO THI YEN TUYET toi 0521043 748045 HUTECH tai ABBANK TAI Vietcombank</t>
        </is>
      </c>
    </row>
    <row r="141">
      <c r="A141" s="1" t="inlineStr">
        <is>
          <t>25-Aug-25</t>
        </is>
      </c>
      <c r="B141" s="1" t="inlineStr">
        <is>
          <t>I60280</t>
        </is>
      </c>
      <c r="C141" s="1" t="inlineStr">
        <is>
          <t>25805900036</t>
        </is>
      </c>
      <c r="D141" s="1" t="inlineStr">
        <is>
          <t>Buøi Huyønh</t>
        </is>
      </c>
      <c r="E141" s="1" t="inlineStr">
        <is>
          <t>Quyeân</t>
        </is>
      </c>
      <c r="F141" s="1" t="inlineStr">
        <is>
          <t>04-Oct-07</t>
        </is>
      </c>
      <c r="G141" s="1" t="inlineStr">
        <is>
          <t>LNH0925ND01</t>
        </is>
      </c>
      <c r="H141" s="1" t="inlineStr">
        <is>
          <t>09AV Giao tiep QT (TS)</t>
        </is>
      </c>
      <c r="I141" s="1" t="n">
        <v>1000000</v>
      </c>
      <c r="J141" s="1" t="inlineStr">
        <is>
          <t>BUI HUYNH QUYEN BUI HUYNH QUYEN 25805900036 LNH0925 ND01    0384753372 TAI IBT BIDV                 HANOI</t>
        </is>
      </c>
    </row>
    <row r="142">
      <c r="A142" s="1" t="inlineStr">
        <is>
          <t>25-Aug-25</t>
        </is>
      </c>
      <c r="B142" s="1" t="inlineStr">
        <is>
          <t>I60281</t>
        </is>
      </c>
      <c r="C142" s="1" t="inlineStr">
        <is>
          <t>25802800138</t>
        </is>
      </c>
      <c r="D142" s="1" t="inlineStr">
        <is>
          <t>Leâ Nguyeãn Höõu</t>
        </is>
      </c>
      <c r="E142" s="1" t="inlineStr">
        <is>
          <t>Loäc</t>
        </is>
      </c>
      <c r="F142" s="1" t="inlineStr">
        <is>
          <t>15-Feb-07</t>
        </is>
      </c>
      <c r="G142" s="1" t="inlineStr">
        <is>
          <t>LNH0925ND01</t>
        </is>
      </c>
      <c r="H142" s="1" t="inlineStr">
        <is>
          <t>09AV Giao tiep QT (TS)</t>
        </is>
      </c>
      <c r="I142" s="1" t="n">
        <v>1000000</v>
      </c>
      <c r="J142" s="1" t="inlineStr">
        <is>
          <t>DINH THI THE PHUONG QR - LE NGUYEN HUU LOC 25802800138 LNH0925ND01 0343778682 TAI VietinBank</t>
        </is>
      </c>
    </row>
    <row r="143">
      <c r="A143" s="1" t="inlineStr">
        <is>
          <t>25-Aug-25</t>
        </is>
      </c>
      <c r="B143" s="1" t="inlineStr">
        <is>
          <t>I60282</t>
        </is>
      </c>
      <c r="C143" s="1" t="inlineStr">
        <is>
          <t>25808600190</t>
        </is>
      </c>
      <c r="D143" s="1" t="inlineStr">
        <is>
          <t>Dinh Viet</t>
        </is>
      </c>
      <c r="E143" s="1" t="inlineStr">
        <is>
          <t>Nguyen</t>
        </is>
      </c>
      <c r="F143" s="1" t="inlineStr">
        <is>
          <t xml:space="preserve">  -   -</t>
        </is>
      </c>
      <c r="G143" s="1" t="inlineStr">
        <is>
          <t>LNH0925ND01</t>
        </is>
      </c>
      <c r="H143" s="1" t="inlineStr">
        <is>
          <t>09AV Giao tiep QT (TS)</t>
        </is>
      </c>
      <c r="I143" s="1" t="n">
        <v>1000000</v>
      </c>
      <c r="J143" s="1" t="inlineStr">
        <is>
          <t>DINH THI THE PHUONG QR - DINH VIET NGUYEN 2502800065 LN H0925ND01 0383675783 TAI VietinBank</t>
        </is>
      </c>
    </row>
    <row r="144">
      <c r="A144" s="1" t="inlineStr">
        <is>
          <t>25-Aug-25</t>
        </is>
      </c>
      <c r="B144" s="1" t="inlineStr">
        <is>
          <t>I60283</t>
        </is>
      </c>
      <c r="C144" s="1" t="inlineStr">
        <is>
          <t>25806100240</t>
        </is>
      </c>
      <c r="D144" s="1" t="inlineStr">
        <is>
          <t>Buøi Thò Nguyeät</t>
        </is>
      </c>
      <c r="E144" s="1" t="inlineStr">
        <is>
          <t>Haèng</t>
        </is>
      </c>
      <c r="F144" s="1" t="inlineStr">
        <is>
          <t>29-Oct-07</t>
        </is>
      </c>
      <c r="G144" s="1" t="inlineStr">
        <is>
          <t>LNH0925ND01</t>
        </is>
      </c>
      <c r="H144" s="1" t="inlineStr">
        <is>
          <t>09AV Giao tiep QT (TS)</t>
        </is>
      </c>
      <c r="I144" s="1" t="n">
        <v>1000000</v>
      </c>
      <c r="J144" s="1" t="inlineStr">
        <is>
          <t>DINH THI THE PHUONG QR - BUI THI NGUYET HANG 2506100068 LNH0925ND01 0839244679 TAI VietinBank</t>
        </is>
      </c>
    </row>
    <row r="145">
      <c r="A145" s="1" t="inlineStr">
        <is>
          <t>25-Aug-25</t>
        </is>
      </c>
      <c r="B145" s="1" t="inlineStr">
        <is>
          <t>I60284</t>
        </is>
      </c>
      <c r="C145" s="1" t="inlineStr">
        <is>
          <t>25807500093</t>
        </is>
      </c>
      <c r="D145" s="1" t="inlineStr">
        <is>
          <t>Voõ Thaønh</t>
        </is>
      </c>
      <c r="E145" s="1" t="inlineStr">
        <is>
          <t>Phaùt</t>
        </is>
      </c>
      <c r="F145" s="1" t="inlineStr">
        <is>
          <t>09-Aug-07</t>
        </is>
      </c>
      <c r="G145" s="1" t="inlineStr">
        <is>
          <t>LNH0925ND01</t>
        </is>
      </c>
      <c r="H145" s="1" t="inlineStr">
        <is>
          <t>09AV Giao tiep QT (TS)</t>
        </is>
      </c>
      <c r="I145" s="1" t="n">
        <v>1000000</v>
      </c>
      <c r="J145" s="1" t="inlineStr">
        <is>
          <t>MBBANK IBFT Vo Thanh Phat 25807500093 LNH0925ND 01 0852230997 TAI IBT-MB                   HANOI</t>
        </is>
      </c>
    </row>
    <row r="146">
      <c r="A146" s="1" t="inlineStr">
        <is>
          <t>25-Aug-25</t>
        </is>
      </c>
      <c r="B146" s="1" t="inlineStr">
        <is>
          <t>I60285</t>
        </is>
      </c>
      <c r="C146" s="1" t="inlineStr">
        <is>
          <t>25807900018</t>
        </is>
      </c>
      <c r="D146" s="1" t="inlineStr">
        <is>
          <t>Leâ Döông Gia</t>
        </is>
      </c>
      <c r="E146" s="1" t="inlineStr">
        <is>
          <t>Huy</t>
        </is>
      </c>
      <c r="F146" s="1" t="inlineStr">
        <is>
          <t>04-Jan-07</t>
        </is>
      </c>
      <c r="G146" s="1" t="inlineStr">
        <is>
          <t>LNH0925ND01</t>
        </is>
      </c>
      <c r="H146" s="1" t="inlineStr">
        <is>
          <t>09AV Giao tiep QT (TS)</t>
        </is>
      </c>
      <c r="I146" s="1" t="n">
        <v>1000000</v>
      </c>
      <c r="J146" s="1" t="inlineStr">
        <is>
          <t>DINH THI THE PHUONG QR - LE DUONG GIA HUY 25807900018 L NH0925ND01 0901895420 TAI VietinBank</t>
        </is>
      </c>
    </row>
    <row r="147">
      <c r="A147" s="1" t="inlineStr">
        <is>
          <t>25-Aug-25</t>
        </is>
      </c>
      <c r="B147" s="1" t="inlineStr">
        <is>
          <t>I60286</t>
        </is>
      </c>
      <c r="C147" s="1" t="inlineStr">
        <is>
          <t>25808700079</t>
        </is>
      </c>
      <c r="D147" s="1" t="inlineStr">
        <is>
          <t>Ñaëng Hieåu</t>
        </is>
      </c>
      <c r="E147" s="1" t="inlineStr">
        <is>
          <t>Phuùc</t>
        </is>
      </c>
      <c r="F147" s="1" t="inlineStr">
        <is>
          <t>30-Jan-07</t>
        </is>
      </c>
      <c r="G147" s="1" t="inlineStr">
        <is>
          <t>LNH0925ND01</t>
        </is>
      </c>
      <c r="H147" s="1" t="inlineStr">
        <is>
          <t>09AV Giao tiep QT (TS)</t>
        </is>
      </c>
      <c r="I147" s="1" t="n">
        <v>1000000</v>
      </c>
      <c r="J147" s="1" t="inlineStr">
        <is>
          <t>DANG HIEU PHUC MBVCB.10666437746.115173.DANG HIEU PHUC  25808700079 LNH0925ND01 sdt 0 915384944 .CT tu 1058212399 DANG HI EU PHUC toi 0521043748045 HUTECH tai ABBANK TAI Vietcombank</t>
        </is>
      </c>
    </row>
    <row r="148">
      <c r="A148" s="1" t="inlineStr">
        <is>
          <t>25-Aug-25</t>
        </is>
      </c>
      <c r="B148" s="1" t="inlineStr">
        <is>
          <t>I60287</t>
        </is>
      </c>
      <c r="C148" s="1" t="inlineStr">
        <is>
          <t>25806800034</t>
        </is>
      </c>
      <c r="D148" s="1" t="inlineStr">
        <is>
          <t>Nguyeãn Huyønh Gia</t>
        </is>
      </c>
      <c r="E148" s="1" t="inlineStr">
        <is>
          <t>Linh</t>
        </is>
      </c>
      <c r="F148" s="1" t="inlineStr">
        <is>
          <t>03-Dec-07</t>
        </is>
      </c>
      <c r="G148" s="1" t="inlineStr">
        <is>
          <t>LNH0925ND01</t>
        </is>
      </c>
      <c r="H148" s="1" t="inlineStr">
        <is>
          <t>09AV Giao tiep QT (TS)</t>
        </is>
      </c>
      <c r="I148" s="1" t="n">
        <v>1000000</v>
      </c>
      <c r="J148" s="1" t="inlineStr">
        <is>
          <t>MBBANK IBFT Nguyen Huynh Gia Linh 25806800034 L NH0925ND01 0839031207 TAI IBT-MB                   HANOI</t>
        </is>
      </c>
    </row>
    <row r="149">
      <c r="A149" s="1" t="inlineStr">
        <is>
          <t>25-Aug-25</t>
        </is>
      </c>
      <c r="B149" s="1" t="inlineStr">
        <is>
          <t>I60288</t>
        </is>
      </c>
      <c r="C149" s="1" t="inlineStr">
        <is>
          <t>25802800250</t>
        </is>
      </c>
      <c r="D149" s="1" t="inlineStr">
        <is>
          <t>Mai Thanh</t>
        </is>
      </c>
      <c r="E149" s="1" t="inlineStr">
        <is>
          <t>Thuùy</t>
        </is>
      </c>
      <c r="F149" s="1" t="inlineStr">
        <is>
          <t>15-Jun-07</t>
        </is>
      </c>
      <c r="G149" s="1" t="inlineStr">
        <is>
          <t>LNH0925ND01</t>
        </is>
      </c>
      <c r="H149" s="1" t="inlineStr">
        <is>
          <t>09AV Giao tiep QT (TS)</t>
        </is>
      </c>
      <c r="I149" s="1" t="n">
        <v>1000000</v>
      </c>
      <c r="J149" s="1" t="inlineStr">
        <is>
          <t>DINH THI THE PHUONG QR - MAI THANH THUY 25802800250 LNH 0925ND01 0766826127 TAI VietinBank</t>
        </is>
      </c>
    </row>
    <row r="150">
      <c r="A150" s="1" t="inlineStr">
        <is>
          <t>25-Aug-25</t>
        </is>
      </c>
      <c r="B150" s="1" t="inlineStr">
        <is>
          <t>I60289</t>
        </is>
      </c>
      <c r="C150" s="1" t="inlineStr">
        <is>
          <t>25807500153</t>
        </is>
      </c>
      <c r="D150" s="1" t="inlineStr">
        <is>
          <t>Buøi Anh</t>
        </is>
      </c>
      <c r="E150" s="1" t="inlineStr">
        <is>
          <t>Tuù</t>
        </is>
      </c>
      <c r="F150" s="1" t="inlineStr">
        <is>
          <t>13-Jun-07</t>
        </is>
      </c>
      <c r="G150" s="1" t="inlineStr">
        <is>
          <t>LNH0925ND01</t>
        </is>
      </c>
      <c r="H150" s="1" t="inlineStr">
        <is>
          <t>09AV Giao tiep QT (TS)</t>
        </is>
      </c>
      <c r="I150" s="1" t="n">
        <v>1000000</v>
      </c>
      <c r="J150" s="1" t="inlineStr">
        <is>
          <t>DINH THI THE PHUONG BUI ANH TU 25807500153 LNH0925ND01 0907245819 TAI VietinBank</t>
        </is>
      </c>
    </row>
    <row r="151">
      <c r="A151" s="1" t="inlineStr">
        <is>
          <t>25-Aug-25</t>
        </is>
      </c>
      <c r="B151" s="1" t="inlineStr">
        <is>
          <t>I60290</t>
        </is>
      </c>
      <c r="C151" s="1" t="inlineStr">
        <is>
          <t>25802400010</t>
        </is>
      </c>
      <c r="D151" s="1" t="inlineStr">
        <is>
          <t>Nguyeãn Thò Thaûo</t>
        </is>
      </c>
      <c r="E151" s="1" t="inlineStr">
        <is>
          <t>Linh</t>
        </is>
      </c>
      <c r="F151" s="1" t="inlineStr">
        <is>
          <t>22-Jan-07</t>
        </is>
      </c>
      <c r="G151" s="1" t="inlineStr">
        <is>
          <t>LNH0925ND01</t>
        </is>
      </c>
      <c r="H151" s="1" t="inlineStr">
        <is>
          <t>09AV Giao tiep QT (TS)</t>
        </is>
      </c>
      <c r="I151" s="1" t="n">
        <v>1000000</v>
      </c>
      <c r="J151" s="1" t="inlineStr">
        <is>
          <t>DINH THI THE PHUONG NGUYEN THI THAO LINH 25802400010 LN H0925ND01 0375223958 TAI VietinBank</t>
        </is>
      </c>
    </row>
    <row r="152">
      <c r="A152" s="1" t="inlineStr">
        <is>
          <t>25-Aug-25</t>
        </is>
      </c>
      <c r="B152" s="1" t="inlineStr">
        <is>
          <t>I60291</t>
        </is>
      </c>
      <c r="C152" s="1" t="inlineStr">
        <is>
          <t>25808600137</t>
        </is>
      </c>
      <c r="D152" s="1" t="inlineStr">
        <is>
          <t>Löông Thò Tuyeát</t>
        </is>
      </c>
      <c r="E152" s="1" t="inlineStr">
        <is>
          <t>Trinh</t>
        </is>
      </c>
      <c r="F152" s="1" t="inlineStr">
        <is>
          <t>04-Jul-07</t>
        </is>
      </c>
      <c r="G152" s="1" t="inlineStr">
        <is>
          <t>LNH0925ND01</t>
        </is>
      </c>
      <c r="H152" s="1" t="inlineStr">
        <is>
          <t>09AV Giao tiep QT (TS)</t>
        </is>
      </c>
      <c r="I152" s="1" t="n">
        <v>1000000</v>
      </c>
      <c r="J152" s="1" t="inlineStr">
        <is>
          <t>MBBANK IBFT LUONG THI TUYET TRINH 25808600137 L NH0925ND01 0868464610 246 TAI IBT-MB                   HANOI</t>
        </is>
      </c>
    </row>
    <row r="153">
      <c r="A153" s="1" t="inlineStr">
        <is>
          <t>25-Aug-25</t>
        </is>
      </c>
      <c r="B153" s="1" t="inlineStr">
        <is>
          <t>I60292</t>
        </is>
      </c>
      <c r="C153" s="1" t="inlineStr">
        <is>
          <t>25807500011</t>
        </is>
      </c>
      <c r="D153" s="1" t="inlineStr">
        <is>
          <t>Buøi Gia</t>
        </is>
      </c>
      <c r="E153" s="1" t="inlineStr">
        <is>
          <t>Baûo</t>
        </is>
      </c>
      <c r="F153" s="1" t="inlineStr">
        <is>
          <t>16-Mar-07</t>
        </is>
      </c>
      <c r="G153" s="1" t="inlineStr">
        <is>
          <t>LNH0925ND01</t>
        </is>
      </c>
      <c r="H153" s="1" t="inlineStr">
        <is>
          <t>09AV Giao tiep QT (TS)</t>
        </is>
      </c>
      <c r="I153" s="1" t="n">
        <v>1000000</v>
      </c>
      <c r="J153" s="1" t="inlineStr">
        <is>
          <t>MBBANK IBFT Bui Gia Bao 25807500011 LNH0925ND01 0793481512 246 TAI IBT-MB                   HANOI</t>
        </is>
      </c>
    </row>
    <row r="154">
      <c r="A154" s="1" t="inlineStr">
        <is>
          <t>25-Aug-25</t>
        </is>
      </c>
      <c r="B154" s="1" t="inlineStr">
        <is>
          <t>I60293</t>
        </is>
      </c>
      <c r="C154" s="1" t="inlineStr">
        <is>
          <t>25800500206</t>
        </is>
      </c>
      <c r="D154" s="1" t="inlineStr">
        <is>
          <t>Nguyeãn Tuaán</t>
        </is>
      </c>
      <c r="E154" s="1" t="inlineStr">
        <is>
          <t>Phaùp</t>
        </is>
      </c>
      <c r="F154" s="1" t="inlineStr">
        <is>
          <t>27-Oct-07</t>
        </is>
      </c>
      <c r="G154" s="1" t="inlineStr">
        <is>
          <t>LNH0925ND01</t>
        </is>
      </c>
      <c r="H154" s="1" t="inlineStr">
        <is>
          <t>09AV Giao tiep QT (TS)</t>
        </is>
      </c>
      <c r="I154" s="1" t="n">
        <v>0</v>
      </c>
      <c r="J154" s="1" t="inlineStr">
        <is>
          <t>(Rut HP) NGUYEN TUAN PHAP ABBank 0521043748045 NGUYEN TUAN PH AP 25800500206  LNH0925ND01   03466 76457 TAI Agribank</t>
        </is>
      </c>
    </row>
    <row r="155">
      <c r="A155" s="1" t="inlineStr">
        <is>
          <t>25-Aug-25</t>
        </is>
      </c>
      <c r="B155" s="1" t="inlineStr">
        <is>
          <t>I60294</t>
        </is>
      </c>
      <c r="C155" s="1" t="inlineStr">
        <is>
          <t>25808900066</t>
        </is>
      </c>
      <c r="D155" s="1" t="inlineStr">
        <is>
          <t>Nguyeãn Vaên</t>
        </is>
      </c>
      <c r="E155" s="1" t="inlineStr">
        <is>
          <t>Lai</t>
        </is>
      </c>
      <c r="F155" s="1" t="inlineStr">
        <is>
          <t>20-Apr-07</t>
        </is>
      </c>
      <c r="G155" s="1" t="inlineStr">
        <is>
          <t>LNH0925ND01</t>
        </is>
      </c>
      <c r="H155" s="1" t="inlineStr">
        <is>
          <t>09AV Giao tiep QT (TS)</t>
        </is>
      </c>
      <c r="I155" s="1" t="n">
        <v>1000000</v>
      </c>
      <c r="J155" s="1" t="inlineStr">
        <is>
          <t>DINH THI THE PHUONG NGUYEN VAN LAI 25808900066 LNH0925N D01 0798545633 TAI VietinBank</t>
        </is>
      </c>
    </row>
    <row r="156">
      <c r="A156" s="1" t="inlineStr">
        <is>
          <t>25-Aug-25</t>
        </is>
      </c>
      <c r="B156" s="1" t="inlineStr">
        <is>
          <t>I60295</t>
        </is>
      </c>
      <c r="C156" s="1" t="inlineStr">
        <is>
          <t>25806500007</t>
        </is>
      </c>
      <c r="D156" s="1" t="inlineStr">
        <is>
          <t>Quaùch Thò Xuaân</t>
        </is>
      </c>
      <c r="E156" s="1" t="inlineStr">
        <is>
          <t>Mai</t>
        </is>
      </c>
      <c r="F156" s="1" t="inlineStr">
        <is>
          <t>28-Jul-07</t>
        </is>
      </c>
      <c r="G156" s="1" t="inlineStr">
        <is>
          <t>LNH0925ND01</t>
        </is>
      </c>
      <c r="H156" s="1" t="inlineStr">
        <is>
          <t>09AV Giao tiep QT (TS)</t>
        </is>
      </c>
      <c r="I156" s="1" t="n">
        <v>0</v>
      </c>
      <c r="J156" s="1" t="inlineStr">
        <is>
          <t>NGUYEN TRUNG NGHIA QUACH THI XUAN MAI  2580650007  LNH 0925ND01  0364505320 TAI VietinBank</t>
        </is>
      </c>
    </row>
    <row r="157">
      <c r="A157" s="1" t="inlineStr">
        <is>
          <t>25-Aug-25</t>
        </is>
      </c>
      <c r="B157" s="1" t="inlineStr">
        <is>
          <t>I60296</t>
        </is>
      </c>
      <c r="C157" s="1" t="inlineStr">
        <is>
          <t>25807500115</t>
        </is>
      </c>
      <c r="D157" s="1" t="inlineStr">
        <is>
          <t>Huyønh</t>
        </is>
      </c>
      <c r="E157" s="1" t="inlineStr">
        <is>
          <t>Thaân</t>
        </is>
      </c>
      <c r="F157" s="1" t="inlineStr">
        <is>
          <t>20-Jun-07</t>
        </is>
      </c>
      <c r="G157" s="1" t="inlineStr">
        <is>
          <t>LNH0925ND01</t>
        </is>
      </c>
      <c r="H157" s="1" t="inlineStr">
        <is>
          <t>09AV Giao tiep QT (TS)</t>
        </is>
      </c>
      <c r="I157" s="1" t="n">
        <v>1000000</v>
      </c>
      <c r="J157" s="1" t="inlineStr">
        <is>
          <t>HUYNH THI HA MY MBVCB.10672754975.471679.HUYNH THAN 25807500115 LNH0925ND01 0343136411 2-4-6.CT tu 0841000079430 HUYNH TH I HA MY toi 0521043748045 HUTECH tai ABBANK TAI Vietcombank</t>
        </is>
      </c>
    </row>
    <row r="158">
      <c r="A158" s="1" t="inlineStr">
        <is>
          <t>25-Aug-25</t>
        </is>
      </c>
      <c r="B158" s="1" t="inlineStr">
        <is>
          <t>I60297</t>
        </is>
      </c>
      <c r="C158" s="1" t="inlineStr">
        <is>
          <t>25807900049</t>
        </is>
      </c>
      <c r="D158" s="1" t="inlineStr">
        <is>
          <t>Traàn Höõu</t>
        </is>
      </c>
      <c r="E158" s="1" t="inlineStr">
        <is>
          <t>Thaønh</t>
        </is>
      </c>
      <c r="F158" s="1" t="inlineStr">
        <is>
          <t>21-Feb-07</t>
        </is>
      </c>
      <c r="G158" s="1" t="inlineStr">
        <is>
          <t>LNH0925ND01</t>
        </is>
      </c>
      <c r="H158" s="1" t="inlineStr">
        <is>
          <t>09AV Giao tiep QT (TS)</t>
        </is>
      </c>
      <c r="I158" s="1" t="n">
        <v>1000000</v>
      </c>
      <c r="J158" s="1" t="inlineStr">
        <is>
          <t>DINH THI THE PHUONG TRAN HUU THANH 25807900049 LNH0925N D01 0327328847 TAI VietinBank</t>
        </is>
      </c>
    </row>
    <row r="159">
      <c r="A159" s="1" t="inlineStr">
        <is>
          <t>25-Aug-25</t>
        </is>
      </c>
      <c r="B159" s="1" t="inlineStr">
        <is>
          <t>I60298</t>
        </is>
      </c>
      <c r="C159" s="1" t="inlineStr">
        <is>
          <t>25808600181</t>
        </is>
      </c>
      <c r="D159" s="1" t="inlineStr">
        <is>
          <t>Nguyeãn Thò Dieäu</t>
        </is>
      </c>
      <c r="E159" s="1" t="inlineStr">
        <is>
          <t>Linh</t>
        </is>
      </c>
      <c r="F159" s="1" t="inlineStr">
        <is>
          <t>10-May-05</t>
        </is>
      </c>
      <c r="G159" s="1" t="inlineStr">
        <is>
          <t>LNH0925ND01</t>
        </is>
      </c>
      <c r="H159" s="1" t="inlineStr">
        <is>
          <t>09AV Giao tiep QT (TS)</t>
        </is>
      </c>
      <c r="I159" s="1" t="n">
        <v>1000000</v>
      </c>
      <c r="J159" s="1" t="inlineStr">
        <is>
          <t>NGUYEN VAN KHOAI NGUYEN THI DIEU LINH 25808600181LNH 0925ND010329393592 TAI IBT-NAMABANK             HANOI</t>
        </is>
      </c>
    </row>
    <row r="160">
      <c r="A160" s="1" t="inlineStr">
        <is>
          <t>25-Aug-25</t>
        </is>
      </c>
      <c r="B160" s="1" t="inlineStr">
        <is>
          <t>I60299</t>
        </is>
      </c>
      <c r="C160" s="1" t="inlineStr">
        <is>
          <t>25800400077</t>
        </is>
      </c>
      <c r="D160" s="1" t="inlineStr">
        <is>
          <t>Nguyeãn Ñaêng</t>
        </is>
      </c>
      <c r="E160" s="1" t="inlineStr">
        <is>
          <t>Khoa</t>
        </is>
      </c>
      <c r="F160" s="1" t="inlineStr">
        <is>
          <t>21-Jan-07</t>
        </is>
      </c>
      <c r="G160" s="1" t="inlineStr">
        <is>
          <t>LNH0925ND01</t>
        </is>
      </c>
      <c r="H160" s="1" t="inlineStr">
        <is>
          <t>09AV Giao tiep QT (TS)</t>
        </is>
      </c>
      <c r="I160" s="1" t="n">
        <v>1000000</v>
      </c>
      <c r="J160" s="1" t="inlineStr">
        <is>
          <t>NGUYEN TRUNG NGHIA NGUYEN DANG KHOA  25800400077  LNH0 925ND01  0343591421 TAI VietinBank</t>
        </is>
      </c>
    </row>
    <row r="161">
      <c r="A161" s="1" t="inlineStr">
        <is>
          <t>25-Aug-25</t>
        </is>
      </c>
      <c r="B161" s="1" t="inlineStr">
        <is>
          <t>I60300</t>
        </is>
      </c>
      <c r="C161" s="1" t="inlineStr">
        <is>
          <t>25800400256</t>
        </is>
      </c>
      <c r="D161" s="1" t="inlineStr">
        <is>
          <t>Tröông Hoàng</t>
        </is>
      </c>
      <c r="E161" s="1" t="inlineStr">
        <is>
          <t>Khaõi</t>
        </is>
      </c>
      <c r="F161" s="1" t="inlineStr">
        <is>
          <t>30-May-07</t>
        </is>
      </c>
      <c r="G161" s="1" t="inlineStr">
        <is>
          <t>LNH0925ND01</t>
        </is>
      </c>
      <c r="H161" s="1" t="inlineStr">
        <is>
          <t>09AV Giao tiep QT (TS)</t>
        </is>
      </c>
      <c r="I161" s="1" t="n">
        <v>1000000</v>
      </c>
      <c r="J161" s="1" t="inlineStr">
        <is>
          <t>NGUYEN BA TOAN MBVCB.10673495468.959315.truong hon g khai.2500400065.LNH0925ND01.08134 55725.CT tu 9868698631 NGUYEN BA TO AN toi 0521043748045 HUTECH tai ABBANK TAI Vietcombank</t>
        </is>
      </c>
    </row>
    <row r="162">
      <c r="A162" s="1" t="inlineStr">
        <is>
          <t>25-Aug-25</t>
        </is>
      </c>
      <c r="B162" s="1" t="inlineStr">
        <is>
          <t>I60301</t>
        </is>
      </c>
      <c r="C162" s="1" t="inlineStr">
        <is>
          <t>25806400021</t>
        </is>
      </c>
      <c r="D162" s="1" t="inlineStr">
        <is>
          <t>Leâ Ngoïc Quyønh</t>
        </is>
      </c>
      <c r="E162" s="1" t="inlineStr">
        <is>
          <t>Trang</t>
        </is>
      </c>
      <c r="F162" s="1" t="inlineStr">
        <is>
          <t>28-Mar-07</t>
        </is>
      </c>
      <c r="G162" s="1" t="inlineStr">
        <is>
          <t>LNH0925ND01</t>
        </is>
      </c>
      <c r="H162" s="1" t="inlineStr">
        <is>
          <t>09AV Giao tiep QT (TS)</t>
        </is>
      </c>
      <c r="I162" s="1" t="n">
        <v>1000000</v>
      </c>
      <c r="J162" s="1" t="inlineStr">
        <is>
          <t>NGUYEN THI NGAI le ngoc quynh trang 25806400021 LNH 0925ND01 TAI IBT BIDV                 HANOI</t>
        </is>
      </c>
    </row>
    <row r="163">
      <c r="A163" s="1" t="inlineStr">
        <is>
          <t>25-Aug-25</t>
        </is>
      </c>
      <c r="B163" s="1" t="inlineStr">
        <is>
          <t>I60302</t>
        </is>
      </c>
      <c r="C163" s="1" t="inlineStr">
        <is>
          <t>25809600021</t>
        </is>
      </c>
      <c r="D163" s="1" t="inlineStr">
        <is>
          <t>Nguyeãn Gia</t>
        </is>
      </c>
      <c r="E163" s="1" t="inlineStr">
        <is>
          <t>Höng</t>
        </is>
      </c>
      <c r="F163" s="1" t="inlineStr">
        <is>
          <t>16-Mar-07</t>
        </is>
      </c>
      <c r="G163" s="1" t="inlineStr">
        <is>
          <t>LNH0925ND01</t>
        </is>
      </c>
      <c r="H163" s="1" t="inlineStr">
        <is>
          <t>09AV Giao tiep QT (TS)</t>
        </is>
      </c>
      <c r="I163" s="1" t="n">
        <v>1000000</v>
      </c>
      <c r="J163" s="1" t="inlineStr">
        <is>
          <t>MBBANK IBFT NGUYEN GIA HUNG 25809600021 LNH0925 ND01 0909554761 TAI IBT-MB                   HANOI</t>
        </is>
      </c>
    </row>
    <row r="164">
      <c r="A164" s="1" t="inlineStr">
        <is>
          <t>25-Aug-25</t>
        </is>
      </c>
      <c r="B164" s="1" t="inlineStr">
        <is>
          <t>I60303</t>
        </is>
      </c>
      <c r="C164" s="1" t="inlineStr">
        <is>
          <t>25808700023</t>
        </is>
      </c>
      <c r="D164" s="1" t="inlineStr">
        <is>
          <t>Phuøng Thanh</t>
        </is>
      </c>
      <c r="E164" s="1" t="inlineStr">
        <is>
          <t>Haèng</t>
        </is>
      </c>
      <c r="F164" s="1" t="inlineStr">
        <is>
          <t>14-May-07</t>
        </is>
      </c>
      <c r="G164" s="1" t="inlineStr">
        <is>
          <t>LNH0925ND01</t>
        </is>
      </c>
      <c r="H164" s="1" t="inlineStr">
        <is>
          <t>09AV Giao tiep QT (TS)</t>
        </is>
      </c>
      <c r="I164" s="1" t="n">
        <v>1000000</v>
      </c>
      <c r="J164" s="1" t="inlineStr">
        <is>
          <t>NGUYEN TRUNG NGHIA PHUNG THANH HANG  25808700023  LNH0 925ND01  038461405 TAI VietinBank</t>
        </is>
      </c>
    </row>
    <row r="165">
      <c r="A165" s="1" t="inlineStr">
        <is>
          <t>25-Aug-25</t>
        </is>
      </c>
      <c r="B165" s="1" t="inlineStr">
        <is>
          <t>I60304</t>
        </is>
      </c>
      <c r="C165" s="1" t="inlineStr">
        <is>
          <t>25801700057</t>
        </is>
      </c>
      <c r="D165" s="1" t="inlineStr">
        <is>
          <t>Nguyeãn Thò Thuûy</t>
        </is>
      </c>
      <c r="E165" s="1" t="inlineStr">
        <is>
          <t>Tieân</t>
        </is>
      </c>
      <c r="F165" s="1" t="inlineStr">
        <is>
          <t>23-Nov-01</t>
        </is>
      </c>
      <c r="G165" s="1" t="inlineStr">
        <is>
          <t>LNH0925ND01</t>
        </is>
      </c>
      <c r="H165" s="1" t="inlineStr">
        <is>
          <t>09AV Giao tiep QT (TS)</t>
        </is>
      </c>
      <c r="I165" s="1" t="n">
        <v>1000000</v>
      </c>
      <c r="J165" s="1" t="inlineStr">
        <is>
          <t>NGUYEN THI THUY TIEN MBVCB.10673780331.153695.NGUYEN THI THUY TIEN 25801700057 LNH0925ND01 0972790252.CT tu 7972790252 NGUYEN THI THUY TIEN toi 0521043748045 HUTECH tai ABBANK TAI Vietcombank</t>
        </is>
      </c>
    </row>
    <row r="166">
      <c r="A166" s="1" t="inlineStr">
        <is>
          <t>25-Aug-25</t>
        </is>
      </c>
      <c r="B166" s="1" t="inlineStr">
        <is>
          <t>I60305</t>
        </is>
      </c>
      <c r="C166" s="1" t="inlineStr">
        <is>
          <t>25802800245</t>
        </is>
      </c>
      <c r="D166" s="1" t="inlineStr">
        <is>
          <t>Traàn Anh</t>
        </is>
      </c>
      <c r="E166" s="1" t="inlineStr">
        <is>
          <t>Thi</t>
        </is>
      </c>
      <c r="F166" s="1" t="inlineStr">
        <is>
          <t>05-Sep-07</t>
        </is>
      </c>
      <c r="G166" s="1" t="inlineStr">
        <is>
          <t>LNH0925ND01</t>
        </is>
      </c>
      <c r="H166" s="1" t="inlineStr">
        <is>
          <t>09AV Giao tiep QT (TS)</t>
        </is>
      </c>
      <c r="I166" s="1" t="n">
        <v>0</v>
      </c>
      <c r="J166" s="1" t="inlineStr">
        <is>
          <t>(Chuyen EDU)NGUYEN TRUNG NGHIA TRAN ANH THI  25802800245  LNH0925N D01  0961330407 TAI VietinBank</t>
        </is>
      </c>
    </row>
    <row r="167">
      <c r="A167" s="1" t="inlineStr">
        <is>
          <t>25-Aug-25</t>
        </is>
      </c>
      <c r="B167" s="1" t="inlineStr">
        <is>
          <t>I60306</t>
        </is>
      </c>
      <c r="C167" s="1" t="inlineStr">
        <is>
          <t>25800500075</t>
        </is>
      </c>
      <c r="D167" s="1" t="inlineStr">
        <is>
          <t>Leâ Troïng</t>
        </is>
      </c>
      <c r="E167" s="1" t="inlineStr">
        <is>
          <t>Kha</t>
        </is>
      </c>
      <c r="F167" s="1" t="inlineStr">
        <is>
          <t>23-Jun-07</t>
        </is>
      </c>
      <c r="G167" s="1" t="inlineStr">
        <is>
          <t>LNH0925ND01</t>
        </is>
      </c>
      <c r="H167" s="1" t="inlineStr">
        <is>
          <t>09AV Giao tiep QT (TS)</t>
        </is>
      </c>
      <c r="I167" s="1" t="n">
        <v>1000000</v>
      </c>
      <c r="J167" s="1" t="inlineStr">
        <is>
          <t>NGUYEN TRUNG NGHIA LE TRONG KHA  25800500075  LNH0925N D01  0862921206 TAI VietinBank</t>
        </is>
      </c>
    </row>
    <row r="168">
      <c r="A168" s="1" t="inlineStr">
        <is>
          <t>25-Aug-25</t>
        </is>
      </c>
      <c r="B168" s="1" t="inlineStr">
        <is>
          <t>I60307</t>
        </is>
      </c>
      <c r="C168" s="1" t="inlineStr">
        <is>
          <t>25820300020</t>
        </is>
      </c>
      <c r="D168" s="1" t="inlineStr">
        <is>
          <t>Nguyeãn</t>
        </is>
      </c>
      <c r="E168" s="1" t="inlineStr">
        <is>
          <t>Huyønh</t>
        </is>
      </c>
      <c r="F168" s="1" t="inlineStr">
        <is>
          <t>14-May-07</t>
        </is>
      </c>
      <c r="G168" s="1" t="inlineStr">
        <is>
          <t>LNH0925ND01</t>
        </is>
      </c>
      <c r="H168" s="1" t="inlineStr">
        <is>
          <t>09AV Giao tiep QT (TS)</t>
        </is>
      </c>
      <c r="I168" s="1" t="n">
        <v>1000000</v>
      </c>
      <c r="J168" s="1" t="inlineStr">
        <is>
          <t>CAO HONG NUONG ABBank 0521043748045 Nguyen Huynh 25820300020  LNH0925ND01  081982677 TAI Agribank</t>
        </is>
      </c>
    </row>
    <row r="169">
      <c r="A169" s="1" t="inlineStr">
        <is>
          <t>25-Aug-25</t>
        </is>
      </c>
      <c r="B169" s="1" t="inlineStr">
        <is>
          <t>I60308</t>
        </is>
      </c>
      <c r="C169" s="1" t="inlineStr">
        <is>
          <t>25808600039</t>
        </is>
      </c>
      <c r="D169" s="1" t="inlineStr">
        <is>
          <t>Ñinh Nguyeãn Nhöït</t>
        </is>
      </c>
      <c r="E169" s="1" t="inlineStr">
        <is>
          <t>Huy</t>
        </is>
      </c>
      <c r="F169" s="1" t="inlineStr">
        <is>
          <t>04-Aug-06</t>
        </is>
      </c>
      <c r="G169" s="1" t="inlineStr">
        <is>
          <t>LNH0925ND01</t>
        </is>
      </c>
      <c r="H169" s="1" t="inlineStr">
        <is>
          <t>09AV Giao tiep QT (TS)</t>
        </is>
      </c>
      <c r="I169" s="1" t="n">
        <v>1000000</v>
      </c>
      <c r="J169" s="1" t="inlineStr">
        <is>
          <t>NGUYEN TRUNG NGHIA DINH NGUYEN NHAT HUY  25808600039 LNH0925ND01  0967486429 TAI VietinBank</t>
        </is>
      </c>
    </row>
    <row r="170">
      <c r="A170" s="1" t="inlineStr">
        <is>
          <t>25-Aug-25</t>
        </is>
      </c>
      <c r="B170" s="1" t="inlineStr">
        <is>
          <t>I60309</t>
        </is>
      </c>
      <c r="C170" s="1" t="inlineStr">
        <is>
          <t>25802800347</t>
        </is>
      </c>
      <c r="D170" s="1" t="inlineStr">
        <is>
          <t>Hoaøng Minh</t>
        </is>
      </c>
      <c r="E170" s="1" t="inlineStr">
        <is>
          <t>Quaân</t>
        </is>
      </c>
      <c r="F170" s="1" t="inlineStr">
        <is>
          <t>08-May-07</t>
        </is>
      </c>
      <c r="G170" s="1" t="inlineStr">
        <is>
          <t>LNH0925ND01</t>
        </is>
      </c>
      <c r="H170" s="1" t="inlineStr">
        <is>
          <t>09AV Giao tiep QT (TS)</t>
        </is>
      </c>
      <c r="I170" s="1" t="n">
        <v>1000000</v>
      </c>
      <c r="J170" s="1" t="inlineStr">
        <is>
          <t>MAI THUY LIEN ABBank 0521043748045 Hoang Minh Qua n 25802800347 LNH0925ND01  09651270 92 TAI Agribank</t>
        </is>
      </c>
    </row>
    <row r="171">
      <c r="A171" s="1" t="inlineStr">
        <is>
          <t>25-Aug-25</t>
        </is>
      </c>
      <c r="B171" s="1" t="inlineStr">
        <is>
          <t>I60310</t>
        </is>
      </c>
      <c r="C171" s="1" t="inlineStr">
        <is>
          <t>25801800063</t>
        </is>
      </c>
      <c r="D171" s="1" t="inlineStr">
        <is>
          <t>Nguyeãn Thanh</t>
        </is>
      </c>
      <c r="E171" s="1" t="inlineStr">
        <is>
          <t>Thaûo</t>
        </is>
      </c>
      <c r="F171" s="1" t="inlineStr">
        <is>
          <t>16-Apr-07</t>
        </is>
      </c>
      <c r="G171" s="1" t="inlineStr">
        <is>
          <t>LNH0925ND01</t>
        </is>
      </c>
      <c r="H171" s="1" t="inlineStr">
        <is>
          <t>09AV Giao tiep QT (TS)</t>
        </is>
      </c>
      <c r="I171" s="1" t="n">
        <v>1000000</v>
      </c>
      <c r="J171" s="1" t="inlineStr">
        <is>
          <t>NGUYEN TRUNG NGHIA NGUYEN THANH THAO  25801800063  LNH 0925ND01  0977637311 TAI VietinBank</t>
        </is>
      </c>
    </row>
    <row r="172">
      <c r="A172" s="1" t="inlineStr">
        <is>
          <t>25-Aug-25</t>
        </is>
      </c>
      <c r="B172" s="1" t="inlineStr">
        <is>
          <t>I60311</t>
        </is>
      </c>
      <c r="C172" s="1" t="inlineStr">
        <is>
          <t>25803800098</t>
        </is>
      </c>
      <c r="D172" s="1" t="inlineStr">
        <is>
          <t>Höùa Myõ</t>
        </is>
      </c>
      <c r="E172" s="1" t="inlineStr">
        <is>
          <t>Linh</t>
        </is>
      </c>
      <c r="F172" s="1" t="inlineStr">
        <is>
          <t>04-Nov-07</t>
        </is>
      </c>
      <c r="G172" s="1" t="inlineStr">
        <is>
          <t>LNH0925ND01</t>
        </is>
      </c>
      <c r="H172" s="1" t="inlineStr">
        <is>
          <t>09AV Giao tiep QT (TS)</t>
        </is>
      </c>
      <c r="I172" s="1" t="n">
        <v>1000000</v>
      </c>
      <c r="J172" s="1" t="inlineStr">
        <is>
          <t>DINH THI THE PHUONG HUA MY LINH 2503800020 LNH0925ND01 0336150253 TAI VietinBank</t>
        </is>
      </c>
    </row>
    <row r="173">
      <c r="A173" s="1" t="inlineStr">
        <is>
          <t>25-Aug-25</t>
        </is>
      </c>
      <c r="B173" s="1" t="inlineStr">
        <is>
          <t>I60312</t>
        </is>
      </c>
      <c r="C173" s="39" t="inlineStr">
        <is>
          <t>25807800101</t>
        </is>
      </c>
      <c r="D173" s="1" t="inlineStr">
        <is>
          <t>Hoà Minh</t>
        </is>
      </c>
      <c r="E173" s="1" t="inlineStr">
        <is>
          <t>Nhöït</t>
        </is>
      </c>
      <c r="F173" s="1" t="inlineStr">
        <is>
          <t>18-Jul-07</t>
        </is>
      </c>
      <c r="G173" s="1" t="inlineStr">
        <is>
          <t>LNH0925ND01</t>
        </is>
      </c>
      <c r="H173" s="1" t="inlineStr">
        <is>
          <t>09AV Giao tiep QT (TS)</t>
        </is>
      </c>
      <c r="I173" s="1" t="n">
        <v>1000000</v>
      </c>
      <c r="J173" s="1" t="inlineStr">
        <is>
          <t>DINH THI THE PHUONG HO MINH NHUT 25807800101 LNH0925ND0 1 0916820502 TAI VietinBank</t>
        </is>
      </c>
    </row>
    <row r="174">
      <c r="A174" s="1" t="inlineStr">
        <is>
          <t>25-Aug-25</t>
        </is>
      </c>
      <c r="B174" s="1" t="inlineStr">
        <is>
          <t>I60313</t>
        </is>
      </c>
      <c r="C174" s="1" t="inlineStr">
        <is>
          <t>25805900021</t>
        </is>
      </c>
      <c r="D174" s="1" t="inlineStr">
        <is>
          <t>Nguyeãn Thò Xuaân</t>
        </is>
      </c>
      <c r="E174" s="1" t="inlineStr">
        <is>
          <t>Mai</t>
        </is>
      </c>
      <c r="F174" s="1" t="inlineStr">
        <is>
          <t>03-Sep-07</t>
        </is>
      </c>
      <c r="G174" s="1" t="inlineStr">
        <is>
          <t>LNH0925ND01</t>
        </is>
      </c>
      <c r="H174" s="1" t="inlineStr">
        <is>
          <t>09AV Giao tiep QT (TS)</t>
        </is>
      </c>
      <c r="I174" s="1" t="n">
        <v>1000000</v>
      </c>
      <c r="J174" s="1" t="inlineStr">
        <is>
          <t>NGUYEN TRUNG NGHIA NGUYEN THI XUAN MAI  25805900021  L NH0925ND01  0836994340 TAI VietinBank</t>
        </is>
      </c>
    </row>
    <row r="175">
      <c r="A175" s="1" t="inlineStr">
        <is>
          <t>25-Aug-25</t>
        </is>
      </c>
      <c r="B175" s="1" t="inlineStr">
        <is>
          <t>I60314</t>
        </is>
      </c>
      <c r="C175" s="1" t="inlineStr">
        <is>
          <t>25803800045</t>
        </is>
      </c>
      <c r="D175" s="1" t="inlineStr">
        <is>
          <t>Traàn Ngoïc Kieàu</t>
        </is>
      </c>
      <c r="E175" s="1" t="inlineStr">
        <is>
          <t>Oanh</t>
        </is>
      </c>
      <c r="F175" s="1" t="inlineStr">
        <is>
          <t>04-Aug-05</t>
        </is>
      </c>
      <c r="G175" s="1" t="inlineStr">
        <is>
          <t>LNH0925ND01</t>
        </is>
      </c>
      <c r="H175" s="1" t="inlineStr">
        <is>
          <t>09AV Giao tiep QT (TS)</t>
        </is>
      </c>
      <c r="I175" s="1" t="n">
        <v>1000000</v>
      </c>
      <c r="J175" s="1" t="inlineStr">
        <is>
          <t>MBBANK IBFT Tran Ngoc Kieu Oanh  25803800045LNH 0925ND010934395050 TAI IBT-MB                   HANOI</t>
        </is>
      </c>
    </row>
    <row r="176">
      <c r="A176" s="1" t="inlineStr">
        <is>
          <t>25-Aug-25</t>
        </is>
      </c>
      <c r="B176" s="1" t="inlineStr">
        <is>
          <t>I60315</t>
        </is>
      </c>
      <c r="C176" s="1" t="inlineStr">
        <is>
          <t>25805900029</t>
        </is>
      </c>
      <c r="D176" s="1" t="inlineStr">
        <is>
          <t>Döông Huyønh Thanh</t>
        </is>
      </c>
      <c r="E176" s="1" t="inlineStr">
        <is>
          <t>Nhö</t>
        </is>
      </c>
      <c r="F176" s="1" t="inlineStr">
        <is>
          <t>11-Jan-07</t>
        </is>
      </c>
      <c r="G176" s="1" t="inlineStr">
        <is>
          <t>LNH0925ND01</t>
        </is>
      </c>
      <c r="H176" s="1" t="inlineStr">
        <is>
          <t>09AV Giao tiep QT (TS)</t>
        </is>
      </c>
      <c r="I176" s="1" t="n">
        <v>1000000</v>
      </c>
      <c r="J176" s="1" t="inlineStr">
        <is>
          <t>NGUYEN TRUNG NGHIA DUONG HUYNH THANH NHU  25805900029 LNH0925ND01  0869775218 TAI VietinBank</t>
        </is>
      </c>
    </row>
    <row r="177">
      <c r="A177" s="1" t="inlineStr">
        <is>
          <t>25-Aug-25</t>
        </is>
      </c>
      <c r="B177" s="1" t="inlineStr">
        <is>
          <t>I60316</t>
        </is>
      </c>
      <c r="C177" s="1" t="inlineStr">
        <is>
          <t>25800500109</t>
        </is>
      </c>
      <c r="D177" s="1" t="inlineStr">
        <is>
          <t>Nguyeãn Huyønh Nhöït</t>
        </is>
      </c>
      <c r="E177" s="1" t="inlineStr">
        <is>
          <t>Minh</t>
        </is>
      </c>
      <c r="F177" s="1" t="inlineStr">
        <is>
          <t>30-Aug-07</t>
        </is>
      </c>
      <c r="G177" s="1" t="inlineStr">
        <is>
          <t>LNH0925ND01</t>
        </is>
      </c>
      <c r="H177" s="1" t="inlineStr">
        <is>
          <t>09AV Giao tiep QT (TS)</t>
        </is>
      </c>
      <c r="I177" s="1" t="n">
        <v>1000000</v>
      </c>
      <c r="J177" s="1" t="inlineStr">
        <is>
          <t>DINH THI THE PHUONG NGUYEN HUYNH NHUT MINH 25800500109 LNH0925ND01 09069477271 TAI VietinBank</t>
        </is>
      </c>
    </row>
    <row r="178">
      <c r="A178" s="1" t="inlineStr">
        <is>
          <t>25-Aug-25</t>
        </is>
      </c>
      <c r="B178" s="1" t="inlineStr">
        <is>
          <t>I60317</t>
        </is>
      </c>
      <c r="C178" s="39" t="inlineStr">
        <is>
          <t>25808900151</t>
        </is>
      </c>
      <c r="D178" s="1" t="inlineStr">
        <is>
          <t>Tröông Baûo</t>
        </is>
      </c>
      <c r="E178" s="1" t="inlineStr">
        <is>
          <t>Vinh</t>
        </is>
      </c>
      <c r="F178" s="1" t="inlineStr">
        <is>
          <t>09-Aug-07</t>
        </is>
      </c>
      <c r="G178" s="1" t="inlineStr">
        <is>
          <t>LNH0925ND01</t>
        </is>
      </c>
      <c r="H178" s="1" t="inlineStr">
        <is>
          <t>09AV Giao tiep QT (TS)</t>
        </is>
      </c>
      <c r="I178" s="1" t="n">
        <v>1000000</v>
      </c>
      <c r="J178" s="1" t="inlineStr">
        <is>
          <t>NGUYEN THI KIM DUNG QR - Truong Bao Vinh 25808900151 LN H0925ND01 0931904170 TAI VietinBank</t>
        </is>
      </c>
    </row>
    <row r="179">
      <c r="A179" s="1" t="inlineStr">
        <is>
          <t>25-Aug-25</t>
        </is>
      </c>
      <c r="B179" s="1" t="inlineStr">
        <is>
          <t>I60318</t>
        </is>
      </c>
      <c r="C179" s="1" t="inlineStr">
        <is>
          <t>25807800158</t>
        </is>
      </c>
      <c r="D179" s="1" t="inlineStr">
        <is>
          <t>Ñoã Thanh</t>
        </is>
      </c>
      <c r="E179" s="1" t="inlineStr">
        <is>
          <t>Tuøng</t>
        </is>
      </c>
      <c r="F179" s="1" t="inlineStr">
        <is>
          <t>24-Apr-07</t>
        </is>
      </c>
      <c r="G179" s="1" t="inlineStr">
        <is>
          <t>LNH0925ND01</t>
        </is>
      </c>
      <c r="H179" s="1" t="inlineStr">
        <is>
          <t>09AV Giao tiep QT (TS)</t>
        </is>
      </c>
      <c r="I179" s="1" t="n">
        <v>1000000</v>
      </c>
      <c r="J179" s="1" t="inlineStr">
        <is>
          <t>NGUYEN TRUNG NGHIA DO THANH TUNG  25807800158  LNH0925 ND01  0397056693 TAI VietinBank</t>
        </is>
      </c>
    </row>
    <row r="180">
      <c r="A180" s="1" t="inlineStr">
        <is>
          <t>25-Aug-25</t>
        </is>
      </c>
      <c r="B180" s="1" t="inlineStr">
        <is>
          <t>I60319</t>
        </is>
      </c>
      <c r="C180" s="1" t="inlineStr">
        <is>
          <t>25801700013</t>
        </is>
      </c>
      <c r="D180" s="1" t="inlineStr">
        <is>
          <t>Traàn Vaên Anh</t>
        </is>
      </c>
      <c r="E180" s="1" t="inlineStr">
        <is>
          <t>Ñöùc</t>
        </is>
      </c>
      <c r="F180" s="1" t="inlineStr">
        <is>
          <t>01-May-07</t>
        </is>
      </c>
      <c r="G180" s="1" t="inlineStr">
        <is>
          <t>LNH0925ND01</t>
        </is>
      </c>
      <c r="H180" s="1" t="inlineStr">
        <is>
          <t>09AV Giao tiep QT (TS)</t>
        </is>
      </c>
      <c r="I180" s="1" t="n">
        <v>1000000</v>
      </c>
      <c r="J180" s="1" t="inlineStr">
        <is>
          <t>TRAN VAN ANH DUC MBVCB.10674907708.885539.TRAN VAN A NH DUC 25801700013 0933248785 LNH09 25ND01.CT tu 1058449544 TRAN VAN AN H DUC toi 0521043748045 HUTECH taiABBANK TAI Vietcombank</t>
        </is>
      </c>
    </row>
    <row r="181">
      <c r="A181" s="1" t="inlineStr">
        <is>
          <t>25-Aug-25</t>
        </is>
      </c>
      <c r="B181" s="1" t="inlineStr">
        <is>
          <t>I60320</t>
        </is>
      </c>
      <c r="C181" s="1" t="inlineStr">
        <is>
          <t>25805900005</t>
        </is>
      </c>
      <c r="D181" s="1" t="inlineStr">
        <is>
          <t>Nguyeãn Chí</t>
        </is>
      </c>
      <c r="E181" s="1" t="inlineStr">
        <is>
          <t>Beàn</t>
        </is>
      </c>
      <c r="F181" s="1" t="inlineStr">
        <is>
          <t>29-Oct-07</t>
        </is>
      </c>
      <c r="G181" s="1" t="inlineStr">
        <is>
          <t>LNH0925ND01</t>
        </is>
      </c>
      <c r="H181" s="1" t="inlineStr">
        <is>
          <t>09AV Giao tiep QT (TS)</t>
        </is>
      </c>
      <c r="I181" s="1" t="n">
        <v>1000000</v>
      </c>
      <c r="J181" s="1" t="inlineStr">
        <is>
          <t>NGUYEN TRUNG NGHIA NGUYEN CHI BEN  25805900005  LNH092 5ND01  0837878271 TAI VietinBank</t>
        </is>
      </c>
    </row>
    <row r="182">
      <c r="A182" s="1" t="inlineStr">
        <is>
          <t>25-Aug-25</t>
        </is>
      </c>
      <c r="B182" s="1" t="inlineStr">
        <is>
          <t>I60321</t>
        </is>
      </c>
      <c r="C182" s="1" t="inlineStr">
        <is>
          <t>25806800005</t>
        </is>
      </c>
      <c r="D182" s="1" t="inlineStr">
        <is>
          <t>Tröông Thò Thuùy</t>
        </is>
      </c>
      <c r="E182" s="1" t="inlineStr">
        <is>
          <t>An</t>
        </is>
      </c>
      <c r="F182" s="1" t="inlineStr">
        <is>
          <t>11-Aug-07</t>
        </is>
      </c>
      <c r="G182" s="1" t="inlineStr">
        <is>
          <t>LNH0925ND01</t>
        </is>
      </c>
      <c r="H182" s="1" t="inlineStr">
        <is>
          <t>09AV Giao tiep QT (TS)</t>
        </is>
      </c>
      <c r="I182" s="1" t="n">
        <v>1000000</v>
      </c>
      <c r="J182" s="1" t="inlineStr">
        <is>
          <t>NGUYEN TRUNG NGHIA TRUONG THI THUY AN  25806800005  LN H0925ND01  0346201849 TAI VietinBank</t>
        </is>
      </c>
    </row>
    <row r="183">
      <c r="A183" s="1" t="inlineStr">
        <is>
          <t>25-Aug-25</t>
        </is>
      </c>
      <c r="B183" s="1" t="inlineStr">
        <is>
          <t>I60322</t>
        </is>
      </c>
      <c r="C183" s="1" t="inlineStr">
        <is>
          <t>25806300022</t>
        </is>
      </c>
      <c r="D183" s="1" t="inlineStr">
        <is>
          <t>Nguyeãn Tuaán</t>
        </is>
      </c>
      <c r="E183" s="1" t="inlineStr">
        <is>
          <t>Kieät</t>
        </is>
      </c>
      <c r="F183" s="1" t="inlineStr">
        <is>
          <t>08-Jan-07</t>
        </is>
      </c>
      <c r="G183" s="1" t="inlineStr">
        <is>
          <t>LNH0925ND01</t>
        </is>
      </c>
      <c r="H183" s="1" t="inlineStr">
        <is>
          <t>09AV Giao tiep QT (TS)</t>
        </is>
      </c>
      <c r="I183" s="1" t="n">
        <v>1000000</v>
      </c>
      <c r="J183" s="1" t="inlineStr">
        <is>
          <t>NGUYEN TRUNG NGHIA NGUYEN TUAN KIET  25806300022  LNH0 925ND01  0867960107 TAI VietinBank</t>
        </is>
      </c>
    </row>
    <row r="184">
      <c r="A184" s="1" t="inlineStr">
        <is>
          <t>25-Aug-25</t>
        </is>
      </c>
      <c r="B184" s="1" t="inlineStr">
        <is>
          <t>I60323</t>
        </is>
      </c>
      <c r="C184" s="1" t="inlineStr">
        <is>
          <t>25802800084</t>
        </is>
      </c>
      <c r="D184" s="1" t="inlineStr">
        <is>
          <t>Voõ</t>
        </is>
      </c>
      <c r="E184" s="1" t="inlineStr">
        <is>
          <t>Huøng</t>
        </is>
      </c>
      <c r="F184" s="1" t="inlineStr">
        <is>
          <t>11-Oct-07</t>
        </is>
      </c>
      <c r="G184" s="1" t="inlineStr">
        <is>
          <t>LNH0925ND01</t>
        </is>
      </c>
      <c r="H184" s="1" t="inlineStr">
        <is>
          <t>09AV Giao tiep QT (TS)</t>
        </is>
      </c>
      <c r="I184" s="1" t="n">
        <v>1000000</v>
      </c>
      <c r="J184" s="1" t="inlineStr">
        <is>
          <t>NGUYEN TRUNG NGHIA VO HUNG  25802800084  LNH0925ND01 0707481110 TAI VietinBank</t>
        </is>
      </c>
    </row>
    <row r="185">
      <c r="A185" s="1" t="inlineStr">
        <is>
          <t>25-Aug-25</t>
        </is>
      </c>
      <c r="B185" s="1" t="inlineStr">
        <is>
          <t>I60324</t>
        </is>
      </c>
      <c r="C185" s="1" t="inlineStr">
        <is>
          <t>25807800030</t>
        </is>
      </c>
      <c r="D185" s="1" t="inlineStr">
        <is>
          <t>Nguyeãn Baù Coâng</t>
        </is>
      </c>
      <c r="E185" s="1" t="inlineStr">
        <is>
          <t>Ñònh</t>
        </is>
      </c>
      <c r="F185" s="1" t="inlineStr">
        <is>
          <t>22-Jul-07</t>
        </is>
      </c>
      <c r="G185" s="1" t="inlineStr">
        <is>
          <t>LNH0925ND01</t>
        </is>
      </c>
      <c r="H185" s="1" t="inlineStr">
        <is>
          <t>09AV Giao tiep QT (TS)</t>
        </is>
      </c>
      <c r="I185" s="1" t="n">
        <v>1000000</v>
      </c>
      <c r="J185" s="1" t="inlineStr">
        <is>
          <t>NGUYEN BA NAM NGUYEN BA CONG DINH 25807800030LNH0 925ND01 0799695431-250825-11 18 41 115890 TAI Ngan hang a chau       IBT SMARLINK</t>
        </is>
      </c>
    </row>
    <row r="186">
      <c r="A186" s="1" t="inlineStr">
        <is>
          <t>25-Aug-25</t>
        </is>
      </c>
      <c r="B186" s="1" t="inlineStr">
        <is>
          <t>I60325</t>
        </is>
      </c>
      <c r="C186" s="1" t="inlineStr">
        <is>
          <t>25806400003</t>
        </is>
      </c>
      <c r="D186" s="1" t="inlineStr">
        <is>
          <t>Ñoã</t>
        </is>
      </c>
      <c r="E186" s="1" t="inlineStr">
        <is>
          <t>Duaãn</t>
        </is>
      </c>
      <c r="F186" s="1" t="inlineStr">
        <is>
          <t>16-Oct-07</t>
        </is>
      </c>
      <c r="G186" s="1" t="inlineStr">
        <is>
          <t>LNH0925ND01</t>
        </is>
      </c>
      <c r="H186" s="1" t="inlineStr">
        <is>
          <t>09AV Giao tiep QT (TS)</t>
        </is>
      </c>
      <c r="I186" s="1" t="n">
        <v>1000000</v>
      </c>
      <c r="J186" s="1" t="inlineStr">
        <is>
          <t>NGUYEN TRUNG NGHIA DO DUAN  25806400003  LNH0925ND01 0372871254 TAI VietinBank</t>
        </is>
      </c>
    </row>
    <row r="187">
      <c r="A187" s="1" t="inlineStr">
        <is>
          <t>25-Aug-25</t>
        </is>
      </c>
      <c r="B187" s="1" t="inlineStr">
        <is>
          <t>I60326</t>
        </is>
      </c>
      <c r="C187" s="1" t="inlineStr">
        <is>
          <t>25808100059</t>
        </is>
      </c>
      <c r="D187" s="1" t="inlineStr">
        <is>
          <t>Traàn Quoác</t>
        </is>
      </c>
      <c r="E187" s="1" t="inlineStr">
        <is>
          <t>Anh</t>
        </is>
      </c>
      <c r="F187" s="1" t="inlineStr">
        <is>
          <t>25-May-07</t>
        </is>
      </c>
      <c r="G187" s="1" t="inlineStr">
        <is>
          <t>LNH0925ND01</t>
        </is>
      </c>
      <c r="H187" s="1" t="inlineStr">
        <is>
          <t>09AV Giao tiep QT (TS)</t>
        </is>
      </c>
      <c r="I187" s="1" t="n">
        <v>0</v>
      </c>
      <c r="J187" s="1" t="inlineStr">
        <is>
          <t>(chuyen edu)TRAN QUOC ANH TRAN QUOC ANH 25808100059 LNH0925ND 01 0977013635 FT25237080872908 TAI TECHCOMBANK            HANOI</t>
        </is>
      </c>
    </row>
    <row r="188">
      <c r="A188" s="1" t="inlineStr">
        <is>
          <t>25-Aug-25</t>
        </is>
      </c>
      <c r="B188" s="1" t="inlineStr">
        <is>
          <t>I60327</t>
        </is>
      </c>
      <c r="C188" s="1" t="inlineStr">
        <is>
          <t>25808900091</t>
        </is>
      </c>
      <c r="D188" s="1" t="inlineStr">
        <is>
          <t>Döông Thò Tuyeát</t>
        </is>
      </c>
      <c r="E188" s="1" t="inlineStr">
        <is>
          <t>Nhi</t>
        </is>
      </c>
      <c r="F188" s="1" t="inlineStr">
        <is>
          <t>19-Jul-07</t>
        </is>
      </c>
      <c r="G188" s="1" t="inlineStr">
        <is>
          <t>LNH0925ND01</t>
        </is>
      </c>
      <c r="H188" s="1" t="inlineStr">
        <is>
          <t>09AV Giao tiep QT (TS)</t>
        </is>
      </c>
      <c r="I188" s="1" t="n">
        <v>1000000</v>
      </c>
      <c r="J188" s="1" t="inlineStr">
        <is>
          <t>NGUYEN TRUNG NGHIA DUONG THI TUYET NHI  25808900091  L NH0925ND01  0357943019 TAI VietinBank</t>
        </is>
      </c>
    </row>
    <row r="189">
      <c r="A189" s="1" t="inlineStr">
        <is>
          <t>25-Aug-25</t>
        </is>
      </c>
      <c r="B189" s="1" t="inlineStr">
        <is>
          <t>I60328</t>
        </is>
      </c>
      <c r="C189" s="1" t="inlineStr">
        <is>
          <t>25802600140</t>
        </is>
      </c>
      <c r="D189" s="1" t="inlineStr">
        <is>
          <t>Traàn Löu Truùc</t>
        </is>
      </c>
      <c r="E189" s="1" t="inlineStr">
        <is>
          <t>Vy</t>
        </is>
      </c>
      <c r="F189" s="1" t="inlineStr">
        <is>
          <t>21-May-07</t>
        </is>
      </c>
      <c r="G189" s="1" t="inlineStr">
        <is>
          <t>LNH0925ND01</t>
        </is>
      </c>
      <c r="H189" s="1" t="inlineStr">
        <is>
          <t>09AV Giao tiep QT (TS)</t>
        </is>
      </c>
      <c r="I189" s="1" t="n">
        <v>0</v>
      </c>
      <c r="J189" s="1" t="inlineStr">
        <is>
          <t>(rut Hp)LUU THI THANH TRUC tran luu truc vy 25802600140 LNH092 5ND01 0906980398 TAI IBT BIDV                 HANOI</t>
        </is>
      </c>
    </row>
    <row r="190">
      <c r="A190" s="1" t="inlineStr">
        <is>
          <t>25-Aug-25</t>
        </is>
      </c>
      <c r="B190" s="1" t="inlineStr">
        <is>
          <t>I60329</t>
        </is>
      </c>
      <c r="C190" s="1" t="inlineStr">
        <is>
          <t>25807500215</t>
        </is>
      </c>
      <c r="D190" s="1" t="inlineStr">
        <is>
          <t>Tröông Ngoïc Nhaõ</t>
        </is>
      </c>
      <c r="E190" s="1" t="inlineStr">
        <is>
          <t>Ñoan</t>
        </is>
      </c>
      <c r="F190" s="1" t="inlineStr">
        <is>
          <t>06-Dec-07</t>
        </is>
      </c>
      <c r="G190" s="1" t="inlineStr">
        <is>
          <t>LNH0925ND01</t>
        </is>
      </c>
      <c r="H190" s="1" t="inlineStr">
        <is>
          <t>09AV Giao tiep QT (TS)</t>
        </is>
      </c>
      <c r="I190" s="1" t="n">
        <v>1000000</v>
      </c>
      <c r="J190" s="1" t="inlineStr">
        <is>
          <t>NGUYEN TRUNG NGHIA TRUONG NGOC NHA DOAN  2507500038  L NH0925ND01  0829259942 TAI VietinBank</t>
        </is>
      </c>
    </row>
    <row r="191">
      <c r="A191" s="1" t="inlineStr">
        <is>
          <t>25-Aug-25</t>
        </is>
      </c>
      <c r="B191" s="1" t="inlineStr">
        <is>
          <t>I60330</t>
        </is>
      </c>
      <c r="C191" s="1" t="inlineStr">
        <is>
          <t>25801200041</t>
        </is>
      </c>
      <c r="D191" s="1" t="inlineStr">
        <is>
          <t>Nguyeãn Thò Töôøng</t>
        </is>
      </c>
      <c r="E191" s="1" t="inlineStr">
        <is>
          <t>Vy</t>
        </is>
      </c>
      <c r="F191" s="1" t="inlineStr">
        <is>
          <t>25-Jan-07</t>
        </is>
      </c>
      <c r="G191" s="1" t="inlineStr">
        <is>
          <t>LNH0925ND01</t>
        </is>
      </c>
      <c r="H191" s="1" t="inlineStr">
        <is>
          <t>09AV Giao tiep QT (TS)</t>
        </is>
      </c>
      <c r="I191" s="1" t="n">
        <v>1000000</v>
      </c>
      <c r="J191" s="1" t="inlineStr">
        <is>
          <t>NGUYEN THI TUONG VY ABBank 0521043748045 NGUYEN THI TUO NG VY -25801200041 - LNH0925ND01- 0 902463175 Lop hoc toi 2-4-6 TAI Agribank</t>
        </is>
      </c>
    </row>
    <row r="192">
      <c r="A192" s="1" t="inlineStr">
        <is>
          <t>25-Aug-25</t>
        </is>
      </c>
      <c r="B192" s="1" t="inlineStr">
        <is>
          <t>I60331</t>
        </is>
      </c>
      <c r="C192" s="1" t="inlineStr">
        <is>
          <t>25808200100</t>
        </is>
      </c>
      <c r="D192" s="1" t="inlineStr">
        <is>
          <t>Phaïm Taán</t>
        </is>
      </c>
      <c r="E192" s="1" t="inlineStr">
        <is>
          <t>Phaùt</t>
        </is>
      </c>
      <c r="F192" s="1" t="inlineStr">
        <is>
          <t>07-Oct-07</t>
        </is>
      </c>
      <c r="G192" s="1" t="inlineStr">
        <is>
          <t>LNH0925ND01</t>
        </is>
      </c>
      <c r="H192" s="1" t="inlineStr">
        <is>
          <t>09AV Giao tiep QT (TS)</t>
        </is>
      </c>
      <c r="I192" s="1" t="n">
        <v>1000000</v>
      </c>
      <c r="J192" s="1" t="inlineStr">
        <is>
          <t>PHAM TAN PHAT Pham Tan Phat 25808200100 LNH0925ND 01 TAI IBT TIENPHONGBANK      HANOI</t>
        </is>
      </c>
    </row>
    <row r="193">
      <c r="A193" s="1" t="inlineStr">
        <is>
          <t>25-Aug-25</t>
        </is>
      </c>
      <c r="B193" s="1" t="inlineStr">
        <is>
          <t>I60332</t>
        </is>
      </c>
      <c r="C193" s="1" t="inlineStr">
        <is>
          <t>25808300060</t>
        </is>
      </c>
      <c r="D193" s="1" t="inlineStr">
        <is>
          <t>Ñaëng Ngoïc Tuù</t>
        </is>
      </c>
      <c r="E193" s="1" t="inlineStr">
        <is>
          <t>Uyeân</t>
        </is>
      </c>
      <c r="F193" s="1" t="inlineStr">
        <is>
          <t>25-Aug-06</t>
        </is>
      </c>
      <c r="G193" s="1" t="inlineStr">
        <is>
          <t>LNH0925ND01</t>
        </is>
      </c>
      <c r="H193" s="1" t="inlineStr">
        <is>
          <t>09AV Giao tiep QT (TS)</t>
        </is>
      </c>
      <c r="I193" s="1" t="n">
        <v>1000000</v>
      </c>
      <c r="J193" s="1" t="inlineStr">
        <is>
          <t>MBBANK IBFT Dang Ngoc Tu Uyen 25808300060 LNH09 25ND01 0981541065 TAI IBT-MB                   HANOI</t>
        </is>
      </c>
    </row>
    <row r="194">
      <c r="A194" s="1" t="inlineStr">
        <is>
          <t>25-Aug-25</t>
        </is>
      </c>
      <c r="B194" s="1" t="inlineStr">
        <is>
          <t>I60333</t>
        </is>
      </c>
      <c r="C194" s="1" t="inlineStr">
        <is>
          <t>25809600002</t>
        </is>
      </c>
      <c r="D194" s="1" t="inlineStr">
        <is>
          <t>Nguyeãn Traàn Tuaán</t>
        </is>
      </c>
      <c r="E194" s="1" t="inlineStr">
        <is>
          <t>Anh</t>
        </is>
      </c>
      <c r="F194" s="1" t="inlineStr">
        <is>
          <t>14-Jun-06</t>
        </is>
      </c>
      <c r="G194" s="1" t="inlineStr">
        <is>
          <t>LNH0925ND01</t>
        </is>
      </c>
      <c r="H194" s="1" t="inlineStr">
        <is>
          <t>09AV Giao tiep QT (TS)</t>
        </is>
      </c>
      <c r="I194" s="1" t="n">
        <v>1000000</v>
      </c>
      <c r="J194" s="1" t="inlineStr">
        <is>
          <t>MBBANK IBFT Nguyen Tran Tuan Anh 25809600002 LN H0925ND01 0329455788 TAI IBT-MB                   HANOI</t>
        </is>
      </c>
    </row>
    <row r="195">
      <c r="A195" s="1" t="inlineStr">
        <is>
          <t>25-Aug-25</t>
        </is>
      </c>
      <c r="B195" s="1" t="inlineStr">
        <is>
          <t>I60334</t>
        </is>
      </c>
      <c r="C195" s="1" t="inlineStr">
        <is>
          <t>25801000044</t>
        </is>
      </c>
      <c r="D195" s="1" t="inlineStr">
        <is>
          <t>Phaïm Hoaøng Trang</t>
        </is>
      </c>
      <c r="E195" s="1" t="inlineStr">
        <is>
          <t>Nguyeân</t>
        </is>
      </c>
      <c r="F195" s="1" t="inlineStr">
        <is>
          <t>15-Jan-07</t>
        </is>
      </c>
      <c r="G195" s="1" t="inlineStr">
        <is>
          <t>LNH0925ND01</t>
        </is>
      </c>
      <c r="H195" s="1" t="inlineStr">
        <is>
          <t>09AV Giao tiep QT (TS)</t>
        </is>
      </c>
      <c r="I195" s="1" t="n">
        <v>1000000</v>
      </c>
      <c r="J195" s="1" t="inlineStr">
        <is>
          <t>NGUYEN TRUNG NGHIA PHAM HOANG TRANG NGUYEN  2501000019 LNH0925ND01  0962967369 TAI VietinBank</t>
        </is>
      </c>
    </row>
    <row r="196">
      <c r="A196" s="1" t="inlineStr">
        <is>
          <t>25-Aug-25</t>
        </is>
      </c>
      <c r="B196" s="1" t="inlineStr">
        <is>
          <t>I60335</t>
        </is>
      </c>
      <c r="C196" s="1" t="inlineStr">
        <is>
          <t>25800500120</t>
        </is>
      </c>
      <c r="D196" s="1" t="inlineStr">
        <is>
          <t>Nguyeãn Chính</t>
        </is>
      </c>
      <c r="E196" s="1" t="inlineStr">
        <is>
          <t>Nghóa</t>
        </is>
      </c>
      <c r="F196" s="1" t="inlineStr">
        <is>
          <t>02-Jun-07</t>
        </is>
      </c>
      <c r="G196" s="1" t="inlineStr">
        <is>
          <t>LNH0925ND01</t>
        </is>
      </c>
      <c r="H196" s="1" t="inlineStr">
        <is>
          <t>09AV Giao tiep QT (TS)</t>
        </is>
      </c>
      <c r="I196" s="1" t="n">
        <v>1000000</v>
      </c>
      <c r="J196" s="1" t="inlineStr">
        <is>
          <t>NGUYEN TRUNG NGHIA NGUYEN CHINH NGHIA  25800500120  LN H0925ND01  0972599437 TAI VietinBank</t>
        </is>
      </c>
    </row>
    <row r="197">
      <c r="A197" s="1" t="inlineStr">
        <is>
          <t>25-Aug-25</t>
        </is>
      </c>
      <c r="B197" s="1" t="inlineStr">
        <is>
          <t>I60336</t>
        </is>
      </c>
      <c r="C197" s="1" t="inlineStr">
        <is>
          <t>25808200093</t>
        </is>
      </c>
      <c r="D197" s="1" t="inlineStr">
        <is>
          <t>Nguyeãn Khaéc</t>
        </is>
      </c>
      <c r="E197" s="1" t="inlineStr">
        <is>
          <t>Nguyeân</t>
        </is>
      </c>
      <c r="F197" s="1" t="inlineStr">
        <is>
          <t>06-Feb-07</t>
        </is>
      </c>
      <c r="G197" s="1" t="inlineStr">
        <is>
          <t>LNH0925ND01</t>
        </is>
      </c>
      <c r="H197" s="1" t="inlineStr">
        <is>
          <t>09AV Giao tiep QT (TS)</t>
        </is>
      </c>
      <c r="I197" s="1" t="n">
        <v>1000000</v>
      </c>
      <c r="J197" s="1" t="inlineStr">
        <is>
          <t>NGUYEN TRUNG NGHIA NGUYEN KHAC NGUYEN  25808200093  LN H0925ND01  0344585759 TAI VietinBank</t>
        </is>
      </c>
    </row>
    <row r="198">
      <c r="A198" s="1" t="inlineStr">
        <is>
          <t>25-Aug-25</t>
        </is>
      </c>
      <c r="B198" s="1" t="inlineStr">
        <is>
          <t>I60337</t>
        </is>
      </c>
      <c r="C198" s="1" t="inlineStr">
        <is>
          <t>25802600074</t>
        </is>
      </c>
      <c r="D198" s="1" t="inlineStr">
        <is>
          <t>Huyønh Thanh</t>
        </is>
      </c>
      <c r="E198" s="1" t="inlineStr">
        <is>
          <t>Luaân</t>
        </is>
      </c>
      <c r="F198" s="1" t="inlineStr">
        <is>
          <t>02-Oct-06</t>
        </is>
      </c>
      <c r="G198" s="1" t="inlineStr">
        <is>
          <t>LNH0925ND01</t>
        </is>
      </c>
      <c r="H198" s="1" t="inlineStr">
        <is>
          <t>09AV Giao tiep QT (TS)</t>
        </is>
      </c>
      <c r="I198" s="1" t="n">
        <v>1000000</v>
      </c>
      <c r="J198" s="1" t="inlineStr">
        <is>
          <t>NGUYEN TRUNG NGHIA HUYNH THANH LUAN  25802600074  LNH0 925ND01  0703782349 TAI VietinBank</t>
        </is>
      </c>
    </row>
    <row r="199">
      <c r="A199" s="1" t="inlineStr">
        <is>
          <t>25-Aug-25</t>
        </is>
      </c>
      <c r="B199" s="1" t="inlineStr">
        <is>
          <t>I60338</t>
        </is>
      </c>
      <c r="C199" s="1" t="inlineStr">
        <is>
          <t>25808900012</t>
        </is>
      </c>
      <c r="D199" s="1" t="inlineStr">
        <is>
          <t>Phan Hoaøng Gia</t>
        </is>
      </c>
      <c r="E199" s="1" t="inlineStr">
        <is>
          <t>Baûo</t>
        </is>
      </c>
      <c r="F199" s="1" t="inlineStr">
        <is>
          <t>26-Feb-07</t>
        </is>
      </c>
      <c r="G199" s="1" t="inlineStr">
        <is>
          <t>LNH0925ND01</t>
        </is>
      </c>
      <c r="H199" s="1" t="inlineStr">
        <is>
          <t>09AV Giao tiep QT (TS)</t>
        </is>
      </c>
      <c r="I199" s="1" t="n">
        <v>1000000</v>
      </c>
      <c r="J199" s="1" t="inlineStr">
        <is>
          <t>MBBANK IBFT PHAN HOANG GIA BAO 25808900012 LNH0 925ND01 0703829956 LICH HOC 246 TAI IBT-MB                   HANOI</t>
        </is>
      </c>
    </row>
    <row r="200">
      <c r="A200" s="1" t="inlineStr">
        <is>
          <t>25-Aug-25</t>
        </is>
      </c>
      <c r="B200" s="1" t="inlineStr">
        <is>
          <t>I60339</t>
        </is>
      </c>
      <c r="C200" s="1" t="inlineStr">
        <is>
          <t>25800500215</t>
        </is>
      </c>
      <c r="D200" s="1" t="inlineStr">
        <is>
          <t>Nguyeãn Xuaân</t>
        </is>
      </c>
      <c r="E200" s="1" t="inlineStr">
        <is>
          <t>Tröôøng</t>
        </is>
      </c>
      <c r="F200" s="1" t="inlineStr">
        <is>
          <t>22-Nov-07</t>
        </is>
      </c>
      <c r="G200" s="1" t="inlineStr">
        <is>
          <t>LNH0925ND01</t>
        </is>
      </c>
      <c r="H200" s="1" t="inlineStr">
        <is>
          <t>09AV Giao tiep QT (TS)</t>
        </is>
      </c>
      <c r="I200" s="1" t="n">
        <v>1000000</v>
      </c>
      <c r="J200" s="1" t="inlineStr">
        <is>
          <t>TRAN THI THOM QR - Nguyen Xuan Truong 25800500215 LNH0925ND01 0964728633 TAI VietinBank</t>
        </is>
      </c>
    </row>
    <row r="201">
      <c r="A201" s="1" t="inlineStr">
        <is>
          <t>25-Aug-25</t>
        </is>
      </c>
      <c r="B201" s="1" t="inlineStr">
        <is>
          <t>I60340</t>
        </is>
      </c>
      <c r="C201" s="1" t="inlineStr">
        <is>
          <t>25803000304</t>
        </is>
      </c>
      <c r="D201" s="1" t="inlineStr">
        <is>
          <t>Nguyeãn Thò Thuøy</t>
        </is>
      </c>
      <c r="E201" s="1" t="inlineStr">
        <is>
          <t>Linh</t>
        </is>
      </c>
      <c r="F201" s="1" t="inlineStr">
        <is>
          <t>09-Mar-07</t>
        </is>
      </c>
      <c r="G201" s="1" t="inlineStr">
        <is>
          <t>LNH0925ND01</t>
        </is>
      </c>
      <c r="H201" s="1" t="inlineStr">
        <is>
          <t>09AV Giao tiep QT (TS)</t>
        </is>
      </c>
      <c r="I201" s="1" t="n">
        <v>1000000</v>
      </c>
      <c r="J201" s="1" t="inlineStr">
        <is>
          <t>MBBANK IBFT Nguyen Thi Thuy Linh 25803000304  L NH0925ND01 sdt 0339317030 TAI IBT-MB                   HANOI</t>
        </is>
      </c>
    </row>
    <row r="202">
      <c r="A202" s="1" t="inlineStr">
        <is>
          <t>25-Aug-25</t>
        </is>
      </c>
      <c r="B202" s="1" t="inlineStr">
        <is>
          <t>I60341</t>
        </is>
      </c>
      <c r="C202" s="1" t="inlineStr">
        <is>
          <t>25808100019</t>
        </is>
      </c>
      <c r="D202" s="1" t="inlineStr">
        <is>
          <t>Traàn Gia</t>
        </is>
      </c>
      <c r="E202" s="1" t="inlineStr">
        <is>
          <t>Huy</t>
        </is>
      </c>
      <c r="F202" s="1" t="inlineStr">
        <is>
          <t>19-Oct-07</t>
        </is>
      </c>
      <c r="G202" s="1" t="inlineStr">
        <is>
          <t>LNH0925ND01</t>
        </is>
      </c>
      <c r="H202" s="1" t="inlineStr">
        <is>
          <t>09AV Giao tiep QT (TS)</t>
        </is>
      </c>
      <c r="I202" s="1" t="n">
        <v>1000000</v>
      </c>
      <c r="J202" s="1" t="inlineStr">
        <is>
          <t>TRAN THI THANH MAI QR - Tran Gia Huy 25808100019 LNH09 25ND01 0522462203 TAI VietinBank</t>
        </is>
      </c>
    </row>
    <row r="203">
      <c r="A203" s="1" t="inlineStr">
        <is>
          <t>25-Aug-25</t>
        </is>
      </c>
      <c r="B203" s="1" t="inlineStr">
        <is>
          <t>I60342</t>
        </is>
      </c>
      <c r="C203" s="1" t="inlineStr">
        <is>
          <t>25803000375</t>
        </is>
      </c>
      <c r="D203" s="1" t="inlineStr">
        <is>
          <t>Döông Kim</t>
        </is>
      </c>
      <c r="E203" s="1" t="inlineStr">
        <is>
          <t>Ngaân</t>
        </is>
      </c>
      <c r="F203" s="1" t="inlineStr">
        <is>
          <t>12-Oct-07</t>
        </is>
      </c>
      <c r="G203" s="1" t="inlineStr">
        <is>
          <t>LNH0925ND01</t>
        </is>
      </c>
      <c r="H203" s="1" t="inlineStr">
        <is>
          <t>09AV Giao tiep QT (TS)</t>
        </is>
      </c>
      <c r="I203" s="1" t="n">
        <v>1000000</v>
      </c>
      <c r="J203" s="1" t="inlineStr">
        <is>
          <t>TRAN THI THANH MAI QR - Duong Kim Ngan 25803000375 LNH 0925ND01 0346654033 TAI VietinBank</t>
        </is>
      </c>
    </row>
    <row r="204">
      <c r="A204" s="1" t="inlineStr">
        <is>
          <t>25-Aug-25</t>
        </is>
      </c>
      <c r="B204" s="1" t="inlineStr">
        <is>
          <t>I60343</t>
        </is>
      </c>
      <c r="C204" s="1" t="inlineStr">
        <is>
          <t>25801200018</t>
        </is>
      </c>
      <c r="D204" s="1" t="inlineStr">
        <is>
          <t>Nguyeãn Thò Hoaøng</t>
        </is>
      </c>
      <c r="E204" s="1" t="inlineStr">
        <is>
          <t>Kieàu</t>
        </is>
      </c>
      <c r="F204" s="1" t="inlineStr">
        <is>
          <t>18-Feb-07</t>
        </is>
      </c>
      <c r="G204" s="1" t="inlineStr">
        <is>
          <t>LNH0925ND01</t>
        </is>
      </c>
      <c r="H204" s="1" t="inlineStr">
        <is>
          <t>09AV Giao tiep QT (TS)</t>
        </is>
      </c>
      <c r="I204" s="1" t="n">
        <v>1000000</v>
      </c>
      <c r="J204" s="1" t="inlineStr">
        <is>
          <t>TRAN THI THANH MAI QR - Nguyen Thi Hoang Kieu 25801200 018 LNH0925ND01 0396164862 TAI VietinBank</t>
        </is>
      </c>
    </row>
    <row r="205">
      <c r="A205" s="1" t="inlineStr">
        <is>
          <t>25-Aug-25</t>
        </is>
      </c>
      <c r="B205" s="1" t="inlineStr">
        <is>
          <t>I60344</t>
        </is>
      </c>
      <c r="C205" s="1" t="inlineStr">
        <is>
          <t>25809500009</t>
        </is>
      </c>
      <c r="D205" s="1" t="inlineStr">
        <is>
          <t>Nguyeãn Höõu</t>
        </is>
      </c>
      <c r="E205" s="1" t="inlineStr">
        <is>
          <t>Phuùc</t>
        </is>
      </c>
      <c r="F205" s="1" t="inlineStr">
        <is>
          <t>29-Nov-07</t>
        </is>
      </c>
      <c r="G205" s="1" t="inlineStr">
        <is>
          <t>LNH0925ND01</t>
        </is>
      </c>
      <c r="H205" s="1" t="inlineStr">
        <is>
          <t>09AV Giao tiep QT (TS)</t>
        </is>
      </c>
      <c r="I205" s="1" t="n">
        <v>1000000</v>
      </c>
      <c r="J205" s="1" t="inlineStr">
        <is>
          <t>NGUYEN HUU PHUC ABBank 0521043748045 NGUYEN HUU PHU C25809500009LNH0925ND010842357479 TAI Agribank</t>
        </is>
      </c>
    </row>
    <row r="206">
      <c r="A206" s="1" t="inlineStr">
        <is>
          <t>25-Aug-25</t>
        </is>
      </c>
      <c r="B206" s="1" t="inlineStr">
        <is>
          <t>I60345</t>
        </is>
      </c>
      <c r="C206" s="1" t="inlineStr">
        <is>
          <t>25808100022</t>
        </is>
      </c>
      <c r="D206" s="1" t="inlineStr">
        <is>
          <t>Leâ Tuaán</t>
        </is>
      </c>
      <c r="E206" s="1" t="inlineStr">
        <is>
          <t>Höng</t>
        </is>
      </c>
      <c r="F206" s="1" t="inlineStr">
        <is>
          <t>06-Jan-07</t>
        </is>
      </c>
      <c r="G206" s="1" t="inlineStr">
        <is>
          <t>LNH0925ND01</t>
        </is>
      </c>
      <c r="H206" s="1" t="inlineStr">
        <is>
          <t>09AV Giao tiep QT (TS)</t>
        </is>
      </c>
      <c r="I206" s="1" t="n">
        <v>0</v>
      </c>
      <c r="J206" s="1" t="inlineStr">
        <is>
          <t>(chuyen edu)TRAN THI THANH MAI QR - Le Tuan Hung 25808100022 LNH09 25ND01 0846434225 TAI VietinBank</t>
        </is>
      </c>
    </row>
    <row r="207">
      <c r="A207" s="1" t="inlineStr">
        <is>
          <t>25-Aug-25</t>
        </is>
      </c>
      <c r="B207" s="1" t="inlineStr">
        <is>
          <t>I60346</t>
        </is>
      </c>
      <c r="C207" s="1" t="inlineStr">
        <is>
          <t>25800400244</t>
        </is>
      </c>
      <c r="D207" s="1" t="inlineStr">
        <is>
          <t>Nguyeãn Ñaêng</t>
        </is>
      </c>
      <c r="E207" s="1" t="inlineStr">
        <is>
          <t>Khang</t>
        </is>
      </c>
      <c r="F207" s="1" t="inlineStr">
        <is>
          <t>31-Mar-07</t>
        </is>
      </c>
      <c r="G207" s="1" t="inlineStr">
        <is>
          <t>LNH0925ND01</t>
        </is>
      </c>
      <c r="H207" s="1" t="inlineStr">
        <is>
          <t>09AV Giao tiep QT (TS)</t>
        </is>
      </c>
      <c r="I207" s="1" t="n">
        <v>1000000</v>
      </c>
      <c r="J207" s="1" t="inlineStr">
        <is>
          <t>SACOMBANK IBFT Nguyen Dang Khang 25800400244 LNH0925ND01 0343616442 TAI SACOMBANK              HCM</t>
        </is>
      </c>
    </row>
    <row r="208">
      <c r="A208" s="1" t="inlineStr">
        <is>
          <t>25-Aug-25</t>
        </is>
      </c>
      <c r="B208" s="1" t="inlineStr">
        <is>
          <t>I60347</t>
        </is>
      </c>
      <c r="C208" s="1" t="inlineStr">
        <is>
          <t>25807800151</t>
        </is>
      </c>
      <c r="D208" s="1" t="inlineStr">
        <is>
          <t>Nguyeãn Phöôùc</t>
        </is>
      </c>
      <c r="E208" s="1" t="inlineStr">
        <is>
          <t>Trung</t>
        </is>
      </c>
      <c r="F208" s="1" t="inlineStr">
        <is>
          <t>04-Dec-07</t>
        </is>
      </c>
      <c r="G208" s="1" t="inlineStr">
        <is>
          <t>LNH0925ND01</t>
        </is>
      </c>
      <c r="H208" s="1" t="inlineStr">
        <is>
          <t>09AV Giao tiep QT (TS)</t>
        </is>
      </c>
      <c r="I208" s="1" t="n">
        <v>1000000</v>
      </c>
      <c r="J208" s="1" t="inlineStr">
        <is>
          <t>TRAN THI THANH MAI QR - Nguyen Phuoc Trung 25807800151 LNH0925ND01 0898311867 TAI VietinBank</t>
        </is>
      </c>
    </row>
    <row r="209">
      <c r="A209" s="1" t="inlineStr">
        <is>
          <t>25-Aug-25</t>
        </is>
      </c>
      <c r="B209" s="1" t="inlineStr">
        <is>
          <t>I60348</t>
        </is>
      </c>
      <c r="C209" s="1" t="inlineStr">
        <is>
          <t>25803800080</t>
        </is>
      </c>
      <c r="D209" s="1" t="inlineStr">
        <is>
          <t>AÂu Vaên</t>
        </is>
      </c>
      <c r="E209" s="1" t="inlineStr">
        <is>
          <t>Duy</t>
        </is>
      </c>
      <c r="F209" s="1" t="inlineStr">
        <is>
          <t>14-Jun-07</t>
        </is>
      </c>
      <c r="G209" s="1" t="inlineStr">
        <is>
          <t>LNH0925ND01</t>
        </is>
      </c>
      <c r="H209" s="1" t="inlineStr">
        <is>
          <t>09AV Giao tiep QT (TS)</t>
        </is>
      </c>
      <c r="I209" s="1" t="n">
        <v>1000000</v>
      </c>
      <c r="J209" s="1" t="inlineStr">
        <is>
          <t>NGUYEN TRUNG NGHIA AU VAN DUY  25803800080  LNH0925ND0 1  0368178619 TAI VietinBank</t>
        </is>
      </c>
    </row>
    <row r="210">
      <c r="A210" s="1" t="inlineStr">
        <is>
          <t>25-Aug-25</t>
        </is>
      </c>
      <c r="B210" s="1" t="inlineStr">
        <is>
          <t>I60349</t>
        </is>
      </c>
      <c r="C210" s="1" t="inlineStr">
        <is>
          <t>25808200002</t>
        </is>
      </c>
      <c r="D210" s="1" t="inlineStr">
        <is>
          <t>Nguyeãn Tröôøng</t>
        </is>
      </c>
      <c r="E210" s="1" t="inlineStr">
        <is>
          <t>An</t>
        </is>
      </c>
      <c r="F210" s="1" t="inlineStr">
        <is>
          <t>11-Feb-07</t>
        </is>
      </c>
      <c r="G210" s="1" t="inlineStr">
        <is>
          <t>LNH0925ND01</t>
        </is>
      </c>
      <c r="H210" s="1" t="inlineStr">
        <is>
          <t>09AV Giao tiep QT (TS)</t>
        </is>
      </c>
      <c r="I210" s="1" t="n">
        <v>1000000</v>
      </c>
      <c r="J210" s="1" t="inlineStr">
        <is>
          <t>TRAN THI THANH MAI QR - Nguyen Truong An 25808200002 L NH0925ND01 0398177237 TAI VietinBank</t>
        </is>
      </c>
    </row>
    <row r="211">
      <c r="A211" s="1" t="inlineStr">
        <is>
          <t>25-Aug-25</t>
        </is>
      </c>
      <c r="B211" s="1" t="inlineStr">
        <is>
          <t>I60350</t>
        </is>
      </c>
      <c r="C211" s="39" t="inlineStr">
        <is>
          <t>25808200066</t>
        </is>
      </c>
      <c r="D211" s="1" t="inlineStr">
        <is>
          <t>Nguyeãn Ñaëng</t>
        </is>
      </c>
      <c r="E211" s="1" t="inlineStr">
        <is>
          <t>Khoa</t>
        </is>
      </c>
      <c r="F211" s="1" t="inlineStr">
        <is>
          <t>19-Jun-07</t>
        </is>
      </c>
      <c r="G211" s="1" t="inlineStr">
        <is>
          <t>LNH0925ND01</t>
        </is>
      </c>
      <c r="H211" s="1" t="inlineStr">
        <is>
          <t>09AV Giao tiep QT (TS)</t>
        </is>
      </c>
      <c r="I211" s="1" t="n">
        <v>1000000</v>
      </c>
      <c r="J211" s="1" t="inlineStr">
        <is>
          <t>NGUYEN THANH TRANG ABBank 0521043748045 nguyen dang kh oa 25808200066 LNH0925ND01 TAI Agribank</t>
        </is>
      </c>
    </row>
    <row r="212">
      <c r="A212" s="1" t="inlineStr">
        <is>
          <t>25-Aug-25</t>
        </is>
      </c>
      <c r="B212" s="1" t="inlineStr">
        <is>
          <t>I60351</t>
        </is>
      </c>
      <c r="C212" s="1" t="inlineStr">
        <is>
          <t>25808900082</t>
        </is>
      </c>
      <c r="D212" s="1" t="inlineStr">
        <is>
          <t>Nguyeãn Ngoïc Baûo</t>
        </is>
      </c>
      <c r="E212" s="1" t="inlineStr">
        <is>
          <t>Nghi</t>
        </is>
      </c>
      <c r="F212" s="1" t="inlineStr">
        <is>
          <t>05-Jun-07</t>
        </is>
      </c>
      <c r="G212" s="1" t="inlineStr">
        <is>
          <t>LNH0925ND01</t>
        </is>
      </c>
      <c r="H212" s="1" t="inlineStr">
        <is>
          <t>09AV Giao tiep QT (TS)</t>
        </is>
      </c>
      <c r="I212" s="1" t="n">
        <v>1000000</v>
      </c>
      <c r="J212" s="1" t="inlineStr">
        <is>
          <t>TRAN THI THANH MAI QR - Nguyen Ngoc Bao Nghi 258089000 82 LNH0925ND01 0355886213 TAI VietinBank</t>
        </is>
      </c>
    </row>
    <row r="213">
      <c r="A213" s="1" t="inlineStr">
        <is>
          <t>25-Aug-25</t>
        </is>
      </c>
      <c r="B213" s="1" t="inlineStr">
        <is>
          <t>I60352</t>
        </is>
      </c>
      <c r="C213" s="1" t="inlineStr">
        <is>
          <t>25805900103</t>
        </is>
      </c>
      <c r="D213" s="1" t="inlineStr">
        <is>
          <t>Leâ Myõ</t>
        </is>
      </c>
      <c r="E213" s="1" t="inlineStr">
        <is>
          <t>Nhaøn</t>
        </is>
      </c>
      <c r="F213" s="1" t="inlineStr">
        <is>
          <t>11-Aug-07</t>
        </is>
      </c>
      <c r="G213" s="1" t="inlineStr">
        <is>
          <t>LNH0925ND01</t>
        </is>
      </c>
      <c r="H213" s="1" t="inlineStr">
        <is>
          <t>09AV Giao tiep QT (TS)</t>
        </is>
      </c>
      <c r="I213" s="1" t="n">
        <v>1000000</v>
      </c>
      <c r="J213" s="1" t="inlineStr">
        <is>
          <t>TRAN THI THANH MAI QR - Le My Nhan 2505900032 LNH0925N D01 0816363476 TAI VietinBank</t>
        </is>
      </c>
    </row>
    <row r="214">
      <c r="A214" s="1" t="inlineStr">
        <is>
          <t>25-Aug-25</t>
        </is>
      </c>
      <c r="B214" s="1" t="inlineStr">
        <is>
          <t>I60353</t>
        </is>
      </c>
      <c r="C214" s="1" t="inlineStr">
        <is>
          <t>25820700021</t>
        </is>
      </c>
      <c r="D214" s="1" t="inlineStr">
        <is>
          <t>Ngoâ Thò Baûo</t>
        </is>
      </c>
      <c r="E214" s="1" t="inlineStr">
        <is>
          <t>Ngoïc</t>
        </is>
      </c>
      <c r="F214" s="1" t="inlineStr">
        <is>
          <t>29-Nov-07</t>
        </is>
      </c>
      <c r="G214" s="1" t="inlineStr">
        <is>
          <t>LNH0925ND01</t>
        </is>
      </c>
      <c r="H214" s="1" t="inlineStr">
        <is>
          <t>09AV Giao tiep QT (TS)</t>
        </is>
      </c>
      <c r="I214" s="1" t="n">
        <v>1000000</v>
      </c>
      <c r="J214" s="1" t="inlineStr">
        <is>
          <t>NGUYEN TRUNG NGHIA NGO THI BAO NGOC  25820700021  LNH0 925ND01  0862127695 TAI VietinBank</t>
        </is>
      </c>
    </row>
    <row r="215">
      <c r="A215" s="1" t="inlineStr">
        <is>
          <t>25-Aug-25</t>
        </is>
      </c>
      <c r="B215" s="1" t="inlineStr">
        <is>
          <t>I60354</t>
        </is>
      </c>
      <c r="C215" s="1" t="inlineStr">
        <is>
          <t>25806000094</t>
        </is>
      </c>
      <c r="D215" s="1" t="inlineStr">
        <is>
          <t>Nguyeãn Thanh</t>
        </is>
      </c>
      <c r="E215" s="1" t="inlineStr">
        <is>
          <t>Ngaân</t>
        </is>
      </c>
      <c r="F215" s="1" t="inlineStr">
        <is>
          <t>21-May-07</t>
        </is>
      </c>
      <c r="G215" s="1" t="inlineStr">
        <is>
          <t>LNH0925ND01</t>
        </is>
      </c>
      <c r="H215" s="1" t="inlineStr">
        <is>
          <t>09AV Giao tiep QT (TS)</t>
        </is>
      </c>
      <c r="I215" s="1" t="n">
        <v>1000000</v>
      </c>
      <c r="J215" s="1" t="inlineStr">
        <is>
          <t>NGUYEN TRUNG NGHIA NGUYEN THANH NGAN  2506000039  LNH0 925ND01  0838673624 TAI VietinBank</t>
        </is>
      </c>
    </row>
    <row r="216">
      <c r="A216" s="1" t="inlineStr">
        <is>
          <t>25-Aug-25</t>
        </is>
      </c>
      <c r="B216" s="1" t="inlineStr">
        <is>
          <t>I60355</t>
        </is>
      </c>
      <c r="C216" s="1" t="inlineStr">
        <is>
          <t>25802800290</t>
        </is>
      </c>
      <c r="D216" s="1" t="inlineStr">
        <is>
          <t>Ngoâ Baûo</t>
        </is>
      </c>
      <c r="E216" s="1" t="inlineStr">
        <is>
          <t>Uyeân</t>
        </is>
      </c>
      <c r="F216" s="1" t="inlineStr">
        <is>
          <t>16-May-07</t>
        </is>
      </c>
      <c r="G216" s="1" t="inlineStr">
        <is>
          <t>LNH0925ND01</t>
        </is>
      </c>
      <c r="H216" s="1" t="inlineStr">
        <is>
          <t>09AV Giao tiep QT (TS)</t>
        </is>
      </c>
      <c r="I216" s="1" t="n">
        <v>1000000</v>
      </c>
      <c r="J216" s="1" t="inlineStr">
        <is>
          <t>TRUONG THI XIN ABBank 0521043748045 ngo bao uyen 2 5802800290 LNH0925ND01 0975341094 TAI Agribank</t>
        </is>
      </c>
    </row>
    <row r="217">
      <c r="A217" s="1" t="inlineStr">
        <is>
          <t>25-Aug-25</t>
        </is>
      </c>
      <c r="B217" s="1" t="inlineStr">
        <is>
          <t>I60356</t>
        </is>
      </c>
      <c r="C217" s="1" t="inlineStr">
        <is>
          <t>25807500072</t>
        </is>
      </c>
      <c r="D217" s="1" t="inlineStr">
        <is>
          <t>Phan Thò</t>
        </is>
      </c>
      <c r="E217" s="1" t="inlineStr">
        <is>
          <t>Möøng</t>
        </is>
      </c>
      <c r="F217" s="1" t="inlineStr">
        <is>
          <t>26-Aug-84</t>
        </is>
      </c>
      <c r="G217" s="1" t="inlineStr">
        <is>
          <t>LNH0925ND01</t>
        </is>
      </c>
      <c r="H217" s="1" t="inlineStr">
        <is>
          <t>09AV Giao tiep QT (TS)</t>
        </is>
      </c>
      <c r="I217" s="1" t="n">
        <v>1000000</v>
      </c>
      <c r="J217" s="1" t="inlineStr">
        <is>
          <t>NGUYEN TRUNG NGHIA PHAN THI MUNG  25807500072  LNH0925 ND01  0949166637 TAI VietinBank</t>
        </is>
      </c>
    </row>
    <row r="218">
      <c r="A218" s="1" t="inlineStr">
        <is>
          <t>25-Aug-25</t>
        </is>
      </c>
      <c r="B218" s="1" t="inlineStr">
        <is>
          <t>I60357</t>
        </is>
      </c>
      <c r="C218" s="1" t="inlineStr">
        <is>
          <t>25809100020</t>
        </is>
      </c>
      <c r="D218" s="1" t="inlineStr">
        <is>
          <t>Phaïm Huyønh Hai</t>
        </is>
      </c>
      <c r="E218" s="1" t="inlineStr">
        <is>
          <t>Tyû</t>
        </is>
      </c>
      <c r="F218" s="1" t="inlineStr">
        <is>
          <t>10-Jun-07</t>
        </is>
      </c>
      <c r="G218" s="1" t="inlineStr">
        <is>
          <t>LNH0925ND01</t>
        </is>
      </c>
      <c r="H218" s="1" t="inlineStr">
        <is>
          <t>09AV Giao tiep QT (TS)</t>
        </is>
      </c>
      <c r="I218" s="1" t="n">
        <v>1000000</v>
      </c>
      <c r="J218" s="1" t="inlineStr">
        <is>
          <t>NGUYEN TRUNG NGHIA PHAN HUYNH HAI TY  25809100020  LNH 0925ND01  0915027146 TAI VietinBank</t>
        </is>
      </c>
    </row>
    <row r="219">
      <c r="A219" s="1" t="inlineStr">
        <is>
          <t>25-Aug-25</t>
        </is>
      </c>
      <c r="B219" s="1" t="inlineStr">
        <is>
          <t>I60358</t>
        </is>
      </c>
      <c r="C219" s="1" t="inlineStr">
        <is>
          <t>25802400028</t>
        </is>
      </c>
      <c r="D219" s="1" t="inlineStr">
        <is>
          <t>Nguyeãn Thò Xuaân</t>
        </is>
      </c>
      <c r="E219" s="1" t="inlineStr">
        <is>
          <t>Thaûo</t>
        </is>
      </c>
      <c r="F219" s="1" t="inlineStr">
        <is>
          <t>11-Aug-06</t>
        </is>
      </c>
      <c r="G219" s="1" t="inlineStr">
        <is>
          <t>LNH0925ND01</t>
        </is>
      </c>
      <c r="H219" s="1" t="inlineStr">
        <is>
          <t>09AV Giao tiep QT (TS)</t>
        </is>
      </c>
      <c r="I219" s="1" t="n">
        <v>1000000</v>
      </c>
      <c r="J219" s="1" t="inlineStr">
        <is>
          <t>TRAN THI THANH MAI QR - Nguyen Thi Xuan Thao 258024000 28 LNH0925ND01 0763835740 TAI VietinBank</t>
        </is>
      </c>
    </row>
    <row r="220">
      <c r="A220" s="1" t="inlineStr">
        <is>
          <t>25-Aug-25</t>
        </is>
      </c>
      <c r="B220" s="1" t="inlineStr">
        <is>
          <t>I60359</t>
        </is>
      </c>
      <c r="C220" s="1" t="inlineStr">
        <is>
          <t>25806800036</t>
        </is>
      </c>
      <c r="D220" s="1" t="inlineStr">
        <is>
          <t>Nguyeãn Ngoïc</t>
        </is>
      </c>
      <c r="E220" s="1" t="inlineStr">
        <is>
          <t>Mi</t>
        </is>
      </c>
      <c r="F220" s="1" t="inlineStr">
        <is>
          <t>10-Nov-07</t>
        </is>
      </c>
      <c r="G220" s="1" t="inlineStr">
        <is>
          <t>LNH0925ND01</t>
        </is>
      </c>
      <c r="H220" s="1" t="inlineStr">
        <is>
          <t>09AV Giao tiep QT (TS)</t>
        </is>
      </c>
      <c r="I220" s="1" t="n">
        <v>1000000</v>
      </c>
      <c r="J220" s="1" t="inlineStr">
        <is>
          <t>TRAN THI THANH MAI QR - Nguyen Ngoc Mi 25806800036 LNH 0925ND01 0398558719 TAI VietinBank</t>
        </is>
      </c>
    </row>
    <row r="221">
      <c r="A221" s="1" t="inlineStr">
        <is>
          <t>25-Aug-25</t>
        </is>
      </c>
      <c r="B221" s="1" t="inlineStr">
        <is>
          <t>I60360</t>
        </is>
      </c>
      <c r="C221" s="1" t="inlineStr">
        <is>
          <t>25808900092</t>
        </is>
      </c>
      <c r="D221" s="1" t="inlineStr">
        <is>
          <t>Traàn Yeán</t>
        </is>
      </c>
      <c r="E221" s="1" t="inlineStr">
        <is>
          <t>Nhi</t>
        </is>
      </c>
      <c r="F221" s="1" t="inlineStr">
        <is>
          <t>14-Nov-07</t>
        </is>
      </c>
      <c r="G221" s="1" t="inlineStr">
        <is>
          <t>LNH0925ND01</t>
        </is>
      </c>
      <c r="H221" s="1" t="inlineStr">
        <is>
          <t>09AV Giao tiep QT (TS)</t>
        </is>
      </c>
      <c r="I221" s="1" t="n">
        <v>1000000</v>
      </c>
      <c r="J221" s="1" t="inlineStr">
        <is>
          <t>NGUYEN TRUNG NGHIA TRAN YEN NHI  25808900092  LNH0925N D01  0349117923 TAI VietinBank</t>
        </is>
      </c>
    </row>
    <row r="222">
      <c r="A222" s="1" t="inlineStr">
        <is>
          <t>25-Aug-25</t>
        </is>
      </c>
      <c r="B222" s="1" t="inlineStr">
        <is>
          <t>I60361</t>
        </is>
      </c>
      <c r="C222" s="1" t="inlineStr">
        <is>
          <t>25802800095</t>
        </is>
      </c>
      <c r="D222" s="1" t="inlineStr">
        <is>
          <t>Taï Quang</t>
        </is>
      </c>
      <c r="E222" s="1" t="inlineStr">
        <is>
          <t>Huy</t>
        </is>
      </c>
      <c r="F222" s="1" t="inlineStr">
        <is>
          <t>14-Nov-07</t>
        </is>
      </c>
      <c r="G222" s="1" t="inlineStr">
        <is>
          <t>LNH0925ND01</t>
        </is>
      </c>
      <c r="H222" s="1" t="inlineStr">
        <is>
          <t>09AV Giao tiep QT (TS)</t>
        </is>
      </c>
      <c r="I222" s="1" t="n">
        <v>1000000</v>
      </c>
      <c r="J222" s="1" t="inlineStr">
        <is>
          <t>TRAN THI THANH MAI QR - Ta Quang Huy 25802800095 LNH09 25ND01 0967573387 TAI VietinBank</t>
        </is>
      </c>
    </row>
    <row r="223">
      <c r="A223" s="1" t="inlineStr">
        <is>
          <t>25-Aug-25</t>
        </is>
      </c>
      <c r="B223" s="1" t="inlineStr">
        <is>
          <t>I60362</t>
        </is>
      </c>
      <c r="C223" s="1" t="inlineStr">
        <is>
          <t>25802700134</t>
        </is>
      </c>
      <c r="D223" s="1" t="inlineStr">
        <is>
          <t>Phan Baûo</t>
        </is>
      </c>
      <c r="E223" s="1" t="inlineStr">
        <is>
          <t>Luaân</t>
        </is>
      </c>
      <c r="F223" s="1" t="inlineStr">
        <is>
          <t>24-Sep-07</t>
        </is>
      </c>
      <c r="G223" s="1" t="inlineStr">
        <is>
          <t>LNH0925ND01</t>
        </is>
      </c>
      <c r="H223" s="1" t="inlineStr">
        <is>
          <t>09AV Giao tiep QT (TS)</t>
        </is>
      </c>
      <c r="I223" s="1" t="n">
        <v>1000000</v>
      </c>
      <c r="J223" s="1" t="inlineStr">
        <is>
          <t>TRAN THI THANH MAI QR - Phan Bao Luan 25802700134 LNH0 925ND01 0707035979 TAI VietinBank</t>
        </is>
      </c>
    </row>
    <row r="224">
      <c r="A224" s="1" t="inlineStr">
        <is>
          <t>25-Aug-25</t>
        </is>
      </c>
      <c r="B224" s="1" t="inlineStr">
        <is>
          <t>I60363</t>
        </is>
      </c>
      <c r="C224" s="1" t="inlineStr">
        <is>
          <t>25808700026</t>
        </is>
      </c>
      <c r="D224" s="1" t="inlineStr">
        <is>
          <t>Nguyeãn Phaïm Minh</t>
        </is>
      </c>
      <c r="E224" s="1" t="inlineStr">
        <is>
          <t>Hieáu</t>
        </is>
      </c>
      <c r="F224" s="1" t="inlineStr">
        <is>
          <t>17-Dec-07</t>
        </is>
      </c>
      <c r="G224" s="1" t="inlineStr">
        <is>
          <t>LNH0925ND01</t>
        </is>
      </c>
      <c r="H224" s="1" t="inlineStr">
        <is>
          <t>09AV Giao tiep QT (TS)</t>
        </is>
      </c>
      <c r="I224" s="1" t="n">
        <v>1000000</v>
      </c>
      <c r="J224" s="1" t="inlineStr">
        <is>
          <t>MBBANK IBFT NGUYEN PHAM MINH HIEU ma sv25808700 026 LNH0925nd01 TAI IBT-MB                   HANOI</t>
        </is>
      </c>
    </row>
    <row r="225">
      <c r="A225" s="1" t="inlineStr">
        <is>
          <t>25-Aug-25</t>
        </is>
      </c>
      <c r="B225" s="1" t="inlineStr">
        <is>
          <t>I60364</t>
        </is>
      </c>
      <c r="C225" s="1" t="inlineStr">
        <is>
          <t>25806000007</t>
        </is>
      </c>
      <c r="D225" s="1" t="inlineStr">
        <is>
          <t>Nguyeãn Quoác</t>
        </is>
      </c>
      <c r="E225" s="1" t="inlineStr">
        <is>
          <t>Duy</t>
        </is>
      </c>
      <c r="F225" s="1" t="inlineStr">
        <is>
          <t>27-Dec-07</t>
        </is>
      </c>
      <c r="G225" s="1" t="inlineStr">
        <is>
          <t>LNH0925ND01</t>
        </is>
      </c>
      <c r="H225" s="1" t="inlineStr">
        <is>
          <t>09AV Giao tiep QT (TS)</t>
        </is>
      </c>
      <c r="I225" s="1" t="n">
        <v>1000000</v>
      </c>
      <c r="J225" s="1" t="inlineStr">
        <is>
          <t>NGUYEN TRUNG NGHIA NGUYEN QUOC DUY  25806000007  LNH09 25ND01  0867902063 TAI VietinBank</t>
        </is>
      </c>
    </row>
    <row r="226">
      <c r="A226" s="1" t="inlineStr">
        <is>
          <t>25-Aug-25</t>
        </is>
      </c>
      <c r="B226" s="1" t="inlineStr">
        <is>
          <t>I60365</t>
        </is>
      </c>
      <c r="C226" s="1" t="inlineStr">
        <is>
          <t>25802700078</t>
        </is>
      </c>
      <c r="D226" s="1" t="inlineStr">
        <is>
          <t>Nguyeãn Leâ Phöông</t>
        </is>
      </c>
      <c r="E226" s="1" t="inlineStr">
        <is>
          <t>Thaûo</t>
        </is>
      </c>
      <c r="F226" s="1" t="inlineStr">
        <is>
          <t>26-Oct-07</t>
        </is>
      </c>
      <c r="G226" s="1" t="inlineStr">
        <is>
          <t>LNH0925ND01</t>
        </is>
      </c>
      <c r="H226" s="1" t="inlineStr">
        <is>
          <t>09AV Giao tiep QT (TS)</t>
        </is>
      </c>
      <c r="I226" s="1" t="n">
        <v>1000000</v>
      </c>
      <c r="J226" s="1" t="inlineStr">
        <is>
          <t>NGUYEN TRUNG NGHIA NGUYEN LE PHUONG THAO  25802700078 LNH0925ND01  0898126861 TAI VietinBank</t>
        </is>
      </c>
    </row>
    <row r="227">
      <c r="A227" s="1" t="inlineStr">
        <is>
          <t>25-Aug-25</t>
        </is>
      </c>
      <c r="B227" s="1" t="inlineStr">
        <is>
          <t>I60366</t>
        </is>
      </c>
      <c r="C227" s="1" t="inlineStr">
        <is>
          <t>25820600017</t>
        </is>
      </c>
      <c r="D227" s="1" t="inlineStr">
        <is>
          <t>Leâ Ñình</t>
        </is>
      </c>
      <c r="E227" s="1" t="inlineStr">
        <is>
          <t>Vuõ</t>
        </is>
      </c>
      <c r="F227" s="1" t="inlineStr">
        <is>
          <t>25-Mar-07</t>
        </is>
      </c>
      <c r="G227" s="1" t="inlineStr">
        <is>
          <t>LNH0925ND01</t>
        </is>
      </c>
      <c r="H227" s="1" t="inlineStr">
        <is>
          <t>09AV Giao tiep QT (TS)</t>
        </is>
      </c>
      <c r="I227" s="1" t="n">
        <v>0</v>
      </c>
      <c r="J227" s="1" t="inlineStr">
        <is>
          <t>(chuyen EDU)MBBANK IBFT LE DINH VU 2520600007 LNH0925ND01 s dt 0333752253 TAI IBT-MB                   HANOI</t>
        </is>
      </c>
    </row>
    <row r="228">
      <c r="A228" s="1" t="inlineStr">
        <is>
          <t>25-Aug-25</t>
        </is>
      </c>
      <c r="B228" s="1" t="inlineStr">
        <is>
          <t>I60367</t>
        </is>
      </c>
      <c r="C228" s="1" t="inlineStr">
        <is>
          <t>25802300306</t>
        </is>
      </c>
      <c r="D228" s="1" t="inlineStr">
        <is>
          <t>Leâ Ngoïc Kieàu</t>
        </is>
      </c>
      <c r="E228" s="1" t="inlineStr">
        <is>
          <t>Vy</t>
        </is>
      </c>
      <c r="F228" s="1" t="inlineStr">
        <is>
          <t>20-Aug-07</t>
        </is>
      </c>
      <c r="G228" s="1" t="inlineStr">
        <is>
          <t>LNH0925ND01</t>
        </is>
      </c>
      <c r="H228" s="1" t="inlineStr">
        <is>
          <t>09AV Giao tiep QT (TS)</t>
        </is>
      </c>
      <c r="I228" s="1" t="n">
        <v>1000000</v>
      </c>
      <c r="J228" s="1" t="inlineStr">
        <is>
          <t>NGUYEN DINH TAI QR - LE NGOC KIEU VY 25802300306 LN H0925ND01 0367568807 TAI VietinBank</t>
        </is>
      </c>
    </row>
    <row r="229">
      <c r="A229" s="1" t="inlineStr">
        <is>
          <t>25-Aug-25</t>
        </is>
      </c>
      <c r="B229" s="1" t="inlineStr">
        <is>
          <t>I60368</t>
        </is>
      </c>
      <c r="C229" s="1" t="inlineStr">
        <is>
          <t>25800500277</t>
        </is>
      </c>
      <c r="D229" s="1" t="inlineStr">
        <is>
          <t>Vuõ Ñöùc</t>
        </is>
      </c>
      <c r="E229" s="1" t="inlineStr">
        <is>
          <t>Hoøa</t>
        </is>
      </c>
      <c r="F229" s="1" t="inlineStr">
        <is>
          <t>23-Jan-07</t>
        </is>
      </c>
      <c r="G229" s="1" t="inlineStr">
        <is>
          <t>LNH0925ND01</t>
        </is>
      </c>
      <c r="H229" s="1" t="inlineStr">
        <is>
          <t>09AV Giao tiep QT (TS)</t>
        </is>
      </c>
      <c r="I229" s="1" t="n">
        <v>1000000</v>
      </c>
      <c r="J229" s="1" t="inlineStr">
        <is>
          <t>TRAN THI THANH MAI QR - Vu Duc Hoa 250050068 LHN0925ND 01 0352714128 TAI VietinBank</t>
        </is>
      </c>
    </row>
    <row r="230">
      <c r="A230" s="1" t="inlineStr">
        <is>
          <t>25-Aug-25</t>
        </is>
      </c>
      <c r="B230" s="1" t="inlineStr">
        <is>
          <t>I60369</t>
        </is>
      </c>
      <c r="C230" s="1" t="inlineStr">
        <is>
          <t>25808800046</t>
        </is>
      </c>
      <c r="D230" s="1" t="inlineStr">
        <is>
          <t>Buøi Ñöùc</t>
        </is>
      </c>
      <c r="E230" s="1" t="inlineStr">
        <is>
          <t>Thaéng</t>
        </is>
      </c>
      <c r="F230" s="1" t="inlineStr">
        <is>
          <t>17-Feb-07</t>
        </is>
      </c>
      <c r="G230" s="1" t="inlineStr">
        <is>
          <t>LNH0925ND01</t>
        </is>
      </c>
      <c r="H230" s="1" t="inlineStr">
        <is>
          <t>09AV Giao tiep QT (TS)</t>
        </is>
      </c>
      <c r="I230" s="1" t="n">
        <v>1000000</v>
      </c>
      <c r="J230" s="1" t="inlineStr">
        <is>
          <t>TRANSFER Bui duc thang . 2508800020.LNH0925N D01 . 0983034482  ma GD 10000000269 2049 TAI LienVietPostBank       Ha Noi</t>
        </is>
      </c>
    </row>
    <row r="231">
      <c r="A231" s="1" t="inlineStr">
        <is>
          <t>25-Aug-25</t>
        </is>
      </c>
      <c r="B231" s="1" t="inlineStr">
        <is>
          <t>I60370</t>
        </is>
      </c>
      <c r="C231" s="1" t="inlineStr">
        <is>
          <t>25800500098</t>
        </is>
      </c>
      <c r="D231" s="1" t="inlineStr">
        <is>
          <t>Ñaøm Anh</t>
        </is>
      </c>
      <c r="E231" s="1" t="inlineStr">
        <is>
          <t>Kieät</t>
        </is>
      </c>
      <c r="F231" s="1" t="inlineStr">
        <is>
          <t>04-Oct-07</t>
        </is>
      </c>
      <c r="G231" s="1" t="inlineStr">
        <is>
          <t>LNH0925ND01</t>
        </is>
      </c>
      <c r="H231" s="1" t="inlineStr">
        <is>
          <t>09AV Giao tiep QT (TS)</t>
        </is>
      </c>
      <c r="I231" s="1" t="n">
        <v>1000008</v>
      </c>
      <c r="J231" s="1" t="inlineStr">
        <is>
          <t>SACOMBANK IBFT dam anh kiet 25800500098 LNH09 25ND01 0349564444 TAI SACOMBANK              HCM</t>
        </is>
      </c>
    </row>
    <row r="232">
      <c r="A232" s="1" t="inlineStr">
        <is>
          <t>25-Aug-25</t>
        </is>
      </c>
      <c r="B232" s="1" t="inlineStr">
        <is>
          <t>I60371</t>
        </is>
      </c>
      <c r="C232" s="1" t="inlineStr">
        <is>
          <t>25801100058</t>
        </is>
      </c>
      <c r="D232" s="1" t="inlineStr">
        <is>
          <t>Traàn Minh</t>
        </is>
      </c>
      <c r="E232" s="1" t="inlineStr">
        <is>
          <t>Quí</t>
        </is>
      </c>
      <c r="F232" s="1" t="inlineStr">
        <is>
          <t>16-Jan-07</t>
        </is>
      </c>
      <c r="G232" s="1" t="inlineStr">
        <is>
          <t>LNH0925ND01</t>
        </is>
      </c>
      <c r="H232" s="1" t="inlineStr">
        <is>
          <t>09AV Giao tiep QT (TS)</t>
        </is>
      </c>
      <c r="I232" s="1" t="n">
        <v>1465000</v>
      </c>
      <c r="J232" s="1" t="inlineStr">
        <is>
          <t>TRAN THI THANH MAI QR - Tran Minh Qui 25801100058 LNH0 925ND01 070462113 TAI VietinBank</t>
        </is>
      </c>
    </row>
    <row r="233">
      <c r="A233" s="1" t="inlineStr">
        <is>
          <t>25-Aug-25</t>
        </is>
      </c>
      <c r="B233" s="1" t="inlineStr">
        <is>
          <t>I60372</t>
        </is>
      </c>
      <c r="C233" s="1" t="inlineStr">
        <is>
          <t>25820300026</t>
        </is>
      </c>
      <c r="D233" s="1" t="inlineStr">
        <is>
          <t>Phaïm Nguyeãn Ñaêng</t>
        </is>
      </c>
      <c r="E233" s="1" t="inlineStr">
        <is>
          <t>Khoa</t>
        </is>
      </c>
      <c r="F233" s="1" t="inlineStr">
        <is>
          <t>14-Dec-07</t>
        </is>
      </c>
      <c r="G233" s="1" t="inlineStr">
        <is>
          <t>LNH0925ND01</t>
        </is>
      </c>
      <c r="H233" s="1" t="inlineStr">
        <is>
          <t>09AV Giao tiep QT (TS)</t>
        </is>
      </c>
      <c r="I233" s="1" t="n">
        <v>2000000</v>
      </c>
      <c r="J233" s="1" t="inlineStr">
        <is>
          <t>NGUYEN TRUNG NGHIA PHAM NGUYEN DANG KHOA  25820300026 LNH0925ND01 TAI VietinBank</t>
        </is>
      </c>
    </row>
    <row r="234">
      <c r="A234" s="1" t="inlineStr">
        <is>
          <t>25-Aug-25</t>
        </is>
      </c>
      <c r="B234" s="1" t="inlineStr">
        <is>
          <t>I60373</t>
        </is>
      </c>
      <c r="C234" s="1" t="inlineStr">
        <is>
          <t>25807000019</t>
        </is>
      </c>
      <c r="D234" s="1" t="inlineStr">
        <is>
          <t>Vaên Thaønh</t>
        </is>
      </c>
      <c r="E234" s="1" t="inlineStr">
        <is>
          <t>Nhöït</t>
        </is>
      </c>
      <c r="F234" s="1" t="inlineStr">
        <is>
          <t>18-Jan-07</t>
        </is>
      </c>
      <c r="G234" s="1" t="inlineStr">
        <is>
          <t>LNH0925ND01</t>
        </is>
      </c>
      <c r="H234" s="1" t="inlineStr">
        <is>
          <t>09AV Giao tiep QT (TS)</t>
        </is>
      </c>
      <c r="I234" s="1" t="n">
        <v>2100000</v>
      </c>
      <c r="J234" s="1" t="inlineStr">
        <is>
          <t>NGUYEN TRUNG NGHIA Van Thanh Nhat  25807000019  LNH092 5ND01  0326374840 TAI VietinBank</t>
        </is>
      </c>
    </row>
    <row r="235">
      <c r="A235" s="1" t="inlineStr">
        <is>
          <t>25-Aug-25</t>
        </is>
      </c>
      <c r="B235" s="1" t="inlineStr">
        <is>
          <t>I60374</t>
        </is>
      </c>
      <c r="C235" s="1" t="inlineStr">
        <is>
          <t>25808900070</t>
        </is>
      </c>
      <c r="D235" s="1" t="inlineStr">
        <is>
          <t>Traàn Khaùnh</t>
        </is>
      </c>
      <c r="E235" s="1" t="inlineStr">
        <is>
          <t>Linh</t>
        </is>
      </c>
      <c r="F235" s="1" t="inlineStr">
        <is>
          <t>15-Apr-07</t>
        </is>
      </c>
      <c r="G235" s="1" t="inlineStr">
        <is>
          <t>LNH0925ND01</t>
        </is>
      </c>
      <c r="H235" s="1" t="inlineStr">
        <is>
          <t>09AV Giao tiep QT (TS)</t>
        </is>
      </c>
      <c r="I235" s="1" t="n">
        <v>2100000</v>
      </c>
      <c r="J235" s="1" t="inlineStr">
        <is>
          <t>TRAN KHANH LINH TRAN KHANH LINH 25808900070 LNH0925 ND01 0931820764-240825-10 48 27 584 632 TAI Ngan hang a chau       IBT SMARLINK</t>
        </is>
      </c>
    </row>
    <row r="236">
      <c r="A236" s="1" t="inlineStr">
        <is>
          <t>25-Aug-25</t>
        </is>
      </c>
      <c r="B236" s="1" t="inlineStr">
        <is>
          <t>I60375</t>
        </is>
      </c>
      <c r="C236" s="1" t="inlineStr">
        <is>
          <t>25801700022</t>
        </is>
      </c>
      <c r="D236" s="1" t="inlineStr">
        <is>
          <t>Phaïm Hoaøng</t>
        </is>
      </c>
      <c r="E236" s="1" t="inlineStr">
        <is>
          <t>Khang</t>
        </is>
      </c>
      <c r="F236" s="1" t="inlineStr">
        <is>
          <t>11-Apr-07</t>
        </is>
      </c>
      <c r="G236" s="1" t="inlineStr">
        <is>
          <t>LNH0925ND01</t>
        </is>
      </c>
      <c r="H236" s="1" t="inlineStr">
        <is>
          <t>09AV Giao tiep QT (TS)</t>
        </is>
      </c>
      <c r="I236" s="1" t="n">
        <v>2100000</v>
      </c>
      <c r="J236" s="1" t="inlineStr">
        <is>
          <t>PHAM THI THU PHONG MBVCB.10664156867.563233.PHAM HOANG KHANG 25801700022 LNH0925ND01  094 7110407.CT tu 0071001276477 PHAM TH I THU PHONG toi 0521043748045 HUTECH tai ABBANK TAI Vietcombank</t>
        </is>
      </c>
    </row>
    <row r="237">
      <c r="A237" s="1" t="inlineStr">
        <is>
          <t>25-Aug-25</t>
        </is>
      </c>
      <c r="B237" s="1" t="inlineStr">
        <is>
          <t>I60376</t>
        </is>
      </c>
      <c r="C237" s="1" t="inlineStr">
        <is>
          <t>25800500081</t>
        </is>
      </c>
      <c r="D237" s="1" t="inlineStr">
        <is>
          <t>Phan Minh</t>
        </is>
      </c>
      <c r="E237" s="1" t="inlineStr">
        <is>
          <t>Khang</t>
        </is>
      </c>
      <c r="F237" s="1" t="inlineStr">
        <is>
          <t>13-Sep-07</t>
        </is>
      </c>
      <c r="G237" s="1" t="inlineStr">
        <is>
          <t>LNH0925ND01</t>
        </is>
      </c>
      <c r="H237" s="1" t="inlineStr">
        <is>
          <t>09AV Giao tiep QT (TS)</t>
        </is>
      </c>
      <c r="I237" s="1" t="n">
        <v>2100000</v>
      </c>
      <c r="J237" s="1" t="inlineStr">
        <is>
          <t>PHAN THI TUYET NGAN QR - Phan Minh Khang - 25800500081- LNH0925ND01- 0346646242 TAI VietinBank</t>
        </is>
      </c>
    </row>
    <row r="238">
      <c r="A238" s="1" t="inlineStr">
        <is>
          <t>25-Aug-25</t>
        </is>
      </c>
      <c r="B238" s="1" t="inlineStr">
        <is>
          <t>I60377</t>
        </is>
      </c>
      <c r="C238" s="1" t="inlineStr">
        <is>
          <t>25807900051</t>
        </is>
      </c>
      <c r="D238" s="1" t="inlineStr">
        <is>
          <t>Traàn Chí</t>
        </is>
      </c>
      <c r="E238" s="1" t="inlineStr">
        <is>
          <t>Thieän</t>
        </is>
      </c>
      <c r="F238" s="1" t="inlineStr">
        <is>
          <t>01-Jan-07</t>
        </is>
      </c>
      <c r="G238" s="1" t="inlineStr">
        <is>
          <t>LNH0925ND01</t>
        </is>
      </c>
      <c r="H238" s="1" t="inlineStr">
        <is>
          <t>09AV Giao tiep QT (TS)</t>
        </is>
      </c>
      <c r="I238" s="1" t="n">
        <v>2100000</v>
      </c>
      <c r="J238" s="1" t="inlineStr">
        <is>
          <t>TRAN HONG SON Tran Chi Thien 25807900051LNH0925ND 01 0865411575 TAI IBT BIDV                 HANOI</t>
        </is>
      </c>
    </row>
    <row r="239">
      <c r="A239" s="1" t="inlineStr">
        <is>
          <t>25-Aug-25</t>
        </is>
      </c>
      <c r="B239" s="1" t="inlineStr">
        <is>
          <t>I60378</t>
        </is>
      </c>
      <c r="C239" s="1" t="inlineStr">
        <is>
          <t>25808200109</t>
        </is>
      </c>
      <c r="D239" s="1" t="inlineStr">
        <is>
          <t>Phaïm Hoaøng</t>
        </is>
      </c>
      <c r="E239" s="1" t="inlineStr">
        <is>
          <t>Sôn</t>
        </is>
      </c>
      <c r="F239" s="1" t="inlineStr">
        <is>
          <t>01-Jun-07</t>
        </is>
      </c>
      <c r="G239" s="1" t="inlineStr">
        <is>
          <t>LNH0925ND01</t>
        </is>
      </c>
      <c r="H239" s="1" t="inlineStr">
        <is>
          <t>09AV Giao tiep QT (TS)</t>
        </is>
      </c>
      <c r="I239" s="1" t="n">
        <v>2100000</v>
      </c>
      <c r="J239" s="1" t="inlineStr">
        <is>
          <t>MBBANK IBFT PHAM HOANG SON  25808200109  LNH092 5ND01 TAI IBT-MB                   HANOI</t>
        </is>
      </c>
    </row>
    <row r="240">
      <c r="A240" s="1" t="inlineStr">
        <is>
          <t>25-Aug-25</t>
        </is>
      </c>
      <c r="B240" s="1" t="inlineStr">
        <is>
          <t>I60379</t>
        </is>
      </c>
      <c r="C240" s="1" t="inlineStr">
        <is>
          <t>25802800122</t>
        </is>
      </c>
      <c r="D240" s="1" t="inlineStr">
        <is>
          <t>Nguyeãn Tuaán</t>
        </is>
      </c>
      <c r="E240" s="1" t="inlineStr">
        <is>
          <t>Kieät</t>
        </is>
      </c>
      <c r="F240" s="1" t="inlineStr">
        <is>
          <t>25-Jun-07</t>
        </is>
      </c>
      <c r="G240" s="1" t="inlineStr">
        <is>
          <t>LNH0925ND01</t>
        </is>
      </c>
      <c r="H240" s="1" t="inlineStr">
        <is>
          <t>09AV Giao tiep QT (TS)</t>
        </is>
      </c>
      <c r="I240" s="1" t="n">
        <v>2100000</v>
      </c>
      <c r="J240" s="1" t="inlineStr">
        <is>
          <t>NGUYEN THI HA MBVCB.10675644697.369889.Nguyen tua n kiet: 25802800122: LNH0925ND01.CT tu 0061001175771 NGUYEN THI HA toi 0521043748045 HUTECH tai ABBANK TAI Vietcombank</t>
        </is>
      </c>
    </row>
    <row r="241">
      <c r="A241" s="1" t="inlineStr">
        <is>
          <t>25-Aug-25</t>
        </is>
      </c>
      <c r="B241" s="1" t="inlineStr">
        <is>
          <t>I60380</t>
        </is>
      </c>
      <c r="C241" s="1" t="inlineStr">
        <is>
          <t>25808200082</t>
        </is>
      </c>
      <c r="D241" s="1" t="inlineStr">
        <is>
          <t>Nguyeãn Trung</t>
        </is>
      </c>
      <c r="E241" s="1" t="inlineStr">
        <is>
          <t>Luaân</t>
        </is>
      </c>
      <c r="F241" s="1" t="inlineStr">
        <is>
          <t>10-Oct-07</t>
        </is>
      </c>
      <c r="G241" s="1" t="inlineStr">
        <is>
          <t>LNH0925ND01</t>
        </is>
      </c>
      <c r="H241" s="1" t="inlineStr">
        <is>
          <t>09AV Giao tiep QT (TS)</t>
        </is>
      </c>
      <c r="I241" s="1" t="n">
        <v>2100000</v>
      </c>
      <c r="J241" s="1" t="inlineStr">
        <is>
          <t>NGUYEN THI HANH ABBank 0521043748045 NGUYEN TRUNG L UAN 25808200082 LNH0925ND01  094727 5141 TAI Agribank</t>
        </is>
      </c>
    </row>
    <row r="242">
      <c r="A242" s="1" t="inlineStr">
        <is>
          <t>25-Aug-25</t>
        </is>
      </c>
      <c r="B242" s="1" t="inlineStr">
        <is>
          <t>I60381</t>
        </is>
      </c>
      <c r="C242" s="1" t="inlineStr">
        <is>
          <t>25806800029</t>
        </is>
      </c>
      <c r="D242" s="1" t="inlineStr">
        <is>
          <t>Kieàu Anh</t>
        </is>
      </c>
      <c r="E242" s="1" t="inlineStr">
        <is>
          <t>Khoâi</t>
        </is>
      </c>
      <c r="F242" s="1" t="inlineStr">
        <is>
          <t>16-Jul-07</t>
        </is>
      </c>
      <c r="G242" s="1" t="inlineStr">
        <is>
          <t>LNH0925ND01</t>
        </is>
      </c>
      <c r="H242" s="1" t="inlineStr">
        <is>
          <t>09AV Giao tiep QT (TS)</t>
        </is>
      </c>
      <c r="I242" s="1" t="n">
        <v>2100000</v>
      </c>
      <c r="J242" s="1" t="inlineStr">
        <is>
          <t>NGUYEN TRUNG NGHIA KIEU ANH KHOI  25806800029  LNH0925 ND01  0903324143 TAI VietinBank</t>
        </is>
      </c>
    </row>
    <row r="243">
      <c r="A243" s="1" t="inlineStr">
        <is>
          <t>25-Aug-25</t>
        </is>
      </c>
      <c r="B243" s="1" t="inlineStr">
        <is>
          <t>I60382</t>
        </is>
      </c>
      <c r="C243" s="1" t="inlineStr">
        <is>
          <t>25800500072</t>
        </is>
      </c>
      <c r="D243" s="1" t="inlineStr">
        <is>
          <t>Nguyeãn</t>
        </is>
      </c>
      <c r="E243" s="1" t="inlineStr">
        <is>
          <t>Höng</t>
        </is>
      </c>
      <c r="F243" s="1" t="inlineStr">
        <is>
          <t>11-Jun-07</t>
        </is>
      </c>
      <c r="G243" s="1" t="inlineStr">
        <is>
          <t>LNH0925ND01</t>
        </is>
      </c>
      <c r="H243" s="1" t="inlineStr">
        <is>
          <t>09AV Giao tiep QT (TS)</t>
        </is>
      </c>
      <c r="I243" s="1" t="n">
        <v>2600000</v>
      </c>
      <c r="J243" s="1" t="inlineStr">
        <is>
          <t>NGUYEN THI BINH NGUYEN HUNG 25800500072 LNH0925ND01 0971006417 TAI IBT VPB EBANKING         HANOI</t>
        </is>
      </c>
    </row>
    <row r="244">
      <c r="A244" s="1" t="inlineStr">
        <is>
          <t>25-Aug-25</t>
        </is>
      </c>
      <c r="B244" s="1" t="inlineStr">
        <is>
          <t>I60383</t>
        </is>
      </c>
      <c r="C244" s="1" t="inlineStr">
        <is>
          <t>25800500112</t>
        </is>
      </c>
      <c r="D244" s="1" t="inlineStr">
        <is>
          <t>Leâ Hoaøi</t>
        </is>
      </c>
      <c r="E244" s="1" t="inlineStr">
        <is>
          <t>Nam</t>
        </is>
      </c>
      <c r="F244" s="1" t="inlineStr">
        <is>
          <t>15-May-07</t>
        </is>
      </c>
      <c r="G244" s="1" t="inlineStr">
        <is>
          <t>LNH0925ND01</t>
        </is>
      </c>
      <c r="H244" s="1" t="inlineStr">
        <is>
          <t>09AV Giao tiep QT (TS)</t>
        </is>
      </c>
      <c r="I244" s="1" t="n">
        <v>3940000</v>
      </c>
      <c r="J244" s="1" t="inlineStr">
        <is>
          <t>LE THI CHUNG LE HOAI NAM . 25800500112. LNH0925N D01. 0325004715 TAI HDBank                 Ebanking</t>
        </is>
      </c>
    </row>
    <row r="245">
      <c r="A245" s="1" t="inlineStr">
        <is>
          <t>25-Aug-25</t>
        </is>
      </c>
      <c r="B245" s="1" t="inlineStr">
        <is>
          <t>I60384</t>
        </is>
      </c>
      <c r="C245" s="1" t="inlineStr">
        <is>
          <t>25801900288</t>
        </is>
      </c>
      <c r="D245" s="1" t="inlineStr">
        <is>
          <t>Buøi Anh</t>
        </is>
      </c>
      <c r="E245" s="1" t="inlineStr">
        <is>
          <t>Thö</t>
        </is>
      </c>
      <c r="F245" s="1" t="inlineStr">
        <is>
          <t>09-Jan-07</t>
        </is>
      </c>
      <c r="G245" s="1" t="inlineStr">
        <is>
          <t>LNH0925ND01</t>
        </is>
      </c>
      <c r="H245" s="1" t="inlineStr">
        <is>
          <t>09AV Giao tiep QT (TS)</t>
        </is>
      </c>
      <c r="I245" s="1" t="n">
        <v>4000000</v>
      </c>
      <c r="J245" s="1" t="inlineStr">
        <is>
          <t>NGUYEN TRUNG NGHIA BUI ANH THU  2501900086  LNH0925ND0 1  0902709313 TAI VietinBank</t>
        </is>
      </c>
    </row>
    <row r="246">
      <c r="A246" s="1" t="inlineStr">
        <is>
          <t>25-Aug-25</t>
        </is>
      </c>
      <c r="B246" s="1" t="inlineStr">
        <is>
          <t>I60385</t>
        </is>
      </c>
      <c r="C246" s="1" t="inlineStr">
        <is>
          <t>25808200221</t>
        </is>
      </c>
      <c r="D246" s="1" t="inlineStr">
        <is>
          <t>Buøi Ñaëng Quang</t>
        </is>
      </c>
      <c r="E246" s="1" t="inlineStr">
        <is>
          <t>Minh</t>
        </is>
      </c>
      <c r="F246" s="1" t="inlineStr">
        <is>
          <t>16-Jan-07</t>
        </is>
      </c>
      <c r="G246" s="1" t="inlineStr">
        <is>
          <t>LNH0925ND01</t>
        </is>
      </c>
      <c r="H246" s="1" t="inlineStr">
        <is>
          <t>09AV Giao tiep QT (TS)</t>
        </is>
      </c>
      <c r="I246" s="1" t="n">
        <v>4000000</v>
      </c>
      <c r="J246" s="1" t="inlineStr">
        <is>
          <t>NGUYEN TRUNG NGHIA BUI DANG QUANG MINH  2508200062  LN H0925ND01  0335114762 TAI VietinBank</t>
        </is>
      </c>
    </row>
    <row r="247">
      <c r="A247" s="1" t="inlineStr">
        <is>
          <t>25-Aug-25</t>
        </is>
      </c>
      <c r="B247" s="1" t="inlineStr">
        <is>
          <t>I60386</t>
        </is>
      </c>
      <c r="C247" s="1" t="inlineStr">
        <is>
          <t>25800400020</t>
        </is>
      </c>
      <c r="D247" s="1" t="inlineStr">
        <is>
          <t>Loâ Khaùnh</t>
        </is>
      </c>
      <c r="E247" s="1" t="inlineStr">
        <is>
          <t>Chöông</t>
        </is>
      </c>
      <c r="F247" s="1" t="inlineStr">
        <is>
          <t>23-Nov-07</t>
        </is>
      </c>
      <c r="G247" s="1" t="inlineStr">
        <is>
          <t>LNH0925ND01</t>
        </is>
      </c>
      <c r="H247" s="1" t="inlineStr">
        <is>
          <t>09AV Giao tiep QT (TS)</t>
        </is>
      </c>
      <c r="I247" s="1" t="n">
        <v>4465000</v>
      </c>
      <c r="J247" s="1" t="inlineStr">
        <is>
          <t>MBBANK IBFT Lo Khanh Chuong 25800400020 LNH0925 ND01 0975726182 TAI IBT-MB                   HANOI</t>
        </is>
      </c>
    </row>
    <row r="248">
      <c r="A248" s="1" t="inlineStr">
        <is>
          <t>25-Aug-25</t>
        </is>
      </c>
      <c r="B248" s="1" t="inlineStr">
        <is>
          <t>I60387</t>
        </is>
      </c>
      <c r="C248" s="1" t="inlineStr">
        <is>
          <t>25806000044</t>
        </is>
      </c>
      <c r="D248" s="1" t="inlineStr">
        <is>
          <t>Mai Lan</t>
        </is>
      </c>
      <c r="E248" s="1" t="inlineStr">
        <is>
          <t>Vy</t>
        </is>
      </c>
      <c r="F248" s="1" t="inlineStr">
        <is>
          <t>21-Feb-07</t>
        </is>
      </c>
      <c r="G248" s="1" t="inlineStr">
        <is>
          <t>LNH0925ND01</t>
        </is>
      </c>
      <c r="H248" s="1" t="inlineStr">
        <is>
          <t>09AV Giao tiep QT (TS)</t>
        </is>
      </c>
      <c r="I248" s="1" t="n">
        <v>4465000</v>
      </c>
      <c r="J248" s="1" t="inlineStr">
        <is>
          <t>Nguyen Thi Thanh Loan Mai Lan Vy 25806000044 LNH0925ND01 TAI IBT EIB                  HCMC</t>
        </is>
      </c>
    </row>
    <row r="249">
      <c r="A249" s="1" t="inlineStr">
        <is>
          <t>25-Aug-25</t>
        </is>
      </c>
      <c r="B249" s="1" t="inlineStr">
        <is>
          <t>I60388</t>
        </is>
      </c>
      <c r="C249" s="1" t="inlineStr">
        <is>
          <t>25803000403</t>
        </is>
      </c>
      <c r="D249" s="1" t="inlineStr">
        <is>
          <t>Nguyeãn Ngoïc Maån</t>
        </is>
      </c>
      <c r="E249" s="1" t="inlineStr">
        <is>
          <t>Nghi</t>
        </is>
      </c>
      <c r="F249" s="1" t="inlineStr">
        <is>
          <t>19-Mar-07</t>
        </is>
      </c>
      <c r="G249" s="1" t="inlineStr">
        <is>
          <t>LNH0925ND01</t>
        </is>
      </c>
      <c r="H249" s="1" t="inlineStr">
        <is>
          <t>09AV Giao tiep QT (TS)</t>
        </is>
      </c>
      <c r="I249" s="1" t="n">
        <v>4465000</v>
      </c>
      <c r="J249" s="1" t="inlineStr">
        <is>
          <t>NGUYEN TRUNG NGHIA NGUYEN NGOC MAN NGHI  25803000403 LNH0925ND01  0702866855 TAI VietinBank</t>
        </is>
      </c>
    </row>
    <row r="250">
      <c r="A250" s="1" t="inlineStr">
        <is>
          <t>25-Aug-25</t>
        </is>
      </c>
      <c r="B250" s="1" t="inlineStr">
        <is>
          <t>I60389</t>
        </is>
      </c>
      <c r="C250" s="1" t="inlineStr">
        <is>
          <t>25806000082</t>
        </is>
      </c>
      <c r="D250" s="1" t="inlineStr">
        <is>
          <t>Nguyeãn Tuù</t>
        </is>
      </c>
      <c r="E250" s="1" t="inlineStr">
        <is>
          <t>Trinh</t>
        </is>
      </c>
      <c r="F250" s="1" t="inlineStr">
        <is>
          <t>18-Feb-07</t>
        </is>
      </c>
      <c r="G250" s="1" t="inlineStr">
        <is>
          <t>LNH0925ND01</t>
        </is>
      </c>
      <c r="H250" s="1" t="inlineStr">
        <is>
          <t>09AV Giao tiep QT (TS)</t>
        </is>
      </c>
      <c r="I250" s="1" t="n">
        <v>4465000</v>
      </c>
      <c r="J250" s="1" t="inlineStr">
        <is>
          <t>NGUYEN TRUNG NGHIA NGUYEN TU TRINH  2506000028  LNH092 5ND01  0336363581 TAI VietinBank</t>
        </is>
      </c>
    </row>
    <row r="251">
      <c r="A251" s="1" t="inlineStr">
        <is>
          <t>25-Aug-25</t>
        </is>
      </c>
      <c r="B251" s="1" t="inlineStr">
        <is>
          <t>I60390</t>
        </is>
      </c>
      <c r="C251" s="1" t="inlineStr">
        <is>
          <t>25805900032</t>
        </is>
      </c>
      <c r="D251" s="1" t="inlineStr">
        <is>
          <t>Nguyeãn Leâ</t>
        </is>
      </c>
      <c r="E251" s="1" t="inlineStr">
        <is>
          <t>Phaùt</t>
        </is>
      </c>
      <c r="F251" s="1" t="inlineStr">
        <is>
          <t>27-Jun-07</t>
        </is>
      </c>
      <c r="G251" s="1" t="inlineStr">
        <is>
          <t>LNH0925ND01</t>
        </is>
      </c>
      <c r="H251" s="1" t="inlineStr">
        <is>
          <t>09AV Giao tiep QT (TS)</t>
        </is>
      </c>
      <c r="I251" s="1" t="n">
        <v>4465000</v>
      </c>
      <c r="J251" s="1" t="inlineStr">
        <is>
          <t>NGUYEN TRUNG NGHIA NGUYEN LE PHAT  25805900032  LNH092 5ND01  03975377615 TAI VietinBank</t>
        </is>
      </c>
    </row>
    <row r="252">
      <c r="A252" s="1" t="inlineStr">
        <is>
          <t>25-Aug-25</t>
        </is>
      </c>
      <c r="B252" s="1" t="inlineStr">
        <is>
          <t>I60391</t>
        </is>
      </c>
      <c r="C252" s="1" t="inlineStr">
        <is>
          <t>25808900095</t>
        </is>
      </c>
      <c r="D252" s="1" t="inlineStr">
        <is>
          <t>Nguyeãn Höõu</t>
        </is>
      </c>
      <c r="E252" s="1" t="inlineStr">
        <is>
          <t>Phaùt</t>
        </is>
      </c>
      <c r="F252" s="1" t="inlineStr">
        <is>
          <t>28-Nov-06</t>
        </is>
      </c>
      <c r="G252" s="1" t="inlineStr">
        <is>
          <t>LNH0925ND01</t>
        </is>
      </c>
      <c r="H252" s="1" t="inlineStr">
        <is>
          <t>09AV Giao tiep QT (TS)</t>
        </is>
      </c>
      <c r="I252" s="1" t="n">
        <v>4465000</v>
      </c>
      <c r="J252" s="1" t="inlineStr">
        <is>
          <t>LE THI THANH TUYEN NGUYENHUUPHAT25808900095LNH0925ND01 TAI IBT BIDV                 HANOI</t>
        </is>
      </c>
    </row>
    <row r="253">
      <c r="A253" s="1" t="inlineStr">
        <is>
          <t>25-Aug-25</t>
        </is>
      </c>
      <c r="B253" s="1" t="inlineStr">
        <is>
          <t>I60392</t>
        </is>
      </c>
      <c r="C253" s="1" t="inlineStr">
        <is>
          <t>25807800199</t>
        </is>
      </c>
      <c r="D253" s="1" t="inlineStr">
        <is>
          <t>Traàn Vónh</t>
        </is>
      </c>
      <c r="E253" s="1" t="inlineStr">
        <is>
          <t>Phuùc</t>
        </is>
      </c>
      <c r="F253" s="1" t="inlineStr">
        <is>
          <t>28-Sep-07</t>
        </is>
      </c>
      <c r="G253" s="1" t="inlineStr">
        <is>
          <t>LNH0925ND01</t>
        </is>
      </c>
      <c r="H253" s="1" t="inlineStr">
        <is>
          <t>09AV Giao tiep QT (TS)</t>
        </is>
      </c>
      <c r="I253" s="1" t="n">
        <v>4465000</v>
      </c>
      <c r="J253" s="1" t="inlineStr">
        <is>
          <t>DINH THI THE PHUONG TRAN VINH PHUC 25807800199 LNH0925N D01 0388864528 TAI VietinBank</t>
        </is>
      </c>
    </row>
    <row r="254">
      <c r="A254" s="1" t="inlineStr">
        <is>
          <t>25-Aug-25</t>
        </is>
      </c>
      <c r="B254" s="1" t="inlineStr">
        <is>
          <t>I60393</t>
        </is>
      </c>
      <c r="C254" s="1" t="inlineStr">
        <is>
          <t>25820500007</t>
        </is>
      </c>
      <c r="D254" s="1" t="inlineStr">
        <is>
          <t>Traàn Vuõ Anh</t>
        </is>
      </c>
      <c r="E254" s="1" t="inlineStr">
        <is>
          <t>Kieät</t>
        </is>
      </c>
      <c r="F254" s="1" t="inlineStr">
        <is>
          <t>15-Sep-07</t>
        </is>
      </c>
      <c r="G254" s="1" t="inlineStr">
        <is>
          <t>LNH0925ND01</t>
        </is>
      </c>
      <c r="H254" s="1" t="inlineStr">
        <is>
          <t>09AV Giao tiep QT (TS)</t>
        </is>
      </c>
      <c r="I254" s="1" t="n">
        <v>4465000</v>
      </c>
      <c r="J254" s="1" t="inlineStr">
        <is>
          <t>TRAN VAN TRUNG TRAN VAN TRUNG Chuyen tien TAI IBT BIDV                 HANOI</t>
        </is>
      </c>
    </row>
    <row r="255">
      <c r="A255" s="1" t="inlineStr">
        <is>
          <t>25-Aug-25</t>
        </is>
      </c>
      <c r="B255" s="1" t="inlineStr">
        <is>
          <t>I60394</t>
        </is>
      </c>
      <c r="C255" s="1" t="inlineStr">
        <is>
          <t>25801100105</t>
        </is>
      </c>
      <c r="D255" s="1" t="inlineStr">
        <is>
          <t>Voõ Anh</t>
        </is>
      </c>
      <c r="E255" s="1" t="inlineStr">
        <is>
          <t>Tuaán</t>
        </is>
      </c>
      <c r="F255" s="1" t="inlineStr">
        <is>
          <t>17-Jul-07</t>
        </is>
      </c>
      <c r="G255" s="1" t="inlineStr">
        <is>
          <t>LNH0925ND01</t>
        </is>
      </c>
      <c r="H255" s="1" t="inlineStr">
        <is>
          <t>09AV Giao tiep QT (TS)</t>
        </is>
      </c>
      <c r="I255" s="1" t="n">
        <v>4465000</v>
      </c>
      <c r="J255" s="1" t="inlineStr">
        <is>
          <t>TRANSFER Vo Anh Tuan 25801100105 LNH0925ND01 0866957727 246  ma GD 100000002476 453 TAI LienVietPostBank       Ha Noi</t>
        </is>
      </c>
    </row>
    <row r="256">
      <c r="A256" s="1" t="inlineStr">
        <is>
          <t>25-Aug-25</t>
        </is>
      </c>
      <c r="B256" s="1" t="inlineStr">
        <is>
          <t>I60395</t>
        </is>
      </c>
      <c r="C256" s="1" t="inlineStr">
        <is>
          <t>25808900055</t>
        </is>
      </c>
      <c r="D256" s="1" t="inlineStr">
        <is>
          <t>Huyønh Ngoïc Nguyeân</t>
        </is>
      </c>
      <c r="E256" s="1" t="inlineStr">
        <is>
          <t>Khanh</t>
        </is>
      </c>
      <c r="F256" s="1" t="inlineStr">
        <is>
          <t>02-Jan-07</t>
        </is>
      </c>
      <c r="G256" s="1" t="inlineStr">
        <is>
          <t>LNH0925ND01</t>
        </is>
      </c>
      <c r="H256" s="1" t="inlineStr">
        <is>
          <t>09AV Giao tiep QT (TS)</t>
        </is>
      </c>
      <c r="I256" s="1" t="n">
        <v>4465000</v>
      </c>
      <c r="J256" s="1" t="inlineStr">
        <is>
          <t>LE THI DIEU TRAM ABBank 0521043748045 HuynhNgocNguye nKhanh 2580890055 LNH0925ND01 08897 09996 TAI Agribank</t>
        </is>
      </c>
    </row>
    <row r="257">
      <c r="A257" s="1" t="inlineStr">
        <is>
          <t>25-Aug-25</t>
        </is>
      </c>
      <c r="B257" s="1" t="inlineStr">
        <is>
          <t>I60396</t>
        </is>
      </c>
      <c r="C257" s="1" t="inlineStr">
        <is>
          <t>25808600139</t>
        </is>
      </c>
      <c r="D257" s="1" t="inlineStr">
        <is>
          <t>Nguyeãn Thanh</t>
        </is>
      </c>
      <c r="E257" s="1" t="inlineStr">
        <is>
          <t>Truùc</t>
        </is>
      </c>
      <c r="F257" s="1" t="inlineStr">
        <is>
          <t>25-May-07</t>
        </is>
      </c>
      <c r="G257" s="1" t="inlineStr">
        <is>
          <t>LNH0925ND01</t>
        </is>
      </c>
      <c r="H257" s="1" t="inlineStr">
        <is>
          <t>09AV Giao tiep QT (TS)</t>
        </is>
      </c>
      <c r="I257" s="1" t="n">
        <v>4465000</v>
      </c>
      <c r="J257" s="1" t="inlineStr">
        <is>
          <t>NGUYEN TRUNG NGHIA NGUYEN THANH TRUC  25808600139  LNH 0925ND01  0372268270 TAI VietinBank</t>
        </is>
      </c>
    </row>
    <row r="258">
      <c r="A258" s="1" t="inlineStr">
        <is>
          <t>25-Aug-25</t>
        </is>
      </c>
      <c r="B258" s="1" t="inlineStr">
        <is>
          <t>I60397</t>
        </is>
      </c>
      <c r="C258" s="1" t="inlineStr">
        <is>
          <t>25800400145</t>
        </is>
      </c>
      <c r="D258" s="1" t="inlineStr">
        <is>
          <t>Leâ Ñaêng</t>
        </is>
      </c>
      <c r="E258" s="1" t="inlineStr">
        <is>
          <t>Thieân</t>
        </is>
      </c>
      <c r="F258" s="1" t="inlineStr">
        <is>
          <t>10-Oct-07</t>
        </is>
      </c>
      <c r="G258" s="1" t="inlineStr">
        <is>
          <t>LNH0925ND01</t>
        </is>
      </c>
      <c r="H258" s="1" t="inlineStr">
        <is>
          <t>09AV Giao tiep QT (TS)</t>
        </is>
      </c>
      <c r="I258" s="1" t="n">
        <v>4465000</v>
      </c>
      <c r="J258" s="1" t="inlineStr">
        <is>
          <t>NGUYEN TRUNG NGHIA LE DANG THIEN  25800400145  LNH0925 ND01  0898430669 TAI VietinBank</t>
        </is>
      </c>
    </row>
    <row r="259">
      <c r="A259" s="1" t="inlineStr">
        <is>
          <t>25-Aug-25</t>
        </is>
      </c>
      <c r="B259" s="1" t="inlineStr">
        <is>
          <t>I60398</t>
        </is>
      </c>
      <c r="C259" s="1" t="inlineStr">
        <is>
          <t>25801000013</t>
        </is>
      </c>
      <c r="D259" s="1" t="inlineStr">
        <is>
          <t>Traàn Ñaëng Kim</t>
        </is>
      </c>
      <c r="E259" s="1" t="inlineStr">
        <is>
          <t>Ngaân</t>
        </is>
      </c>
      <c r="F259" s="1" t="inlineStr">
        <is>
          <t>17-Oct-07</t>
        </is>
      </c>
      <c r="G259" s="1" t="inlineStr">
        <is>
          <t>LNH0925ND01</t>
        </is>
      </c>
      <c r="H259" s="1" t="inlineStr">
        <is>
          <t>09AV Giao tiep QT (TS)</t>
        </is>
      </c>
      <c r="I259" s="1" t="n">
        <v>4465000</v>
      </c>
      <c r="J259" s="1" t="inlineStr">
        <is>
          <t>TRAN QUANG KHAI TranDangKimNgan  25801000013 lnh092 5nd01  0948260473 TAI IBT BIDV                 HANOI</t>
        </is>
      </c>
    </row>
    <row r="260">
      <c r="A260" s="1" t="inlineStr">
        <is>
          <t>25-Aug-25</t>
        </is>
      </c>
      <c r="B260" s="1" t="inlineStr">
        <is>
          <t>I60399</t>
        </is>
      </c>
      <c r="C260" s="1" t="inlineStr">
        <is>
          <t>25801600005</t>
        </is>
      </c>
      <c r="D260" s="1" t="inlineStr">
        <is>
          <t>Ngoâ Khaéc Vaân</t>
        </is>
      </c>
      <c r="E260" s="1" t="inlineStr">
        <is>
          <t>Anh</t>
        </is>
      </c>
      <c r="F260" s="1" t="inlineStr">
        <is>
          <t>18-Mar-07</t>
        </is>
      </c>
      <c r="G260" s="1" t="inlineStr">
        <is>
          <t>LNH0925ND01</t>
        </is>
      </c>
      <c r="H260" s="1" t="inlineStr">
        <is>
          <t>09AV Giao tiep QT (TS)</t>
        </is>
      </c>
      <c r="I260" s="1" t="n">
        <v>4465000</v>
      </c>
      <c r="J260" s="1" t="inlineStr">
        <is>
          <t>NGUYEN TRUNG NGHIA NGO KHAC VAN ANH  25801600005  LNH0 925ND01  0787599363 TAI VietinBank</t>
        </is>
      </c>
    </row>
    <row r="261">
      <c r="A261" s="1" t="inlineStr">
        <is>
          <t>25-Aug-25</t>
        </is>
      </c>
      <c r="B261" s="1" t="inlineStr">
        <is>
          <t>I60400</t>
        </is>
      </c>
      <c r="C261" s="1" t="inlineStr">
        <is>
          <t>25801800033</t>
        </is>
      </c>
      <c r="D261" s="1" t="inlineStr">
        <is>
          <t>Ñoaøn Ñaéc</t>
        </is>
      </c>
      <c r="E261" s="1" t="inlineStr">
        <is>
          <t>Maïnh</t>
        </is>
      </c>
      <c r="F261" s="1" t="inlineStr">
        <is>
          <t>24-Sep-07</t>
        </is>
      </c>
      <c r="G261" s="1" t="inlineStr">
        <is>
          <t>LNH0925ND01</t>
        </is>
      </c>
      <c r="H261" s="1" t="inlineStr">
        <is>
          <t>09AV Giao tiep QT (TS)</t>
        </is>
      </c>
      <c r="I261" s="1" t="n">
        <v>4465000</v>
      </c>
      <c r="J261" s="1" t="inlineStr">
        <is>
          <t>DOAN DAC LUYEN QR - DOAN DAC MANH 2580180033 LNH09 25ND01 TAI VietinBank</t>
        </is>
      </c>
    </row>
    <row r="262">
      <c r="A262" s="1" t="inlineStr">
        <is>
          <t>25-Aug-25</t>
        </is>
      </c>
      <c r="B262" s="1" t="inlineStr">
        <is>
          <t>I60401</t>
        </is>
      </c>
      <c r="C262" s="1" t="inlineStr">
        <is>
          <t>25806800008</t>
        </is>
      </c>
      <c r="D262" s="1" t="inlineStr">
        <is>
          <t>Baøng Thanh</t>
        </is>
      </c>
      <c r="E262" s="1" t="inlineStr">
        <is>
          <t>Baûo</t>
        </is>
      </c>
      <c r="F262" s="1" t="inlineStr">
        <is>
          <t>06-Feb-07</t>
        </is>
      </c>
      <c r="G262" s="1" t="inlineStr">
        <is>
          <t>LNH0925ND01</t>
        </is>
      </c>
      <c r="H262" s="1" t="inlineStr">
        <is>
          <t>09AV Giao tiep QT (TS)</t>
        </is>
      </c>
      <c r="I262" s="1" t="n">
        <v>4465000</v>
      </c>
      <c r="J262" s="1" t="inlineStr">
        <is>
          <t>TRAN THI THANH MAI QR - Bang Thanh Bao 25806800008 LNH 0925ND01 0799573483 TAI VietinBank</t>
        </is>
      </c>
    </row>
    <row r="263">
      <c r="A263" s="1" t="inlineStr">
        <is>
          <t>25-Aug-25</t>
        </is>
      </c>
      <c r="B263" s="1" t="inlineStr">
        <is>
          <t>I60402</t>
        </is>
      </c>
      <c r="C263" s="1" t="inlineStr">
        <is>
          <t>25808200180</t>
        </is>
      </c>
      <c r="D263" s="1" t="inlineStr">
        <is>
          <t>Traàn Phöôùc</t>
        </is>
      </c>
      <c r="E263" s="1" t="inlineStr">
        <is>
          <t>Ñaït</t>
        </is>
      </c>
      <c r="F263" s="1" t="inlineStr">
        <is>
          <t>03-Jan-07</t>
        </is>
      </c>
      <c r="G263" s="1" t="inlineStr">
        <is>
          <t>LNH0925ND01</t>
        </is>
      </c>
      <c r="H263" s="1" t="inlineStr">
        <is>
          <t>09AV Giao tiep QT (TS)</t>
        </is>
      </c>
      <c r="I263" s="1" t="n">
        <v>4465000</v>
      </c>
      <c r="J263" s="1" t="inlineStr">
        <is>
          <t>TRAN THI THANH MAI QR - Tran Phuoc Dat 25808200180 LNH 0925ND01 0367505278 TAI VietinBank</t>
        </is>
      </c>
    </row>
    <row r="264">
      <c r="A264" s="1" t="inlineStr">
        <is>
          <t>25-Aug-25</t>
        </is>
      </c>
      <c r="B264" s="1" t="inlineStr">
        <is>
          <t>I60403</t>
        </is>
      </c>
      <c r="C264" s="1" t="inlineStr">
        <is>
          <t>25800400130</t>
        </is>
      </c>
      <c r="D264" s="1" t="inlineStr">
        <is>
          <t>Nguyeãn Löu Ñoâng</t>
        </is>
      </c>
      <c r="E264" s="1" t="inlineStr">
        <is>
          <t>Quaân</t>
        </is>
      </c>
      <c r="F264" s="1" t="inlineStr">
        <is>
          <t>27-Jun-07</t>
        </is>
      </c>
      <c r="G264" s="1" t="inlineStr">
        <is>
          <t>LNH0925ND01</t>
        </is>
      </c>
      <c r="H264" s="1" t="inlineStr">
        <is>
          <t>09AV Giao tiep QT (TS)</t>
        </is>
      </c>
      <c r="I264" s="1" t="n">
        <v>4465000</v>
      </c>
      <c r="J264" s="1" t="inlineStr">
        <is>
          <t>TRAN THI THANH MAI QR - Nguyen Luu Dong Quan 258004001 30 LNH0925ND01 0785613778 TAI VietinBank</t>
        </is>
      </c>
    </row>
    <row r="265">
      <c r="A265" s="1" t="inlineStr">
        <is>
          <t>25-Aug-25</t>
        </is>
      </c>
      <c r="B265" s="1" t="inlineStr">
        <is>
          <t>I60404</t>
        </is>
      </c>
      <c r="C265" s="1" t="inlineStr">
        <is>
          <t>25802800014</t>
        </is>
      </c>
      <c r="D265" s="1" t="inlineStr">
        <is>
          <t>Buøi Voõ Thieân</t>
        </is>
      </c>
      <c r="E265" s="1" t="inlineStr">
        <is>
          <t>AÂn</t>
        </is>
      </c>
      <c r="F265" s="1" t="inlineStr">
        <is>
          <t>01-Jan-07</t>
        </is>
      </c>
      <c r="G265" s="1" t="inlineStr">
        <is>
          <t>LNH0925ND01</t>
        </is>
      </c>
      <c r="H265" s="1" t="inlineStr">
        <is>
          <t>09AV Giao tiep QT (TS)</t>
        </is>
      </c>
      <c r="I265" s="1" t="n">
        <v>4465000</v>
      </c>
      <c r="J265" s="1" t="inlineStr">
        <is>
          <t>TRAN THI THANH MAI QR - Bui Vo Thien An 25802800014 LN H0925ND01 0934472622 TAI VietinBank</t>
        </is>
      </c>
    </row>
    <row r="266">
      <c r="A266" s="1" t="inlineStr">
        <is>
          <t>25-Aug-25</t>
        </is>
      </c>
      <c r="B266" s="1" t="inlineStr">
        <is>
          <t>I60405</t>
        </is>
      </c>
      <c r="C266" s="1" t="inlineStr">
        <is>
          <t>25808200061</t>
        </is>
      </c>
      <c r="D266" s="1" t="inlineStr">
        <is>
          <t>Nguyeãn Huy</t>
        </is>
      </c>
      <c r="E266" s="1" t="inlineStr">
        <is>
          <t>Kha</t>
        </is>
      </c>
      <c r="F266" s="1" t="inlineStr">
        <is>
          <t>01-Jan-07</t>
        </is>
      </c>
      <c r="G266" s="1" t="inlineStr">
        <is>
          <t>LNH0925ND01</t>
        </is>
      </c>
      <c r="H266" s="1" t="inlineStr">
        <is>
          <t>09AV Giao tiep QT (TS)</t>
        </is>
      </c>
      <c r="I266" s="1" t="n">
        <v>4940000</v>
      </c>
      <c r="J266" s="1" t="inlineStr">
        <is>
          <t>NGUYEN THI LAN ANH MBVCB.10662761430.587867.NGUYEN HUY KHA 25808200061 LNH0925ND01 090534 9702.CT tu 0761002345139 NGUYEN THI LAN ANH toi 0521043748045 HUTECH tai ABBANK TAI Vietcombank</t>
        </is>
      </c>
    </row>
    <row r="267">
      <c r="A267" s="1" t="inlineStr">
        <is>
          <t>25-Aug-25</t>
        </is>
      </c>
      <c r="B267" s="1" t="inlineStr">
        <is>
          <t>I60406</t>
        </is>
      </c>
      <c r="C267" s="1" t="inlineStr">
        <is>
          <t>25808200014</t>
        </is>
      </c>
      <c r="D267" s="1" t="inlineStr">
        <is>
          <t>Ñinh Ñaêng</t>
        </is>
      </c>
      <c r="E267" s="1" t="inlineStr">
        <is>
          <t>Baûo</t>
        </is>
      </c>
      <c r="F267" s="1" t="inlineStr">
        <is>
          <t>23-Jun-07</t>
        </is>
      </c>
      <c r="G267" s="1" t="inlineStr">
        <is>
          <t>LNH0925ND01</t>
        </is>
      </c>
      <c r="H267" s="1" t="inlineStr">
        <is>
          <t>09AV Giao tiep QT (TS)</t>
        </is>
      </c>
      <c r="I267" s="1" t="n">
        <v>4940000</v>
      </c>
      <c r="J267" s="1" t="inlineStr">
        <is>
          <t>NGUYEN TRUNG NGHIA DINH DANG BAO  25808200014  LNH0925 ND01  0865394480 TAI VietinBank</t>
        </is>
      </c>
    </row>
    <row r="268">
      <c r="A268" s="1" t="inlineStr">
        <is>
          <t>25-Aug-25</t>
        </is>
      </c>
      <c r="B268" s="1" t="inlineStr">
        <is>
          <t>I60407</t>
        </is>
      </c>
      <c r="C268" s="1" t="inlineStr">
        <is>
          <t>25806300036</t>
        </is>
      </c>
      <c r="D268" s="1" t="inlineStr">
        <is>
          <t>Huyønh Minh</t>
        </is>
      </c>
      <c r="E268" s="1" t="inlineStr">
        <is>
          <t>Trí</t>
        </is>
      </c>
      <c r="F268" s="1" t="inlineStr">
        <is>
          <t>01-Oct-07</t>
        </is>
      </c>
      <c r="G268" s="1" t="inlineStr">
        <is>
          <t>LNH0925ND01</t>
        </is>
      </c>
      <c r="H268" s="1" t="inlineStr">
        <is>
          <t>09AV Giao tiep QT (TS)</t>
        </is>
      </c>
      <c r="I268" s="1" t="n">
        <v>4940000</v>
      </c>
      <c r="J268" s="1" t="inlineStr">
        <is>
          <t>HUYNH VU LE MBVCB.10667629071.949313.HUYNH MINH TRI  25806300036  LNH0925ND01  098 6490176.CT tu 0181000076639 HUYNH V U LE toi 0521043748045 HUTECH tai ABBANK TAI Vietcombank</t>
        </is>
      </c>
    </row>
    <row r="269">
      <c r="A269" s="1" t="inlineStr">
        <is>
          <t>25-Aug-25</t>
        </is>
      </c>
      <c r="B269" s="1" t="inlineStr">
        <is>
          <t>I60408</t>
        </is>
      </c>
      <c r="C269" s="1" t="inlineStr">
        <is>
          <t>25800500274</t>
        </is>
      </c>
      <c r="D269" s="1" t="inlineStr">
        <is>
          <t>Ngoâ Traàn Anh</t>
        </is>
      </c>
      <c r="E269" s="1" t="inlineStr">
        <is>
          <t>Duy</t>
        </is>
      </c>
      <c r="F269" s="1" t="inlineStr">
        <is>
          <t>26-May-07</t>
        </is>
      </c>
      <c r="G269" s="1" t="inlineStr">
        <is>
          <t>LNH0925ND01</t>
        </is>
      </c>
      <c r="H269" s="1" t="inlineStr">
        <is>
          <t>09AV Giao tiep QT (TS)</t>
        </is>
      </c>
      <c r="I269" s="1" t="n">
        <v>0</v>
      </c>
      <c r="J269" s="1" t="inlineStr">
        <is>
          <t>(Rut Hp)NGO QUOC TY MBVCB.10672777515.486782.Ngo Tran A nh Duy-2500500066 LNH0925ND01 03579 55950 2 4 6.CT tu 0621000460855 NGO QUOC TY toi 0521043748045 HUTECH tai ABBANK TAI Vietcombank</t>
        </is>
      </c>
    </row>
    <row r="270">
      <c r="A270" s="1" t="inlineStr">
        <is>
          <t>25-Aug-25</t>
        </is>
      </c>
      <c r="B270" s="1" t="inlineStr">
        <is>
          <t>I60409</t>
        </is>
      </c>
      <c r="C270" s="1" t="inlineStr">
        <is>
          <t>25802800041</t>
        </is>
      </c>
      <c r="D270" s="1" t="inlineStr">
        <is>
          <t>Nguyeãn Quoác</t>
        </is>
      </c>
      <c r="E270" s="1" t="inlineStr">
        <is>
          <t>Ñaït</t>
        </is>
      </c>
      <c r="F270" s="1" t="inlineStr">
        <is>
          <t>02-Feb-06</t>
        </is>
      </c>
      <c r="G270" s="1" t="inlineStr">
        <is>
          <t>LNH0925ND01</t>
        </is>
      </c>
      <c r="H270" s="1" t="inlineStr">
        <is>
          <t>09AV Giao tiep QT (TS)</t>
        </is>
      </c>
      <c r="I270" s="1" t="n">
        <v>4940000</v>
      </c>
      <c r="J270" s="1" t="inlineStr">
        <is>
          <t>MBBANK IBFT nguyen quoc dat 25802800041 LNH0925 ND01 0931228794 TAI IBT-MB                   HANOI</t>
        </is>
      </c>
    </row>
    <row r="271">
      <c r="A271" s="1" t="inlineStr">
        <is>
          <t>25-Aug-25</t>
        </is>
      </c>
      <c r="B271" s="1" t="inlineStr">
        <is>
          <t>I60410</t>
        </is>
      </c>
      <c r="C271" s="1" t="inlineStr">
        <is>
          <t>25808200072</t>
        </is>
      </c>
      <c r="D271" s="1" t="inlineStr">
        <is>
          <t>Hoàng Vaên</t>
        </is>
      </c>
      <c r="E271" s="1" t="inlineStr">
        <is>
          <t>Kieân</t>
        </is>
      </c>
      <c r="F271" s="1" t="inlineStr">
        <is>
          <t>10-Nov-07</t>
        </is>
      </c>
      <c r="G271" s="1" t="inlineStr">
        <is>
          <t>LNH0925ND01</t>
        </is>
      </c>
      <c r="H271" s="1" t="inlineStr">
        <is>
          <t>09AV Giao tiep QT (TS)</t>
        </is>
      </c>
      <c r="I271" s="1" t="n">
        <v>5000000</v>
      </c>
      <c r="J271" s="1" t="inlineStr">
        <is>
          <t>DAO THI LUYEN Hong Van Kien  25808200072   LNH092 5ND01  0983989077 TAI NGAN HANG DONG A       Ebanking</t>
        </is>
      </c>
    </row>
    <row r="272">
      <c r="A272" s="1" t="inlineStr">
        <is>
          <t>25-Aug-25</t>
        </is>
      </c>
      <c r="B272" s="1" t="inlineStr">
        <is>
          <t>I60411</t>
        </is>
      </c>
      <c r="C272" s="1" t="inlineStr">
        <is>
          <t>25802600110</t>
        </is>
      </c>
      <c r="D272" s="1" t="inlineStr">
        <is>
          <t>Nguyeãn Traàn Nhaät</t>
        </is>
      </c>
      <c r="E272" s="1" t="inlineStr">
        <is>
          <t>Thanh</t>
        </is>
      </c>
      <c r="F272" s="1" t="inlineStr">
        <is>
          <t>28-Jun-07</t>
        </is>
      </c>
      <c r="G272" s="1" t="inlineStr">
        <is>
          <t>LNH0925ND01</t>
        </is>
      </c>
      <c r="H272" s="1" t="inlineStr">
        <is>
          <t>09AV Giao tiep QT (TS)</t>
        </is>
      </c>
      <c r="I272" s="1" t="n">
        <v>7000000</v>
      </c>
      <c r="J272" s="1" t="inlineStr">
        <is>
          <t>TRAN THI HOANG THO nguyen tran nhat thanh 258026001100 lnh0925nd01 0939218221  hoc lop 2 4 6 TAI IBT EIB                  HCMC</t>
        </is>
      </c>
    </row>
    <row r="273">
      <c r="A273" s="1" t="inlineStr">
        <is>
          <t>25-Aug-25</t>
        </is>
      </c>
      <c r="B273" s="1" t="inlineStr">
        <is>
          <t>I60412</t>
        </is>
      </c>
      <c r="C273" s="1" t="inlineStr">
        <is>
          <t>25801100062</t>
        </is>
      </c>
      <c r="D273" s="1" t="inlineStr">
        <is>
          <t>Phaïm Nhaät</t>
        </is>
      </c>
      <c r="E273" s="1" t="inlineStr">
        <is>
          <t>Thieân</t>
        </is>
      </c>
      <c r="F273" s="1" t="inlineStr">
        <is>
          <t>10-Aug-07</t>
        </is>
      </c>
      <c r="G273" s="1" t="inlineStr">
        <is>
          <t>LNH0925ND01</t>
        </is>
      </c>
      <c r="H273" s="1" t="inlineStr">
        <is>
          <t>09AV Giao tiep QT (TS)</t>
        </is>
      </c>
      <c r="I273" s="1" t="n">
        <v>7415000</v>
      </c>
      <c r="J273" s="1" t="inlineStr">
        <is>
          <t>NGUYEN TRUNG NGHIA PHAM NHAT THIEN  25801100062  LNH09 25ND01  0385001410 TAI VietinBank</t>
        </is>
      </c>
    </row>
    <row r="274">
      <c r="A274" s="1" t="inlineStr">
        <is>
          <t>25-Aug-25</t>
        </is>
      </c>
      <c r="B274" s="1" t="inlineStr">
        <is>
          <t>I60413</t>
        </is>
      </c>
      <c r="C274" s="1" t="inlineStr">
        <is>
          <t>25808200070</t>
        </is>
      </c>
      <c r="D274" s="1" t="inlineStr">
        <is>
          <t>Traàn Minh</t>
        </is>
      </c>
      <c r="E274" s="1" t="inlineStr">
        <is>
          <t>Khoa</t>
        </is>
      </c>
      <c r="F274" s="1" t="inlineStr">
        <is>
          <t>20-Dec-07</t>
        </is>
      </c>
      <c r="G274" s="1" t="inlineStr">
        <is>
          <t>LNH0925ND01</t>
        </is>
      </c>
      <c r="H274" s="1" t="inlineStr">
        <is>
          <t>09AV Giao tiep QT (TS)</t>
        </is>
      </c>
      <c r="I274" s="1" t="n">
        <v>7415000</v>
      </c>
      <c r="J274" s="1" t="inlineStr">
        <is>
          <t>NGUYEN TRUNG NGHIA TRAN MINH KHOA  25808200070  LNH092 5ND01  0708253302 TAI VietinBank</t>
        </is>
      </c>
    </row>
    <row r="275">
      <c r="A275" s="1" t="inlineStr">
        <is>
          <t>25-Aug-25</t>
        </is>
      </c>
      <c r="B275" s="1" t="inlineStr">
        <is>
          <t>I60414</t>
        </is>
      </c>
      <c r="C275" s="1" t="inlineStr">
        <is>
          <t>25808600039</t>
        </is>
      </c>
      <c r="D275" s="1" t="inlineStr">
        <is>
          <t>Ñinh Nguyeãn Nhöït</t>
        </is>
      </c>
      <c r="E275" s="1" t="inlineStr">
        <is>
          <t>Huy</t>
        </is>
      </c>
      <c r="F275" s="1" t="inlineStr">
        <is>
          <t>04-Aug-06</t>
        </is>
      </c>
      <c r="G275" s="1" t="inlineStr">
        <is>
          <t>LNH0925ND01</t>
        </is>
      </c>
      <c r="H275" s="1" t="inlineStr">
        <is>
          <t>09AV Giao tiep QT (TS)</t>
        </is>
      </c>
      <c r="I275" s="1" t="n">
        <v>7415000</v>
      </c>
      <c r="J275" s="1" t="inlineStr">
        <is>
          <t>TRAN THI THANH MAI QR - Dinh Nguyen Nhut Huy 258086000 39 LNH0925ND01 0967486429 TAI VietinBank</t>
        </is>
      </c>
    </row>
    <row r="276">
      <c r="A276" s="1" t="inlineStr">
        <is>
          <t>25-Aug-25</t>
        </is>
      </c>
      <c r="B276" s="1" t="inlineStr">
        <is>
          <t>I60415</t>
        </is>
      </c>
      <c r="C276" s="1" t="inlineStr">
        <is>
          <t>25802700127</t>
        </is>
      </c>
      <c r="D276" s="1" t="inlineStr">
        <is>
          <t>Leâ Xuaân</t>
        </is>
      </c>
      <c r="E276" s="1" t="inlineStr">
        <is>
          <t>Höng</t>
        </is>
      </c>
      <c r="F276" s="1" t="inlineStr">
        <is>
          <t>20-Jun-07</t>
        </is>
      </c>
      <c r="G276" s="1" t="inlineStr">
        <is>
          <t>LNH0925ND01</t>
        </is>
      </c>
      <c r="H276" s="1" t="inlineStr">
        <is>
          <t>09AV Giao tiep QT (TS)</t>
        </is>
      </c>
      <c r="I276" s="1" t="n">
        <v>7415000</v>
      </c>
      <c r="J276" s="1" t="inlineStr">
        <is>
          <t>LE XUAN HUNG LE XUAN HUNG  25802700127 LNH0925ND 01  0816575458 TAI IBT BIDV                 HANOI</t>
        </is>
      </c>
    </row>
    <row r="277">
      <c r="A277" s="1" t="inlineStr">
        <is>
          <t>25-Aug-25</t>
        </is>
      </c>
      <c r="B277" s="1" t="inlineStr">
        <is>
          <t>I60416</t>
        </is>
      </c>
      <c r="C277" s="1" t="inlineStr">
        <is>
          <t>25802700153</t>
        </is>
      </c>
      <c r="D277" s="1" t="inlineStr">
        <is>
          <t>Leâ Thaùi</t>
        </is>
      </c>
      <c r="E277" s="1" t="inlineStr">
        <is>
          <t>Long</t>
        </is>
      </c>
      <c r="F277" s="1" t="inlineStr">
        <is>
          <t>20-May-07</t>
        </is>
      </c>
      <c r="G277" s="1" t="inlineStr">
        <is>
          <t>LNH0925ND01</t>
        </is>
      </c>
      <c r="H277" s="1" t="inlineStr">
        <is>
          <t>09AV Giao tiep QT (TS)</t>
        </is>
      </c>
      <c r="I277" s="1" t="n">
        <v>7573500</v>
      </c>
      <c r="J277" s="1" t="inlineStr">
        <is>
          <t>MBBANK IBFT LE THAI LONG  25802700153 LNH0925ND 01 TAI IBT-MB                   HANOI</t>
        </is>
      </c>
    </row>
    <row r="278">
      <c r="A278" s="1" t="inlineStr">
        <is>
          <t>25-Aug-25</t>
        </is>
      </c>
      <c r="B278" s="1" t="inlineStr">
        <is>
          <t>I60417</t>
        </is>
      </c>
      <c r="C278" s="1" t="inlineStr">
        <is>
          <t>25807500098</t>
        </is>
      </c>
      <c r="D278" s="1" t="inlineStr">
        <is>
          <t>Phan Ngoïc Phuù</t>
        </is>
      </c>
      <c r="E278" s="1" t="inlineStr">
        <is>
          <t>Quí</t>
        </is>
      </c>
      <c r="F278" s="1" t="inlineStr">
        <is>
          <t>12-Sep-07</t>
        </is>
      </c>
      <c r="G278" s="1" t="inlineStr">
        <is>
          <t>LNH0925ND01</t>
        </is>
      </c>
      <c r="H278" s="1" t="inlineStr">
        <is>
          <t>09AV Giao tiep QT (TS)</t>
        </is>
      </c>
      <c r="I278" s="1" t="n">
        <v>7915000</v>
      </c>
      <c r="J278" s="1" t="inlineStr">
        <is>
          <t>PHAN TUAN LINH PHAN NGOC PHU QUI 25807500098 LNH09 25ND01 0937769087-250825-15 19 12 5 10474 TAI Ngan hang a chau       IBT SMARLINK</t>
        </is>
      </c>
    </row>
    <row r="279">
      <c r="A279" s="1" t="inlineStr">
        <is>
          <t>25-Aug-25</t>
        </is>
      </c>
      <c r="B279" s="1" t="inlineStr">
        <is>
          <t>I60418</t>
        </is>
      </c>
      <c r="C279" s="1" t="inlineStr">
        <is>
          <t>25802700162</t>
        </is>
      </c>
      <c r="D279" s="1" t="inlineStr">
        <is>
          <t>Vuõ Thò Minh</t>
        </is>
      </c>
      <c r="E279" s="1" t="inlineStr">
        <is>
          <t>Thö</t>
        </is>
      </c>
      <c r="F279" s="1" t="inlineStr">
        <is>
          <t>01-May-07</t>
        </is>
      </c>
      <c r="G279" s="1" t="inlineStr">
        <is>
          <t>LNH0925ND01</t>
        </is>
      </c>
      <c r="H279" s="1" t="inlineStr">
        <is>
          <t>09AV Giao tiep QT (TS)</t>
        </is>
      </c>
      <c r="I279" s="1" t="n">
        <v>8145000</v>
      </c>
      <c r="J279" s="1" t="inlineStr">
        <is>
          <t>VU THE DAI VU THI MINH THU 2502700042 LNH0925N D01 0343948502-240825-15 41 10 9795 12 TAI Ngan hang a chau       IBT SMARLINK</t>
        </is>
      </c>
    </row>
    <row r="280">
      <c r="A280" s="1" t="inlineStr">
        <is>
          <t>25-Aug-25</t>
        </is>
      </c>
      <c r="B280" s="1" t="inlineStr">
        <is>
          <t>I60419</t>
        </is>
      </c>
      <c r="C280" s="1" t="inlineStr">
        <is>
          <t>25807900003</t>
        </is>
      </c>
      <c r="D280" s="1" t="inlineStr">
        <is>
          <t>Leâ Gia</t>
        </is>
      </c>
      <c r="E280" s="1" t="inlineStr">
        <is>
          <t>Baûo</t>
        </is>
      </c>
      <c r="F280" s="1" t="inlineStr">
        <is>
          <t>16-Feb-07</t>
        </is>
      </c>
      <c r="G280" s="1" t="inlineStr">
        <is>
          <t>LNH0925ND01</t>
        </is>
      </c>
      <c r="H280" s="1" t="inlineStr">
        <is>
          <t>09AV Giao tiep QT (TS)</t>
        </is>
      </c>
      <c r="I280" s="1" t="n">
        <v>8415000</v>
      </c>
      <c r="J280" s="1" t="inlineStr">
        <is>
          <t>HUYNH THI THUY TRANG MBVCB.10662141338.141961.Le Gia Bao 25807900003 LNH0925ND01 0828380207 357.CT tu 0121000731749 HUYNH THI THUY TRANG toi 0521043748045 HUTECHtai ABBANK TAI Vietcombank</t>
        </is>
      </c>
    </row>
    <row r="281">
      <c r="A281" s="1" t="inlineStr">
        <is>
          <t>25-Aug-25</t>
        </is>
      </c>
      <c r="B281" s="1" t="inlineStr">
        <is>
          <t>I60420</t>
        </is>
      </c>
      <c r="C281" s="1" t="inlineStr">
        <is>
          <t>25808700011</t>
        </is>
      </c>
      <c r="D281" s="1" t="inlineStr">
        <is>
          <t>Laâm Ngoïc Thuøy</t>
        </is>
      </c>
      <c r="E281" s="1" t="inlineStr">
        <is>
          <t>Döông</t>
        </is>
      </c>
      <c r="F281" s="1" t="inlineStr">
        <is>
          <t>03-Jul-07</t>
        </is>
      </c>
      <c r="G281" s="1" t="inlineStr">
        <is>
          <t>LNH0925ND01</t>
        </is>
      </c>
      <c r="H281" s="1" t="inlineStr">
        <is>
          <t>09AV Giao tiep QT (TS)</t>
        </is>
      </c>
      <c r="I281" s="1" t="n">
        <v>8415000</v>
      </c>
      <c r="J281" s="1" t="inlineStr">
        <is>
          <t>SHBMB LAM NGOC THUY DUONG MSSV 2580870001 1 LNH0925ND01 SDT 0777567361 TAI NganhangthuongmaicpSHB HaNoiVietNam</t>
        </is>
      </c>
    </row>
    <row r="282">
      <c r="A282" s="1" t="inlineStr">
        <is>
          <t>25-Aug-25</t>
        </is>
      </c>
      <c r="B282" s="1" t="inlineStr">
        <is>
          <t>I60421</t>
        </is>
      </c>
      <c r="C282" s="1" t="inlineStr">
        <is>
          <t>25803800021</t>
        </is>
      </c>
      <c r="D282" s="1" t="inlineStr">
        <is>
          <t>Ñoã Quoác</t>
        </is>
      </c>
      <c r="E282" s="1" t="inlineStr">
        <is>
          <t>Khaùnh</t>
        </is>
      </c>
      <c r="F282" s="1" t="inlineStr">
        <is>
          <t>20-May-07</t>
        </is>
      </c>
      <c r="G282" s="1" t="inlineStr">
        <is>
          <t>LNH0925ND01</t>
        </is>
      </c>
      <c r="H282" s="1" t="inlineStr">
        <is>
          <t>09AV Giao tiep QT (TS)</t>
        </is>
      </c>
      <c r="I282" s="1" t="n">
        <v>8415000</v>
      </c>
      <c r="J282" s="1" t="inlineStr">
        <is>
          <t>SACOMBANK IBFT Do Quoc Khanh 25803800021 LNH0 925ND01 0816323526 TAI SACOMBANK              HCM</t>
        </is>
      </c>
    </row>
    <row r="283">
      <c r="A283" s="1" t="inlineStr">
        <is>
          <t>25-Aug-25</t>
        </is>
      </c>
      <c r="B283" s="1" t="inlineStr">
        <is>
          <t>I60422</t>
        </is>
      </c>
      <c r="C283" s="1" t="inlineStr">
        <is>
          <t>25808200067</t>
        </is>
      </c>
      <c r="D283" s="1" t="inlineStr">
        <is>
          <t>Nguyeãn Ngoïc Ñaêng</t>
        </is>
      </c>
      <c r="E283" s="1" t="inlineStr">
        <is>
          <t>Khoa</t>
        </is>
      </c>
      <c r="F283" s="1" t="inlineStr">
        <is>
          <t>16-May-07</t>
        </is>
      </c>
      <c r="G283" s="1" t="inlineStr">
        <is>
          <t>LNH0925ND01</t>
        </is>
      </c>
      <c r="H283" s="1" t="inlineStr">
        <is>
          <t>09AV Giao tiep QT (TS)</t>
        </is>
      </c>
      <c r="I283" s="1" t="n">
        <v>8415000</v>
      </c>
      <c r="J283" s="1" t="inlineStr">
        <is>
          <t>VND-TGTT-NGUYEN THUY NGOC TUYEN Nguyen Ngoc Dang Khoa 25808200067 L NH0925ND01 FT25237780267917 TAI TECHCOMBANK            HANOI</t>
        </is>
      </c>
    </row>
    <row r="284">
      <c r="A284" s="1" t="inlineStr">
        <is>
          <t>25-Aug-25</t>
        </is>
      </c>
      <c r="B284" s="1" t="inlineStr">
        <is>
          <t>I60423</t>
        </is>
      </c>
      <c r="C284" s="1" t="inlineStr">
        <is>
          <t>25820500009</t>
        </is>
      </c>
      <c r="D284" s="1" t="inlineStr">
        <is>
          <t>Huyønh Uyeån</t>
        </is>
      </c>
      <c r="E284" s="1" t="inlineStr">
        <is>
          <t>My</t>
        </is>
      </c>
      <c r="F284" s="1" t="inlineStr">
        <is>
          <t>08-Apr-07</t>
        </is>
      </c>
      <c r="G284" s="1" t="inlineStr">
        <is>
          <t>LNH0925ND01</t>
        </is>
      </c>
      <c r="H284" s="1" t="inlineStr">
        <is>
          <t>09AV Giao tiep QT (TS)</t>
        </is>
      </c>
      <c r="I284" s="1" t="n">
        <v>0</v>
      </c>
      <c r="J284" s="1" t="inlineStr">
        <is>
          <t>(chuyen EDU)HUYNH QUAN MBVCB.10663262522.933467.HUYNH UYEN MY 25820500009 LNH0925ND01.CT tu 0 071001958492 HUYNH QUAN toi 0521043 748045 HUTECH tai ABBANK TAI Vietcombank</t>
        </is>
      </c>
    </row>
    <row r="285">
      <c r="A285" s="1" t="inlineStr">
        <is>
          <t>25-Aug-25</t>
        </is>
      </c>
      <c r="B285" s="1" t="inlineStr">
        <is>
          <t>I60424</t>
        </is>
      </c>
      <c r="C285" s="1" t="inlineStr">
        <is>
          <t>25800400152</t>
        </is>
      </c>
      <c r="D285" s="1" t="inlineStr">
        <is>
          <t>Ñaøo Quoác</t>
        </is>
      </c>
      <c r="E285" s="1" t="inlineStr">
        <is>
          <t>Thuaän</t>
        </is>
      </c>
      <c r="F285" s="1" t="inlineStr">
        <is>
          <t>09-May-07</t>
        </is>
      </c>
      <c r="G285" s="1" t="inlineStr">
        <is>
          <t>LNH0925ND01</t>
        </is>
      </c>
      <c r="H285" s="1" t="inlineStr">
        <is>
          <t>09AV Giao tiep QT (TS)</t>
        </is>
      </c>
      <c r="I285" s="1" t="n">
        <v>8415000</v>
      </c>
      <c r="J285" s="1" t="inlineStr">
        <is>
          <t>DUONG THI HONG VAN ABBank 0521043748045 Dao Quoc Thuan 25800400152 LNH0925ND010337261007 TAI Agribank</t>
        </is>
      </c>
    </row>
    <row r="286">
      <c r="A286" s="1" t="inlineStr">
        <is>
          <t>25-Aug-25</t>
        </is>
      </c>
      <c r="B286" s="1" t="inlineStr">
        <is>
          <t>I60425</t>
        </is>
      </c>
      <c r="C286" s="1" t="inlineStr">
        <is>
          <t>25801800082</t>
        </is>
      </c>
      <c r="D286" s="1" t="inlineStr">
        <is>
          <t>Nguyeãn Anh</t>
        </is>
      </c>
      <c r="E286" s="1" t="inlineStr">
        <is>
          <t>Tuaán</t>
        </is>
      </c>
      <c r="F286" s="1" t="inlineStr">
        <is>
          <t>02-Jan-07</t>
        </is>
      </c>
      <c r="G286" s="1" t="inlineStr">
        <is>
          <t>LNH0925ND01</t>
        </is>
      </c>
      <c r="H286" s="1" t="inlineStr">
        <is>
          <t>09AV Giao tiep QT (TS)</t>
        </is>
      </c>
      <c r="I286" s="1" t="n">
        <v>8415000</v>
      </c>
      <c r="J286" s="1" t="inlineStr">
        <is>
          <t>MBBANK IBFT NGUYEN VAN TUONG chuyen tien nguyen anh tuan 25801800082 LNH0925ND01 TAI IBT-MB                   HANOI</t>
        </is>
      </c>
    </row>
    <row r="287">
      <c r="A287" s="1" t="inlineStr">
        <is>
          <t>25-Aug-25</t>
        </is>
      </c>
      <c r="B287" s="1" t="inlineStr">
        <is>
          <t>I60426</t>
        </is>
      </c>
      <c r="C287" s="1" t="inlineStr">
        <is>
          <t>25802800087</t>
        </is>
      </c>
      <c r="D287" s="1" t="inlineStr">
        <is>
          <t>Höôùng Huyønh Gia</t>
        </is>
      </c>
      <c r="E287" s="1" t="inlineStr">
        <is>
          <t>Huy</t>
        </is>
      </c>
      <c r="F287" s="1" t="inlineStr">
        <is>
          <t>12-Jul-07</t>
        </is>
      </c>
      <c r="G287" s="1" t="inlineStr">
        <is>
          <t>LNH0925ND01</t>
        </is>
      </c>
      <c r="H287" s="1" t="inlineStr">
        <is>
          <t>09AV Giao tiep QT (TS)</t>
        </is>
      </c>
      <c r="I287" s="1" t="n">
        <v>8415000</v>
      </c>
      <c r="J287" s="1" t="inlineStr">
        <is>
          <t>NGUYEN TRUNG NGHIA HUONG HUYNH GIA HUY  25802800087  L NH0925ND01  0398430897 TAI VietinBank</t>
        </is>
      </c>
    </row>
    <row r="288">
      <c r="A288" s="1" t="inlineStr">
        <is>
          <t>25-Aug-25</t>
        </is>
      </c>
      <c r="B288" s="1" t="inlineStr">
        <is>
          <t>I60427</t>
        </is>
      </c>
      <c r="C288" s="1" t="inlineStr">
        <is>
          <t>25808700099</t>
        </is>
      </c>
      <c r="D288" s="1" t="inlineStr">
        <is>
          <t>Leâ Nguyeãn Myõ</t>
        </is>
      </c>
      <c r="E288" s="1" t="inlineStr">
        <is>
          <t>Thöôøng</t>
        </is>
      </c>
      <c r="F288" s="1" t="inlineStr">
        <is>
          <t>24-Mar-07</t>
        </is>
      </c>
      <c r="G288" s="1" t="inlineStr">
        <is>
          <t>LNH0925ND01</t>
        </is>
      </c>
      <c r="H288" s="1" t="inlineStr">
        <is>
          <t>09AV Giao tiep QT (TS)</t>
        </is>
      </c>
      <c r="I288" s="1" t="n">
        <v>8415000</v>
      </c>
      <c r="J288" s="1" t="inlineStr">
        <is>
          <t>VND-TGTT-NGUYEN THI HONG LOAN NGUYEN THI HONG LOAN chuyen tien FT 25237164200109 TAI TECHCOMBANK            HANOI</t>
        </is>
      </c>
    </row>
    <row r="289">
      <c r="A289" s="1" t="inlineStr">
        <is>
          <t>25-Aug-25</t>
        </is>
      </c>
      <c r="B289" s="1" t="inlineStr">
        <is>
          <t>I60428</t>
        </is>
      </c>
      <c r="C289" s="1" t="inlineStr">
        <is>
          <t>25807500063</t>
        </is>
      </c>
      <c r="D289" s="1" t="inlineStr">
        <is>
          <t>Ngoâ Ngoïc</t>
        </is>
      </c>
      <c r="E289" s="1" t="inlineStr">
        <is>
          <t>Long</t>
        </is>
      </c>
      <c r="F289" s="1" t="inlineStr">
        <is>
          <t>29-Dec-07</t>
        </is>
      </c>
      <c r="G289" s="1" t="inlineStr">
        <is>
          <t>LNH0925ND01</t>
        </is>
      </c>
      <c r="H289" s="1" t="inlineStr">
        <is>
          <t>09AV Giao tiep QT (TS)</t>
        </is>
      </c>
      <c r="I289" s="1" t="n">
        <v>8415000</v>
      </c>
      <c r="J289" s="1" t="inlineStr">
        <is>
          <t>NGO THANH NGUYEN MBVCB.10663800029.318124.ngo ngoc l ong - 25807500063 - LNH0925ND01 - 0 908192207.CT tu 9909901817 NGO THAN H NGUYEN toi 0521043748045 HUTECH tai ABBANK TAI Vietcombank</t>
        </is>
      </c>
    </row>
    <row r="290">
      <c r="A290" s="1" t="inlineStr">
        <is>
          <t>25-Aug-25</t>
        </is>
      </c>
      <c r="B290" s="1" t="inlineStr">
        <is>
          <t>I60429</t>
        </is>
      </c>
      <c r="C290" s="1" t="inlineStr">
        <is>
          <t>25808600160</t>
        </is>
      </c>
      <c r="D290" s="1" t="inlineStr">
        <is>
          <t>Nguyeãn Thò Nhö</t>
        </is>
      </c>
      <c r="E290" s="1" t="inlineStr">
        <is>
          <t>YÙ</t>
        </is>
      </c>
      <c r="F290" s="1" t="inlineStr">
        <is>
          <t>11-Mar-07</t>
        </is>
      </c>
      <c r="G290" s="1" t="inlineStr">
        <is>
          <t>LNH0925ND01</t>
        </is>
      </c>
      <c r="H290" s="1" t="inlineStr">
        <is>
          <t>09AV Giao tiep QT (TS)</t>
        </is>
      </c>
      <c r="I290" s="1" t="n">
        <v>8415000</v>
      </c>
      <c r="J290" s="1" t="inlineStr">
        <is>
          <t>NGUYEN TRUNG NGHIA NGUYEN THI NHU Y  25808600160  LNH0 925ND01  0377760854 TAI VietinBank</t>
        </is>
      </c>
    </row>
    <row r="291">
      <c r="A291" s="1" t="inlineStr">
        <is>
          <t>25-Aug-25</t>
        </is>
      </c>
      <c r="B291" s="1" t="inlineStr">
        <is>
          <t>I60430</t>
        </is>
      </c>
      <c r="C291" s="1" t="inlineStr">
        <is>
          <t>25808200139</t>
        </is>
      </c>
      <c r="D291" s="1" t="inlineStr">
        <is>
          <t>Löông Maïnh</t>
        </is>
      </c>
      <c r="E291" s="1" t="inlineStr">
        <is>
          <t>Tuaán</t>
        </is>
      </c>
      <c r="F291" s="1" t="inlineStr">
        <is>
          <t>18-Oct-07</t>
        </is>
      </c>
      <c r="G291" s="1" t="inlineStr">
        <is>
          <t>LNH0925ND01</t>
        </is>
      </c>
      <c r="H291" s="1" t="inlineStr">
        <is>
          <t>09AV Giao tiep QT (TS)</t>
        </is>
      </c>
      <c r="I291" s="1" t="n">
        <v>8415000</v>
      </c>
      <c r="J291" s="1" t="inlineStr">
        <is>
          <t>MBBANK IBFT Luong Manh Tuan 25808200139 LNH0925 ND01 0977006307 TAI IBT-MB                   HANOI</t>
        </is>
      </c>
    </row>
    <row r="292">
      <c r="A292" s="1" t="inlineStr">
        <is>
          <t>25-Aug-25</t>
        </is>
      </c>
      <c r="B292" s="1" t="inlineStr">
        <is>
          <t>I60431</t>
        </is>
      </c>
      <c r="C292" s="1" t="inlineStr">
        <is>
          <t>25808700114</t>
        </is>
      </c>
      <c r="D292" s="1" t="inlineStr">
        <is>
          <t>Nguyeãn Höõu</t>
        </is>
      </c>
      <c r="E292" s="1" t="inlineStr">
        <is>
          <t>Tröôøng</t>
        </is>
      </c>
      <c r="F292" s="1" t="inlineStr">
        <is>
          <t>18-Aug-07</t>
        </is>
      </c>
      <c r="G292" s="1" t="inlineStr">
        <is>
          <t>LNH0925ND01</t>
        </is>
      </c>
      <c r="H292" s="1" t="inlineStr">
        <is>
          <t>09AV Giao tiep QT (TS)</t>
        </is>
      </c>
      <c r="I292" s="1" t="n">
        <v>8415000</v>
      </c>
      <c r="J292" s="1" t="inlineStr">
        <is>
          <t>NGUYEN HUU PHUONG ABBank 0521043748045 nguyen huu tru ong 25808700114 lnh0925nd01 TAI Agribank</t>
        </is>
      </c>
    </row>
    <row r="293">
      <c r="A293" s="1" t="inlineStr">
        <is>
          <t>25-Aug-25</t>
        </is>
      </c>
      <c r="B293" s="1" t="inlineStr">
        <is>
          <t>I60432</t>
        </is>
      </c>
      <c r="C293" s="1" t="inlineStr">
        <is>
          <t>25808200051</t>
        </is>
      </c>
      <c r="D293" s="1" t="inlineStr">
        <is>
          <t>Lö Gia</t>
        </is>
      </c>
      <c r="E293" s="1" t="inlineStr">
        <is>
          <t>Huy</t>
        </is>
      </c>
      <c r="F293" s="1" t="inlineStr">
        <is>
          <t>16-Nov-07</t>
        </is>
      </c>
      <c r="G293" s="1" t="inlineStr">
        <is>
          <t>LNH0925ND01</t>
        </is>
      </c>
      <c r="H293" s="1" t="inlineStr">
        <is>
          <t>09AV Giao tiep QT (TS)</t>
        </is>
      </c>
      <c r="I293" s="1" t="n">
        <v>8415000</v>
      </c>
      <c r="J293" s="1" t="inlineStr">
        <is>
          <t>DINH THI THE PHUONG LU GIA HUY 25808200051 LNH0925ND01 0902621107 TAI VietinBank</t>
        </is>
      </c>
    </row>
    <row r="294">
      <c r="A294" s="1" t="inlineStr">
        <is>
          <t>25-Aug-25</t>
        </is>
      </c>
      <c r="B294" s="1" t="inlineStr">
        <is>
          <t>I60433</t>
        </is>
      </c>
      <c r="C294" s="1" t="inlineStr">
        <is>
          <t>25800500135</t>
        </is>
      </c>
      <c r="D294" s="1" t="inlineStr">
        <is>
          <t>Leâ Thanh</t>
        </is>
      </c>
      <c r="E294" s="1" t="inlineStr">
        <is>
          <t>Phong</t>
        </is>
      </c>
      <c r="F294" s="1" t="inlineStr">
        <is>
          <t>23-Nov-07</t>
        </is>
      </c>
      <c r="G294" s="1" t="inlineStr">
        <is>
          <t>LNH0925ND01</t>
        </is>
      </c>
      <c r="H294" s="1" t="inlineStr">
        <is>
          <t>09AV Giao tiep QT (TS)</t>
        </is>
      </c>
      <c r="I294" s="1" t="n">
        <v>8415000</v>
      </c>
      <c r="J294" s="1" t="inlineStr">
        <is>
          <t>MBBANK IBFT LE THANH PHONG 25800500135LNH0925ND 01 0975124306 246 TAI IBT-MB                   HANOI</t>
        </is>
      </c>
    </row>
    <row r="295">
      <c r="A295" s="1" t="inlineStr">
        <is>
          <t>25-Aug-25</t>
        </is>
      </c>
      <c r="B295" s="1" t="inlineStr">
        <is>
          <t>I60434</t>
        </is>
      </c>
      <c r="C295" s="1" t="inlineStr">
        <is>
          <t>25807500032</t>
        </is>
      </c>
      <c r="D295" s="1" t="inlineStr">
        <is>
          <t>Traàn Ngoïc</t>
        </is>
      </c>
      <c r="E295" s="1" t="inlineStr">
        <is>
          <t>Hieáu</t>
        </is>
      </c>
      <c r="F295" s="1" t="inlineStr">
        <is>
          <t>05-Dec-07</t>
        </is>
      </c>
      <c r="G295" s="1" t="inlineStr">
        <is>
          <t>LNH0925ND01</t>
        </is>
      </c>
      <c r="H295" s="1" t="inlineStr">
        <is>
          <t>09AV Giao tiep QT (TS)</t>
        </is>
      </c>
      <c r="I295" s="1" t="n">
        <v>8415000</v>
      </c>
      <c r="J295" s="1" t="inlineStr">
        <is>
          <t>NGUYEN THUY OANH ABBank 0521043748045 Tran Ngoc Hieu -25807500032- 0356481830 TAI Agribank</t>
        </is>
      </c>
    </row>
    <row r="296">
      <c r="A296" s="1" t="inlineStr">
        <is>
          <t>25-Aug-25</t>
        </is>
      </c>
      <c r="B296" s="1" t="inlineStr">
        <is>
          <t>I60435</t>
        </is>
      </c>
      <c r="C296" s="1" t="inlineStr">
        <is>
          <t>25820300043</t>
        </is>
      </c>
      <c r="D296" s="1" t="inlineStr">
        <is>
          <t>Traàn Taán</t>
        </is>
      </c>
      <c r="E296" s="1" t="inlineStr">
        <is>
          <t>Phaùt</t>
        </is>
      </c>
      <c r="F296" s="1" t="inlineStr">
        <is>
          <t>09-Mar-07</t>
        </is>
      </c>
      <c r="G296" s="1" t="inlineStr">
        <is>
          <t>LNH0925ND01</t>
        </is>
      </c>
      <c r="H296" s="1" t="inlineStr">
        <is>
          <t>09AV Giao tiep QT (TS)</t>
        </is>
      </c>
      <c r="I296" s="1" t="n">
        <v>8415000</v>
      </c>
      <c r="J296" s="1" t="inlineStr">
        <is>
          <t>TRAN MINH TAN TRANTANPHAT 25820300043 LNH0925ND01 0354553157 TAI IBT BIDV                 HANOI</t>
        </is>
      </c>
    </row>
    <row r="297">
      <c r="A297" s="1" t="inlineStr">
        <is>
          <t>25-Aug-25</t>
        </is>
      </c>
      <c r="B297" s="1" t="inlineStr">
        <is>
          <t>I60436</t>
        </is>
      </c>
      <c r="C297" s="1" t="inlineStr">
        <is>
          <t>25820100030</t>
        </is>
      </c>
      <c r="D297" s="1" t="inlineStr">
        <is>
          <t>Phan Vuõ Gia</t>
        </is>
      </c>
      <c r="E297" s="1" t="inlineStr">
        <is>
          <t>Minh</t>
        </is>
      </c>
      <c r="F297" s="1" t="inlineStr">
        <is>
          <t>12-Jan-07</t>
        </is>
      </c>
      <c r="G297" s="1" t="inlineStr">
        <is>
          <t>LNH0925ND01</t>
        </is>
      </c>
      <c r="H297" s="1" t="inlineStr">
        <is>
          <t>09AV Giao tiep QT (TS)</t>
        </is>
      </c>
      <c r="I297" s="1" t="n">
        <v>8415000</v>
      </c>
      <c r="J297" s="1" t="inlineStr">
        <is>
          <t>PHAN THANH GIANG MBVCB.10673349211.866770.Phan Vu Gi a Minh  25820100030   LNH0925ND01.C T tu 0111000191862 PHAN THANH GIANG toi 0521043748045 HUTECH tai ABBAN TAI Vietcombank</t>
        </is>
      </c>
    </row>
    <row r="298">
      <c r="A298" s="1" t="inlineStr">
        <is>
          <t>25-Aug-25</t>
        </is>
      </c>
      <c r="B298" s="1" t="inlineStr">
        <is>
          <t>I60437</t>
        </is>
      </c>
      <c r="C298" s="1" t="inlineStr">
        <is>
          <t>25800500155</t>
        </is>
      </c>
      <c r="D298" s="1" t="inlineStr">
        <is>
          <t>Phaïm Duy</t>
        </is>
      </c>
      <c r="E298" s="1" t="inlineStr">
        <is>
          <t>Taân</t>
        </is>
      </c>
      <c r="F298" s="1" t="inlineStr">
        <is>
          <t>06-May-07</t>
        </is>
      </c>
      <c r="G298" s="1" t="inlineStr">
        <is>
          <t>LNH0925ND01</t>
        </is>
      </c>
      <c r="H298" s="1" t="inlineStr">
        <is>
          <t>09AV Giao tiep QT (TS)</t>
        </is>
      </c>
      <c r="I298" s="1" t="n">
        <v>8415000</v>
      </c>
      <c r="J298" s="1" t="inlineStr">
        <is>
          <t>NGUYEN TRUNG NGHIA PHAM DUY TAN  25800500155  LNH0925N D01  0355184767 TAI VietinBank</t>
        </is>
      </c>
    </row>
    <row r="299">
      <c r="A299" s="1" t="inlineStr">
        <is>
          <t>25-Aug-25</t>
        </is>
      </c>
      <c r="B299" s="1" t="inlineStr">
        <is>
          <t>I60438</t>
        </is>
      </c>
      <c r="C299" s="1" t="inlineStr">
        <is>
          <t>25802800157</t>
        </is>
      </c>
      <c r="D299" s="1" t="inlineStr">
        <is>
          <t>Nguyeãn Taán</t>
        </is>
      </c>
      <c r="E299" s="1" t="inlineStr">
        <is>
          <t>Nghóa</t>
        </is>
      </c>
      <c r="F299" s="1" t="inlineStr">
        <is>
          <t>19-Nov-06</t>
        </is>
      </c>
      <c r="G299" s="1" t="inlineStr">
        <is>
          <t>LNH0925ND01</t>
        </is>
      </c>
      <c r="H299" s="1" t="inlineStr">
        <is>
          <t>09AV Giao tiep QT (TS)</t>
        </is>
      </c>
      <c r="I299" s="1" t="n">
        <v>8415000</v>
      </c>
      <c r="J299" s="1" t="inlineStr">
        <is>
          <t>NGUYEN TRUNG NGHIA NGUYEN TAN NGHIA  25802800157  LNH0 925ND01  0334791240 TAI VietinBank</t>
        </is>
      </c>
    </row>
    <row r="300">
      <c r="A300" s="1" t="inlineStr">
        <is>
          <t>25-Aug-25</t>
        </is>
      </c>
      <c r="B300" s="1" t="inlineStr">
        <is>
          <t>I60439</t>
        </is>
      </c>
      <c r="C300" s="1" t="inlineStr">
        <is>
          <t>25805900043</t>
        </is>
      </c>
      <c r="D300" s="1" t="inlineStr">
        <is>
          <t>Nguyeãn Phöông</t>
        </is>
      </c>
      <c r="E300" s="1" t="inlineStr">
        <is>
          <t>Thaûo</t>
        </is>
      </c>
      <c r="F300" s="1" t="inlineStr">
        <is>
          <t>23-Jan-07</t>
        </is>
      </c>
      <c r="G300" s="1" t="inlineStr">
        <is>
          <t>LNH0925ND01</t>
        </is>
      </c>
      <c r="H300" s="1" t="inlineStr">
        <is>
          <t>09AV Giao tiep QT (TS)</t>
        </is>
      </c>
      <c r="I300" s="1" t="n">
        <v>8415000</v>
      </c>
      <c r="J300" s="1" t="inlineStr">
        <is>
          <t>NGUYEN QUOC DUNG QR - NGUYEN PHuong Thao 25805900043 LNH0925ND01 0908347149 TAI VietinBank</t>
        </is>
      </c>
    </row>
    <row r="301">
      <c r="A301" s="1" t="inlineStr">
        <is>
          <t>25-Aug-25</t>
        </is>
      </c>
      <c r="B301" s="1" t="inlineStr">
        <is>
          <t>I60440</t>
        </is>
      </c>
      <c r="C301" s="1" t="inlineStr">
        <is>
          <t>25807900073</t>
        </is>
      </c>
      <c r="D301" s="1" t="inlineStr">
        <is>
          <t>Tröông Taán</t>
        </is>
      </c>
      <c r="E301" s="1" t="inlineStr">
        <is>
          <t>Long</t>
        </is>
      </c>
      <c r="F301" s="1" t="inlineStr">
        <is>
          <t>20-Oct-07</t>
        </is>
      </c>
      <c r="G301" s="1" t="inlineStr">
        <is>
          <t>LNH0925ND01</t>
        </is>
      </c>
      <c r="H301" s="1" t="inlineStr">
        <is>
          <t>09AV Giao tiep QT (TS)</t>
        </is>
      </c>
      <c r="I301" s="1" t="n">
        <v>8415000</v>
      </c>
      <c r="J301" s="1" t="inlineStr">
        <is>
          <t>MBBANK IBFT Truong Tan long   25807900073  LNH 0925ND01   0819506987 TAI IBT-MB                   HANOI</t>
        </is>
      </c>
    </row>
    <row r="302">
      <c r="A302" s="1" t="inlineStr">
        <is>
          <t>25-Aug-25</t>
        </is>
      </c>
      <c r="B302" s="1" t="inlineStr">
        <is>
          <t>I60441</t>
        </is>
      </c>
      <c r="C302" s="1" t="inlineStr">
        <is>
          <t>25807400005</t>
        </is>
      </c>
      <c r="D302" s="1" t="inlineStr">
        <is>
          <t>Nguyeãn Vaên Huy</t>
        </is>
      </c>
      <c r="E302" s="1" t="inlineStr">
        <is>
          <t>Hoaøng</t>
        </is>
      </c>
      <c r="F302" s="1" t="inlineStr">
        <is>
          <t>10-Dec-07</t>
        </is>
      </c>
      <c r="G302" s="1" t="inlineStr">
        <is>
          <t>LNH0925ND01</t>
        </is>
      </c>
      <c r="H302" s="1" t="inlineStr">
        <is>
          <t>09AV Giao tiep QT (TS)</t>
        </is>
      </c>
      <c r="I302" s="1" t="n">
        <v>8415000</v>
      </c>
      <c r="J302" s="1" t="inlineStr">
        <is>
          <t>VND-TKTT- NGUYEN THI TRA Huy Hoang 25807400005 LNH0925ND01 0 858320180 FT25237590441959 TAI TECHCOMBANK            HANOI</t>
        </is>
      </c>
    </row>
    <row r="303">
      <c r="A303" s="1" t="inlineStr">
        <is>
          <t>25-Aug-25</t>
        </is>
      </c>
      <c r="B303" s="1" t="inlineStr">
        <is>
          <t>I60442</t>
        </is>
      </c>
      <c r="C303" s="1" t="inlineStr">
        <is>
          <t>25820100028</t>
        </is>
      </c>
      <c r="D303" s="1" t="inlineStr">
        <is>
          <t>Traàn Nguyeãn Hoaøng</t>
        </is>
      </c>
      <c r="E303" s="1" t="inlineStr">
        <is>
          <t>Long</t>
        </is>
      </c>
      <c r="F303" s="1" t="inlineStr">
        <is>
          <t>26-Nov-07</t>
        </is>
      </c>
      <c r="G303" s="1" t="inlineStr">
        <is>
          <t>LNH0925ND01</t>
        </is>
      </c>
      <c r="H303" s="1" t="inlineStr">
        <is>
          <t>09AV Giao tiep QT (TS)</t>
        </is>
      </c>
      <c r="I303" s="1" t="n">
        <v>8415000</v>
      </c>
      <c r="J303" s="1" t="inlineStr">
        <is>
          <t>MBBANK IBFT TRAN NGUYEN HOANG LONG 25820100028 LNH0925ND01 0386137927 TAI IBT-MB                   HANOI</t>
        </is>
      </c>
    </row>
    <row r="304">
      <c r="A304" s="1" t="inlineStr">
        <is>
          <t>25-Aug-25</t>
        </is>
      </c>
      <c r="B304" s="1" t="inlineStr">
        <is>
          <t>I60443</t>
        </is>
      </c>
      <c r="C304" s="1" t="inlineStr">
        <is>
          <t>25820200112</t>
        </is>
      </c>
      <c r="D304" s="1" t="inlineStr">
        <is>
          <t>Buøi Quang</t>
        </is>
      </c>
      <c r="E304" s="1" t="inlineStr">
        <is>
          <t>Minh</t>
        </is>
      </c>
      <c r="F304" s="1" t="inlineStr">
        <is>
          <t>15-Dec-07</t>
        </is>
      </c>
      <c r="G304" s="1" t="inlineStr">
        <is>
          <t>LNH0925ND01</t>
        </is>
      </c>
      <c r="H304" s="1" t="inlineStr">
        <is>
          <t>09AV Giao tiep QT (TS)</t>
        </is>
      </c>
      <c r="I304" s="1" t="n">
        <v>8415000</v>
      </c>
      <c r="J304" s="1" t="inlineStr">
        <is>
          <t>PHAM THI THU NGOC Bui Quang Minh 2520200040 lNH0925ND 01 0938690362 246 TAI IBT TIENPHONGBANK      HANOI</t>
        </is>
      </c>
    </row>
    <row r="305">
      <c r="A305" s="1" t="inlineStr">
        <is>
          <t>25-Aug-25</t>
        </is>
      </c>
      <c r="B305" s="1" t="inlineStr">
        <is>
          <t>I60444</t>
        </is>
      </c>
      <c r="C305" s="1" t="inlineStr">
        <is>
          <t>25803800007</t>
        </is>
      </c>
      <c r="D305" s="1" t="inlineStr">
        <is>
          <t>Nguyeãn Laâm Thieân</t>
        </is>
      </c>
      <c r="E305" s="1" t="inlineStr">
        <is>
          <t>Baûo</t>
        </is>
      </c>
      <c r="F305" s="1" t="inlineStr">
        <is>
          <t>14-Mar-07</t>
        </is>
      </c>
      <c r="G305" s="1" t="inlineStr">
        <is>
          <t>LNH0925ND01</t>
        </is>
      </c>
      <c r="H305" s="1" t="inlineStr">
        <is>
          <t>09AV Giao tiep QT (TS)</t>
        </is>
      </c>
      <c r="I305" s="1" t="n">
        <v>8415000</v>
      </c>
      <c r="J305" s="1" t="inlineStr">
        <is>
          <t>NGUYEN LAM TUONG VI MBVCB.10674664951.722642.NGUYEN LAM THIEN BAO  25803800007  LNH0925ND0 1  037536351.CT tu 0181002379771 NG UYEN LAM TUONG VI toi 0521043748045HUTECH tai ABBANK TAI Vietcombank</t>
        </is>
      </c>
    </row>
    <row r="306">
      <c r="A306" s="1" t="inlineStr">
        <is>
          <t>25-Aug-25</t>
        </is>
      </c>
      <c r="B306" s="1" t="inlineStr">
        <is>
          <t>I60445</t>
        </is>
      </c>
      <c r="C306" s="1" t="inlineStr">
        <is>
          <t>25802800145</t>
        </is>
      </c>
      <c r="D306" s="1" t="inlineStr">
        <is>
          <t>Kieàu Coâng</t>
        </is>
      </c>
      <c r="E306" s="1" t="inlineStr">
        <is>
          <t>Minh</t>
        </is>
      </c>
      <c r="F306" s="1" t="inlineStr">
        <is>
          <t>12-Oct-06</t>
        </is>
      </c>
      <c r="G306" s="1" t="inlineStr">
        <is>
          <t>LNH0925ND01</t>
        </is>
      </c>
      <c r="H306" s="1" t="inlineStr">
        <is>
          <t>09AV Giao tiep QT (TS)</t>
        </is>
      </c>
      <c r="I306" s="1" t="n">
        <v>8415000</v>
      </c>
      <c r="J306" s="1" t="inlineStr">
        <is>
          <t>DANG HA PHUONG MBVCB.10674882615.864456.KIeu Cong MInh 25802800145 LNH0925ND01 096945 5528.CT tu 0071002629096 DANG HA PH UONG toi 0521043748045 HUTECH tai ABBANK TAI Vietcombank</t>
        </is>
      </c>
    </row>
    <row r="307">
      <c r="A307" s="1" t="inlineStr">
        <is>
          <t>25-Aug-25</t>
        </is>
      </c>
      <c r="B307" s="1" t="inlineStr">
        <is>
          <t>I60446</t>
        </is>
      </c>
      <c r="C307" s="1" t="inlineStr">
        <is>
          <t>25808600069</t>
        </is>
      </c>
      <c r="D307" s="1" t="inlineStr">
        <is>
          <t>Nguyeãn Ngoïc Thanh</t>
        </is>
      </c>
      <c r="E307" s="1" t="inlineStr">
        <is>
          <t>Ngaân</t>
        </is>
      </c>
      <c r="F307" s="1" t="inlineStr">
        <is>
          <t>21-Dec-07</t>
        </is>
      </c>
      <c r="G307" s="1" t="inlineStr">
        <is>
          <t>LNH0925ND01</t>
        </is>
      </c>
      <c r="H307" s="1" t="inlineStr">
        <is>
          <t>09AV Giao tiep QT (TS)</t>
        </is>
      </c>
      <c r="I307" s="1" t="n">
        <v>8415000</v>
      </c>
      <c r="J307" s="1" t="inlineStr">
        <is>
          <t>MBBANK IBFT Nguyen Ngoc Thanh Ngan 25808600069 LNH0925ND01 0782559177 TAI IBT-MB                   HANOI</t>
        </is>
      </c>
    </row>
    <row r="308">
      <c r="A308" s="1" t="inlineStr">
        <is>
          <t>25-Aug-25</t>
        </is>
      </c>
      <c r="B308" s="1" t="inlineStr">
        <is>
          <t>I60447</t>
        </is>
      </c>
      <c r="C308" s="1" t="inlineStr">
        <is>
          <t>25805900008</t>
        </is>
      </c>
      <c r="D308" s="1" t="inlineStr">
        <is>
          <t>Huyønh Taán</t>
        </is>
      </c>
      <c r="E308" s="1" t="inlineStr">
        <is>
          <t>Duõng</t>
        </is>
      </c>
      <c r="F308" s="1" t="inlineStr">
        <is>
          <t>18-Oct-07</t>
        </is>
      </c>
      <c r="G308" s="1" t="inlineStr">
        <is>
          <t>LNH0925ND01</t>
        </is>
      </c>
      <c r="H308" s="1" t="inlineStr">
        <is>
          <t>09AV Giao tiep QT (TS)</t>
        </is>
      </c>
      <c r="I308" s="1" t="n">
        <v>8415000</v>
      </c>
      <c r="J308" s="1" t="inlineStr">
        <is>
          <t>TRAN THI MAI KHANH ABBank 0521043748045 Huynh tan Dung 25805900008  . LNH0925ND01. 09368 64929 . Toi 3-5-7 TAI Agribank</t>
        </is>
      </c>
    </row>
    <row r="309">
      <c r="A309" s="1" t="inlineStr">
        <is>
          <t>25-Aug-25</t>
        </is>
      </c>
      <c r="B309" s="1" t="inlineStr">
        <is>
          <t>I60448</t>
        </is>
      </c>
      <c r="C309" s="1" t="inlineStr">
        <is>
          <t>25808900004</t>
        </is>
      </c>
      <c r="D309" s="1" t="inlineStr">
        <is>
          <t>Ñaøo Duy</t>
        </is>
      </c>
      <c r="E309" s="1" t="inlineStr">
        <is>
          <t>Anh</t>
        </is>
      </c>
      <c r="F309" s="1" t="inlineStr">
        <is>
          <t>02-Mar-07</t>
        </is>
      </c>
      <c r="G309" s="1" t="inlineStr">
        <is>
          <t>LNH0925ND01</t>
        </is>
      </c>
      <c r="H309" s="1" t="inlineStr">
        <is>
          <t>09AV Giao tiep QT (TS)</t>
        </is>
      </c>
      <c r="I309" s="1" t="n">
        <v>8415000</v>
      </c>
      <c r="J309" s="1" t="inlineStr">
        <is>
          <t>LE HONG NGOC O DUY ANH  25DTMA1  LNH0925ND01  09 33806681 TAI SHINHAN BANK VIETNAM B 9th Floor  S</t>
        </is>
      </c>
    </row>
    <row r="310">
      <c r="A310" s="1" t="inlineStr">
        <is>
          <t>25-Aug-25</t>
        </is>
      </c>
      <c r="B310" s="1" t="inlineStr">
        <is>
          <t>I60449</t>
        </is>
      </c>
      <c r="C310" s="1" t="inlineStr">
        <is>
          <t>25801100118</t>
        </is>
      </c>
      <c r="D310" s="1" t="inlineStr">
        <is>
          <t>Thaùi Nguyeãn Nam</t>
        </is>
      </c>
      <c r="E310" s="1" t="inlineStr">
        <is>
          <t>Khaùnh</t>
        </is>
      </c>
      <c r="F310" s="1" t="inlineStr">
        <is>
          <t>07-Nov-07</t>
        </is>
      </c>
      <c r="G310" s="1" t="inlineStr">
        <is>
          <t>LNH0925ND01</t>
        </is>
      </c>
      <c r="H310" s="1" t="inlineStr">
        <is>
          <t>09AV Giao tiep QT (TS)</t>
        </is>
      </c>
      <c r="I310" s="1" t="n">
        <v>8415000</v>
      </c>
      <c r="J310" s="1" t="inlineStr">
        <is>
          <t>VND-TGTT-THAI KIET TAM NAM KHANH 2501100034 LNH0925ND01 09 05242265 FT25237592006159 TAI TECHCOMBANK            HANOI</t>
        </is>
      </c>
    </row>
    <row r="311">
      <c r="A311" s="1" t="inlineStr">
        <is>
          <t>25-Aug-25</t>
        </is>
      </c>
      <c r="B311" s="1" t="inlineStr">
        <is>
          <t>I60450</t>
        </is>
      </c>
      <c r="C311" s="1" t="inlineStr">
        <is>
          <t>25802300187</t>
        </is>
      </c>
      <c r="D311" s="1" t="inlineStr">
        <is>
          <t>Voõ Thaønh Long</t>
        </is>
      </c>
      <c r="E311" s="1" t="inlineStr">
        <is>
          <t>Nhöït</t>
        </is>
      </c>
      <c r="F311" s="1" t="inlineStr">
        <is>
          <t>30-Sep-07</t>
        </is>
      </c>
      <c r="G311" s="1" t="inlineStr">
        <is>
          <t>LNH0925ND01</t>
        </is>
      </c>
      <c r="H311" s="1" t="inlineStr">
        <is>
          <t>09AV Giao tiep QT (TS)</t>
        </is>
      </c>
      <c r="I311" s="1" t="n">
        <v>0</v>
      </c>
      <c r="J311" s="1" t="inlineStr">
        <is>
          <t>(Rut Hp)VO THANH LONG NHUT QR - VO THANH LONG NHUT chuyen tien TAI VietinBank</t>
        </is>
      </c>
    </row>
    <row r="312">
      <c r="A312" s="1" t="inlineStr">
        <is>
          <t>25-Aug-25</t>
        </is>
      </c>
      <c r="B312" s="1" t="inlineStr">
        <is>
          <t>I60451</t>
        </is>
      </c>
      <c r="C312" s="1" t="inlineStr">
        <is>
          <t>25808200223</t>
        </is>
      </c>
      <c r="D312" s="1" t="inlineStr">
        <is>
          <t>Nguyeãn Thanh</t>
        </is>
      </c>
      <c r="E312" s="1" t="inlineStr">
        <is>
          <t>Phong</t>
        </is>
      </c>
      <c r="F312" s="1" t="inlineStr">
        <is>
          <t>20-Oct-07</t>
        </is>
      </c>
      <c r="G312" s="1" t="inlineStr">
        <is>
          <t>LNH0925ND01</t>
        </is>
      </c>
      <c r="H312" s="1" t="inlineStr">
        <is>
          <t>09AV Giao tiep QT (TS)</t>
        </is>
      </c>
      <c r="I312" s="1" t="n">
        <v>8415000</v>
      </c>
      <c r="J312" s="1" t="inlineStr">
        <is>
          <t>NGUYEN TRUNG NGHIA NGUYEN THANH PHONG  2508200066  LNH 0925ND01  0392454293 TAI VietinBank</t>
        </is>
      </c>
    </row>
    <row r="313">
      <c r="A313" s="1" t="inlineStr">
        <is>
          <t>25-Aug-25</t>
        </is>
      </c>
      <c r="B313" s="1" t="inlineStr">
        <is>
          <t>I60452</t>
        </is>
      </c>
      <c r="C313" s="1" t="inlineStr">
        <is>
          <t>25802800389</t>
        </is>
      </c>
      <c r="D313" s="1" t="inlineStr">
        <is>
          <t>Nguyeãn Tuaán</t>
        </is>
      </c>
      <c r="E313" s="1" t="inlineStr">
        <is>
          <t>Khoâi</t>
        </is>
      </c>
      <c r="F313" s="1" t="inlineStr">
        <is>
          <t>31-Jul-07</t>
        </is>
      </c>
      <c r="G313" s="1" t="inlineStr">
        <is>
          <t>LNH0925ND01</t>
        </is>
      </c>
      <c r="H313" s="1" t="inlineStr">
        <is>
          <t>09AV Giao tiep QT (TS)</t>
        </is>
      </c>
      <c r="I313" s="1" t="n">
        <v>8415000</v>
      </c>
      <c r="J313" s="1" t="inlineStr">
        <is>
          <t>PHAN THI THOM QR - nguyen tuan khoi 25802800389 l NH0925ND01 0395998053 TAI VietinBank</t>
        </is>
      </c>
    </row>
    <row r="314">
      <c r="A314" s="1" t="inlineStr">
        <is>
          <t>25-Aug-25</t>
        </is>
      </c>
      <c r="B314" s="1" t="inlineStr">
        <is>
          <t>I60453</t>
        </is>
      </c>
      <c r="C314" s="1" t="inlineStr">
        <is>
          <t>25820700063</t>
        </is>
      </c>
      <c r="D314" s="1" t="inlineStr">
        <is>
          <t>Nguyeãn Thò Xuaân</t>
        </is>
      </c>
      <c r="E314" s="1" t="inlineStr">
        <is>
          <t>Hoàng</t>
        </is>
      </c>
      <c r="F314" s="1" t="inlineStr">
        <is>
          <t>19-Mar-07</t>
        </is>
      </c>
      <c r="G314" s="1" t="inlineStr">
        <is>
          <t>LNH0925ND01</t>
        </is>
      </c>
      <c r="H314" s="1" t="inlineStr">
        <is>
          <t>09AV Giao tiep QT (TS)</t>
        </is>
      </c>
      <c r="I314" s="1" t="n">
        <v>8415000</v>
      </c>
      <c r="J314" s="1" t="inlineStr">
        <is>
          <t>SACOMBANK IBFT Nguyen Thi Xuan Hong  25207000 15 LNH0925ND01  0975749732 TAI SACOMBANK              HCM</t>
        </is>
      </c>
    </row>
    <row r="315">
      <c r="A315" s="1" t="inlineStr">
        <is>
          <t>25-Aug-25</t>
        </is>
      </c>
      <c r="B315" s="1" t="inlineStr">
        <is>
          <t>I60454</t>
        </is>
      </c>
      <c r="C315" s="1" t="inlineStr">
        <is>
          <t>25808600060</t>
        </is>
      </c>
      <c r="D315" s="1" t="inlineStr">
        <is>
          <t>Nguyeãn Taán</t>
        </is>
      </c>
      <c r="E315" s="1" t="inlineStr">
        <is>
          <t>Loäc</t>
        </is>
      </c>
      <c r="F315" s="1" t="inlineStr">
        <is>
          <t>27-Jun-06</t>
        </is>
      </c>
      <c r="G315" s="1" t="inlineStr">
        <is>
          <t>LNH0925ND01</t>
        </is>
      </c>
      <c r="H315" s="1" t="inlineStr">
        <is>
          <t>09AV Giao tiep QT (TS)</t>
        </is>
      </c>
      <c r="I315" s="1" t="n">
        <v>8415000</v>
      </c>
      <c r="J315" s="1" t="inlineStr">
        <is>
          <t>NGUYEN THANH TRUNG ABBank 0521043748045 nguyen tan loc 25808600060 lnh0925ND01 0783275222 TAI Agribank</t>
        </is>
      </c>
    </row>
    <row r="316">
      <c r="A316" s="1" t="inlineStr">
        <is>
          <t>25-Aug-25</t>
        </is>
      </c>
      <c r="B316" s="1" t="inlineStr">
        <is>
          <t>I60455</t>
        </is>
      </c>
      <c r="C316" s="1" t="inlineStr">
        <is>
          <t>25802800392</t>
        </is>
      </c>
      <c r="D316" s="1" t="inlineStr">
        <is>
          <t>Nguyeãn Chí</t>
        </is>
      </c>
      <c r="E316" s="1" t="inlineStr">
        <is>
          <t>Thaønh</t>
        </is>
      </c>
      <c r="F316" s="1" t="inlineStr">
        <is>
          <t>12-Jul-07</t>
        </is>
      </c>
      <c r="G316" s="1" t="inlineStr">
        <is>
          <t>LNH0925ND01</t>
        </is>
      </c>
      <c r="H316" s="1" t="inlineStr">
        <is>
          <t>09AV Giao tiep QT (TS)</t>
        </is>
      </c>
      <c r="I316" s="1" t="n">
        <v>8415000</v>
      </c>
      <c r="J316" s="1" t="inlineStr">
        <is>
          <t>NGUYEN THI LY NGUYEN CHI THANH 2502800080 LNH0925 ND01 0379904679-250825-13 46 10 357 321 TAI Ngan hang a chau       IBT SMARLINK</t>
        </is>
      </c>
    </row>
    <row r="317">
      <c r="A317" s="1" t="inlineStr">
        <is>
          <t>25-Aug-25</t>
        </is>
      </c>
      <c r="B317" s="1" t="inlineStr">
        <is>
          <t>I60456</t>
        </is>
      </c>
      <c r="C317" s="1" t="inlineStr">
        <is>
          <t>25801800161</t>
        </is>
      </c>
      <c r="D317" s="1" t="inlineStr">
        <is>
          <t>Nguyeãn Thò Kieàu</t>
        </is>
      </c>
      <c r="E317" s="1" t="inlineStr">
        <is>
          <t>Vy</t>
        </is>
      </c>
      <c r="F317" s="1" t="inlineStr">
        <is>
          <t>14-Oct-07</t>
        </is>
      </c>
      <c r="G317" s="1" t="inlineStr">
        <is>
          <t>LNH0925ND01</t>
        </is>
      </c>
      <c r="H317" s="1" t="inlineStr">
        <is>
          <t>09AV Giao tiep QT (TS)</t>
        </is>
      </c>
      <c r="I317" s="1" t="n">
        <v>8415000</v>
      </c>
      <c r="J317" s="1" t="inlineStr">
        <is>
          <t>NGUYEN TRUNG NGHIA NGUYEN THI KIEU VY  2501800062  LNH 0925ND01  0369603320 TAI VietinBank</t>
        </is>
      </c>
    </row>
    <row r="318">
      <c r="A318" s="1" t="inlineStr">
        <is>
          <t>25-Aug-25</t>
        </is>
      </c>
      <c r="B318" s="1" t="inlineStr">
        <is>
          <t>I60457</t>
        </is>
      </c>
      <c r="C318" s="1" t="inlineStr">
        <is>
          <t>25806000015</t>
        </is>
      </c>
      <c r="D318" s="1" t="inlineStr">
        <is>
          <t>Ñoã Ngoïc Thaûo</t>
        </is>
      </c>
      <c r="E318" s="1" t="inlineStr">
        <is>
          <t>Linh</t>
        </is>
      </c>
      <c r="F318" s="1" t="inlineStr">
        <is>
          <t>09-Apr-07</t>
        </is>
      </c>
      <c r="G318" s="1" t="inlineStr">
        <is>
          <t>LNH0925ND01</t>
        </is>
      </c>
      <c r="H318" s="1" t="inlineStr">
        <is>
          <t>09AV Giao tiep QT (TS)</t>
        </is>
      </c>
      <c r="I318" s="1" t="n">
        <v>8415000</v>
      </c>
      <c r="J318" s="1" t="inlineStr">
        <is>
          <t>TRAN THI THANH MAI QR - Do Ngoc Thao Linh 25806000015 LNH0925ND01 0865631241 TAI VietinBank</t>
        </is>
      </c>
    </row>
    <row r="319">
      <c r="A319" s="1" t="inlineStr">
        <is>
          <t>25-Aug-25</t>
        </is>
      </c>
      <c r="B319" s="1" t="inlineStr">
        <is>
          <t>I60458</t>
        </is>
      </c>
      <c r="C319" s="1" t="inlineStr">
        <is>
          <t>25808700038</t>
        </is>
      </c>
      <c r="D319" s="1" t="inlineStr">
        <is>
          <t>Leâ Minh</t>
        </is>
      </c>
      <c r="E319" s="1" t="inlineStr">
        <is>
          <t>Khoâi</t>
        </is>
      </c>
      <c r="F319" s="1" t="inlineStr">
        <is>
          <t>15-Dec-07</t>
        </is>
      </c>
      <c r="G319" s="1" t="inlineStr">
        <is>
          <t>LNH0925ND01</t>
        </is>
      </c>
      <c r="H319" s="1" t="inlineStr">
        <is>
          <t>09AV Giao tiep QT (TS)</t>
        </is>
      </c>
      <c r="I319" s="1" t="n">
        <v>8415000</v>
      </c>
      <c r="J319" s="1" t="inlineStr">
        <is>
          <t>DANG THI CHUT Le Minh Khoi  25808700038  LNH0925N D01 0353472443 TAI IBT BIDV                 HANOI</t>
        </is>
      </c>
    </row>
    <row r="320">
      <c r="A320" s="1" t="inlineStr">
        <is>
          <t>25-Aug-25</t>
        </is>
      </c>
      <c r="B320" s="1" t="inlineStr">
        <is>
          <t>I60459</t>
        </is>
      </c>
      <c r="C320" s="1" t="inlineStr">
        <is>
          <t>25801700029</t>
        </is>
      </c>
      <c r="D320" s="1" t="inlineStr">
        <is>
          <t>Taân Vónh Baûo</t>
        </is>
      </c>
      <c r="E320" s="1" t="inlineStr">
        <is>
          <t>Long</t>
        </is>
      </c>
      <c r="F320" s="1" t="inlineStr">
        <is>
          <t>01-Jan-07</t>
        </is>
      </c>
      <c r="G320" s="1" t="inlineStr">
        <is>
          <t>LNH0925ND01</t>
        </is>
      </c>
      <c r="H320" s="1" t="inlineStr">
        <is>
          <t>09AV Giao tiep QT (TS)</t>
        </is>
      </c>
      <c r="I320" s="1" t="n">
        <v>8415000</v>
      </c>
      <c r="J320" s="1" t="inlineStr">
        <is>
          <t>MBBANK IBFT Tan Vinh Bao Long 25801700029 LNH09 25ND01 0817143482 TAI IBT-MB                   HANOI</t>
        </is>
      </c>
    </row>
    <row r="321">
      <c r="A321" s="1" t="inlineStr">
        <is>
          <t>25-Aug-25</t>
        </is>
      </c>
      <c r="B321" s="1" t="inlineStr">
        <is>
          <t>I60460</t>
        </is>
      </c>
      <c r="C321" s="1" t="inlineStr">
        <is>
          <t>25807800070</t>
        </is>
      </c>
      <c r="D321" s="1" t="inlineStr">
        <is>
          <t>Leâ Höõu</t>
        </is>
      </c>
      <c r="E321" s="1" t="inlineStr">
        <is>
          <t>Kieät</t>
        </is>
      </c>
      <c r="F321" s="1" t="inlineStr">
        <is>
          <t>16-Oct-07</t>
        </is>
      </c>
      <c r="G321" s="1" t="inlineStr">
        <is>
          <t>LNH0925ND01</t>
        </is>
      </c>
      <c r="H321" s="1" t="inlineStr">
        <is>
          <t>09AV Giao tiep QT (TS)</t>
        </is>
      </c>
      <c r="I321" s="1" t="n">
        <v>8415000</v>
      </c>
      <c r="J321" s="1" t="inlineStr">
        <is>
          <t>DANG THI BAO TRAM QR - le huu Kiet 25807800070.LNH092 5ND01 .0385899121 TAI VietinBank</t>
        </is>
      </c>
    </row>
    <row r="322">
      <c r="A322" s="1" t="inlineStr">
        <is>
          <t>25-Aug-25</t>
        </is>
      </c>
      <c r="B322" s="1" t="inlineStr">
        <is>
          <t>I60461</t>
        </is>
      </c>
      <c r="C322" s="1" t="inlineStr">
        <is>
          <t>25808700068</t>
        </is>
      </c>
      <c r="D322" s="1" t="inlineStr">
        <is>
          <t>Traàn Thò Ngoïc</t>
        </is>
      </c>
      <c r="E322" s="1" t="inlineStr">
        <is>
          <t>Nhi</t>
        </is>
      </c>
      <c r="F322" s="1" t="inlineStr">
        <is>
          <t>09-Jan-07</t>
        </is>
      </c>
      <c r="G322" s="1" t="inlineStr">
        <is>
          <t>LNH0925ND01</t>
        </is>
      </c>
      <c r="H322" s="1" t="inlineStr">
        <is>
          <t>09AV Giao tiep QT (TS)</t>
        </is>
      </c>
      <c r="I322" s="1" t="n">
        <v>8415000</v>
      </c>
      <c r="J322" s="1" t="inlineStr">
        <is>
          <t>TRAN THI THANH MAI QR - Tran Thi Ngoc Nhi 25808700068 LNH0925ND01 0901805470 TAI VietinBank</t>
        </is>
      </c>
    </row>
    <row r="323">
      <c r="A323" s="1" t="inlineStr">
        <is>
          <t>25-Aug-25</t>
        </is>
      </c>
      <c r="B323" s="1" t="inlineStr">
        <is>
          <t>I60462</t>
        </is>
      </c>
      <c r="C323" s="1" t="inlineStr">
        <is>
          <t>25808200241</t>
        </is>
      </c>
      <c r="D323" s="1" t="inlineStr">
        <is>
          <t>Thaân Thaønh</t>
        </is>
      </c>
      <c r="E323" s="1" t="inlineStr">
        <is>
          <t>Tieán</t>
        </is>
      </c>
      <c r="F323" s="1" t="inlineStr">
        <is>
          <t>06-Nov-07</t>
        </is>
      </c>
      <c r="G323" s="1" t="inlineStr">
        <is>
          <t>LNH0925ND01</t>
        </is>
      </c>
      <c r="H323" s="1" t="inlineStr">
        <is>
          <t>09AV Giao tiep QT (TS)</t>
        </is>
      </c>
      <c r="I323" s="1" t="n">
        <v>0</v>
      </c>
      <c r="J323" s="1" t="inlineStr">
        <is>
          <t>(Rut HP)TRAN THI THANH MAI QR - Than Thanh Tien 2508200070 LNH 0925ND01 0842460285 TAI VietinBank</t>
        </is>
      </c>
    </row>
    <row r="324">
      <c r="A324" s="1" t="inlineStr">
        <is>
          <t>25-Aug-25</t>
        </is>
      </c>
      <c r="B324" s="1" t="inlineStr">
        <is>
          <t>I60463</t>
        </is>
      </c>
      <c r="C324" s="1" t="inlineStr">
        <is>
          <t>25802100043</t>
        </is>
      </c>
      <c r="D324" s="1" t="inlineStr">
        <is>
          <t>Nguyeãn Trung</t>
        </is>
      </c>
      <c r="E324" s="1" t="inlineStr">
        <is>
          <t>Vaên</t>
        </is>
      </c>
      <c r="F324" s="1" t="inlineStr">
        <is>
          <t>15-May-07</t>
        </is>
      </c>
      <c r="G324" s="1" t="inlineStr">
        <is>
          <t>LNH0925ND01</t>
        </is>
      </c>
      <c r="H324" s="1" t="inlineStr">
        <is>
          <t>09AV Giao tiep QT (TS)</t>
        </is>
      </c>
      <c r="I324" s="1" t="n">
        <v>8415000</v>
      </c>
      <c r="J324" s="1" t="inlineStr">
        <is>
          <t>MBBANK IBFT Nguyen Trung Van ma so sinh vien 25 802100043 LNH0925ND01 0962713008 TAI IBT-MB                   HANOI</t>
        </is>
      </c>
    </row>
    <row r="325">
      <c r="A325" s="1" t="inlineStr">
        <is>
          <t>25-Aug-25</t>
        </is>
      </c>
      <c r="B325" s="1" t="inlineStr">
        <is>
          <t>I60464</t>
        </is>
      </c>
      <c r="C325" s="1" t="inlineStr">
        <is>
          <t>25806500014</t>
        </is>
      </c>
      <c r="D325" s="1" t="inlineStr">
        <is>
          <t>Nguyeãn Thanh Ngoïc</t>
        </is>
      </c>
      <c r="E325" s="1" t="inlineStr">
        <is>
          <t>Thaûo</t>
        </is>
      </c>
      <c r="F325" s="1" t="inlineStr">
        <is>
          <t>14-Jan-07</t>
        </is>
      </c>
      <c r="G325" s="1" t="inlineStr">
        <is>
          <t>LNH0925ND01</t>
        </is>
      </c>
      <c r="H325" s="1" t="inlineStr">
        <is>
          <t>09AV Giao tiep QT (TS)</t>
        </is>
      </c>
      <c r="I325" s="1" t="n">
        <v>8415000</v>
      </c>
      <c r="J325" s="1" t="inlineStr">
        <is>
          <t>NGUYEN THI BICH NGOC ABBank 0521043748045 Nguyen Thanh N goc Thao 25806500014  LNH0925ND01 0946607403 TAI Agribank</t>
        </is>
      </c>
    </row>
    <row r="326">
      <c r="A326" s="1" t="inlineStr">
        <is>
          <t>25-Aug-25</t>
        </is>
      </c>
      <c r="B326" s="1" t="inlineStr">
        <is>
          <t>I60465</t>
        </is>
      </c>
      <c r="C326" s="1" t="inlineStr">
        <is>
          <t>25801100123</t>
        </is>
      </c>
      <c r="D326" s="1" t="inlineStr">
        <is>
          <t>Nguyeãn Ngoïc Anh</t>
        </is>
      </c>
      <c r="E326" s="1" t="inlineStr">
        <is>
          <t>Huy</t>
        </is>
      </c>
      <c r="F326" s="1" t="inlineStr">
        <is>
          <t>21-Apr-07</t>
        </is>
      </c>
      <c r="G326" s="1" t="inlineStr">
        <is>
          <t>LNH0925ND01</t>
        </is>
      </c>
      <c r="H326" s="1" t="inlineStr">
        <is>
          <t>09AV Giao tiep QT (TS)</t>
        </is>
      </c>
      <c r="I326" s="1" t="n">
        <v>8415000</v>
      </c>
      <c r="J326" s="1" t="inlineStr">
        <is>
          <t>NGUYEN NGOC QUY NGUYEN NGOC ANH HUY-2501100039-LNH0 925ND01-0345510135-250825-16 11 14 608251 TAI Ngan hang a chau       IBT SMARLINK</t>
        </is>
      </c>
    </row>
    <row r="327">
      <c r="A327" s="1" t="inlineStr">
        <is>
          <t>25-Aug-25</t>
        </is>
      </c>
      <c r="B327" s="1" t="inlineStr">
        <is>
          <t>I60466</t>
        </is>
      </c>
      <c r="C327" s="1" t="inlineStr">
        <is>
          <t>25805800025</t>
        </is>
      </c>
      <c r="D327" s="1" t="inlineStr">
        <is>
          <t>Thaùi Gia</t>
        </is>
      </c>
      <c r="E327" s="1" t="inlineStr">
        <is>
          <t>Phuù</t>
        </is>
      </c>
      <c r="F327" s="1" t="inlineStr">
        <is>
          <t>28-Apr-07</t>
        </is>
      </c>
      <c r="G327" s="1" t="inlineStr">
        <is>
          <t>LNH0925ND01</t>
        </is>
      </c>
      <c r="H327" s="1" t="inlineStr">
        <is>
          <t>09AV Giao tiep QT (TS)</t>
        </is>
      </c>
      <c r="I327" s="1" t="n">
        <v>8415000</v>
      </c>
      <c r="J327" s="1" t="inlineStr">
        <is>
          <t>TRAN THI THANH MAI QR - Thai Gia Phu 25805800025 LNH09 25ND01 0862535985 TAI VietinBank</t>
        </is>
      </c>
    </row>
    <row r="328">
      <c r="A328" s="1" t="inlineStr">
        <is>
          <t>25-Aug-25</t>
        </is>
      </c>
      <c r="B328" s="1" t="inlineStr">
        <is>
          <t>I60467</t>
        </is>
      </c>
      <c r="C328" s="1" t="inlineStr">
        <is>
          <t>25801200035</t>
        </is>
      </c>
      <c r="D328" s="1" t="inlineStr">
        <is>
          <t>Traàn Quoác</t>
        </is>
      </c>
      <c r="E328" s="1" t="inlineStr">
        <is>
          <t>Toaøn</t>
        </is>
      </c>
      <c r="F328" s="1" t="inlineStr">
        <is>
          <t>28-Feb-07</t>
        </is>
      </c>
      <c r="G328" s="1" t="inlineStr">
        <is>
          <t>LNH0925ND01</t>
        </is>
      </c>
      <c r="H328" s="1" t="inlineStr">
        <is>
          <t>09AV Giao tiep QT (TS)</t>
        </is>
      </c>
      <c r="I328" s="1" t="n">
        <v>8415000</v>
      </c>
      <c r="J328" s="1" t="inlineStr">
        <is>
          <t>NGUYEN MONG BANG DOAN ABBank 0521043748045 TRANQUOCTOAN 2 5801200035 LNH0925ND01 0971004713 TAI Agribank</t>
        </is>
      </c>
    </row>
    <row r="329">
      <c r="A329" s="1" t="inlineStr">
        <is>
          <t>25-Aug-25</t>
        </is>
      </c>
      <c r="B329" s="1" t="inlineStr">
        <is>
          <t>I60468</t>
        </is>
      </c>
      <c r="C329" s="1" t="inlineStr">
        <is>
          <t>25802400025</t>
        </is>
      </c>
      <c r="D329" s="1" t="inlineStr">
        <is>
          <t>Ngoâ Buøi Nhaät</t>
        </is>
      </c>
      <c r="E329" s="1" t="inlineStr">
        <is>
          <t>Taâm</t>
        </is>
      </c>
      <c r="F329" s="1" t="inlineStr">
        <is>
          <t>24-Oct-07</t>
        </is>
      </c>
      <c r="G329" s="1" t="inlineStr">
        <is>
          <t>LNH0925ND01</t>
        </is>
      </c>
      <c r="H329" s="1" t="inlineStr">
        <is>
          <t>09AV Giao tiep QT (TS)</t>
        </is>
      </c>
      <c r="I329" s="1" t="n">
        <v>8415000</v>
      </c>
      <c r="J329" s="1" t="inlineStr">
        <is>
          <t>BUI THI NHAT TAN QR - Ngo Bui Nhat Tam. 25802400025. LNH0925ND01 TAI VietinBank</t>
        </is>
      </c>
    </row>
    <row r="330">
      <c r="A330" s="1" t="inlineStr">
        <is>
          <t>26-Aug-25</t>
        </is>
      </c>
      <c r="B330" s="1" t="inlineStr">
        <is>
          <t>I60473</t>
        </is>
      </c>
      <c r="C330" s="1" t="inlineStr">
        <is>
          <t>25808900096</t>
        </is>
      </c>
      <c r="D330" s="1" t="inlineStr">
        <is>
          <t>Ñinh Cao</t>
        </is>
      </c>
      <c r="E330" s="1" t="inlineStr">
        <is>
          <t>Phong</t>
        </is>
      </c>
      <c r="F330" s="1" t="inlineStr">
        <is>
          <t>24-Oct-07</t>
        </is>
      </c>
      <c r="G330" s="1" t="inlineStr">
        <is>
          <t>LNH0925ND01</t>
        </is>
      </c>
      <c r="H330" s="1" t="inlineStr">
        <is>
          <t>09AV Giao tiep QT (TS)</t>
        </is>
      </c>
      <c r="I330" s="1" t="n">
        <v>465000</v>
      </c>
      <c r="J330" s="1" t="inlineStr">
        <is>
          <t>NGUYEN TRUNG NGHIA DINH CAO PHONG  25808900096  LNH092 5ND01  0342447193 TAI VietinBank</t>
        </is>
      </c>
    </row>
    <row r="331">
      <c r="A331" s="1" t="inlineStr">
        <is>
          <t>26-Aug-25</t>
        </is>
      </c>
      <c r="B331" s="1" t="inlineStr">
        <is>
          <t>I60474</t>
        </is>
      </c>
      <c r="C331" s="1" t="inlineStr">
        <is>
          <t>25800500043</t>
        </is>
      </c>
      <c r="D331" s="1" t="inlineStr">
        <is>
          <t>Nguyeãn Tröôøng</t>
        </is>
      </c>
      <c r="E331" s="1" t="inlineStr">
        <is>
          <t>Haûi</t>
        </is>
      </c>
      <c r="F331" s="1" t="inlineStr">
        <is>
          <t>17-Apr-07</t>
        </is>
      </c>
      <c r="G331" s="1" t="inlineStr">
        <is>
          <t>LNH0925ND01</t>
        </is>
      </c>
      <c r="H331" s="1" t="inlineStr">
        <is>
          <t>09AV Giao tiep QT (TS)</t>
        </is>
      </c>
      <c r="I331" s="1" t="n">
        <v>1000000</v>
      </c>
      <c r="J331" s="1" t="inlineStr">
        <is>
          <t>MBBANK IBFT NGUYEN TRUONG HAI  ma 25800500043 L NH0925ND01 0876566767 TAI IBT-MB                   HANOI</t>
        </is>
      </c>
    </row>
    <row r="332">
      <c r="A332" s="1" t="inlineStr">
        <is>
          <t>26-Aug-25</t>
        </is>
      </c>
      <c r="B332" s="1" t="inlineStr">
        <is>
          <t>I60475</t>
        </is>
      </c>
      <c r="C332" s="1" t="inlineStr">
        <is>
          <t>25801800014</t>
        </is>
      </c>
      <c r="D332" s="1" t="inlineStr">
        <is>
          <t>Nguyeãn Thò Thu</t>
        </is>
      </c>
      <c r="E332" s="1" t="inlineStr">
        <is>
          <t>Haèng</t>
        </is>
      </c>
      <c r="F332" s="1" t="inlineStr">
        <is>
          <t>22-Nov-07</t>
        </is>
      </c>
      <c r="G332" s="1" t="inlineStr">
        <is>
          <t>LNH0925ND01</t>
        </is>
      </c>
      <c r="H332" s="1" t="inlineStr">
        <is>
          <t>09AV Giao tiep QT (TS)</t>
        </is>
      </c>
      <c r="I332" s="1" t="n">
        <v>1000000</v>
      </c>
      <c r="J332" s="1" t="inlineStr">
        <is>
          <t>TRAN THI THANH MAI QR - Nguyen Thi Thu Hang 2580180001 4 LNH0925ND01 0345517297 TAI VietinBank</t>
        </is>
      </c>
    </row>
    <row r="333">
      <c r="A333" s="1" t="inlineStr">
        <is>
          <t>26-Aug-25</t>
        </is>
      </c>
      <c r="B333" s="1" t="inlineStr">
        <is>
          <t>I60476</t>
        </is>
      </c>
      <c r="C333" s="1" t="inlineStr">
        <is>
          <t>25809600077</t>
        </is>
      </c>
      <c r="D333" s="1" t="inlineStr">
        <is>
          <t>Leâ Thaønh</t>
        </is>
      </c>
      <c r="E333" s="1" t="inlineStr">
        <is>
          <t>Vieät</t>
        </is>
      </c>
      <c r="F333" s="1" t="inlineStr">
        <is>
          <t>18-Nov-07</t>
        </is>
      </c>
      <c r="G333" s="1" t="inlineStr">
        <is>
          <t>LNH0925ND01</t>
        </is>
      </c>
      <c r="H333" s="1" t="inlineStr">
        <is>
          <t>09AV Giao tiep QT (TS)</t>
        </is>
      </c>
      <c r="I333" s="1" t="n">
        <v>1000000</v>
      </c>
      <c r="J333" s="1" t="inlineStr">
        <is>
          <t>TRAN THI THANH MAI QR - Le Thanh Viet 25809600077 LNH0 925ND01 0947868949 TAI VietinBank</t>
        </is>
      </c>
    </row>
    <row r="334">
      <c r="A334" s="1" t="inlineStr">
        <is>
          <t>26-Aug-25</t>
        </is>
      </c>
      <c r="B334" s="1" t="inlineStr">
        <is>
          <t>I60477</t>
        </is>
      </c>
      <c r="C334" s="1" t="inlineStr">
        <is>
          <t>25807800143</t>
        </is>
      </c>
      <c r="D334" s="1" t="inlineStr">
        <is>
          <t>Phaïm Nguyeãn Minh</t>
        </is>
      </c>
      <c r="E334" s="1" t="inlineStr">
        <is>
          <t>Tieán</t>
        </is>
      </c>
      <c r="F334" s="1" t="inlineStr">
        <is>
          <t>26-Apr-06</t>
        </is>
      </c>
      <c r="G334" s="1" t="inlineStr">
        <is>
          <t>LNH0925ND01</t>
        </is>
      </c>
      <c r="H334" s="1" t="inlineStr">
        <is>
          <t>09AV Giao tiep QT (TS)</t>
        </is>
      </c>
      <c r="I334" s="1" t="n">
        <v>1000000</v>
      </c>
      <c r="J334" s="1" t="inlineStr">
        <is>
          <t>TRAN THI THANH MAI QR - Pham Nguyen Minh Hien 25807800 143 LNH0925ND01 0971349194 TAI VietinBank</t>
        </is>
      </c>
    </row>
    <row r="335">
      <c r="A335" s="1" t="inlineStr">
        <is>
          <t>26-Aug-25</t>
        </is>
      </c>
      <c r="B335" s="1" t="inlineStr">
        <is>
          <t>I60478</t>
        </is>
      </c>
      <c r="C335" s="1" t="inlineStr">
        <is>
          <t>25805800015</t>
        </is>
      </c>
      <c r="D335" s="1" t="inlineStr">
        <is>
          <t>Löông Taán</t>
        </is>
      </c>
      <c r="E335" s="1" t="inlineStr">
        <is>
          <t>Khoa</t>
        </is>
      </c>
      <c r="F335" s="1" t="inlineStr">
        <is>
          <t>27-Oct-07</t>
        </is>
      </c>
      <c r="G335" s="1" t="inlineStr">
        <is>
          <t>LNH0925ND01</t>
        </is>
      </c>
      <c r="H335" s="1" t="inlineStr">
        <is>
          <t>09AV Giao tiep QT (TS)</t>
        </is>
      </c>
      <c r="I335" s="1" t="n">
        <v>1000000</v>
      </c>
      <c r="J335" s="1" t="inlineStr">
        <is>
          <t>NGUYEN TRUNG NGHIA LUONG TAN KHOA  25805800015  LNH092 5ND01  0816064764 TAI VietinBank</t>
        </is>
      </c>
    </row>
    <row r="336">
      <c r="A336" s="1" t="inlineStr">
        <is>
          <t>26-Aug-25</t>
        </is>
      </c>
      <c r="B336" s="1" t="inlineStr">
        <is>
          <t>I60479</t>
        </is>
      </c>
      <c r="C336" s="1" t="inlineStr">
        <is>
          <t>25802800073</t>
        </is>
      </c>
      <c r="D336" s="1" t="inlineStr">
        <is>
          <t>Leâ Thò Thanh</t>
        </is>
      </c>
      <c r="E336" s="1" t="inlineStr">
        <is>
          <t>Hoa</t>
        </is>
      </c>
      <c r="F336" s="1" t="inlineStr">
        <is>
          <t>21-Sep-06</t>
        </is>
      </c>
      <c r="G336" s="1" t="inlineStr">
        <is>
          <t>LNH0925ND01</t>
        </is>
      </c>
      <c r="H336" s="1" t="inlineStr">
        <is>
          <t>09AV Giao tiep QT (TS)</t>
        </is>
      </c>
      <c r="I336" s="1" t="n">
        <v>1000000</v>
      </c>
      <c r="J336" s="1" t="inlineStr">
        <is>
          <t>TRAN THI THANH MAI QR - Le Th Thanh Hoa 25802800073 LN H0925ND01 0865229219 TAI VietinBank</t>
        </is>
      </c>
    </row>
    <row r="337">
      <c r="A337" s="1" t="inlineStr">
        <is>
          <t>26-Aug-25</t>
        </is>
      </c>
      <c r="B337" s="1" t="inlineStr">
        <is>
          <t>I60480</t>
        </is>
      </c>
      <c r="C337" s="1" t="inlineStr">
        <is>
          <t>25805900012</t>
        </is>
      </c>
      <c r="D337" s="1" t="inlineStr">
        <is>
          <t>Trònh Thò Dieäu</t>
        </is>
      </c>
      <c r="E337" s="1" t="inlineStr">
        <is>
          <t>Haèng</t>
        </is>
      </c>
      <c r="F337" s="1" t="inlineStr">
        <is>
          <t>20-Oct-07</t>
        </is>
      </c>
      <c r="G337" s="1" t="inlineStr">
        <is>
          <t>LNH0925ND01</t>
        </is>
      </c>
      <c r="H337" s="1" t="inlineStr">
        <is>
          <t>09AV Giao tiep QT (TS)</t>
        </is>
      </c>
      <c r="I337" s="1" t="n">
        <v>1000000</v>
      </c>
      <c r="J337" s="1" t="inlineStr">
        <is>
          <t>TRANSFER TRINH THI DIEU HANG   258059300012 LNH0925ND01 0836161247  ma GD 10000 0002857271 TAI LienVietPostBank       Ha Noi</t>
        </is>
      </c>
    </row>
    <row r="338">
      <c r="A338" s="1" t="inlineStr">
        <is>
          <t>26-Aug-25</t>
        </is>
      </c>
      <c r="B338" s="1" t="inlineStr">
        <is>
          <t>I60481</t>
        </is>
      </c>
      <c r="C338" s="1" t="inlineStr">
        <is>
          <t>25807800212</t>
        </is>
      </c>
      <c r="D338" s="1" t="inlineStr">
        <is>
          <t>Nguyeãn Gia</t>
        </is>
      </c>
      <c r="E338" s="1" t="inlineStr">
        <is>
          <t>Khöông</t>
        </is>
      </c>
      <c r="F338" s="1" t="inlineStr">
        <is>
          <t>26-Feb-07</t>
        </is>
      </c>
      <c r="G338" s="1" t="inlineStr">
        <is>
          <t>LNH0925ND01</t>
        </is>
      </c>
      <c r="H338" s="1" t="inlineStr">
        <is>
          <t>09AV Giao tiep QT (TS)</t>
        </is>
      </c>
      <c r="I338" s="1" t="n">
        <v>1000000</v>
      </c>
      <c r="J338" s="1" t="inlineStr">
        <is>
          <t>DINH THI THE PHUONG NGUYEN GIA KHUONG 25807800212 LNH09 25ND01 0917297533 TAI VietinBank</t>
        </is>
      </c>
    </row>
    <row r="339">
      <c r="A339" s="1" t="inlineStr">
        <is>
          <t>26-Aug-25</t>
        </is>
      </c>
      <c r="B339" s="1" t="inlineStr">
        <is>
          <t>I60482</t>
        </is>
      </c>
      <c r="C339" s="1" t="inlineStr">
        <is>
          <t>25800500103</t>
        </is>
      </c>
      <c r="D339" s="1" t="inlineStr">
        <is>
          <t>Ngoâ Vaên Hoaøng</t>
        </is>
      </c>
      <c r="E339" s="1" t="inlineStr">
        <is>
          <t>Long</t>
        </is>
      </c>
      <c r="F339" s="1" t="inlineStr">
        <is>
          <t>18-Sep-07</t>
        </is>
      </c>
      <c r="G339" s="1" t="inlineStr">
        <is>
          <t>LNH0925ND01</t>
        </is>
      </c>
      <c r="H339" s="1" t="inlineStr">
        <is>
          <t>09AV Giao tiep QT (TS)</t>
        </is>
      </c>
      <c r="I339" s="1" t="n">
        <v>0</v>
      </c>
      <c r="J339" s="1" t="inlineStr">
        <is>
          <t>(chuyen edu)TRAN THI THANH MAI QR - Ngo Van Hoang Long 25800500103 LNH0925ND01 0335723644 TAI VietinBank</t>
        </is>
      </c>
    </row>
    <row r="340">
      <c r="A340" s="1" t="inlineStr">
        <is>
          <t>26-Aug-25</t>
        </is>
      </c>
      <c r="B340" s="1" t="inlineStr">
        <is>
          <t>I60483</t>
        </is>
      </c>
      <c r="C340" s="1" t="inlineStr">
        <is>
          <t>25808700009</t>
        </is>
      </c>
      <c r="D340" s="1" t="inlineStr">
        <is>
          <t>Nguyeãn Ngoïc</t>
        </is>
      </c>
      <c r="E340" s="1" t="inlineStr">
        <is>
          <t>Dieäp</t>
        </is>
      </c>
      <c r="F340" s="1" t="inlineStr">
        <is>
          <t>22-Sep-07</t>
        </is>
      </c>
      <c r="G340" s="1" t="inlineStr">
        <is>
          <t>LNH0925ND01</t>
        </is>
      </c>
      <c r="H340" s="1" t="inlineStr">
        <is>
          <t>09AV Giao tiep QT (TS)</t>
        </is>
      </c>
      <c r="I340" s="1" t="n">
        <v>1000000</v>
      </c>
      <c r="J340" s="1" t="inlineStr">
        <is>
          <t>TRAN THI THANH MAI QR - Nguyen Ngoc Diep 25808700009 L NH0925ND01 0343655759 TAI VietinBank</t>
        </is>
      </c>
    </row>
    <row r="341">
      <c r="A341" s="1" t="inlineStr">
        <is>
          <t>26-Aug-25</t>
        </is>
      </c>
      <c r="B341" s="1" t="inlineStr">
        <is>
          <t>I60484</t>
        </is>
      </c>
      <c r="C341" s="1" t="inlineStr">
        <is>
          <t>25807700087</t>
        </is>
      </c>
      <c r="D341" s="1" t="inlineStr">
        <is>
          <t>Leâ Thaønh</t>
        </is>
      </c>
      <c r="E341" s="1" t="inlineStr">
        <is>
          <t>Ñaït</t>
        </is>
      </c>
      <c r="F341" s="1" t="inlineStr">
        <is>
          <t>01-Oct-07</t>
        </is>
      </c>
      <c r="G341" s="1" t="inlineStr">
        <is>
          <t>LNH0925ND01</t>
        </is>
      </c>
      <c r="H341" s="1" t="inlineStr">
        <is>
          <t>09AV Giao tiep QT (TS)</t>
        </is>
      </c>
      <c r="I341" s="1" t="n">
        <v>1000000</v>
      </c>
      <c r="J341" s="1" t="inlineStr">
        <is>
          <t>LE THANH DAT MBVCB.10684018243.960851.LE THANH D AT 25807700087 LNH095ND01 098627231 2.CT tu 1986272312 LE THANH DAT toi 0521043748045 HUTECH tai ABBANK TAI Vietcombank</t>
        </is>
      </c>
    </row>
    <row r="342">
      <c r="A342" s="1" t="inlineStr">
        <is>
          <t>26-Aug-25</t>
        </is>
      </c>
      <c r="B342" s="1" t="inlineStr">
        <is>
          <t>I60485</t>
        </is>
      </c>
      <c r="C342" s="1" t="inlineStr">
        <is>
          <t>25801700102</t>
        </is>
      </c>
      <c r="D342" s="1" t="inlineStr">
        <is>
          <t>Traàn Ngoïc</t>
        </is>
      </c>
      <c r="E342" s="1" t="inlineStr">
        <is>
          <t>Linh</t>
        </is>
      </c>
      <c r="F342" s="1" t="inlineStr">
        <is>
          <t>14-Feb-07</t>
        </is>
      </c>
      <c r="G342" s="1" t="inlineStr">
        <is>
          <t>LNH0925ND01</t>
        </is>
      </c>
      <c r="H342" s="1" t="inlineStr">
        <is>
          <t>09AV Giao tiep QT (TS)</t>
        </is>
      </c>
      <c r="I342" s="1" t="n">
        <v>1000000</v>
      </c>
      <c r="J342" s="1" t="inlineStr">
        <is>
          <t>TRAN NGOC LINH MBVCB.10684036223.975914.TRAN NGOC LINH .MSSV:2501700030.LNH0925ND01.S DT: 0853163383.CT tu 9853163383 TRA N NGOC LINH toi 0521043748045 HUTECH tai ABBANK TAI Vietcombank</t>
        </is>
      </c>
    </row>
    <row r="343">
      <c r="A343" s="1" t="inlineStr">
        <is>
          <t>26-Aug-25</t>
        </is>
      </c>
      <c r="B343" s="1" t="inlineStr">
        <is>
          <t>I60486</t>
        </is>
      </c>
      <c r="C343" s="1" t="inlineStr">
        <is>
          <t>25802800133</t>
        </is>
      </c>
      <c r="D343" s="1" t="inlineStr">
        <is>
          <t>Ñoã Leâ Thanh</t>
        </is>
      </c>
      <c r="E343" s="1" t="inlineStr">
        <is>
          <t>Loan</t>
        </is>
      </c>
      <c r="F343" s="1" t="inlineStr">
        <is>
          <t>30-Mar-07</t>
        </is>
      </c>
      <c r="G343" s="1" t="inlineStr">
        <is>
          <t>LNH0925ND01</t>
        </is>
      </c>
      <c r="H343" s="1" t="inlineStr">
        <is>
          <t>09AV Giao tiep QT (TS)</t>
        </is>
      </c>
      <c r="I343" s="1" t="n">
        <v>1000000</v>
      </c>
      <c r="J343" s="1" t="inlineStr">
        <is>
          <t>TRAN THI THANH MAI QR - Do Le Thanh Loan 25802800133 L NH0925ND01 0585807947 TAI VietinBank</t>
        </is>
      </c>
    </row>
    <row r="344">
      <c r="A344" s="1" t="inlineStr">
        <is>
          <t>26-Aug-25</t>
        </is>
      </c>
      <c r="B344" s="1" t="inlineStr">
        <is>
          <t>I60487</t>
        </is>
      </c>
      <c r="C344" s="1" t="inlineStr">
        <is>
          <t>25807900054</t>
        </is>
      </c>
      <c r="D344" s="1" t="inlineStr">
        <is>
          <t>Mai Thanh</t>
        </is>
      </c>
      <c r="E344" s="1" t="inlineStr">
        <is>
          <t>Thôm</t>
        </is>
      </c>
      <c r="F344" s="1" t="inlineStr">
        <is>
          <t>02-Apr-07</t>
        </is>
      </c>
      <c r="G344" s="1" t="inlineStr">
        <is>
          <t>LNH0925ND01</t>
        </is>
      </c>
      <c r="H344" s="1" t="inlineStr">
        <is>
          <t>09AV Giao tiep QT (TS)</t>
        </is>
      </c>
      <c r="I344" s="1" t="n">
        <v>1000000</v>
      </c>
      <c r="J344" s="1" t="inlineStr">
        <is>
          <t>NGUYEN TRUNG NGHIA MAI THANH THOM  25807900054  LNH092 5ND01  0326084318 TAI VietinBank</t>
        </is>
      </c>
    </row>
    <row r="345">
      <c r="A345" s="1" t="inlineStr">
        <is>
          <t>26-Aug-25</t>
        </is>
      </c>
      <c r="B345" s="1" t="inlineStr">
        <is>
          <t>I60488</t>
        </is>
      </c>
      <c r="C345" s="1" t="inlineStr">
        <is>
          <t>25801100080</t>
        </is>
      </c>
      <c r="D345" s="1" t="inlineStr">
        <is>
          <t>Tröông Quang</t>
        </is>
      </c>
      <c r="E345" s="1" t="inlineStr">
        <is>
          <t>Vinh</t>
        </is>
      </c>
      <c r="F345" s="1" t="inlineStr">
        <is>
          <t>05-Oct-07</t>
        </is>
      </c>
      <c r="G345" s="1" t="inlineStr">
        <is>
          <t>LNH0925ND01</t>
        </is>
      </c>
      <c r="H345" s="1" t="inlineStr">
        <is>
          <t>09AV Giao tiep QT (TS)</t>
        </is>
      </c>
      <c r="I345" s="1" t="n">
        <v>1000000</v>
      </c>
      <c r="J345" s="1" t="inlineStr">
        <is>
          <t>MBBANK IBFT TRUONG QUANG VINH25801100080LNH0925 ND01 TAI IBT-MB                   HANOI</t>
        </is>
      </c>
    </row>
    <row r="346">
      <c r="A346" s="1" t="inlineStr">
        <is>
          <t>26-Aug-25</t>
        </is>
      </c>
      <c r="B346" s="1" t="inlineStr">
        <is>
          <t>I60489</t>
        </is>
      </c>
      <c r="C346" s="1" t="inlineStr">
        <is>
          <t>25802600104</t>
        </is>
      </c>
      <c r="D346" s="1" t="inlineStr">
        <is>
          <t>Traàn Khaùnh</t>
        </is>
      </c>
      <c r="E346" s="1" t="inlineStr">
        <is>
          <t>Quyønh</t>
        </is>
      </c>
      <c r="F346" s="1" t="inlineStr">
        <is>
          <t>23-Jan-07</t>
        </is>
      </c>
      <c r="G346" s="1" t="inlineStr">
        <is>
          <t>LNH0925ND01</t>
        </is>
      </c>
      <c r="H346" s="1" t="inlineStr">
        <is>
          <t>09AV Giao tiep QT (TS)</t>
        </is>
      </c>
      <c r="I346" s="1" t="n">
        <v>1000000</v>
      </c>
      <c r="J346" s="1" t="inlineStr">
        <is>
          <t>TRAN HUU PHUC ABBank 0521043748045 Tran Khanh Quy nh 25802600104 LNH0O25ND01  0982291 160 TAI Agribank</t>
        </is>
      </c>
    </row>
    <row r="347">
      <c r="A347" s="1" t="inlineStr">
        <is>
          <t>26-Aug-25</t>
        </is>
      </c>
      <c r="B347" s="1" t="inlineStr">
        <is>
          <t>I60490</t>
        </is>
      </c>
      <c r="C347" s="1" t="inlineStr">
        <is>
          <t>25807800099</t>
        </is>
      </c>
      <c r="D347" s="1" t="inlineStr">
        <is>
          <t>Ñoã Leâ Hoaøng</t>
        </is>
      </c>
      <c r="E347" s="1" t="inlineStr">
        <is>
          <t>Nhaân</t>
        </is>
      </c>
      <c r="F347" s="1" t="inlineStr">
        <is>
          <t>12-Dec-07</t>
        </is>
      </c>
      <c r="G347" s="1" t="inlineStr">
        <is>
          <t>LNH0925ND01</t>
        </is>
      </c>
      <c r="H347" s="1" t="inlineStr">
        <is>
          <t>09AV Giao tiep QT (TS)</t>
        </is>
      </c>
      <c r="I347" s="1" t="n">
        <v>1000000</v>
      </c>
      <c r="J347" s="1" t="inlineStr">
        <is>
          <t>DO LE HOANG NHAN MBVCB.10684538389.301186.DO LE HOAN G NHAN 25807800099 LNH0925ND01 0979 158746.CT tu 1035751757 DO LE HOANG NHAN toi 0521043748045 HUTECH taiABBANK TAI Vietcombank</t>
        </is>
      </c>
    </row>
    <row r="348">
      <c r="A348" s="1" t="inlineStr">
        <is>
          <t>26-Aug-25</t>
        </is>
      </c>
      <c r="B348" s="1" t="inlineStr">
        <is>
          <t>I60491</t>
        </is>
      </c>
      <c r="C348" s="1" t="inlineStr">
        <is>
          <t>25801200039</t>
        </is>
      </c>
      <c r="D348" s="1" t="inlineStr">
        <is>
          <t>Huyønh Traàn Thaûo</t>
        </is>
      </c>
      <c r="E348" s="1" t="inlineStr">
        <is>
          <t>Vy</t>
        </is>
      </c>
      <c r="F348" s="1" t="inlineStr">
        <is>
          <t>28-Mar-07</t>
        </is>
      </c>
      <c r="G348" s="1" t="inlineStr">
        <is>
          <t>LNH0925ND01</t>
        </is>
      </c>
      <c r="H348" s="1" t="inlineStr">
        <is>
          <t>09AV Giao tiep QT (TS)</t>
        </is>
      </c>
      <c r="I348" s="1" t="n">
        <v>1000000</v>
      </c>
      <c r="J348" s="1" t="inlineStr">
        <is>
          <t>TRUONG THI NGOC MAI MBVCB.10684539019.302034.HUYNH TRAN THAO VY 25801200039 LNH0925ND01 09 89207340.CT tu 1015781561 TRUONG TH I NGOC MAI toi 0521043748045 HUTECHtai ABBANK TAI Vietcombank</t>
        </is>
      </c>
    </row>
    <row r="349">
      <c r="A349" s="1" t="inlineStr">
        <is>
          <t>26-Aug-25</t>
        </is>
      </c>
      <c r="B349" s="1" t="inlineStr">
        <is>
          <t>I60492</t>
        </is>
      </c>
      <c r="C349" s="1" t="inlineStr">
        <is>
          <t>25808600134</t>
        </is>
      </c>
      <c r="D349" s="1" t="inlineStr">
        <is>
          <t>Phaïm Nguyeãn Huyeàn</t>
        </is>
      </c>
      <c r="E349" s="1" t="inlineStr">
        <is>
          <t>Traân</t>
        </is>
      </c>
      <c r="F349" s="1" t="inlineStr">
        <is>
          <t>02-Jan-07</t>
        </is>
      </c>
      <c r="G349" s="1" t="inlineStr">
        <is>
          <t>LNH0925ND01</t>
        </is>
      </c>
      <c r="H349" s="1" t="inlineStr">
        <is>
          <t>09AV Giao tiep QT (TS)</t>
        </is>
      </c>
      <c r="I349" s="1" t="n">
        <v>1000000</v>
      </c>
      <c r="J349" s="1" t="inlineStr">
        <is>
          <t>NGUYEN TRUNG NGHIA PHAM NGUYEN HUYEN TRAN  25808600134 LNH0925ND01  0833551761 TAI VietinBank</t>
        </is>
      </c>
    </row>
    <row r="350">
      <c r="A350" s="1" t="inlineStr">
        <is>
          <t>26-Aug-25</t>
        </is>
      </c>
      <c r="B350" s="1" t="inlineStr">
        <is>
          <t>I60493</t>
        </is>
      </c>
      <c r="C350" s="1" t="inlineStr">
        <is>
          <t>25806800053</t>
        </is>
      </c>
      <c r="D350" s="1" t="inlineStr">
        <is>
          <t>Ñoaøn Ngoïc Yeán</t>
        </is>
      </c>
      <c r="E350" s="1" t="inlineStr">
        <is>
          <t>Nhi</t>
        </is>
      </c>
      <c r="F350" s="1" t="inlineStr">
        <is>
          <t>07-May-07</t>
        </is>
      </c>
      <c r="G350" s="1" t="inlineStr">
        <is>
          <t>LNH0925ND01</t>
        </is>
      </c>
      <c r="H350" s="1" t="inlineStr">
        <is>
          <t>09AV Giao tiep QT (TS)</t>
        </is>
      </c>
      <c r="I350" s="1" t="n">
        <v>1000000</v>
      </c>
      <c r="J350" s="1" t="inlineStr">
        <is>
          <t>DOAN NGOC HIEN DOAN NGOC YEN NHI 25806800053 LNH09 25ND01 0352111787 TAI OCB EBANKING           TP HCM</t>
        </is>
      </c>
    </row>
    <row r="351">
      <c r="A351" s="1" t="inlineStr">
        <is>
          <t>26-Aug-25</t>
        </is>
      </c>
      <c r="B351" s="1" t="inlineStr">
        <is>
          <t>I60494</t>
        </is>
      </c>
      <c r="C351" s="1" t="inlineStr">
        <is>
          <t>25802100030</t>
        </is>
      </c>
      <c r="D351" s="1" t="inlineStr">
        <is>
          <t>Chaâu Leâ Thuaän</t>
        </is>
      </c>
      <c r="E351" s="1" t="inlineStr">
        <is>
          <t>Phaùt</t>
        </is>
      </c>
      <c r="F351" s="1" t="inlineStr">
        <is>
          <t>03-Apr-07</t>
        </is>
      </c>
      <c r="G351" s="1" t="inlineStr">
        <is>
          <t>LNH0925ND01</t>
        </is>
      </c>
      <c r="H351" s="1" t="inlineStr">
        <is>
          <t>09AV Giao tiep QT (TS)</t>
        </is>
      </c>
      <c r="I351" s="1" t="n">
        <v>1000000</v>
      </c>
      <c r="J351" s="1" t="inlineStr">
        <is>
          <t>CHAU LE THUAN PHAT ABBank 0521043748045 CHAU LE THUAN PHAT 25802100030  LNH0925ND01 07680 57804 TAI Agribank</t>
        </is>
      </c>
    </row>
    <row r="352">
      <c r="A352" s="1" t="inlineStr">
        <is>
          <t>26-Aug-25</t>
        </is>
      </c>
      <c r="B352" s="1" t="inlineStr">
        <is>
          <t>I60495</t>
        </is>
      </c>
      <c r="C352" s="1" t="inlineStr">
        <is>
          <t>25820100031</t>
        </is>
      </c>
      <c r="D352" s="1" t="inlineStr">
        <is>
          <t>Ñaëng Traàn Haûi</t>
        </is>
      </c>
      <c r="E352" s="1" t="inlineStr">
        <is>
          <t>Nam</t>
        </is>
      </c>
      <c r="F352" s="1" t="inlineStr">
        <is>
          <t>08-Nov-07</t>
        </is>
      </c>
      <c r="G352" s="1" t="inlineStr">
        <is>
          <t>LNH0925ND01</t>
        </is>
      </c>
      <c r="H352" s="1" t="inlineStr">
        <is>
          <t>09AV Giao tiep QT (TS)</t>
        </is>
      </c>
      <c r="I352" s="1" t="n">
        <v>1000000</v>
      </c>
      <c r="J352" s="1" t="inlineStr">
        <is>
          <t>TRAN THI THANH MAI QR - Dang Tran Hai Nam 25820100031 LNH0925ND01 0707996391 TAI VietinBank</t>
        </is>
      </c>
    </row>
    <row r="353">
      <c r="A353" s="1" t="inlineStr">
        <is>
          <t>26-Aug-25</t>
        </is>
      </c>
      <c r="B353" s="1" t="inlineStr">
        <is>
          <t>I60496</t>
        </is>
      </c>
      <c r="C353" s="1" t="inlineStr">
        <is>
          <t>25802800300</t>
        </is>
      </c>
      <c r="D353" s="1" t="inlineStr">
        <is>
          <t>Traàn Nguyeãn Phöông</t>
        </is>
      </c>
      <c r="E353" s="1" t="inlineStr">
        <is>
          <t>Vy</t>
        </is>
      </c>
      <c r="F353" s="1" t="inlineStr">
        <is>
          <t>24-May-07</t>
        </is>
      </c>
      <c r="G353" s="1" t="inlineStr">
        <is>
          <t>LNH0925ND01</t>
        </is>
      </c>
      <c r="H353" s="1" t="inlineStr">
        <is>
          <t>09AV Giao tiep QT (TS)</t>
        </is>
      </c>
      <c r="I353" s="1" t="n">
        <v>1000000</v>
      </c>
      <c r="J353" s="1" t="inlineStr">
        <is>
          <t>NGUYEN TRUNG NGHIA TRAN NGUYEN PHUONG VY  25802800300 LNH0925ND01  0396782405 TAI VietinBank</t>
        </is>
      </c>
    </row>
    <row r="354">
      <c r="A354" s="1" t="inlineStr">
        <is>
          <t>26-Aug-25</t>
        </is>
      </c>
      <c r="B354" s="1" t="inlineStr">
        <is>
          <t>I60497</t>
        </is>
      </c>
      <c r="C354" s="1" t="inlineStr">
        <is>
          <t>25807500132</t>
        </is>
      </c>
      <c r="D354" s="1" t="inlineStr">
        <is>
          <t>Traàn Hoaøng</t>
        </is>
      </c>
      <c r="E354" s="1" t="inlineStr">
        <is>
          <t>Tieán</t>
        </is>
      </c>
      <c r="F354" s="1" t="inlineStr">
        <is>
          <t>09-Feb-07</t>
        </is>
      </c>
      <c r="G354" s="1" t="inlineStr">
        <is>
          <t>LNH0925ND01</t>
        </is>
      </c>
      <c r="H354" s="1" t="inlineStr">
        <is>
          <t>09AV Giao tiep QT (TS)</t>
        </is>
      </c>
      <c r="I354" s="1" t="n">
        <v>1000000</v>
      </c>
      <c r="J354" s="1" t="inlineStr">
        <is>
          <t>TRAN THI THANH MAI QR - Tran Hoang Tien 25807500132 LN H0925ND01 0939136428 TAI VietinBank</t>
        </is>
      </c>
    </row>
    <row r="355">
      <c r="A355" s="1" t="inlineStr">
        <is>
          <t>26-Aug-25</t>
        </is>
      </c>
      <c r="B355" s="1" t="inlineStr">
        <is>
          <t>I60498</t>
        </is>
      </c>
      <c r="C355" s="1" t="inlineStr">
        <is>
          <t>25802100015</t>
        </is>
      </c>
      <c r="D355" s="1" t="inlineStr">
        <is>
          <t>Traàn Gia</t>
        </is>
      </c>
      <c r="E355" s="1" t="inlineStr">
        <is>
          <t>Huy</t>
        </is>
      </c>
      <c r="F355" s="1" t="inlineStr">
        <is>
          <t>15-Dec-07</t>
        </is>
      </c>
      <c r="G355" s="1" t="inlineStr">
        <is>
          <t>LNH0925ND01</t>
        </is>
      </c>
      <c r="H355" s="1" t="inlineStr">
        <is>
          <t>09AV Giao tiep QT (TS)</t>
        </is>
      </c>
      <c r="I355" s="1" t="n">
        <v>1000000</v>
      </c>
      <c r="J355" s="1" t="inlineStr">
        <is>
          <t>VU THI THANH THUY MBVCB.10685087954.661713.Tran Gia H uy  25802100015    LNH0925ND01    0 386538401.CT tu 0181001612366 VU TH I THANH THUY toi 0521043748045 HUTECH tai ABBANK TAI Vietcombank</t>
        </is>
      </c>
    </row>
    <row r="356">
      <c r="A356" s="1" t="inlineStr">
        <is>
          <t>26-Aug-25</t>
        </is>
      </c>
      <c r="B356" s="1" t="inlineStr">
        <is>
          <t>I60499</t>
        </is>
      </c>
      <c r="C356" s="1" t="inlineStr">
        <is>
          <t>25809600004</t>
        </is>
      </c>
      <c r="D356" s="1" t="inlineStr">
        <is>
          <t>Tröông Huyønh Tuaán</t>
        </is>
      </c>
      <c r="E356" s="1" t="inlineStr">
        <is>
          <t>Anh</t>
        </is>
      </c>
      <c r="F356" s="1" t="inlineStr">
        <is>
          <t>27-Jul-07</t>
        </is>
      </c>
      <c r="G356" s="1" t="inlineStr">
        <is>
          <t>LNH0925ND01</t>
        </is>
      </c>
      <c r="H356" s="1" t="inlineStr">
        <is>
          <t>09AV Giao tiep QT (TS)</t>
        </is>
      </c>
      <c r="I356" s="1" t="n">
        <v>1000000</v>
      </c>
      <c r="J356" s="1" t="inlineStr">
        <is>
          <t>HUYNH THI CHUT TRUONG HUYNH TUAN ANH 25809600004-2 60825-10 31 23 674327 TAI Ngan hang a chau       IBT SMARLINK</t>
        </is>
      </c>
    </row>
    <row r="357">
      <c r="A357" s="1" t="inlineStr">
        <is>
          <t>26-Aug-25</t>
        </is>
      </c>
      <c r="B357" s="1" t="inlineStr">
        <is>
          <t>I60500</t>
        </is>
      </c>
      <c r="C357" s="1" t="inlineStr">
        <is>
          <t>25808200147</t>
        </is>
      </c>
      <c r="D357" s="1" t="inlineStr">
        <is>
          <t>Nguyeãn Anh</t>
        </is>
      </c>
      <c r="E357" s="1" t="inlineStr">
        <is>
          <t>Vuõ</t>
        </is>
      </c>
      <c r="F357" s="1" t="inlineStr">
        <is>
          <t>22-Nov-07</t>
        </is>
      </c>
      <c r="G357" s="1" t="inlineStr">
        <is>
          <t>LNH0925ND01</t>
        </is>
      </c>
      <c r="H357" s="1" t="inlineStr">
        <is>
          <t>09AV Giao tiep QT (TS)</t>
        </is>
      </c>
      <c r="I357" s="1" t="n">
        <v>1000000</v>
      </c>
      <c r="J357" s="1" t="inlineStr">
        <is>
          <t>NGUYEN ANH VU QR - NGUYEN ANH VU 25808200147 LNH0 925ND01 0908775521 TAI VietinBank</t>
        </is>
      </c>
    </row>
    <row r="358">
      <c r="A358" s="1" t="inlineStr">
        <is>
          <t>26-Aug-25</t>
        </is>
      </c>
      <c r="B358" s="1" t="inlineStr">
        <is>
          <t>I60501</t>
        </is>
      </c>
      <c r="C358" s="1" t="inlineStr">
        <is>
          <t>25802600171</t>
        </is>
      </c>
      <c r="D358" s="1" t="inlineStr">
        <is>
          <t>Buøi Ngoïc Haûi</t>
        </is>
      </c>
      <c r="E358" s="1" t="inlineStr">
        <is>
          <t>Linh</t>
        </is>
      </c>
      <c r="F358" s="1" t="inlineStr">
        <is>
          <t>28-Nov-07</t>
        </is>
      </c>
      <c r="G358" s="1" t="inlineStr">
        <is>
          <t>LNH0925ND01</t>
        </is>
      </c>
      <c r="H358" s="1" t="inlineStr">
        <is>
          <t>09AV Giao tiep QT (TS)</t>
        </is>
      </c>
      <c r="I358" s="1" t="n">
        <v>1000000</v>
      </c>
      <c r="J358" s="1" t="inlineStr">
        <is>
          <t>BUI SY HAI BUI NGOC HAI LINH 25802600171 LNH09 25ND01 0907008786 TAI IBT BIDV                 HANOI</t>
        </is>
      </c>
    </row>
    <row r="359">
      <c r="A359" s="1" t="inlineStr">
        <is>
          <t>26-Aug-25</t>
        </is>
      </c>
      <c r="B359" s="1" t="inlineStr">
        <is>
          <t>I60502</t>
        </is>
      </c>
      <c r="C359" s="1" t="inlineStr">
        <is>
          <t>25820100017</t>
        </is>
      </c>
      <c r="D359" s="1" t="inlineStr">
        <is>
          <t>Traàn Huyønh Quang</t>
        </is>
      </c>
      <c r="E359" s="1" t="inlineStr">
        <is>
          <t>Huy</t>
        </is>
      </c>
      <c r="F359" s="1" t="inlineStr">
        <is>
          <t>13-Oct-07</t>
        </is>
      </c>
      <c r="G359" s="1" t="inlineStr">
        <is>
          <t>LNH0925ND01</t>
        </is>
      </c>
      <c r="H359" s="1" t="inlineStr">
        <is>
          <t>09AV Giao tiep QT (TS)</t>
        </is>
      </c>
      <c r="I359" s="1" t="n">
        <v>1000000</v>
      </c>
      <c r="J359" s="1" t="inlineStr">
        <is>
          <t>TRAN THI THANH MAI QR - Tran Huynh Quang Huy 258201000 17 LNH0925ND01 0932973317 TAI VietinBank</t>
        </is>
      </c>
    </row>
    <row r="360">
      <c r="A360" s="1" t="inlineStr">
        <is>
          <t>26-Aug-25</t>
        </is>
      </c>
      <c r="B360" s="1" t="inlineStr">
        <is>
          <t>I60503</t>
        </is>
      </c>
      <c r="C360" s="1" t="inlineStr">
        <is>
          <t>25800500163</t>
        </is>
      </c>
      <c r="D360" s="1" t="inlineStr">
        <is>
          <t>Leâ Theá</t>
        </is>
      </c>
      <c r="E360" s="1" t="inlineStr">
        <is>
          <t>Thaéng</t>
        </is>
      </c>
      <c r="F360" s="1" t="inlineStr">
        <is>
          <t>10-Feb-07</t>
        </is>
      </c>
      <c r="G360" s="1" t="inlineStr">
        <is>
          <t>LNH0925ND01</t>
        </is>
      </c>
      <c r="H360" s="1" t="inlineStr">
        <is>
          <t>09AV Giao tiep QT (TS)</t>
        </is>
      </c>
      <c r="I360" s="1" t="n">
        <v>1000000</v>
      </c>
      <c r="J360" s="1" t="inlineStr">
        <is>
          <t>TRAN THI THANH MAI QR - Le The Thang 25800500163 LNH09 25ND01 0384650191 TAI VietinBank</t>
        </is>
      </c>
    </row>
    <row r="361">
      <c r="A361" s="1" t="inlineStr">
        <is>
          <t>26-Aug-25</t>
        </is>
      </c>
      <c r="B361" s="1" t="inlineStr">
        <is>
          <t>I60504</t>
        </is>
      </c>
      <c r="C361" s="1" t="inlineStr">
        <is>
          <t>25807900030</t>
        </is>
      </c>
      <c r="D361" s="1" t="inlineStr">
        <is>
          <t>Traàn Minh</t>
        </is>
      </c>
      <c r="E361" s="1" t="inlineStr">
        <is>
          <t>Khoâi</t>
        </is>
      </c>
      <c r="F361" s="1" t="inlineStr">
        <is>
          <t>28-Nov-07</t>
        </is>
      </c>
      <c r="G361" s="1" t="inlineStr">
        <is>
          <t>LNH0925ND01</t>
        </is>
      </c>
      <c r="H361" s="1" t="inlineStr">
        <is>
          <t>09AV Giao tiep QT (TS)</t>
        </is>
      </c>
      <c r="I361" s="1" t="n">
        <v>1000000</v>
      </c>
      <c r="J361" s="1" t="inlineStr">
        <is>
          <t>TRAN THI THANH MAI QR - Tran Minh Khoi 25807900030 LNH 0925ND01 0984135140 TAI VietinBank</t>
        </is>
      </c>
    </row>
    <row r="362">
      <c r="A362" s="1" t="inlineStr">
        <is>
          <t>26-Aug-25</t>
        </is>
      </c>
      <c r="B362" s="1" t="inlineStr">
        <is>
          <t>I60505</t>
        </is>
      </c>
      <c r="C362" s="1" t="inlineStr">
        <is>
          <t>25802800134</t>
        </is>
      </c>
      <c r="D362" s="1" t="inlineStr">
        <is>
          <t>Traàn Vaên Ñaëng</t>
        </is>
      </c>
      <c r="E362" s="1" t="inlineStr">
        <is>
          <t>Long</t>
        </is>
      </c>
      <c r="F362" s="1" t="inlineStr">
        <is>
          <t>24-Oct-07</t>
        </is>
      </c>
      <c r="G362" s="1" t="inlineStr">
        <is>
          <t>LNH0925ND01</t>
        </is>
      </c>
      <c r="H362" s="1" t="inlineStr">
        <is>
          <t>09AV Giao tiep QT (TS)</t>
        </is>
      </c>
      <c r="I362" s="1" t="n">
        <v>1000000</v>
      </c>
      <c r="J362" s="1" t="inlineStr">
        <is>
          <t>TRAN VAN DO ABBank 0521043748045 TRAN VAN DANG LONG 25802800134 LNH0925ND01 sdt 03 45475073 lop hoc 357 TAI Agribank</t>
        </is>
      </c>
    </row>
    <row r="363">
      <c r="A363" s="1" t="inlineStr">
        <is>
          <t>26-Aug-25</t>
        </is>
      </c>
      <c r="B363" s="1" t="inlineStr">
        <is>
          <t>I60506</t>
        </is>
      </c>
      <c r="C363" s="1" t="inlineStr">
        <is>
          <t>25807500001</t>
        </is>
      </c>
      <c r="D363" s="1" t="inlineStr">
        <is>
          <t>Ñoaøn Ngoïc Hoaøi</t>
        </is>
      </c>
      <c r="E363" s="1" t="inlineStr">
        <is>
          <t>An</t>
        </is>
      </c>
      <c r="F363" s="1" t="inlineStr">
        <is>
          <t>14-Oct-07</t>
        </is>
      </c>
      <c r="G363" s="1" t="inlineStr">
        <is>
          <t>LNH0925ND01</t>
        </is>
      </c>
      <c r="H363" s="1" t="inlineStr">
        <is>
          <t>09AV Giao tiep QT (TS)</t>
        </is>
      </c>
      <c r="I363" s="1" t="n">
        <v>1000000</v>
      </c>
      <c r="J363" s="1" t="inlineStr">
        <is>
          <t>TRAN THI THANH MAI QR - Doan Ngoc Hoai An 25807500001 LNH0925ND01 0869314907 TAI VietinBank</t>
        </is>
      </c>
    </row>
    <row r="364">
      <c r="A364" s="1" t="inlineStr">
        <is>
          <t>26-Aug-25</t>
        </is>
      </c>
      <c r="B364" s="1" t="inlineStr">
        <is>
          <t>I60507</t>
        </is>
      </c>
      <c r="C364" s="1" t="inlineStr">
        <is>
          <t>25808700161</t>
        </is>
      </c>
      <c r="D364" s="1" t="inlineStr">
        <is>
          <t>An Trang Vaøng</t>
        </is>
      </c>
      <c r="E364" s="1" t="inlineStr">
        <is>
          <t>Anh</t>
        </is>
      </c>
      <c r="F364" s="1" t="inlineStr">
        <is>
          <t>15-Nov-07</t>
        </is>
      </c>
      <c r="G364" s="1" t="inlineStr">
        <is>
          <t>LNH0925ND01</t>
        </is>
      </c>
      <c r="H364" s="1" t="inlineStr">
        <is>
          <t>09AV Giao tiep QT (TS)</t>
        </is>
      </c>
      <c r="I364" s="1" t="n">
        <v>1000000</v>
      </c>
      <c r="J364" s="1" t="inlineStr">
        <is>
          <t>TRAN THI THANH MAI QR - An Trang Vang Anh 25808700161 LNH0925ND01 0337374820 TAI VietinBank</t>
        </is>
      </c>
    </row>
    <row r="365">
      <c r="A365" s="1" t="inlineStr">
        <is>
          <t>26-Aug-25</t>
        </is>
      </c>
      <c r="B365" s="1" t="inlineStr">
        <is>
          <t>I60508</t>
        </is>
      </c>
      <c r="C365" s="1" t="inlineStr">
        <is>
          <t>25802700022</t>
        </is>
      </c>
      <c r="D365" s="1" t="inlineStr">
        <is>
          <t>Nguyeãn Phaïm Ngoïc</t>
        </is>
      </c>
      <c r="E365" s="1" t="inlineStr">
        <is>
          <t>Haân</t>
        </is>
      </c>
      <c r="F365" s="1" t="inlineStr">
        <is>
          <t>24-Dec-06</t>
        </is>
      </c>
      <c r="G365" s="1" t="inlineStr">
        <is>
          <t>LNH0925ND01</t>
        </is>
      </c>
      <c r="H365" s="1" t="inlineStr">
        <is>
          <t>09AV Giao tiep QT (TS)</t>
        </is>
      </c>
      <c r="I365" s="1" t="n">
        <v>1000000</v>
      </c>
      <c r="J365" s="1" t="inlineStr">
        <is>
          <t>NGUYEN TRUNG NGHIA NGUYEN PHAM NGOC HAU  25802700022 LNH0925ND01  0366213505 TAI VietinBank</t>
        </is>
      </c>
    </row>
    <row r="366">
      <c r="A366" s="1" t="inlineStr">
        <is>
          <t>26-Aug-25</t>
        </is>
      </c>
      <c r="B366" s="1" t="inlineStr">
        <is>
          <t>I60509</t>
        </is>
      </c>
      <c r="C366" s="1" t="inlineStr">
        <is>
          <t>25820200041</t>
        </is>
      </c>
      <c r="D366" s="1" t="inlineStr">
        <is>
          <t>Tsìn Huyønh Phuùc</t>
        </is>
      </c>
      <c r="E366" s="1" t="inlineStr">
        <is>
          <t>Nguyeân</t>
        </is>
      </c>
      <c r="F366" s="1" t="inlineStr">
        <is>
          <t>10-Sep-07</t>
        </is>
      </c>
      <c r="G366" s="1" t="inlineStr">
        <is>
          <t>LNH0925ND01</t>
        </is>
      </c>
      <c r="H366" s="1" t="inlineStr">
        <is>
          <t>09AV Giao tiep QT (TS)</t>
        </is>
      </c>
      <c r="I366" s="1" t="n">
        <v>1000000</v>
      </c>
      <c r="J366" s="1" t="inlineStr">
        <is>
          <t>TRAN THI THANH MAI QR - Tsin Huynh Phuc Nguyen 2582020 0041 LNH0925ND01 0853164778 TAI VietinBank</t>
        </is>
      </c>
    </row>
    <row r="367">
      <c r="A367" s="1" t="inlineStr">
        <is>
          <t>26-Aug-25</t>
        </is>
      </c>
      <c r="B367" s="1" t="inlineStr">
        <is>
          <t>I60510</t>
        </is>
      </c>
      <c r="C367" s="1" t="inlineStr">
        <is>
          <t>25807000021</t>
        </is>
      </c>
      <c r="D367" s="1" t="inlineStr">
        <is>
          <t>Buøi Tieán</t>
        </is>
      </c>
      <c r="E367" s="1" t="inlineStr">
        <is>
          <t>Phaùt</t>
        </is>
      </c>
      <c r="F367" s="1" t="inlineStr">
        <is>
          <t>06-Feb-07</t>
        </is>
      </c>
      <c r="G367" s="1" t="inlineStr">
        <is>
          <t>LNH0925ND01</t>
        </is>
      </c>
      <c r="H367" s="1" t="inlineStr">
        <is>
          <t>09AV Giao tiep QT (TS)</t>
        </is>
      </c>
      <c r="I367" s="1" t="n">
        <v>1000000</v>
      </c>
      <c r="J367" s="1" t="inlineStr">
        <is>
          <t>TRAN THI THANH MAI QR - Bui Tien Phat 25807000021 LNH0 925ND01 0898125138 TAI VietinBank</t>
        </is>
      </c>
    </row>
    <row r="368">
      <c r="A368" s="1" t="inlineStr">
        <is>
          <t>26-Aug-25</t>
        </is>
      </c>
      <c r="B368" s="1" t="inlineStr">
        <is>
          <t>I60511</t>
        </is>
      </c>
      <c r="C368" s="1" t="inlineStr">
        <is>
          <t>25801200021</t>
        </is>
      </c>
      <c r="D368" s="1" t="inlineStr">
        <is>
          <t>Traàn Quang</t>
        </is>
      </c>
      <c r="E368" s="1" t="inlineStr">
        <is>
          <t>Minh</t>
        </is>
      </c>
      <c r="F368" s="1" t="inlineStr">
        <is>
          <t>08-May-07</t>
        </is>
      </c>
      <c r="G368" s="1" t="inlineStr">
        <is>
          <t>LNH0925ND01</t>
        </is>
      </c>
      <c r="H368" s="1" t="inlineStr">
        <is>
          <t>09AV Giao tiep QT (TS)</t>
        </is>
      </c>
      <c r="I368" s="1" t="n">
        <v>1000000</v>
      </c>
      <c r="J368" s="1" t="inlineStr">
        <is>
          <t>TRAN THI THANH MAI QR - Tran Quang Minh 25801200021 LN H0925ND01 0522093401 TAI VietinBank</t>
        </is>
      </c>
    </row>
    <row r="369">
      <c r="A369" s="1" t="inlineStr">
        <is>
          <t>26-Aug-25</t>
        </is>
      </c>
      <c r="B369" s="1" t="inlineStr">
        <is>
          <t>I60512</t>
        </is>
      </c>
      <c r="C369" s="1" t="inlineStr">
        <is>
          <t>25801700103</t>
        </is>
      </c>
      <c r="D369" s="1" t="inlineStr">
        <is>
          <t>Phaïm Trung</t>
        </is>
      </c>
      <c r="E369" s="1" t="inlineStr">
        <is>
          <t>Nghóa</t>
        </is>
      </c>
      <c r="F369" s="1" t="inlineStr">
        <is>
          <t>12-Jun-07</t>
        </is>
      </c>
      <c r="G369" s="1" t="inlineStr">
        <is>
          <t>LNH0925ND01</t>
        </is>
      </c>
      <c r="H369" s="1" t="inlineStr">
        <is>
          <t>09AV Giao tiep QT (TS)</t>
        </is>
      </c>
      <c r="I369" s="1" t="n">
        <v>1000000</v>
      </c>
      <c r="J369" s="1" t="inlineStr">
        <is>
          <t>TRAN THI THANH MAI QR - Pham Trung Nghia 2501700031 LN H0925ND01 0866925830 TAI VietinBank</t>
        </is>
      </c>
    </row>
    <row r="370">
      <c r="A370" s="1" t="inlineStr">
        <is>
          <t>26-Aug-25</t>
        </is>
      </c>
      <c r="B370" s="1" t="inlineStr">
        <is>
          <t>I60513</t>
        </is>
      </c>
      <c r="C370" s="1" t="inlineStr">
        <is>
          <t>25802600097</t>
        </is>
      </c>
      <c r="D370" s="1" t="inlineStr">
        <is>
          <t>Phaïm Cao Thaùi An</t>
        </is>
      </c>
      <c r="E370" s="1" t="inlineStr">
        <is>
          <t>Nhieân</t>
        </is>
      </c>
      <c r="F370" s="1" t="inlineStr">
        <is>
          <t>15-Apr-07</t>
        </is>
      </c>
      <c r="G370" s="1" t="inlineStr">
        <is>
          <t>LNH0925ND01</t>
        </is>
      </c>
      <c r="H370" s="1" t="inlineStr">
        <is>
          <t>09AV Giao tiep QT (TS)</t>
        </is>
      </c>
      <c r="I370" s="1" t="n">
        <v>1000000</v>
      </c>
      <c r="J370" s="1" t="inlineStr">
        <is>
          <t>CAO THI THU HIEN phamcaothaiannhien25802600097 LNH09 25ND01 0369126681 TAI IBT BIDV                 HANOI</t>
        </is>
      </c>
    </row>
    <row r="371">
      <c r="A371" s="1" t="inlineStr">
        <is>
          <t>26-Aug-25</t>
        </is>
      </c>
      <c r="B371" s="1" t="inlineStr">
        <is>
          <t>I60514</t>
        </is>
      </c>
      <c r="C371" s="1" t="inlineStr">
        <is>
          <t>25807500082</t>
        </is>
      </c>
      <c r="D371" s="1" t="inlineStr">
        <is>
          <t>Nguyeãn Höõu</t>
        </is>
      </c>
      <c r="E371" s="1" t="inlineStr">
        <is>
          <t>Nhaân</t>
        </is>
      </c>
      <c r="F371" s="1" t="inlineStr">
        <is>
          <t>31-Dec-07</t>
        </is>
      </c>
      <c r="G371" s="1" t="inlineStr">
        <is>
          <t>LNH0925ND01</t>
        </is>
      </c>
      <c r="H371" s="1" t="inlineStr">
        <is>
          <t>09AV Giao tiep QT (TS)</t>
        </is>
      </c>
      <c r="I371" s="1" t="n">
        <v>1000000</v>
      </c>
      <c r="J371" s="1" t="inlineStr">
        <is>
          <t>TRAN THI THANH MAI QR - Nguyen Huu Nhan 25807500082 LN H0925ND01 0896609510 TAI VietinBank</t>
        </is>
      </c>
    </row>
    <row r="372">
      <c r="A372" s="1" t="inlineStr">
        <is>
          <t>26-Aug-25</t>
        </is>
      </c>
      <c r="B372" s="1" t="inlineStr">
        <is>
          <t>I60515</t>
        </is>
      </c>
      <c r="C372" s="1" t="inlineStr">
        <is>
          <t>25808700072</t>
        </is>
      </c>
      <c r="D372" s="1" t="inlineStr">
        <is>
          <t>Nguyeãn Hoaøng</t>
        </is>
      </c>
      <c r="E372" s="1" t="inlineStr">
        <is>
          <t>Nhöït</t>
        </is>
      </c>
      <c r="F372" s="1" t="inlineStr">
        <is>
          <t>11-Oct-07</t>
        </is>
      </c>
      <c r="G372" s="1" t="inlineStr">
        <is>
          <t>LNH0925ND01</t>
        </is>
      </c>
      <c r="H372" s="1" t="inlineStr">
        <is>
          <t>09AV Giao tiep QT (TS)</t>
        </is>
      </c>
      <c r="I372" s="1" t="n">
        <v>1000000</v>
      </c>
      <c r="J372" s="1" t="inlineStr">
        <is>
          <t>MBBANK IBFT NGUYEN HOANG NHUT 25808700072 LNH09 25ND01 0913975491 TAI IBT-MB                   HANOI</t>
        </is>
      </c>
    </row>
    <row r="373">
      <c r="A373" s="1" t="inlineStr">
        <is>
          <t>26-Aug-25</t>
        </is>
      </c>
      <c r="B373" s="1" t="inlineStr">
        <is>
          <t>I60516</t>
        </is>
      </c>
      <c r="C373" s="1" t="inlineStr">
        <is>
          <t>25802800258</t>
        </is>
      </c>
      <c r="D373" s="1" t="inlineStr">
        <is>
          <t>Nguyeãn Coâng</t>
        </is>
      </c>
      <c r="E373" s="1" t="inlineStr">
        <is>
          <t>Thöôøng</t>
        </is>
      </c>
      <c r="F373" s="1" t="inlineStr">
        <is>
          <t>15-Jan-07</t>
        </is>
      </c>
      <c r="G373" s="1" t="inlineStr">
        <is>
          <t>LNH0925ND01</t>
        </is>
      </c>
      <c r="H373" s="1" t="inlineStr">
        <is>
          <t>09AV Giao tiep QT (TS)</t>
        </is>
      </c>
      <c r="I373" s="1" t="n">
        <v>1000000</v>
      </c>
      <c r="J373" s="1" t="inlineStr">
        <is>
          <t>NGUYEN CONG THUONG QR - NGUYEN CONG THUONG  2580280025 8 0388199170 TAI VietinBank</t>
        </is>
      </c>
    </row>
    <row r="374">
      <c r="A374" s="1" t="inlineStr">
        <is>
          <t>26-Aug-25</t>
        </is>
      </c>
      <c r="B374" s="1" t="inlineStr">
        <is>
          <t>I60517</t>
        </is>
      </c>
      <c r="C374" s="1" t="inlineStr">
        <is>
          <t>25805800048</t>
        </is>
      </c>
      <c r="D374" s="1" t="inlineStr">
        <is>
          <t>Traàn Chí</t>
        </is>
      </c>
      <c r="E374" s="1" t="inlineStr">
        <is>
          <t>Huy</t>
        </is>
      </c>
      <c r="F374" s="1" t="inlineStr">
        <is>
          <t>09-Oct-07</t>
        </is>
      </c>
      <c r="G374" s="1" t="inlineStr">
        <is>
          <t>LNH0925ND01</t>
        </is>
      </c>
      <c r="H374" s="1" t="inlineStr">
        <is>
          <t>09AV Giao tiep QT (TS)</t>
        </is>
      </c>
      <c r="I374" s="1" t="n">
        <v>1000000</v>
      </c>
      <c r="J374" s="1" t="inlineStr">
        <is>
          <t>TRAN CHI TRUNG ABBank 0521043748045 TRAN CHI HUY-2 505800014-LNH0925ND01- 0865809058-L op hoc toi2-4-6 TAI Agribank</t>
        </is>
      </c>
    </row>
    <row r="375">
      <c r="A375" s="1" t="inlineStr">
        <is>
          <t>26-Aug-25</t>
        </is>
      </c>
      <c r="B375" s="1" t="inlineStr">
        <is>
          <t>I60518</t>
        </is>
      </c>
      <c r="C375" s="1" t="inlineStr">
        <is>
          <t>25820300093</t>
        </is>
      </c>
      <c r="D375" s="1" t="inlineStr">
        <is>
          <t>Nguyeãn Thanh</t>
        </is>
      </c>
      <c r="E375" s="1" t="inlineStr">
        <is>
          <t>Phuù</t>
        </is>
      </c>
      <c r="F375" s="1" t="inlineStr">
        <is>
          <t>19-Dec-07</t>
        </is>
      </c>
      <c r="G375" s="1" t="inlineStr">
        <is>
          <t>LNH0925ND01</t>
        </is>
      </c>
      <c r="H375" s="1" t="inlineStr">
        <is>
          <t>09AV Giao tiep QT (TS)</t>
        </is>
      </c>
      <c r="I375" s="1" t="n">
        <v>1000000</v>
      </c>
      <c r="J375" s="1" t="inlineStr">
        <is>
          <t>MBBANK IBFT 25820300093LNH0925ND010909436933 TAI IBT-MB                   HANOI</t>
        </is>
      </c>
    </row>
    <row r="376">
      <c r="A376" s="1" t="inlineStr">
        <is>
          <t>26-Aug-25</t>
        </is>
      </c>
      <c r="B376" s="1" t="inlineStr">
        <is>
          <t>I60519</t>
        </is>
      </c>
      <c r="C376" s="1" t="inlineStr">
        <is>
          <t>25801000025</t>
        </is>
      </c>
      <c r="D376" s="1" t="inlineStr">
        <is>
          <t>Nguyeãn Nhaät</t>
        </is>
      </c>
      <c r="E376" s="1" t="inlineStr">
        <is>
          <t>Duy</t>
        </is>
      </c>
      <c r="F376" s="1" t="inlineStr">
        <is>
          <t>08-Aug-07</t>
        </is>
      </c>
      <c r="G376" s="1" t="inlineStr">
        <is>
          <t>LNH0925ND01</t>
        </is>
      </c>
      <c r="H376" s="1" t="inlineStr">
        <is>
          <t>09AV Giao tiep QT (TS)</t>
        </is>
      </c>
      <c r="I376" s="1" t="n">
        <v>1000000</v>
      </c>
      <c r="J376" s="1" t="inlineStr">
        <is>
          <t>TRAN THI THANH MAI QR - Nguyen Nhat Duy 25801000025 LN H0925ND01 0966474572 TAI VietinBank</t>
        </is>
      </c>
    </row>
    <row r="377">
      <c r="A377" s="1" t="inlineStr">
        <is>
          <t>26-Aug-25</t>
        </is>
      </c>
      <c r="B377" s="1" t="inlineStr">
        <is>
          <t>I60520</t>
        </is>
      </c>
      <c r="C377" s="1" t="inlineStr">
        <is>
          <t>25808200010</t>
        </is>
      </c>
      <c r="D377" s="1" t="inlineStr">
        <is>
          <t>Thöôïng Hoaøi</t>
        </is>
      </c>
      <c r="E377" s="1" t="inlineStr">
        <is>
          <t>AÂn</t>
        </is>
      </c>
      <c r="F377" s="1" t="inlineStr">
        <is>
          <t>02-Nov-07</t>
        </is>
      </c>
      <c r="G377" s="1" t="inlineStr">
        <is>
          <t>LNH0925ND01</t>
        </is>
      </c>
      <c r="H377" s="1" t="inlineStr">
        <is>
          <t>09AV Giao tiep QT (TS)</t>
        </is>
      </c>
      <c r="I377" s="1" t="n">
        <v>1000000</v>
      </c>
      <c r="J377" s="1" t="inlineStr">
        <is>
          <t>TRAN THI THANH MAI QR - Thuong Hoai An 25808200010 LNH 0925ND01 0814243228 TAI VietinBank</t>
        </is>
      </c>
    </row>
    <row r="378">
      <c r="A378" s="1" t="inlineStr">
        <is>
          <t>26-Aug-25</t>
        </is>
      </c>
      <c r="B378" s="1" t="inlineStr">
        <is>
          <t>I60521</t>
        </is>
      </c>
      <c r="C378" s="1" t="inlineStr">
        <is>
          <t>25802700081</t>
        </is>
      </c>
      <c r="D378" s="1" t="inlineStr">
        <is>
          <t>Döông Nguyeãn Ngoïc</t>
        </is>
      </c>
      <c r="E378" s="1" t="inlineStr">
        <is>
          <t>Thaéng</t>
        </is>
      </c>
      <c r="F378" s="1" t="inlineStr">
        <is>
          <t>21-May-07</t>
        </is>
      </c>
      <c r="G378" s="1" t="inlineStr">
        <is>
          <t>LNH0925ND01</t>
        </is>
      </c>
      <c r="H378" s="1" t="inlineStr">
        <is>
          <t>09AV Giao tiep QT (TS)</t>
        </is>
      </c>
      <c r="I378" s="1" t="n">
        <v>1000000</v>
      </c>
      <c r="J378" s="1" t="inlineStr">
        <is>
          <t>TRAN THI THANH MAI QR - Duong Nguyen Ngoc Thang 258027 00081 LNH0925ND01 0825542042 TAI VietinBank</t>
        </is>
      </c>
    </row>
    <row r="379">
      <c r="A379" s="1" t="inlineStr">
        <is>
          <t>26-Aug-25</t>
        </is>
      </c>
      <c r="B379" s="1" t="inlineStr">
        <is>
          <t>I60522</t>
        </is>
      </c>
      <c r="C379" s="1" t="inlineStr">
        <is>
          <t>25808700190</t>
        </is>
      </c>
      <c r="D379" s="1" t="inlineStr">
        <is>
          <t>Leâ Minh</t>
        </is>
      </c>
      <c r="E379" s="1" t="inlineStr">
        <is>
          <t>Long</t>
        </is>
      </c>
      <c r="F379" s="1" t="inlineStr">
        <is>
          <t>28-Mar-07</t>
        </is>
      </c>
      <c r="G379" s="1" t="inlineStr">
        <is>
          <t>LNH0925ND01</t>
        </is>
      </c>
      <c r="H379" s="1" t="inlineStr">
        <is>
          <t>09AV Giao tiep QT (TS)</t>
        </is>
      </c>
      <c r="I379" s="1" t="n">
        <v>1000000</v>
      </c>
      <c r="J379" s="1" t="inlineStr">
        <is>
          <t>TRAN THI THANH MAI QR - Le Minh Long 2508700065 LNH092 5ND01 0389421491 TAI VietinBank</t>
        </is>
      </c>
    </row>
    <row r="380">
      <c r="A380" s="1" t="inlineStr">
        <is>
          <t>26-Aug-25</t>
        </is>
      </c>
      <c r="B380" s="1" t="inlineStr">
        <is>
          <t>I60523</t>
        </is>
      </c>
      <c r="C380" s="1" t="inlineStr">
        <is>
          <t>25808700110</t>
        </is>
      </c>
      <c r="D380" s="1" t="inlineStr">
        <is>
          <t>Traàn Baûo</t>
        </is>
      </c>
      <c r="E380" s="1" t="inlineStr">
        <is>
          <t>Traân</t>
        </is>
      </c>
      <c r="F380" s="1" t="inlineStr">
        <is>
          <t>07-Dec-07</t>
        </is>
      </c>
      <c r="G380" s="1" t="inlineStr">
        <is>
          <t>LNH0925ND01</t>
        </is>
      </c>
      <c r="H380" s="1" t="inlineStr">
        <is>
          <t>09AV Giao tiep QT (TS)</t>
        </is>
      </c>
      <c r="I380" s="1" t="n">
        <v>0</v>
      </c>
      <c r="J380" s="1" t="inlineStr">
        <is>
          <t>(chuyen edu)TRAN BAO TRAN MBVCB.10686331066.486851.TRAN BAO T RAN 25808700110 LNH0925ND01.CT tu 1 039173201 TRAN BAO TRAN toi 0521043 748045 HUTECH tai ABBANK TAI Vietcombank</t>
        </is>
      </c>
    </row>
    <row r="381">
      <c r="A381" s="1" t="inlineStr">
        <is>
          <t>26-Aug-25</t>
        </is>
      </c>
      <c r="B381" s="1" t="inlineStr">
        <is>
          <t>I60524</t>
        </is>
      </c>
      <c r="C381" s="1" t="inlineStr">
        <is>
          <t>25802700054</t>
        </is>
      </c>
      <c r="D381" s="1" t="inlineStr">
        <is>
          <t>Leâ Thò Tuyeát</t>
        </is>
      </c>
      <c r="E381" s="1" t="inlineStr">
        <is>
          <t>Ngaân</t>
        </is>
      </c>
      <c r="F381" s="1" t="inlineStr">
        <is>
          <t>22-Jul-07</t>
        </is>
      </c>
      <c r="G381" s="1" t="inlineStr">
        <is>
          <t>LNH0925ND01</t>
        </is>
      </c>
      <c r="H381" s="1" t="inlineStr">
        <is>
          <t>09AV Giao tiep QT (TS)</t>
        </is>
      </c>
      <c r="I381" s="1" t="n">
        <v>1000000</v>
      </c>
      <c r="J381" s="1" t="inlineStr">
        <is>
          <t>NGUYEN TRUNG NGHIA LE THI TUYET NGAN  25802700054  LNH 0925ND01  0974931249 TAI VietinBank</t>
        </is>
      </c>
    </row>
    <row r="382">
      <c r="A382" s="1" t="inlineStr">
        <is>
          <t>26-Aug-25</t>
        </is>
      </c>
      <c r="B382" s="1" t="inlineStr">
        <is>
          <t>I60525</t>
        </is>
      </c>
      <c r="C382" s="1" t="inlineStr">
        <is>
          <t>25801800072</t>
        </is>
      </c>
      <c r="D382" s="1" t="inlineStr">
        <is>
          <t>Nguyeãn Ngoïc Baûo</t>
        </is>
      </c>
      <c r="E382" s="1" t="inlineStr">
        <is>
          <t>Thy</t>
        </is>
      </c>
      <c r="F382" s="1" t="inlineStr">
        <is>
          <t>20-Jan-07</t>
        </is>
      </c>
      <c r="G382" s="1" t="inlineStr">
        <is>
          <t>LNH0925ND01</t>
        </is>
      </c>
      <c r="H382" s="1" t="inlineStr">
        <is>
          <t>09AV Giao tiep QT (TS)</t>
        </is>
      </c>
      <c r="I382" s="1" t="n">
        <v>1000000</v>
      </c>
      <c r="J382" s="1" t="inlineStr">
        <is>
          <t>LE THI YEN NHI MBVCB.10686390224.520397.nguyen ngo c bao thy  25801800072 LNH0925ND01 0825092395.CT tu 0181000069020 LE THI YEN NHI toi 0521043748045 HUTECH tai ABBANK TAI Vietcombank</t>
        </is>
      </c>
    </row>
    <row r="383">
      <c r="A383" s="1" t="inlineStr">
        <is>
          <t>26-Aug-25</t>
        </is>
      </c>
      <c r="B383" s="1" t="inlineStr">
        <is>
          <t>I60526</t>
        </is>
      </c>
      <c r="C383" s="1" t="inlineStr">
        <is>
          <t>25800601138</t>
        </is>
      </c>
      <c r="D383" s="1" t="inlineStr">
        <is>
          <t>Nguyeãn Vaên</t>
        </is>
      </c>
      <c r="E383" s="1" t="inlineStr">
        <is>
          <t>Lôïi</t>
        </is>
      </c>
      <c r="F383" s="1" t="inlineStr">
        <is>
          <t>18-Feb-07</t>
        </is>
      </c>
      <c r="G383" s="1" t="inlineStr">
        <is>
          <t>LNH0925ND01</t>
        </is>
      </c>
      <c r="H383" s="1" t="inlineStr">
        <is>
          <t>09AV Giao tiep QT (TS)</t>
        </is>
      </c>
      <c r="I383" s="1" t="n">
        <v>1000000</v>
      </c>
      <c r="J383" s="1" t="inlineStr">
        <is>
          <t>TRAN THI THANH MAI QR - Nguyen Van Loi 25800601138 LNH 0925ND01 0989167503 TAI VietinBank</t>
        </is>
      </c>
    </row>
    <row r="384">
      <c r="A384" s="1" t="inlineStr">
        <is>
          <t>26-Aug-25</t>
        </is>
      </c>
      <c r="B384" s="1" t="inlineStr">
        <is>
          <t>I60527</t>
        </is>
      </c>
      <c r="C384" s="1" t="inlineStr">
        <is>
          <t>25806000033</t>
        </is>
      </c>
      <c r="D384" s="1" t="inlineStr">
        <is>
          <t>Nguyeãn Chaâu Myõ</t>
        </is>
      </c>
      <c r="E384" s="1" t="inlineStr">
        <is>
          <t>Sang</t>
        </is>
      </c>
      <c r="F384" s="1" t="inlineStr">
        <is>
          <t>03-Mar-07</t>
        </is>
      </c>
      <c r="G384" s="1" t="inlineStr">
        <is>
          <t>LNH0925ND01</t>
        </is>
      </c>
      <c r="H384" s="1" t="inlineStr">
        <is>
          <t>09AV Giao tiep QT (TS)</t>
        </is>
      </c>
      <c r="I384" s="1" t="n">
        <v>0</v>
      </c>
      <c r="J384" s="1" t="inlineStr">
        <is>
          <t>(chuyen edu)MBBANK IBFT NGUYEN CHAU MY SANG 25806000033 LNH 0925ND01 0929183284 TAI IBT-MB                   HANOI</t>
        </is>
      </c>
    </row>
    <row r="385">
      <c r="A385" s="1" t="inlineStr">
        <is>
          <t>26-Aug-25</t>
        </is>
      </c>
      <c r="B385" s="1" t="inlineStr">
        <is>
          <t>I60528</t>
        </is>
      </c>
      <c r="C385" s="1" t="inlineStr">
        <is>
          <t>25802800047</t>
        </is>
      </c>
      <c r="D385" s="1" t="inlineStr">
        <is>
          <t>Nguyeãn Haûi</t>
        </is>
      </c>
      <c r="E385" s="1" t="inlineStr">
        <is>
          <t>Ñaêng</t>
        </is>
      </c>
      <c r="F385" s="1" t="inlineStr">
        <is>
          <t>01-Jan-07</t>
        </is>
      </c>
      <c r="G385" s="1" t="inlineStr">
        <is>
          <t>LNH0925ND01</t>
        </is>
      </c>
      <c r="H385" s="1" t="inlineStr">
        <is>
          <t>09AV Giao tiep QT (TS)</t>
        </is>
      </c>
      <c r="I385" s="1" t="n">
        <v>1000000</v>
      </c>
      <c r="J385" s="1" t="inlineStr">
        <is>
          <t>NGUYEN TRUNG NGHIA NGUYEN HAI DANG  25802800047  LNH09 25ND01  0363490046 TAI VietinBank</t>
        </is>
      </c>
    </row>
    <row r="386">
      <c r="A386" s="1" t="inlineStr">
        <is>
          <t>26-Aug-25</t>
        </is>
      </c>
      <c r="B386" s="1" t="inlineStr">
        <is>
          <t>I60529</t>
        </is>
      </c>
      <c r="C386" s="1" t="inlineStr">
        <is>
          <t>25806800059</t>
        </is>
      </c>
      <c r="D386" s="1" t="inlineStr">
        <is>
          <t>Nguyeãn</t>
        </is>
      </c>
      <c r="E386" s="1" t="inlineStr">
        <is>
          <t>Phong</t>
        </is>
      </c>
      <c r="F386" s="1" t="inlineStr">
        <is>
          <t>22-Oct-07</t>
        </is>
      </c>
      <c r="G386" s="1" t="inlineStr">
        <is>
          <t>LNH0925ND01</t>
        </is>
      </c>
      <c r="H386" s="1" t="inlineStr">
        <is>
          <t>09AV Giao tiep QT (TS)</t>
        </is>
      </c>
      <c r="I386" s="1" t="n">
        <v>1000000</v>
      </c>
      <c r="J386" s="1" t="inlineStr">
        <is>
          <t>NGUYEN TRUNG NGHIA NGUYEN PHONG  25806800059  LNH0925N D01  0389705473 TAI VietinBank</t>
        </is>
      </c>
    </row>
    <row r="387">
      <c r="A387" s="1" t="inlineStr">
        <is>
          <t>26-Aug-25</t>
        </is>
      </c>
      <c r="B387" s="1" t="inlineStr">
        <is>
          <t>I60530</t>
        </is>
      </c>
      <c r="C387" s="1" t="inlineStr">
        <is>
          <t>25801100007</t>
        </is>
      </c>
      <c r="D387" s="1" t="inlineStr">
        <is>
          <t>Phan Minh</t>
        </is>
      </c>
      <c r="E387" s="1" t="inlineStr">
        <is>
          <t>Chieán</t>
        </is>
      </c>
      <c r="F387" s="1" t="inlineStr">
        <is>
          <t>17-Jan-07</t>
        </is>
      </c>
      <c r="G387" s="1" t="inlineStr">
        <is>
          <t>LNH0925ND01</t>
        </is>
      </c>
      <c r="H387" s="1" t="inlineStr">
        <is>
          <t>09AV Giao tiep QT (TS)</t>
        </is>
      </c>
      <c r="I387" s="1" t="n">
        <v>1000000</v>
      </c>
      <c r="J387" s="1" t="inlineStr">
        <is>
          <t>NGUYEN TRUNG NGHIA PHAN MINH CHIEN  25801100007  LNH09 25ND01  0354633701 TAI VietinBank</t>
        </is>
      </c>
    </row>
    <row r="388">
      <c r="A388" s="1" t="inlineStr">
        <is>
          <t>26-Aug-25</t>
        </is>
      </c>
      <c r="B388" s="1" t="inlineStr">
        <is>
          <t>I60531</t>
        </is>
      </c>
      <c r="C388" s="1" t="inlineStr">
        <is>
          <t>25800400273</t>
        </is>
      </c>
      <c r="D388" s="1" t="inlineStr">
        <is>
          <t>Nguyeãn Duy</t>
        </is>
      </c>
      <c r="E388" s="1" t="inlineStr">
        <is>
          <t>An</t>
        </is>
      </c>
      <c r="F388" s="1" t="inlineStr">
        <is>
          <t>22-Mar-07</t>
        </is>
      </c>
      <c r="G388" s="1" t="inlineStr">
        <is>
          <t>LNH0925ND01</t>
        </is>
      </c>
      <c r="H388" s="1" t="inlineStr">
        <is>
          <t>09AV Giao tiep QT (TS)</t>
        </is>
      </c>
      <c r="I388" s="1" t="n">
        <v>1000000</v>
      </c>
      <c r="J388" s="1" t="inlineStr">
        <is>
          <t>NGUYEN TRUNG NGHIA NGUYEN DUY AN  2500400091  LNH0925N D01  0347019985 TAI VietinBank</t>
        </is>
      </c>
    </row>
    <row r="389">
      <c r="A389" s="1" t="inlineStr">
        <is>
          <t>26-Aug-25</t>
        </is>
      </c>
      <c r="B389" s="1" t="inlineStr">
        <is>
          <t>I60532</t>
        </is>
      </c>
      <c r="C389" s="1" t="inlineStr">
        <is>
          <t>25820300019</t>
        </is>
      </c>
      <c r="D389" s="1" t="inlineStr">
        <is>
          <t>Traàn Quoác</t>
        </is>
      </c>
      <c r="E389" s="1" t="inlineStr">
        <is>
          <t>Huy</t>
        </is>
      </c>
      <c r="F389" s="1" t="inlineStr">
        <is>
          <t>16-Mar-07</t>
        </is>
      </c>
      <c r="G389" s="1" t="inlineStr">
        <is>
          <t>LNH0925ND01</t>
        </is>
      </c>
      <c r="H389" s="1" t="inlineStr">
        <is>
          <t>09AV Giao tiep QT (TS)</t>
        </is>
      </c>
      <c r="I389" s="1" t="n">
        <v>1000000</v>
      </c>
      <c r="J389" s="1" t="inlineStr">
        <is>
          <t>TRAN QUOC HUNG Tran Quoc Huy  25820300019 LNH0925N D01 0963423195 TAI HDBank                 Ebanking</t>
        </is>
      </c>
    </row>
    <row r="390">
      <c r="A390" s="1" t="inlineStr">
        <is>
          <t>26-Aug-25</t>
        </is>
      </c>
      <c r="B390" s="1" t="inlineStr">
        <is>
          <t>I60533</t>
        </is>
      </c>
      <c r="C390" s="1" t="inlineStr">
        <is>
          <t>25801100076</t>
        </is>
      </c>
      <c r="D390" s="1" t="inlineStr">
        <is>
          <t>Traàn Huyønh Vaïn</t>
        </is>
      </c>
      <c r="E390" s="1" t="inlineStr">
        <is>
          <t>Trí</t>
        </is>
      </c>
      <c r="F390" s="1" t="inlineStr">
        <is>
          <t>10-Oct-07</t>
        </is>
      </c>
      <c r="G390" s="1" t="inlineStr">
        <is>
          <t>LNH0925ND01</t>
        </is>
      </c>
      <c r="H390" s="1" t="inlineStr">
        <is>
          <t>09AV Giao tiep QT (TS)</t>
        </is>
      </c>
      <c r="I390" s="1" t="n">
        <v>1000000</v>
      </c>
      <c r="J390" s="1" t="inlineStr">
        <is>
          <t>NGUYEN TRUNG NGHIA TRAN HUYNH VAN CHI  25801100076  LN H0925ND01  0369672162 TAI VietinBank</t>
        </is>
      </c>
    </row>
    <row r="391">
      <c r="A391" s="1" t="inlineStr">
        <is>
          <t>26-Aug-25</t>
        </is>
      </c>
      <c r="B391" s="1" t="inlineStr">
        <is>
          <t>I60534</t>
        </is>
      </c>
      <c r="C391" s="1" t="inlineStr">
        <is>
          <t>25807500017</t>
        </is>
      </c>
      <c r="D391" s="1" t="inlineStr">
        <is>
          <t>Ñoã Tieán</t>
        </is>
      </c>
      <c r="E391" s="1" t="inlineStr">
        <is>
          <t>Döông</t>
        </is>
      </c>
      <c r="F391" s="1" t="inlineStr">
        <is>
          <t>20-Jul-07</t>
        </is>
      </c>
      <c r="G391" s="1" t="inlineStr">
        <is>
          <t>LNH0925ND01</t>
        </is>
      </c>
      <c r="H391" s="1" t="inlineStr">
        <is>
          <t>09AV Giao tiep QT (TS)</t>
        </is>
      </c>
      <c r="I391" s="1" t="n">
        <v>1000000</v>
      </c>
      <c r="J391" s="1" t="inlineStr">
        <is>
          <t>DUONG THI THOM ABBank 0521043748045 Do Tien Duong 25807500017  LHN0925ND01  096299071 TAI Agribank</t>
        </is>
      </c>
    </row>
    <row r="392">
      <c r="A392" s="1" t="inlineStr">
        <is>
          <t>26-Aug-25</t>
        </is>
      </c>
      <c r="B392" s="1" t="inlineStr">
        <is>
          <t>I60535</t>
        </is>
      </c>
      <c r="C392" s="1" t="inlineStr">
        <is>
          <t>25808200141</t>
        </is>
      </c>
      <c r="D392" s="1" t="inlineStr">
        <is>
          <t>Nguyeãn Thaùi</t>
        </is>
      </c>
      <c r="E392" s="1" t="inlineStr">
        <is>
          <t>Tuaán</t>
        </is>
      </c>
      <c r="F392" s="1" t="inlineStr">
        <is>
          <t>27-Jan-07</t>
        </is>
      </c>
      <c r="G392" s="1" t="inlineStr">
        <is>
          <t>LNH0925ND01</t>
        </is>
      </c>
      <c r="H392" s="1" t="inlineStr">
        <is>
          <t>09AV Giao tiep QT (TS)</t>
        </is>
      </c>
      <c r="I392" s="1" t="n">
        <v>1000000</v>
      </c>
      <c r="J392" s="1" t="inlineStr">
        <is>
          <t>NGUYEN THAI TUAN MBVCB.10687436269.209354.NGUYEN THA I TUAN 25808200141 LNH0925ND01 0834 796578.CT tu 2834796578 NGUYEN THAI TUAN toi 0521043748045 HUTECH taiABBANK TAI Vietcombank</t>
        </is>
      </c>
    </row>
    <row r="393">
      <c r="A393" s="1" t="inlineStr">
        <is>
          <t>26-Aug-25</t>
        </is>
      </c>
      <c r="B393" s="1" t="inlineStr">
        <is>
          <t>I60536</t>
        </is>
      </c>
      <c r="C393" s="1" t="inlineStr">
        <is>
          <t>25807500033</t>
        </is>
      </c>
      <c r="D393" s="1" t="inlineStr">
        <is>
          <t>Phaïm Minh</t>
        </is>
      </c>
      <c r="E393" s="1" t="inlineStr">
        <is>
          <t>Hoøa</t>
        </is>
      </c>
      <c r="F393" s="1" t="inlineStr">
        <is>
          <t>21-Nov-07</t>
        </is>
      </c>
      <c r="G393" s="1" t="inlineStr">
        <is>
          <t>LNH0925ND01</t>
        </is>
      </c>
      <c r="H393" s="1" t="inlineStr">
        <is>
          <t>09AV Giao tiep QT (TS)</t>
        </is>
      </c>
      <c r="I393" s="1" t="n">
        <v>1000000</v>
      </c>
      <c r="J393" s="1" t="inlineStr">
        <is>
          <t>NGUYEN TRUNG NGHIA PHAM MINH HOA  25807500033  LNH0925 ND01  0982466739 TAI VietinBank</t>
        </is>
      </c>
    </row>
    <row r="394">
      <c r="A394" s="1" t="inlineStr">
        <is>
          <t>26-Aug-25</t>
        </is>
      </c>
      <c r="B394" s="1" t="inlineStr">
        <is>
          <t>I60537</t>
        </is>
      </c>
      <c r="C394" s="1" t="inlineStr">
        <is>
          <t>25802700094</t>
        </is>
      </c>
      <c r="D394" s="1" t="inlineStr">
        <is>
          <t>Buøi Thò Ngoïc</t>
        </is>
      </c>
      <c r="E394" s="1" t="inlineStr">
        <is>
          <t>Traâm</t>
        </is>
      </c>
      <c r="F394" s="1" t="inlineStr">
        <is>
          <t>19-Dec-07</t>
        </is>
      </c>
      <c r="G394" s="1" t="inlineStr">
        <is>
          <t>LNH0925ND01</t>
        </is>
      </c>
      <c r="H394" s="1" t="inlineStr">
        <is>
          <t>09AV Giao tiep QT (TS)</t>
        </is>
      </c>
      <c r="I394" s="1" t="n">
        <v>1000000</v>
      </c>
      <c r="J394" s="1" t="inlineStr">
        <is>
          <t>TRAN THI DIEN MBVCB.10687575632.299237.Bui Thi Ng oc Tram 25802700094 0353259907 LNH0 925ND01.CT tu 1024075298 TRAN THI D IEN toi 0521043748045 HUTECH tai ABBANK TAI Vietcombank</t>
        </is>
      </c>
    </row>
    <row r="395">
      <c r="A395" s="1" t="inlineStr">
        <is>
          <t>26-Aug-25</t>
        </is>
      </c>
      <c r="B395" s="1" t="inlineStr">
        <is>
          <t>I60538</t>
        </is>
      </c>
      <c r="C395" s="1" t="inlineStr">
        <is>
          <t>25802500881</t>
        </is>
      </c>
      <c r="D395" s="1" t="inlineStr">
        <is>
          <t>Huyønh Hoaøng</t>
        </is>
      </c>
      <c r="E395" s="1" t="inlineStr">
        <is>
          <t>Anh</t>
        </is>
      </c>
      <c r="F395" s="1" t="inlineStr">
        <is>
          <t>10-Dec-06</t>
        </is>
      </c>
      <c r="G395" s="1" t="inlineStr">
        <is>
          <t>LNH0925ND01</t>
        </is>
      </c>
      <c r="H395" s="1" t="inlineStr">
        <is>
          <t>09AV Giao tiep QT (TS)</t>
        </is>
      </c>
      <c r="I395" s="1" t="n">
        <v>0</v>
      </c>
      <c r="J395" s="1" t="inlineStr">
        <is>
          <t>(chuyen edu)NGUYEN TRUNG NGHIA HUYNH HOANG ANH  2502500257  LNH092 5ND01  0358133006 TAI VietinBank</t>
        </is>
      </c>
    </row>
    <row r="396">
      <c r="A396" s="1" t="inlineStr">
        <is>
          <t>26-Aug-25</t>
        </is>
      </c>
      <c r="B396" s="1" t="inlineStr">
        <is>
          <t>I60539</t>
        </is>
      </c>
      <c r="C396" s="1" t="inlineStr">
        <is>
          <t>25807500151</t>
        </is>
      </c>
      <c r="D396" s="1" t="inlineStr">
        <is>
          <t>Nguyeãn Phaïm Hoaøng</t>
        </is>
      </c>
      <c r="E396" s="1" t="inlineStr">
        <is>
          <t>Trung</t>
        </is>
      </c>
      <c r="F396" s="1" t="inlineStr">
        <is>
          <t>22-Jan-07</t>
        </is>
      </c>
      <c r="G396" s="1" t="inlineStr">
        <is>
          <t>LNH0925ND01</t>
        </is>
      </c>
      <c r="H396" s="1" t="inlineStr">
        <is>
          <t>09AV Giao tiep QT (TS)</t>
        </is>
      </c>
      <c r="I396" s="1" t="n">
        <v>1000000</v>
      </c>
      <c r="J396" s="1" t="inlineStr">
        <is>
          <t>NGUYEN PHAM HOANG TRUNG MBVCB.10687909277.517220.NGUYEN PHA M HOANG TRUNG 25807500151 LNH0925ND 01.CT tu 1054599326 NGUYEN PHAM HOA NG TRUNG toi 0521043748045 HUTECH tai ABBANK TAI Vietcombank</t>
        </is>
      </c>
    </row>
    <row r="397">
      <c r="A397" s="1" t="inlineStr">
        <is>
          <t>26-Aug-25</t>
        </is>
      </c>
      <c r="B397" s="1" t="inlineStr">
        <is>
          <t>I60540</t>
        </is>
      </c>
      <c r="C397" s="1" t="inlineStr">
        <is>
          <t>25820200008</t>
        </is>
      </c>
      <c r="D397" s="1" t="inlineStr">
        <is>
          <t>Huyønh Phuù</t>
        </is>
      </c>
      <c r="E397" s="1" t="inlineStr">
        <is>
          <t>Cöôøng</t>
        </is>
      </c>
      <c r="F397" s="1" t="inlineStr">
        <is>
          <t>06-Dec-07</t>
        </is>
      </c>
      <c r="G397" s="1" t="inlineStr">
        <is>
          <t>LNH0925ND01</t>
        </is>
      </c>
      <c r="H397" s="1" t="inlineStr">
        <is>
          <t>09AV Giao tiep QT (TS)</t>
        </is>
      </c>
      <c r="I397" s="1" t="n">
        <v>1000000</v>
      </c>
      <c r="J397" s="1" t="inlineStr">
        <is>
          <t>TRAN THI THANH MAI QR - Huynh Phu Cuong 25820200008 LN H0925ND01 0358727571 TAI VietinBank</t>
        </is>
      </c>
    </row>
    <row r="398">
      <c r="A398" s="1" t="inlineStr">
        <is>
          <t>26-Aug-25</t>
        </is>
      </c>
      <c r="B398" s="1" t="inlineStr">
        <is>
          <t>I60541</t>
        </is>
      </c>
      <c r="C398" s="1" t="inlineStr">
        <is>
          <t>25820200126</t>
        </is>
      </c>
      <c r="D398" s="1" t="inlineStr">
        <is>
          <t>Vuõ Ñình Hoaøng</t>
        </is>
      </c>
      <c r="E398" s="1" t="inlineStr">
        <is>
          <t>Khang</t>
        </is>
      </c>
      <c r="F398" s="1" t="inlineStr">
        <is>
          <t>31-Aug-07</t>
        </is>
      </c>
      <c r="G398" s="1" t="inlineStr">
        <is>
          <t>LNH0925ND01</t>
        </is>
      </c>
      <c r="H398" s="1" t="inlineStr">
        <is>
          <t>09AV Giao tiep QT (TS)</t>
        </is>
      </c>
      <c r="I398" s="1" t="n">
        <v>1000000</v>
      </c>
      <c r="J398" s="1" t="inlineStr">
        <is>
          <t>MBBANK IBFT Vu Dinh Hoang Khang 2520200054 LNH0 925ND01 TAI IBT-MB                   HANOI</t>
        </is>
      </c>
    </row>
    <row r="399">
      <c r="A399" s="1" t="inlineStr">
        <is>
          <t>26-Aug-25</t>
        </is>
      </c>
      <c r="B399" s="1" t="inlineStr">
        <is>
          <t>I60542</t>
        </is>
      </c>
      <c r="C399" s="1" t="inlineStr">
        <is>
          <t>25807500227</t>
        </is>
      </c>
      <c r="D399" s="1" t="inlineStr">
        <is>
          <t>Nguyeãn Ngoïc Phöông</t>
        </is>
      </c>
      <c r="E399" s="1" t="inlineStr">
        <is>
          <t>Traân</t>
        </is>
      </c>
      <c r="F399" s="1" t="inlineStr">
        <is>
          <t>17-Nov-07</t>
        </is>
      </c>
      <c r="G399" s="1" t="inlineStr">
        <is>
          <t>LNH0925ND01</t>
        </is>
      </c>
      <c r="H399" s="1" t="inlineStr">
        <is>
          <t>09AV Giao tiep QT (TS)</t>
        </is>
      </c>
      <c r="I399" s="1" t="n">
        <v>1000000</v>
      </c>
      <c r="J399" s="1" t="inlineStr">
        <is>
          <t>NGUYEN PHUONG THAO NGUYEN NGOC PHUONG TRAN 25807500227 LNH 0925ND01 0382499120-260825-15 36 10 173226 TAI Ngan hang a chau       IBT SMARLINK</t>
        </is>
      </c>
    </row>
    <row r="400">
      <c r="A400" s="1" t="inlineStr">
        <is>
          <t>26-Aug-25</t>
        </is>
      </c>
      <c r="B400" s="1" t="inlineStr">
        <is>
          <t>I60543</t>
        </is>
      </c>
      <c r="C400" s="1" t="inlineStr">
        <is>
          <t>25805800021</t>
        </is>
      </c>
      <c r="D400" s="1" t="inlineStr">
        <is>
          <t>Ñinh Ngoïc Phöông</t>
        </is>
      </c>
      <c r="E400" s="1" t="inlineStr">
        <is>
          <t>Ngaân</t>
        </is>
      </c>
      <c r="F400" s="1" t="inlineStr">
        <is>
          <t>21-Nov-07</t>
        </is>
      </c>
      <c r="G400" s="1" t="inlineStr">
        <is>
          <t>LNH0925ND01</t>
        </is>
      </c>
      <c r="H400" s="1" t="inlineStr">
        <is>
          <t>09AV Giao tiep QT (TS)</t>
        </is>
      </c>
      <c r="I400" s="1" t="n">
        <v>1000000</v>
      </c>
      <c r="J400" s="1" t="inlineStr">
        <is>
          <t>NGUYEN TRUNG NGHIA DINH NGOC PHUONG NGAN  25805800021 LNH0925ND01  0779040488 TAI VietinBank</t>
        </is>
      </c>
    </row>
    <row r="401">
      <c r="A401" s="1" t="inlineStr">
        <is>
          <t>26-Aug-25</t>
        </is>
      </c>
      <c r="B401" s="1" t="inlineStr">
        <is>
          <t>I60544</t>
        </is>
      </c>
      <c r="C401" s="1" t="inlineStr">
        <is>
          <t>25801300018</t>
        </is>
      </c>
      <c r="D401" s="1" t="inlineStr">
        <is>
          <t>Nguyeãn Hoaøng</t>
        </is>
      </c>
      <c r="E401" s="1" t="inlineStr">
        <is>
          <t>Nam</t>
        </is>
      </c>
      <c r="F401" s="1" t="inlineStr">
        <is>
          <t>17-Jul-07</t>
        </is>
      </c>
      <c r="G401" s="1" t="inlineStr">
        <is>
          <t>LNH0925ND01</t>
        </is>
      </c>
      <c r="H401" s="1" t="inlineStr">
        <is>
          <t>09AV Giao tiep QT (TS)</t>
        </is>
      </c>
      <c r="I401" s="1" t="n">
        <v>1000000</v>
      </c>
      <c r="J401" s="1" t="inlineStr">
        <is>
          <t>NGUYEN TRUNG NGHIA NGUYEN HOANG NAM  2580130018  LNH09 25ND01  0913039575 TAI VietinBank</t>
        </is>
      </c>
    </row>
    <row r="402">
      <c r="A402" s="1" t="inlineStr">
        <is>
          <t>26-Aug-25</t>
        </is>
      </c>
      <c r="B402" s="1" t="inlineStr">
        <is>
          <t>I60545</t>
        </is>
      </c>
      <c r="C402" s="1" t="inlineStr">
        <is>
          <t>25801900115</t>
        </is>
      </c>
      <c r="D402" s="1" t="inlineStr">
        <is>
          <t>Leâ Phuù</t>
        </is>
      </c>
      <c r="E402" s="1" t="inlineStr">
        <is>
          <t>Phuùc</t>
        </is>
      </c>
      <c r="F402" s="1" t="inlineStr">
        <is>
          <t>20-Aug-05</t>
        </is>
      </c>
      <c r="G402" s="1" t="inlineStr">
        <is>
          <t>LNH0925ND01</t>
        </is>
      </c>
      <c r="H402" s="1" t="inlineStr">
        <is>
          <t>09AV Giao tiep QT (TS)</t>
        </is>
      </c>
      <c r="I402" s="1" t="n">
        <v>1000000</v>
      </c>
      <c r="J402" s="1" t="inlineStr">
        <is>
          <t>TRAN THI THANH MAI QR - Le Phu Phuc 25801900115 LNH092 5ND01 0377627392 TAI VietinBank</t>
        </is>
      </c>
    </row>
    <row r="403">
      <c r="A403" s="1" t="inlineStr">
        <is>
          <t>26-Aug-25</t>
        </is>
      </c>
      <c r="B403" s="1" t="inlineStr">
        <is>
          <t>I60546</t>
        </is>
      </c>
      <c r="C403" s="1" t="inlineStr">
        <is>
          <t>25802400055</t>
        </is>
      </c>
      <c r="D403" s="1" t="inlineStr">
        <is>
          <t>Voõ Minh</t>
        </is>
      </c>
      <c r="E403" s="1" t="inlineStr">
        <is>
          <t>Quaân</t>
        </is>
      </c>
      <c r="F403" s="1" t="inlineStr">
        <is>
          <t>13-Sep-02</t>
        </is>
      </c>
      <c r="G403" s="1" t="inlineStr">
        <is>
          <t>LNH0925ND01</t>
        </is>
      </c>
      <c r="H403" s="1" t="inlineStr">
        <is>
          <t>09AV Giao tiep QT (TS)</t>
        </is>
      </c>
      <c r="I403" s="1" t="n">
        <v>1000000</v>
      </c>
      <c r="J403" s="1" t="inlineStr">
        <is>
          <t>VO MINH QUAN VO MINH QUAN 2507400019 LNH0925ND01 0934858802-260825-15 49 09 197836 TAI Ngan hang a chau       IBT SMARLINK</t>
        </is>
      </c>
    </row>
    <row r="404">
      <c r="A404" s="1" t="inlineStr">
        <is>
          <t>26-Aug-25</t>
        </is>
      </c>
      <c r="B404" s="1" t="inlineStr">
        <is>
          <t>I60547</t>
        </is>
      </c>
      <c r="C404" s="1" t="inlineStr">
        <is>
          <t>25801300024</t>
        </is>
      </c>
      <c r="D404" s="1" t="inlineStr">
        <is>
          <t>Leâ Huyønh Khaùnh</t>
        </is>
      </c>
      <c r="E404" s="1" t="inlineStr">
        <is>
          <t>Nguyeân</t>
        </is>
      </c>
      <c r="F404" s="1" t="inlineStr">
        <is>
          <t>10-Jul-07</t>
        </is>
      </c>
      <c r="G404" s="1" t="inlineStr">
        <is>
          <t>LNH0925ND01</t>
        </is>
      </c>
      <c r="H404" s="1" t="inlineStr">
        <is>
          <t>09AV Giao tiep QT (TS)</t>
        </is>
      </c>
      <c r="I404" s="1" t="n">
        <v>1000000</v>
      </c>
      <c r="J404" s="1" t="inlineStr">
        <is>
          <t>HUYNH THANH TRUC ABBank 0521043748045 Le Huynh Khanh Nguyen 25801300024  LNH0925ND01  0 907059629 TAI Agribank</t>
        </is>
      </c>
    </row>
    <row r="405">
      <c r="A405" s="1" t="inlineStr">
        <is>
          <t>26-Aug-25</t>
        </is>
      </c>
      <c r="B405" s="1" t="inlineStr">
        <is>
          <t>I60548</t>
        </is>
      </c>
      <c r="C405" s="1" t="inlineStr">
        <is>
          <t>25808200117</t>
        </is>
      </c>
      <c r="D405" s="1" t="inlineStr">
        <is>
          <t>Nguyeãn Thuaän</t>
        </is>
      </c>
      <c r="E405" s="1" t="inlineStr">
        <is>
          <t>Thanh</t>
        </is>
      </c>
      <c r="F405" s="1" t="inlineStr">
        <is>
          <t>10-Feb-07</t>
        </is>
      </c>
      <c r="G405" s="1" t="inlineStr">
        <is>
          <t>LNH0925ND01</t>
        </is>
      </c>
      <c r="H405" s="1" t="inlineStr">
        <is>
          <t>09AV Giao tiep QT (TS)</t>
        </is>
      </c>
      <c r="I405" s="1" t="n">
        <v>1000000</v>
      </c>
      <c r="J405" s="1" t="inlineStr">
        <is>
          <t>NGUYEN THI NGOC LYNH MBVCB.10688339094.805288.Nguyen Thu an Thanh  25808200117 LNH0925ND01 0 915728680.CT tu 0251002784264 NGUYE N THI NGOC LYNH toi 0521043748045 HUTECH tai ABBANK TAI Vietcombank</t>
        </is>
      </c>
    </row>
    <row r="406">
      <c r="A406" s="1" t="inlineStr">
        <is>
          <t>26-Aug-25</t>
        </is>
      </c>
      <c r="B406" s="1" t="inlineStr">
        <is>
          <t>I60549</t>
        </is>
      </c>
      <c r="C406" s="1" t="inlineStr">
        <is>
          <t>25806300031</t>
        </is>
      </c>
      <c r="D406" s="1" t="inlineStr">
        <is>
          <t>Nguyeãn Minh</t>
        </is>
      </c>
      <c r="E406" s="1" t="inlineStr">
        <is>
          <t>Nhaät</t>
        </is>
      </c>
      <c r="F406" s="1" t="inlineStr">
        <is>
          <t>31-Jul-07</t>
        </is>
      </c>
      <c r="G406" s="1" t="inlineStr">
        <is>
          <t>LNH0925ND01</t>
        </is>
      </c>
      <c r="H406" s="1" t="inlineStr">
        <is>
          <t>09AV Giao tiep QT (TS)</t>
        </is>
      </c>
      <c r="I406" s="1" t="n">
        <v>1000000</v>
      </c>
      <c r="J406" s="1" t="inlineStr">
        <is>
          <t>CONG TY CP DICH VU DI DONG TRUC TUY EN 98770651755 0908019203 Nguyen Minh Nhat 25806300031 LNH0925ND01 09080 TAI IBT BIDV                 HANOI</t>
        </is>
      </c>
    </row>
    <row r="407">
      <c r="A407" s="1" t="inlineStr">
        <is>
          <t>26-Aug-25</t>
        </is>
      </c>
      <c r="B407" s="1" t="inlineStr">
        <is>
          <t>I60550</t>
        </is>
      </c>
      <c r="C407" s="1" t="inlineStr">
        <is>
          <t>25807000017</t>
        </is>
      </c>
      <c r="D407" s="1" t="inlineStr">
        <is>
          <t>Nguyeãn Thanh</t>
        </is>
      </c>
      <c r="E407" s="1" t="inlineStr">
        <is>
          <t>Ngaân</t>
        </is>
      </c>
      <c r="F407" s="1" t="inlineStr">
        <is>
          <t>31-Oct-06</t>
        </is>
      </c>
      <c r="G407" s="1" t="inlineStr">
        <is>
          <t>LNH0925ND01</t>
        </is>
      </c>
      <c r="H407" s="1" t="inlineStr">
        <is>
          <t>09AV Giao tiep QT (TS)</t>
        </is>
      </c>
      <c r="I407" s="1" t="n">
        <v>1000000</v>
      </c>
      <c r="J407" s="1" t="inlineStr">
        <is>
          <t>NGUYEN THANH TAM ABBank 0521043748045 Nguyen Thanh N gan-25807000017-LNH0925ND01-0338998 541 TAI Agribank</t>
        </is>
      </c>
    </row>
    <row r="408">
      <c r="A408" s="1" t="inlineStr">
        <is>
          <t>26-Aug-25</t>
        </is>
      </c>
      <c r="B408" s="1" t="inlineStr">
        <is>
          <t>I60551</t>
        </is>
      </c>
      <c r="C408" s="1" t="inlineStr">
        <is>
          <t>25802800021</t>
        </is>
      </c>
      <c r="D408" s="1" t="inlineStr">
        <is>
          <t>Traàn Ngoïc</t>
        </is>
      </c>
      <c r="E408" s="1" t="inlineStr">
        <is>
          <t>Bích</t>
        </is>
      </c>
      <c r="F408" s="1" t="inlineStr">
        <is>
          <t>23-Oct-06</t>
        </is>
      </c>
      <c r="G408" s="1" t="inlineStr">
        <is>
          <t>LNH0925ND01</t>
        </is>
      </c>
      <c r="H408" s="1" t="inlineStr">
        <is>
          <t>09AV Giao tiep QT (TS)</t>
        </is>
      </c>
      <c r="I408" s="1" t="n">
        <v>1000000</v>
      </c>
      <c r="J408" s="1" t="inlineStr">
        <is>
          <t>TRAN THI THANH MAI QR - Tran Ngoc Bich 25802800021 LNH 0925ND01 0798486190 TAI VietinBank</t>
        </is>
      </c>
    </row>
    <row r="409">
      <c r="A409" s="1" t="inlineStr">
        <is>
          <t>26-Aug-25</t>
        </is>
      </c>
      <c r="B409" s="1" t="inlineStr">
        <is>
          <t>I60552</t>
        </is>
      </c>
      <c r="C409" s="1" t="inlineStr">
        <is>
          <t>25802800167</t>
        </is>
      </c>
      <c r="D409" s="1" t="inlineStr">
        <is>
          <t>Nguyeãn Traàn Phöông</t>
        </is>
      </c>
      <c r="E409" s="1" t="inlineStr">
        <is>
          <t>Ngoïc</t>
        </is>
      </c>
      <c r="F409" s="1" t="inlineStr">
        <is>
          <t>20-Jun-07</t>
        </is>
      </c>
      <c r="G409" s="1" t="inlineStr">
        <is>
          <t>LNH0925ND01</t>
        </is>
      </c>
      <c r="H409" s="1" t="inlineStr">
        <is>
          <t>09AV Giao tiep QT (TS)</t>
        </is>
      </c>
      <c r="I409" s="1" t="n">
        <v>1000000</v>
      </c>
      <c r="J409" s="1" t="inlineStr">
        <is>
          <t>CONG TY CP DICH VU DI DONG TRUC TUY EN 98773194767 0387528915 Nguyen Tran Phuong Ngoc 25802800167LNH0925ND01 TAI IBT BIDV                 HANOI</t>
        </is>
      </c>
    </row>
    <row r="410">
      <c r="A410" s="1" t="inlineStr">
        <is>
          <t>26-Aug-25</t>
        </is>
      </c>
      <c r="B410" s="1" t="inlineStr">
        <is>
          <t>I60553</t>
        </is>
      </c>
      <c r="C410" s="1" t="inlineStr">
        <is>
          <t>25802800280</t>
        </is>
      </c>
      <c r="D410" s="1" t="inlineStr">
        <is>
          <t>Traàn Cao</t>
        </is>
      </c>
      <c r="E410" s="1" t="inlineStr">
        <is>
          <t>Troïng</t>
        </is>
      </c>
      <c r="F410" s="1" t="inlineStr">
        <is>
          <t>27-Jul-07</t>
        </is>
      </c>
      <c r="G410" s="1" t="inlineStr">
        <is>
          <t>LNH0925ND01</t>
        </is>
      </c>
      <c r="H410" s="1" t="inlineStr">
        <is>
          <t>09AV Giao tiep QT (TS)</t>
        </is>
      </c>
      <c r="I410" s="1" t="n">
        <v>1000000</v>
      </c>
      <c r="J410" s="1" t="inlineStr">
        <is>
          <t>TRAN LY HOANG ABBank 0521043748045 tran cao trong 25802800280 LNH0925ND01 0913244132 TAI Agribank</t>
        </is>
      </c>
    </row>
    <row r="411">
      <c r="A411" s="1" t="inlineStr">
        <is>
          <t>26-Aug-25</t>
        </is>
      </c>
      <c r="B411" s="1" t="inlineStr">
        <is>
          <t>I60554</t>
        </is>
      </c>
      <c r="C411" s="1" t="inlineStr">
        <is>
          <t>25800500311</t>
        </is>
      </c>
      <c r="D411" s="1" t="inlineStr">
        <is>
          <t>Trieäu Gia</t>
        </is>
      </c>
      <c r="E411" s="1" t="inlineStr">
        <is>
          <t>Khang</t>
        </is>
      </c>
      <c r="F411" s="1" t="inlineStr">
        <is>
          <t>22-Feb-07</t>
        </is>
      </c>
      <c r="G411" s="1" t="inlineStr">
        <is>
          <t>LNH0925ND01</t>
        </is>
      </c>
      <c r="H411" s="1" t="inlineStr">
        <is>
          <t>09AV Giao tiep QT (TS)</t>
        </is>
      </c>
      <c r="I411" s="1" t="n">
        <v>1000000</v>
      </c>
      <c r="J411" s="1" t="inlineStr">
        <is>
          <t>TRAN THI THANH MAI QR - Trieu Gia Khang 2500500106 LNH 0925ND01 0843220207 TAI VietinBank</t>
        </is>
      </c>
    </row>
    <row r="412">
      <c r="A412" s="1" t="inlineStr">
        <is>
          <t>26-Aug-25</t>
        </is>
      </c>
      <c r="B412" s="1" t="inlineStr">
        <is>
          <t>I60555</t>
        </is>
      </c>
      <c r="C412" s="1" t="inlineStr">
        <is>
          <t>25807800259</t>
        </is>
      </c>
      <c r="D412" s="1" t="inlineStr">
        <is>
          <t>Ñaëng Minh</t>
        </is>
      </c>
      <c r="E412" s="1" t="inlineStr">
        <is>
          <t>Kieät</t>
        </is>
      </c>
      <c r="F412" s="1" t="inlineStr">
        <is>
          <t>26-May-07</t>
        </is>
      </c>
      <c r="G412" s="1" t="inlineStr">
        <is>
          <t>LNH0925ND01</t>
        </is>
      </c>
      <c r="H412" s="1" t="inlineStr">
        <is>
          <t>09AV Giao tiep QT (TS)</t>
        </is>
      </c>
      <c r="I412" s="1" t="n">
        <v>0</v>
      </c>
      <c r="J412" s="1" t="inlineStr">
        <is>
          <t>(chuyen edu)DANG MINH KIET MBVCB.10688937774.210779.DANG MINH KIET  2507800087  LNH0925ND01.CT tu 1050851736 DANG MINH KIET toi 0521 043748045 HUTECH tai ABBANK TAI Vietcombank</t>
        </is>
      </c>
    </row>
    <row r="413">
      <c r="A413" s="1" t="inlineStr">
        <is>
          <t>26-Aug-25</t>
        </is>
      </c>
      <c r="B413" s="1" t="inlineStr">
        <is>
          <t>I60556</t>
        </is>
      </c>
      <c r="C413" s="1" t="inlineStr">
        <is>
          <t>25808200104</t>
        </is>
      </c>
      <c r="D413" s="1" t="inlineStr">
        <is>
          <t>Toân Thaát Döông</t>
        </is>
      </c>
      <c r="E413" s="1" t="inlineStr">
        <is>
          <t>Quang</t>
        </is>
      </c>
      <c r="F413" s="1" t="inlineStr">
        <is>
          <t>21-Feb-07</t>
        </is>
      </c>
      <c r="G413" s="1" t="inlineStr">
        <is>
          <t>LNH0925ND01</t>
        </is>
      </c>
      <c r="H413" s="1" t="inlineStr">
        <is>
          <t>09AV Giao tiep QT (TS)</t>
        </is>
      </c>
      <c r="I413" s="1" t="n">
        <v>1000000</v>
      </c>
      <c r="J413" s="1" t="inlineStr">
        <is>
          <t>NGUYEN TRUNG NGHIA TON THAT DUONG QUANG  25808200104 LNH0925ND01  0349577261 TAI VietinBank</t>
        </is>
      </c>
    </row>
    <row r="414">
      <c r="A414" s="1" t="inlineStr">
        <is>
          <t>26-Aug-25</t>
        </is>
      </c>
      <c r="B414" s="1" t="inlineStr">
        <is>
          <t>I60557</t>
        </is>
      </c>
      <c r="C414" s="1" t="inlineStr">
        <is>
          <t>25800500149</t>
        </is>
      </c>
      <c r="D414" s="1" t="inlineStr">
        <is>
          <t>Nguyeãn Ngoïc Ñöùc</t>
        </is>
      </c>
      <c r="E414" s="1" t="inlineStr">
        <is>
          <t>Taøi</t>
        </is>
      </c>
      <c r="F414" s="1" t="inlineStr">
        <is>
          <t>11-Sep-07</t>
        </is>
      </c>
      <c r="G414" s="1" t="inlineStr">
        <is>
          <t>LNH0925ND01</t>
        </is>
      </c>
      <c r="H414" s="1" t="inlineStr">
        <is>
          <t>09AV Giao tiep QT (TS)</t>
        </is>
      </c>
      <c r="I414" s="1" t="n">
        <v>1000000</v>
      </c>
      <c r="J414" s="1" t="inlineStr">
        <is>
          <t>NGUYEN TRUNG NGHIA NGUYEN NGOC DUC TAI  25800500149  L NH0925ND01  0933884915 TAI VietinBank</t>
        </is>
      </c>
    </row>
    <row r="415">
      <c r="A415" s="1" t="inlineStr">
        <is>
          <t>26-Aug-25</t>
        </is>
      </c>
      <c r="B415" s="1" t="inlineStr">
        <is>
          <t>I60558</t>
        </is>
      </c>
      <c r="C415" s="1" t="inlineStr">
        <is>
          <t>25802800410</t>
        </is>
      </c>
      <c r="D415" s="1" t="inlineStr">
        <is>
          <t>Ñoã Chí</t>
        </is>
      </c>
      <c r="E415" s="1" t="inlineStr">
        <is>
          <t>Coâng</t>
        </is>
      </c>
      <c r="F415" s="1" t="inlineStr">
        <is>
          <t>03-Nov-07</t>
        </is>
      </c>
      <c r="G415" s="1" t="inlineStr">
        <is>
          <t>LNH0925ND01</t>
        </is>
      </c>
      <c r="H415" s="1" t="inlineStr">
        <is>
          <t>09AV Giao tiep QT (TS)</t>
        </is>
      </c>
      <c r="I415" s="1" t="n">
        <v>1000000</v>
      </c>
      <c r="J415" s="1" t="inlineStr">
        <is>
          <t>DO MINH HOAT DO CHI CONG 2502800098 LNH0925ND01 0938053579 TAI IBT EIB                  HCMC</t>
        </is>
      </c>
    </row>
    <row r="416">
      <c r="A416" s="1" t="inlineStr">
        <is>
          <t>26-Aug-25</t>
        </is>
      </c>
      <c r="B416" s="1" t="inlineStr">
        <is>
          <t>I60559</t>
        </is>
      </c>
      <c r="C416" s="1" t="inlineStr">
        <is>
          <t>25802800047</t>
        </is>
      </c>
      <c r="D416" s="1" t="inlineStr">
        <is>
          <t>Nguyeãn Haûi</t>
        </is>
      </c>
      <c r="E416" s="1" t="inlineStr">
        <is>
          <t>Ñaêng</t>
        </is>
      </c>
      <c r="F416" s="1" t="inlineStr">
        <is>
          <t>01-Jan-07</t>
        </is>
      </c>
      <c r="G416" s="1" t="inlineStr">
        <is>
          <t>LNH0925ND01</t>
        </is>
      </c>
      <c r="H416" s="1" t="inlineStr">
        <is>
          <t>09AV Giao tiep QT (TS)</t>
        </is>
      </c>
      <c r="I416" s="1" t="n">
        <v>1000000</v>
      </c>
      <c r="J416" s="1" t="inlineStr">
        <is>
          <t>NGUYEN TRUNG NGHIA NGUYEN HAI DANG  25802800047  LNH09 25ND01  0363490046 TAI VietinBank</t>
        </is>
      </c>
    </row>
    <row r="417">
      <c r="A417" s="1" t="inlineStr">
        <is>
          <t>26-Aug-25</t>
        </is>
      </c>
      <c r="B417" s="1" t="inlineStr">
        <is>
          <t>I60560</t>
        </is>
      </c>
      <c r="C417" s="1" t="inlineStr">
        <is>
          <t>25802800055</t>
        </is>
      </c>
      <c r="D417" s="1" t="inlineStr">
        <is>
          <t>Nguyeãn Xuaân Hoaøng</t>
        </is>
      </c>
      <c r="E417" s="1" t="inlineStr">
        <is>
          <t>Haø</t>
        </is>
      </c>
      <c r="F417" s="1" t="inlineStr">
        <is>
          <t>04-Jun-07</t>
        </is>
      </c>
      <c r="G417" s="1" t="inlineStr">
        <is>
          <t>LNH0925ND01</t>
        </is>
      </c>
      <c r="H417" s="1" t="inlineStr">
        <is>
          <t>09AV Giao tiep QT (TS)</t>
        </is>
      </c>
      <c r="I417" s="1" t="n">
        <v>1000000</v>
      </c>
      <c r="J417" s="1" t="inlineStr">
        <is>
          <t>HOANG THI NGUYET MBVCB.10691376754.884024.Nguyen Xua n Hoang Ha  25802800055  LNH0925ND0 1  0362840507.CT tu 0071004421748 H OANG THI NGUYET toi 0521043748045 HUTECH tai ABBANK TAI Vietcombank</t>
        </is>
      </c>
    </row>
    <row r="418">
      <c r="A418" s="1" t="inlineStr">
        <is>
          <t>26-Aug-25</t>
        </is>
      </c>
      <c r="B418" s="1" t="inlineStr">
        <is>
          <t>I60561</t>
        </is>
      </c>
      <c r="C418" s="1" t="inlineStr">
        <is>
          <t>25809600068</t>
        </is>
      </c>
      <c r="D418" s="1" t="inlineStr">
        <is>
          <t>Voõ Vieät</t>
        </is>
      </c>
      <c r="E418" s="1" t="inlineStr">
        <is>
          <t>Trí</t>
        </is>
      </c>
      <c r="F418" s="1" t="inlineStr">
        <is>
          <t>03-Jan-07</t>
        </is>
      </c>
      <c r="G418" s="1" t="inlineStr">
        <is>
          <t>LNH0925ND01</t>
        </is>
      </c>
      <c r="H418" s="1" t="inlineStr">
        <is>
          <t>09AV Giao tiep QT (TS)</t>
        </is>
      </c>
      <c r="I418" s="1" t="n">
        <v>1415000</v>
      </c>
      <c r="J418" s="1" t="inlineStr">
        <is>
          <t>TRAN THI THANH MAI QR - Vo Viet Tri 25809600068 LNH092 5ND01 0788917345 TAI VietinBank</t>
        </is>
      </c>
    </row>
    <row r="419">
      <c r="A419" s="1" t="inlineStr">
        <is>
          <t>26-Aug-25</t>
        </is>
      </c>
      <c r="B419" s="1" t="inlineStr">
        <is>
          <t>I60563</t>
        </is>
      </c>
      <c r="C419" s="1" t="inlineStr">
        <is>
          <t>25802100071</t>
        </is>
      </c>
      <c r="D419" s="1" t="inlineStr">
        <is>
          <t>Nguyeãn Vinh</t>
        </is>
      </c>
      <c r="E419" s="1" t="inlineStr">
        <is>
          <t>Quang</t>
        </is>
      </c>
      <c r="F419" s="1" t="inlineStr">
        <is>
          <t>30-Nov-07</t>
        </is>
      </c>
      <c r="G419" s="1" t="inlineStr">
        <is>
          <t>LNH0925ND01</t>
        </is>
      </c>
      <c r="H419" s="1" t="inlineStr">
        <is>
          <t>09AV Giao tiep QT (TS)</t>
        </is>
      </c>
      <c r="I419" s="1" t="n">
        <v>2000000</v>
      </c>
      <c r="J419" s="1" t="inlineStr">
        <is>
          <t>TRAN THI THANH MAI QR - Nguyen Vinh Quang 2502100023 L NH0925ND01 0379471735 TAI VietinBank</t>
        </is>
      </c>
    </row>
    <row r="420">
      <c r="A420" s="1" t="inlineStr">
        <is>
          <t>26-Aug-25</t>
        </is>
      </c>
      <c r="B420" s="1" t="inlineStr">
        <is>
          <t>I60564</t>
        </is>
      </c>
      <c r="C420" s="1" t="inlineStr">
        <is>
          <t>25808300046</t>
        </is>
      </c>
      <c r="D420" s="1" t="inlineStr">
        <is>
          <t>Laâm Thanh</t>
        </is>
      </c>
      <c r="E420" s="1" t="inlineStr">
        <is>
          <t>Thuùy</t>
        </is>
      </c>
      <c r="F420" s="1" t="inlineStr">
        <is>
          <t>25-Oct-07</t>
        </is>
      </c>
      <c r="G420" s="1" t="inlineStr">
        <is>
          <t>LNH0925ND01</t>
        </is>
      </c>
      <c r="H420" s="1" t="inlineStr">
        <is>
          <t>09AV Giao tiep QT (TS)</t>
        </is>
      </c>
      <c r="I420" s="1" t="n">
        <v>2100000</v>
      </c>
      <c r="J420" s="1" t="inlineStr">
        <is>
          <t>NGUYEN TRUNG NGHIA LAM THANH THUY  25808300046  LNH092 5ND01  0974056180 TAI VietinBank</t>
        </is>
      </c>
    </row>
    <row r="421">
      <c r="A421" s="1" t="inlineStr">
        <is>
          <t>26-Aug-25</t>
        </is>
      </c>
      <c r="B421" s="1" t="inlineStr">
        <is>
          <t>I60565</t>
        </is>
      </c>
      <c r="C421" s="1" t="inlineStr">
        <is>
          <t>25807900026</t>
        </is>
      </c>
      <c r="D421" s="1" t="inlineStr">
        <is>
          <t>Phan Taán Gia</t>
        </is>
      </c>
      <c r="E421" s="1" t="inlineStr">
        <is>
          <t>Khang</t>
        </is>
      </c>
      <c r="F421" s="1" t="inlineStr">
        <is>
          <t>30-Dec-07</t>
        </is>
      </c>
      <c r="G421" s="1" t="inlineStr">
        <is>
          <t>LNH0925ND01</t>
        </is>
      </c>
      <c r="H421" s="1" t="inlineStr">
        <is>
          <t>09AV Giao tiep QT (TS)</t>
        </is>
      </c>
      <c r="I421" s="1" t="n">
        <v>2100000</v>
      </c>
      <c r="J421" s="1" t="inlineStr">
        <is>
          <t>TRAN THI THANH MAI QR - Phan Tan Gia Khang 25807900026 LNH0925ND01 0346910907 TAI VietinBank</t>
        </is>
      </c>
    </row>
    <row r="422">
      <c r="A422" s="1" t="inlineStr">
        <is>
          <t>26-Aug-25</t>
        </is>
      </c>
      <c r="B422" s="1" t="inlineStr">
        <is>
          <t>I60566</t>
        </is>
      </c>
      <c r="C422" s="1" t="inlineStr">
        <is>
          <t>25803000333</t>
        </is>
      </c>
      <c r="D422" s="1" t="inlineStr">
        <is>
          <t>Ñaëng Ngoïc Quyønh</t>
        </is>
      </c>
      <c r="E422" s="1" t="inlineStr">
        <is>
          <t>Mai</t>
        </is>
      </c>
      <c r="F422" s="1" t="inlineStr">
        <is>
          <t>09-Jan-07</t>
        </is>
      </c>
      <c r="G422" s="1" t="inlineStr">
        <is>
          <t>LNH0925ND01</t>
        </is>
      </c>
      <c r="H422" s="1" t="inlineStr">
        <is>
          <t>09AV Giao tiep QT (TS)</t>
        </is>
      </c>
      <c r="I422" s="1" t="n">
        <v>2100000</v>
      </c>
      <c r="J422" s="1" t="inlineStr">
        <is>
          <t>DANG NGOC QUYNH MAI DANG NGOC QUYNH MAI 25803000333 LNH 0925ND01 0853167007 TAI IBT BIDV                 HANOI</t>
        </is>
      </c>
    </row>
    <row r="423">
      <c r="A423" s="1" t="inlineStr">
        <is>
          <t>26-Aug-25</t>
        </is>
      </c>
      <c r="B423" s="1" t="inlineStr">
        <is>
          <t>I60567</t>
        </is>
      </c>
      <c r="C423" s="1" t="inlineStr">
        <is>
          <t>25807900062</t>
        </is>
      </c>
      <c r="D423" s="1" t="inlineStr">
        <is>
          <t>Phaïm Vaên</t>
        </is>
      </c>
      <c r="E423" s="1" t="inlineStr">
        <is>
          <t>Vöôïng</t>
        </is>
      </c>
      <c r="F423" s="1" t="inlineStr">
        <is>
          <t>10-Jan-07</t>
        </is>
      </c>
      <c r="G423" s="1" t="inlineStr">
        <is>
          <t>LNH0925ND01</t>
        </is>
      </c>
      <c r="H423" s="1" t="inlineStr">
        <is>
          <t>09AV Giao tiep QT (TS)</t>
        </is>
      </c>
      <c r="I423" s="1" t="n">
        <v>2100000</v>
      </c>
      <c r="J423" s="1" t="inlineStr">
        <is>
          <t>NGUYEN TRUNG NGHIA PHAM VAN VUONG  25807900062  LNH092 4ND01 TAI VietinBank</t>
        </is>
      </c>
    </row>
    <row r="424">
      <c r="A424" s="1" t="inlineStr">
        <is>
          <t>26-Aug-25</t>
        </is>
      </c>
      <c r="B424" s="1" t="inlineStr">
        <is>
          <t>I60568</t>
        </is>
      </c>
      <c r="C424" s="1" t="inlineStr">
        <is>
          <t>25820200036</t>
        </is>
      </c>
      <c r="D424" s="1" t="inlineStr">
        <is>
          <t>Voõ Hoaøng Anh</t>
        </is>
      </c>
      <c r="E424" s="1" t="inlineStr">
        <is>
          <t>Kieät</t>
        </is>
      </c>
      <c r="F424" s="1" t="inlineStr">
        <is>
          <t>15-May-07</t>
        </is>
      </c>
      <c r="G424" s="1" t="inlineStr">
        <is>
          <t>LNH0925ND01</t>
        </is>
      </c>
      <c r="H424" s="1" t="inlineStr">
        <is>
          <t>09AV Giao tiep QT (TS)</t>
        </is>
      </c>
      <c r="I424" s="1" t="n">
        <v>2100000</v>
      </c>
      <c r="J424" s="1" t="inlineStr">
        <is>
          <t>VO DUY THANH VO HOANG ANH KIET 25820200036 LNH09 25ND01-260825-14 29 50 052643 TAI Ngan hang a chau       IBT SMARLINK</t>
        </is>
      </c>
    </row>
    <row r="425">
      <c r="A425" s="1" t="inlineStr">
        <is>
          <t>26-Aug-25</t>
        </is>
      </c>
      <c r="B425" s="1" t="inlineStr">
        <is>
          <t>I60569</t>
        </is>
      </c>
      <c r="C425" s="1" t="inlineStr">
        <is>
          <t>25806800024</t>
        </is>
      </c>
      <c r="D425" s="1" t="inlineStr">
        <is>
          <t>Phan Thò Kim</t>
        </is>
      </c>
      <c r="E425" s="1" t="inlineStr">
        <is>
          <t>Hieàn</t>
        </is>
      </c>
      <c r="F425" s="1" t="inlineStr">
        <is>
          <t>11-Jul-07</t>
        </is>
      </c>
      <c r="G425" s="1" t="inlineStr">
        <is>
          <t>LNH0925ND01</t>
        </is>
      </c>
      <c r="H425" s="1" t="inlineStr">
        <is>
          <t>09AV Giao tiep QT (TS)</t>
        </is>
      </c>
      <c r="I425" s="1" t="n">
        <v>2100000</v>
      </c>
      <c r="J425" s="1" t="inlineStr">
        <is>
          <t>PHAN KIM THUONG PHAN Thi Kim Hien 25806800024 LNH09 25ND01 TAI IBT BIDV                 HANOI</t>
        </is>
      </c>
    </row>
    <row r="426">
      <c r="A426" s="1" t="inlineStr">
        <is>
          <t>26-Aug-25</t>
        </is>
      </c>
      <c r="B426" s="1" t="inlineStr">
        <is>
          <t>I60570</t>
        </is>
      </c>
      <c r="C426" s="1" t="inlineStr">
        <is>
          <t>25802700084</t>
        </is>
      </c>
      <c r="D426" s="1" t="inlineStr">
        <is>
          <t>Voõ Phöôùc</t>
        </is>
      </c>
      <c r="E426" s="1" t="inlineStr">
        <is>
          <t>Thònh</t>
        </is>
      </c>
      <c r="F426" s="1" t="inlineStr">
        <is>
          <t>08-Mar-07</t>
        </is>
      </c>
      <c r="G426" s="1" t="inlineStr">
        <is>
          <t>LNH0925ND01</t>
        </is>
      </c>
      <c r="H426" s="1" t="inlineStr">
        <is>
          <t>09AV Giao tiep QT (TS)</t>
        </is>
      </c>
      <c r="I426" s="1" t="n">
        <v>2100000</v>
      </c>
      <c r="J426" s="1" t="inlineStr">
        <is>
          <t>TRAN THI THANH MAI QR - Vo Phuoc Thinh 25802700084 LNH 0925ND01 0337592440 TAI VietinBank</t>
        </is>
      </c>
    </row>
    <row r="427">
      <c r="A427" s="1" t="inlineStr">
        <is>
          <t>26-Aug-25</t>
        </is>
      </c>
      <c r="B427" s="1" t="inlineStr">
        <is>
          <t>I60571</t>
        </is>
      </c>
      <c r="C427" s="1" t="inlineStr">
        <is>
          <t>25806000099</t>
        </is>
      </c>
      <c r="D427" s="1" t="inlineStr">
        <is>
          <t>Huyønh Thò Nhaõ</t>
        </is>
      </c>
      <c r="E427" s="1" t="inlineStr">
        <is>
          <t>Phöông</t>
        </is>
      </c>
      <c r="F427" s="1" t="inlineStr">
        <is>
          <t>21-Jan-07</t>
        </is>
      </c>
      <c r="G427" s="1" t="inlineStr">
        <is>
          <t>LNH0925ND01</t>
        </is>
      </c>
      <c r="H427" s="1" t="inlineStr">
        <is>
          <t>09AV Giao tiep QT (TS)</t>
        </is>
      </c>
      <c r="I427" s="1" t="n">
        <v>3415000</v>
      </c>
      <c r="J427" s="1" t="inlineStr">
        <is>
          <t>HUYNH HOAI THANH MBVCB.10686804159.797028.HUYNH  THI NHA PHUONG  2506000048 LNH0925ND01 0984013240.CT tu 0461003754956 HU YNH HOAI THANH toi 0521043748045 HUTECH tai ABBANK TAI Vietcombank</t>
        </is>
      </c>
    </row>
    <row r="428">
      <c r="A428" s="1" t="inlineStr">
        <is>
          <t>26-Aug-25</t>
        </is>
      </c>
      <c r="B428" s="1" t="inlineStr">
        <is>
          <t>I60572</t>
        </is>
      </c>
      <c r="C428" s="1" t="inlineStr">
        <is>
          <t>25807700041</t>
        </is>
      </c>
      <c r="D428" s="1" t="inlineStr">
        <is>
          <t>Phan Töû Gia</t>
        </is>
      </c>
      <c r="E428" s="1" t="inlineStr">
        <is>
          <t>Khieâm</t>
        </is>
      </c>
      <c r="F428" s="1" t="inlineStr">
        <is>
          <t>29-Jun-07</t>
        </is>
      </c>
      <c r="G428" s="1" t="inlineStr">
        <is>
          <t>LNH0925ND01</t>
        </is>
      </c>
      <c r="H428" s="1" t="inlineStr">
        <is>
          <t>09AV Giao tiep QT (TS)</t>
        </is>
      </c>
      <c r="I428" s="1" t="n">
        <v>3940000</v>
      </c>
      <c r="J428" s="1" t="inlineStr">
        <is>
          <t>PHAN TU QUANG Phan Tu Gia Khiem. 25807700041. LNH 0925ND01. 0979598417 TAI VietinBank</t>
        </is>
      </c>
    </row>
    <row r="429">
      <c r="A429" s="1" t="inlineStr">
        <is>
          <t>26-Aug-25</t>
        </is>
      </c>
      <c r="B429" s="1" t="inlineStr">
        <is>
          <t>I60573</t>
        </is>
      </c>
      <c r="C429" s="1" t="inlineStr">
        <is>
          <t>25800500136</t>
        </is>
      </c>
      <c r="D429" s="1" t="inlineStr">
        <is>
          <t>Nguyeãn Anh</t>
        </is>
      </c>
      <c r="E429" s="1" t="inlineStr">
        <is>
          <t>Phong</t>
        </is>
      </c>
      <c r="F429" s="1" t="inlineStr">
        <is>
          <t>30-Aug-07</t>
        </is>
      </c>
      <c r="G429" s="1" t="inlineStr">
        <is>
          <t>LNH0925ND01</t>
        </is>
      </c>
      <c r="H429" s="1" t="inlineStr">
        <is>
          <t>09AV Giao tiep QT (TS)</t>
        </is>
      </c>
      <c r="I429" s="1" t="n">
        <v>3950000</v>
      </c>
      <c r="J429" s="1" t="inlineStr">
        <is>
          <t>MBBANK IBFT NGUYEN ANH PHONG 25800500136 LNH092 5ND01 0325244628 TAI IBT-MB                   HANOI</t>
        </is>
      </c>
    </row>
    <row r="430">
      <c r="A430" s="1" t="inlineStr">
        <is>
          <t>26-Aug-25</t>
        </is>
      </c>
      <c r="B430" s="1" t="inlineStr">
        <is>
          <t>I60574</t>
        </is>
      </c>
      <c r="C430" s="1" t="inlineStr">
        <is>
          <t>25808900096</t>
        </is>
      </c>
      <c r="D430" s="1" t="inlineStr">
        <is>
          <t>Ñinh Cao</t>
        </is>
      </c>
      <c r="E430" s="1" t="inlineStr">
        <is>
          <t>Phong</t>
        </is>
      </c>
      <c r="F430" s="1" t="inlineStr">
        <is>
          <t>24-Oct-07</t>
        </is>
      </c>
      <c r="G430" s="1" t="inlineStr">
        <is>
          <t>LNH0925ND01</t>
        </is>
      </c>
      <c r="H430" s="1" t="inlineStr">
        <is>
          <t>09AV Giao tiep QT (TS)</t>
        </is>
      </c>
      <c r="I430" s="1" t="n">
        <v>4000000</v>
      </c>
      <c r="J430" s="1" t="inlineStr">
        <is>
          <t>DINH CAO VAN ABBank 0521043748045 DINH CAO PHONG 25808900096  LNH0925ND01  03424471 93 TAI Agribank</t>
        </is>
      </c>
    </row>
    <row r="431">
      <c r="A431" s="1" t="inlineStr">
        <is>
          <t>26-Aug-25</t>
        </is>
      </c>
      <c r="B431" s="1" t="inlineStr">
        <is>
          <t>I60575</t>
        </is>
      </c>
      <c r="C431" s="1" t="inlineStr">
        <is>
          <t>25801800015</t>
        </is>
      </c>
      <c r="D431" s="1" t="inlineStr">
        <is>
          <t>Ñaëng Nguyeãn Gia</t>
        </is>
      </c>
      <c r="E431" s="1" t="inlineStr">
        <is>
          <t>Haân</t>
        </is>
      </c>
      <c r="F431" s="1" t="inlineStr">
        <is>
          <t>31-Jul-07</t>
        </is>
      </c>
      <c r="G431" s="1" t="inlineStr">
        <is>
          <t>LNH0925ND01</t>
        </is>
      </c>
      <c r="H431" s="1" t="inlineStr">
        <is>
          <t>09AV Giao tiep QT (TS)</t>
        </is>
      </c>
      <c r="I431" s="1" t="n">
        <v>4465000</v>
      </c>
      <c r="J431" s="1" t="inlineStr">
        <is>
          <t>DANG QUANG HUY MBVCB.10683534214.644229.dangnguyen giaahan mssv25801800015sdt094202836 9LNH0925ND01.CT tu 0191000384554 DA NG QUANG HUY toi 0521043748045 HUTECH tai ABBANK TAI Vietcombank</t>
        </is>
      </c>
    </row>
    <row r="432">
      <c r="A432" s="1" t="inlineStr">
        <is>
          <t>26-Aug-25</t>
        </is>
      </c>
      <c r="B432" s="1" t="inlineStr">
        <is>
          <t>I60576</t>
        </is>
      </c>
      <c r="C432" s="1" t="inlineStr">
        <is>
          <t>25800500253</t>
        </is>
      </c>
      <c r="D432" s="1" t="inlineStr">
        <is>
          <t>Haø Höõu</t>
        </is>
      </c>
      <c r="E432" s="1" t="inlineStr">
        <is>
          <t>Minh</t>
        </is>
      </c>
      <c r="F432" s="1" t="inlineStr">
        <is>
          <t>19-Jun-07</t>
        </is>
      </c>
      <c r="G432" s="1" t="inlineStr">
        <is>
          <t>LNH0925ND01</t>
        </is>
      </c>
      <c r="H432" s="1" t="inlineStr">
        <is>
          <t>09AV Giao tiep QT (TS)</t>
        </is>
      </c>
      <c r="I432" s="1" t="n">
        <v>4465000</v>
      </c>
      <c r="J432" s="1" t="inlineStr">
        <is>
          <t>HOANG THI THU QR - Ha Huu Minh 25800500253 LNH092 5ND01 0367033185 TAI VietinBank</t>
        </is>
      </c>
    </row>
    <row r="433">
      <c r="A433" s="1" t="inlineStr">
        <is>
          <t>26-Aug-25</t>
        </is>
      </c>
      <c r="B433" s="1" t="inlineStr">
        <is>
          <t>I60577</t>
        </is>
      </c>
      <c r="C433" s="1" t="inlineStr">
        <is>
          <t>25820700044</t>
        </is>
      </c>
      <c r="D433" s="1" t="inlineStr">
        <is>
          <t>Nguyeãn Ngoïc Baûo</t>
        </is>
      </c>
      <c r="E433" s="1" t="inlineStr">
        <is>
          <t>Traâm</t>
        </is>
      </c>
      <c r="F433" s="1" t="inlineStr">
        <is>
          <t>31-Mar-07</t>
        </is>
      </c>
      <c r="G433" s="1" t="inlineStr">
        <is>
          <t>LNH0925ND01</t>
        </is>
      </c>
      <c r="H433" s="1" t="inlineStr">
        <is>
          <t>09AV Giao tiep QT (TS)</t>
        </is>
      </c>
      <c r="I433" s="1" t="n">
        <v>4465000</v>
      </c>
      <c r="J433" s="1" t="inlineStr">
        <is>
          <t>NGUYEN HUU UT QR - NguyenNgocBaoTram 25820700044 TAI VietinBank</t>
        </is>
      </c>
    </row>
    <row r="434">
      <c r="A434" s="1" t="inlineStr">
        <is>
          <t>26-Aug-25</t>
        </is>
      </c>
      <c r="B434" s="1" t="inlineStr">
        <is>
          <t>I60578</t>
        </is>
      </c>
      <c r="C434" s="1" t="inlineStr">
        <is>
          <t>25808500293</t>
        </is>
      </c>
      <c r="D434" s="1" t="inlineStr">
        <is>
          <t>Bui Anh</t>
        </is>
      </c>
      <c r="E434" s="1" t="inlineStr">
        <is>
          <t>Quaân</t>
        </is>
      </c>
      <c r="F434" s="1" t="inlineStr">
        <is>
          <t xml:space="preserve">  -   -</t>
        </is>
      </c>
      <c r="G434" s="1" t="inlineStr">
        <is>
          <t>LNH0925ND01</t>
        </is>
      </c>
      <c r="H434" s="1" t="inlineStr">
        <is>
          <t>09AV Giao tiep QT (TS)</t>
        </is>
      </c>
      <c r="I434" s="1" t="n">
        <v>4465000</v>
      </c>
      <c r="J434" s="1" t="inlineStr">
        <is>
          <t>TRAN THI THANH MAI QR - Bui Anh Quan 25808500294 LNH09 25ND01 0988905114 TAI VietinBank</t>
        </is>
      </c>
    </row>
    <row r="435">
      <c r="A435" s="1" t="inlineStr">
        <is>
          <t>26-Aug-25</t>
        </is>
      </c>
      <c r="B435" s="1" t="inlineStr">
        <is>
          <t>I60579</t>
        </is>
      </c>
      <c r="C435" s="1" t="inlineStr">
        <is>
          <t>25803800008</t>
        </is>
      </c>
      <c r="D435" s="1" t="inlineStr">
        <is>
          <t>Traàn Quoác</t>
        </is>
      </c>
      <c r="E435" s="1" t="inlineStr">
        <is>
          <t>Baûo</t>
        </is>
      </c>
      <c r="F435" s="1" t="inlineStr">
        <is>
          <t>10-Dec-06</t>
        </is>
      </c>
      <c r="G435" s="1" t="inlineStr">
        <is>
          <t>LNH0925ND01</t>
        </is>
      </c>
      <c r="H435" s="1" t="inlineStr">
        <is>
          <t>09AV Giao tiep QT (TS)</t>
        </is>
      </c>
      <c r="I435" s="1" t="n">
        <v>4465000</v>
      </c>
      <c r="J435" s="1" t="inlineStr">
        <is>
          <t>TRAN THI THANH MAI QR - Tran Quoc Bao 25803800008 LNH0 925ND01 0939729866 TAI VietinBank</t>
        </is>
      </c>
    </row>
    <row r="436">
      <c r="A436" s="1" t="inlineStr">
        <is>
          <t>26-Aug-25</t>
        </is>
      </c>
      <c r="B436" s="1" t="inlineStr">
        <is>
          <t>I60580</t>
        </is>
      </c>
      <c r="C436" s="1" t="inlineStr">
        <is>
          <t>25807900052</t>
        </is>
      </c>
      <c r="D436" s="1" t="inlineStr">
        <is>
          <t>Traàn Minh</t>
        </is>
      </c>
      <c r="E436" s="1" t="inlineStr">
        <is>
          <t>Thieän</t>
        </is>
      </c>
      <c r="F436" s="1" t="inlineStr">
        <is>
          <t>09-May-07</t>
        </is>
      </c>
      <c r="G436" s="1" t="inlineStr">
        <is>
          <t>LNH0925ND01</t>
        </is>
      </c>
      <c r="H436" s="1" t="inlineStr">
        <is>
          <t>09AV Giao tiep QT (TS)</t>
        </is>
      </c>
      <c r="I436" s="1" t="n">
        <v>4465000</v>
      </c>
      <c r="J436" s="1" t="inlineStr">
        <is>
          <t>TRAN THI NGOC TRINH ABBank 0521043748045 TRAN MINH THIE N 25807900052  LNH0925ND01 TAI Agribank</t>
        </is>
      </c>
    </row>
    <row r="437">
      <c r="A437" s="1" t="inlineStr">
        <is>
          <t>26-Aug-25</t>
        </is>
      </c>
      <c r="B437" s="1" t="inlineStr">
        <is>
          <t>I60581</t>
        </is>
      </c>
      <c r="C437" s="1" t="inlineStr">
        <is>
          <t>25801400076</t>
        </is>
      </c>
      <c r="D437" s="1" t="inlineStr">
        <is>
          <t>Laâm Kieán</t>
        </is>
      </c>
      <c r="E437" s="1" t="inlineStr">
        <is>
          <t>Haøo</t>
        </is>
      </c>
      <c r="F437" s="1" t="inlineStr">
        <is>
          <t>07-Dec-07</t>
        </is>
      </c>
      <c r="G437" s="1" t="inlineStr">
        <is>
          <t>LNH0925ND01</t>
        </is>
      </c>
      <c r="H437" s="1" t="inlineStr">
        <is>
          <t>09AV Giao tiep QT (TS)</t>
        </is>
      </c>
      <c r="I437" s="1" t="n">
        <v>4465000</v>
      </c>
      <c r="J437" s="1" t="inlineStr">
        <is>
          <t>NGUYEN TRUNG NGHIA LAM KIEN HAO  25801400076  LNH0925N D01  0948770099 TAI VietinBank</t>
        </is>
      </c>
    </row>
    <row r="438">
      <c r="A438" s="1" t="inlineStr">
        <is>
          <t>26-Aug-25</t>
        </is>
      </c>
      <c r="B438" s="1" t="inlineStr">
        <is>
          <t>I60582</t>
        </is>
      </c>
      <c r="C438" s="1" t="inlineStr">
        <is>
          <t>25802700181</t>
        </is>
      </c>
      <c r="D438" s="1" t="inlineStr">
        <is>
          <t>Nguyeãn Khaéc</t>
        </is>
      </c>
      <c r="E438" s="1" t="inlineStr">
        <is>
          <t>UÙc</t>
        </is>
      </c>
      <c r="F438" s="1" t="inlineStr">
        <is>
          <t>25-Dec-07</t>
        </is>
      </c>
      <c r="G438" s="1" t="inlineStr">
        <is>
          <t>LNH0925ND01</t>
        </is>
      </c>
      <c r="H438" s="1" t="inlineStr">
        <is>
          <t>09AV Giao tiep QT (TS)</t>
        </is>
      </c>
      <c r="I438" s="1" t="n">
        <v>4465000</v>
      </c>
      <c r="J438" s="1" t="inlineStr">
        <is>
          <t>MBBANK IBFT Nguyen khac uc mssv 25802700181 LNH 0925ND01 0878996639 TAI IBT-MB                   HANOI</t>
        </is>
      </c>
    </row>
    <row r="439">
      <c r="A439" s="1" t="inlineStr">
        <is>
          <t>26-Aug-25</t>
        </is>
      </c>
      <c r="B439" s="1" t="inlineStr">
        <is>
          <t>I60583</t>
        </is>
      </c>
      <c r="C439" s="1" t="inlineStr">
        <is>
          <t>25807000055</t>
        </is>
      </c>
      <c r="D439" s="1" t="inlineStr">
        <is>
          <t>Traàn Minh</t>
        </is>
      </c>
      <c r="E439" s="1" t="inlineStr">
        <is>
          <t>Maãn</t>
        </is>
      </c>
      <c r="F439" s="1" t="inlineStr">
        <is>
          <t>14-Sep-07</t>
        </is>
      </c>
      <c r="G439" s="1" t="inlineStr">
        <is>
          <t>LNH0925ND01</t>
        </is>
      </c>
      <c r="H439" s="1" t="inlineStr">
        <is>
          <t>09AV Giao tiep QT (TS)</t>
        </is>
      </c>
      <c r="I439" s="1" t="n">
        <v>4465000</v>
      </c>
      <c r="J439" s="1" t="inlineStr">
        <is>
          <t>SACOMBANK IBFT Tran Minh Man 25807000055 LNH0 925ND01 TAI SACOMBANK              HCM</t>
        </is>
      </c>
    </row>
    <row r="440">
      <c r="A440" s="1" t="inlineStr">
        <is>
          <t>26-Aug-25</t>
        </is>
      </c>
      <c r="B440" s="1" t="inlineStr">
        <is>
          <t>I60584</t>
        </is>
      </c>
      <c r="C440" s="1" t="inlineStr">
        <is>
          <t>25808700053</t>
        </is>
      </c>
      <c r="D440" s="1" t="inlineStr">
        <is>
          <t>Ñaëng Coâng</t>
        </is>
      </c>
      <c r="E440" s="1" t="inlineStr">
        <is>
          <t>Minh</t>
        </is>
      </c>
      <c r="F440" s="1" t="inlineStr">
        <is>
          <t>25-Sep-07</t>
        </is>
      </c>
      <c r="G440" s="1" t="inlineStr">
        <is>
          <t>LNH0925ND01</t>
        </is>
      </c>
      <c r="H440" s="1" t="inlineStr">
        <is>
          <t>09AV Giao tiep QT (TS)</t>
        </is>
      </c>
      <c r="I440" s="1" t="n">
        <v>4465000</v>
      </c>
      <c r="J440" s="1" t="inlineStr">
        <is>
          <t>DANG THI KIM NGAN ABBank 0521043748045 Dang Cong Minh 25808700053 LNH0925ND01 0848085260 TAI Agribank</t>
        </is>
      </c>
    </row>
    <row r="441">
      <c r="A441" s="1" t="inlineStr">
        <is>
          <t>26-Aug-25</t>
        </is>
      </c>
      <c r="B441" s="1" t="inlineStr">
        <is>
          <t>I60585</t>
        </is>
      </c>
      <c r="C441" s="1" t="inlineStr">
        <is>
          <t>25808200036</t>
        </is>
      </c>
      <c r="D441" s="1" t="inlineStr">
        <is>
          <t>Nguyeãn Haûi</t>
        </is>
      </c>
      <c r="E441" s="1" t="inlineStr">
        <is>
          <t>Ñaêng</t>
        </is>
      </c>
      <c r="F441" s="1" t="inlineStr">
        <is>
          <t>12-Jul-07</t>
        </is>
      </c>
      <c r="G441" s="1" t="inlineStr">
        <is>
          <t>LNH0925ND01</t>
        </is>
      </c>
      <c r="H441" s="1" t="inlineStr">
        <is>
          <t>09AV Giao tiep QT (TS)</t>
        </is>
      </c>
      <c r="I441" s="1" t="n">
        <v>4465000</v>
      </c>
      <c r="J441" s="1" t="inlineStr">
        <is>
          <t>NGUYEN TRUNG NGHIA NGUYEN HAI DANG  25808200036  LNH09 25ND01  0393916773 TAI VietinBank</t>
        </is>
      </c>
    </row>
    <row r="442">
      <c r="A442" s="1" t="inlineStr">
        <is>
          <t>26-Aug-25</t>
        </is>
      </c>
      <c r="B442" s="1" t="inlineStr">
        <is>
          <t>I60586</t>
        </is>
      </c>
      <c r="C442" s="1" t="inlineStr">
        <is>
          <t>25806300003</t>
        </is>
      </c>
      <c r="D442" s="1" t="inlineStr">
        <is>
          <t>Mai Khaùnh</t>
        </is>
      </c>
      <c r="E442" s="1" t="inlineStr">
        <is>
          <t>Duy</t>
        </is>
      </c>
      <c r="F442" s="1" t="inlineStr">
        <is>
          <t>18-Nov-07</t>
        </is>
      </c>
      <c r="G442" s="1" t="inlineStr">
        <is>
          <t>LNH0925ND01</t>
        </is>
      </c>
      <c r="H442" s="1" t="inlineStr">
        <is>
          <t>09AV Giao tiep QT (TS)</t>
        </is>
      </c>
      <c r="I442" s="1" t="n">
        <v>4465000</v>
      </c>
      <c r="J442" s="1" t="inlineStr">
        <is>
          <t>TRAN THI THANH MAI QR - Mai Khanh Duy 25806300003 LNH0 925ND01 0367689045 TAI VietinBank</t>
        </is>
      </c>
    </row>
    <row r="443">
      <c r="A443" s="1" t="inlineStr">
        <is>
          <t>26-Aug-25</t>
        </is>
      </c>
      <c r="B443" s="1" t="inlineStr">
        <is>
          <t>I60587</t>
        </is>
      </c>
      <c r="C443" s="1" t="inlineStr">
        <is>
          <t>25802600022</t>
        </is>
      </c>
      <c r="D443" s="1" t="inlineStr">
        <is>
          <t>Huyønh Quang</t>
        </is>
      </c>
      <c r="E443" s="1" t="inlineStr">
        <is>
          <t>Duy</t>
        </is>
      </c>
      <c r="F443" s="1" t="inlineStr">
        <is>
          <t>08-Sep-07</t>
        </is>
      </c>
      <c r="G443" s="1" t="inlineStr">
        <is>
          <t>LNH0925ND01</t>
        </is>
      </c>
      <c r="H443" s="1" t="inlineStr">
        <is>
          <t>09AV Giao tiep QT (TS)</t>
        </is>
      </c>
      <c r="I443" s="1" t="n">
        <v>4465000</v>
      </c>
      <c r="J443" s="1" t="inlineStr">
        <is>
          <t>NGUYEN THI THU HIEN Huynh Quang Duy 25802600022 LNH0925 ND01 0703763811 FT25238474612306 TAI TECHCOMBANK            HANOI</t>
        </is>
      </c>
    </row>
    <row r="444">
      <c r="A444" s="1" t="inlineStr">
        <is>
          <t>26-Aug-25</t>
        </is>
      </c>
      <c r="B444" s="1" t="inlineStr">
        <is>
          <t>I60588</t>
        </is>
      </c>
      <c r="C444" s="1" t="inlineStr">
        <is>
          <t>25802800025</t>
        </is>
      </c>
      <c r="D444" s="1" t="inlineStr">
        <is>
          <t>Traàn Vuõ Baûo</t>
        </is>
      </c>
      <c r="E444" s="1" t="inlineStr">
        <is>
          <t>Chaâu</t>
        </is>
      </c>
      <c r="F444" s="1" t="inlineStr">
        <is>
          <t>26-Oct-07</t>
        </is>
      </c>
      <c r="G444" s="1" t="inlineStr">
        <is>
          <t>LNH0925ND01</t>
        </is>
      </c>
      <c r="H444" s="1" t="inlineStr">
        <is>
          <t>09AV Giao tiep QT (TS)</t>
        </is>
      </c>
      <c r="I444" s="1" t="n">
        <v>4465000</v>
      </c>
      <c r="J444" s="1" t="inlineStr">
        <is>
          <t>NGUYEN TRUNG NGHIA TRAN VU BAO CHAU  25802800025  LNH0 925ND01  0354923016 TAI VietinBank</t>
        </is>
      </c>
    </row>
    <row r="445">
      <c r="A445" s="1" t="inlineStr">
        <is>
          <t>26-Aug-25</t>
        </is>
      </c>
      <c r="B445" s="1" t="inlineStr">
        <is>
          <t>I60589</t>
        </is>
      </c>
      <c r="C445" s="1" t="inlineStr">
        <is>
          <t>25807700083</t>
        </is>
      </c>
      <c r="D445" s="1" t="inlineStr">
        <is>
          <t>Buøi Xuaân</t>
        </is>
      </c>
      <c r="E445" s="1" t="inlineStr">
        <is>
          <t>Vónh</t>
        </is>
      </c>
      <c r="F445" s="1" t="inlineStr">
        <is>
          <t>25-Nov-07</t>
        </is>
      </c>
      <c r="G445" s="1" t="inlineStr">
        <is>
          <t>LNH0925ND01</t>
        </is>
      </c>
      <c r="H445" s="1" t="inlineStr">
        <is>
          <t>09AV Giao tiep QT (TS)</t>
        </is>
      </c>
      <c r="I445" s="1" t="n">
        <v>4465000</v>
      </c>
      <c r="J445" s="1" t="inlineStr">
        <is>
          <t>NGUYEN TRUNG NGHIA BUI XUAN VINH  25807700083  LNH0925 ND01  0862892814 TAI VietinBank</t>
        </is>
      </c>
    </row>
    <row r="446">
      <c r="A446" s="1" t="inlineStr">
        <is>
          <t>26-Aug-25</t>
        </is>
      </c>
      <c r="B446" s="1" t="inlineStr">
        <is>
          <t>I60590</t>
        </is>
      </c>
      <c r="C446" s="1" t="inlineStr">
        <is>
          <t>25808300043</t>
        </is>
      </c>
      <c r="D446" s="1" t="inlineStr">
        <is>
          <t>Y</t>
        </is>
      </c>
      <c r="E446" s="1" t="inlineStr">
        <is>
          <t>Theâ</t>
        </is>
      </c>
      <c r="F446" s="1" t="inlineStr">
        <is>
          <t>10-Jun-93</t>
        </is>
      </c>
      <c r="G446" s="1" t="inlineStr">
        <is>
          <t>LNH0925ND01</t>
        </is>
      </c>
      <c r="H446" s="1" t="inlineStr">
        <is>
          <t>09AV Giao tiep QT (TS)</t>
        </is>
      </c>
      <c r="I446" s="1" t="n">
        <v>4465000</v>
      </c>
      <c r="J446" s="1" t="inlineStr">
        <is>
          <t>CHOI OG BOON Y THE 25808300043 LNH0925ND01 03497 47809 TAI SHINHAN BANK VIETNAM B 9th Floor  S</t>
        </is>
      </c>
    </row>
    <row r="447">
      <c r="A447" s="1" t="inlineStr">
        <is>
          <t>26-Aug-25</t>
        </is>
      </c>
      <c r="B447" s="1" t="inlineStr">
        <is>
          <t>I60591</t>
        </is>
      </c>
      <c r="C447" s="1" t="inlineStr">
        <is>
          <t>25801900315</t>
        </is>
      </c>
      <c r="D447" s="1" t="inlineStr">
        <is>
          <t>Buøi Ñöùc</t>
        </is>
      </c>
      <c r="E447" s="1" t="inlineStr">
        <is>
          <t>Duõng</t>
        </is>
      </c>
      <c r="F447" s="1" t="inlineStr">
        <is>
          <t>27-Sep-07</t>
        </is>
      </c>
      <c r="G447" s="1" t="inlineStr">
        <is>
          <t>LNH0925ND01</t>
        </is>
      </c>
      <c r="H447" s="1" t="inlineStr">
        <is>
          <t>09AV Giao tiep QT (TS)</t>
        </is>
      </c>
      <c r="I447" s="1" t="n">
        <v>4465000</v>
      </c>
      <c r="J447" s="1" t="inlineStr">
        <is>
          <t>BUI DUC DUNG Bui Duc Dung25801900315 LNH0925ND01 0707520726 TAI IBT VPB EBANKING         HANOI</t>
        </is>
      </c>
    </row>
    <row r="448">
      <c r="A448" s="1" t="inlineStr">
        <is>
          <t>26-Aug-25</t>
        </is>
      </c>
      <c r="B448" s="1" t="inlineStr">
        <is>
          <t>I60592</t>
        </is>
      </c>
      <c r="C448" s="1" t="inlineStr">
        <is>
          <t>25800500136</t>
        </is>
      </c>
      <c r="D448" s="1" t="inlineStr">
        <is>
          <t>Nguyeãn Anh</t>
        </is>
      </c>
      <c r="E448" s="1" t="inlineStr">
        <is>
          <t>Phong</t>
        </is>
      </c>
      <c r="F448" s="1" t="inlineStr">
        <is>
          <t>30-Aug-07</t>
        </is>
      </c>
      <c r="G448" s="1" t="inlineStr">
        <is>
          <t>LNH0925ND01</t>
        </is>
      </c>
      <c r="H448" s="1" t="inlineStr">
        <is>
          <t>09AV Giao tiep QT (TS)</t>
        </is>
      </c>
      <c r="I448" s="1" t="n">
        <v>4465000</v>
      </c>
      <c r="J448" s="1" t="inlineStr">
        <is>
          <t>MBBANK IBFT 98778683071 NGUYEN ANH PHONG 258005 00136 LNH0925ND01 0325244628 CHUYEN TIEN OQCH0001SiK7 MOMO98778683071M OMO TAI IBT-MB                   HANOI</t>
        </is>
      </c>
    </row>
    <row r="449">
      <c r="A449" s="1" t="inlineStr">
        <is>
          <t>26-Aug-25</t>
        </is>
      </c>
      <c r="B449" s="1" t="inlineStr">
        <is>
          <t>I60593</t>
        </is>
      </c>
      <c r="C449" s="1" t="inlineStr">
        <is>
          <t>25802700050</t>
        </is>
      </c>
      <c r="D449" s="1" t="inlineStr">
        <is>
          <t>Vuõ Nguyeãn Hoaøng</t>
        </is>
      </c>
      <c r="E449" s="1" t="inlineStr">
        <is>
          <t>Minh</t>
        </is>
      </c>
      <c r="F449" s="1" t="inlineStr">
        <is>
          <t>24-Apr-07</t>
        </is>
      </c>
      <c r="G449" s="1" t="inlineStr">
        <is>
          <t>LNH0925ND01</t>
        </is>
      </c>
      <c r="H449" s="1" t="inlineStr">
        <is>
          <t>09AV Giao tiep QT (TS)</t>
        </is>
      </c>
      <c r="I449" s="1" t="n">
        <v>4940000</v>
      </c>
      <c r="J449" s="1" t="inlineStr">
        <is>
          <t>NGUYEN TRUNG NGHIA VU NGUYEN HOANG MINH  25802700050 LNH0925ND01  0834240407 TAI VietinBank</t>
        </is>
      </c>
    </row>
    <row r="450">
      <c r="A450" s="1" t="inlineStr">
        <is>
          <t>26-Aug-25</t>
        </is>
      </c>
      <c r="B450" s="1" t="inlineStr">
        <is>
          <t>I60594</t>
        </is>
      </c>
      <c r="C450" s="1" t="inlineStr">
        <is>
          <t>25808200027</t>
        </is>
      </c>
      <c r="D450" s="1" t="inlineStr">
        <is>
          <t>Haø Haûi</t>
        </is>
      </c>
      <c r="E450" s="1" t="inlineStr">
        <is>
          <t>Döông</t>
        </is>
      </c>
      <c r="F450" s="1" t="inlineStr">
        <is>
          <t>24-Nov-07</t>
        </is>
      </c>
      <c r="G450" s="1" t="inlineStr">
        <is>
          <t>LNH0925ND01</t>
        </is>
      </c>
      <c r="H450" s="1" t="inlineStr">
        <is>
          <t>09AV Giao tiep QT (TS)</t>
        </is>
      </c>
      <c r="I450" s="1" t="n">
        <v>5000000</v>
      </c>
      <c r="J450" s="1" t="inlineStr">
        <is>
          <t>MBBANK IBFT 25808200027 Ha Hai Duong LNH0925ND0 1 TAI IBT-MB                   HANOI</t>
        </is>
      </c>
    </row>
    <row r="451">
      <c r="A451" s="1" t="inlineStr">
        <is>
          <t>26-Aug-25</t>
        </is>
      </c>
      <c r="B451" s="1" t="inlineStr">
        <is>
          <t>I60595</t>
        </is>
      </c>
      <c r="C451" s="1" t="inlineStr">
        <is>
          <t>25802600042</t>
        </is>
      </c>
      <c r="D451" s="1" t="inlineStr">
        <is>
          <t>Chaâu Ngoïc</t>
        </is>
      </c>
      <c r="E451" s="1" t="inlineStr">
        <is>
          <t>Haân</t>
        </is>
      </c>
      <c r="F451" s="1" t="inlineStr">
        <is>
          <t>01-Aug-07</t>
        </is>
      </c>
      <c r="G451" s="1" t="inlineStr">
        <is>
          <t>LNH0925ND01</t>
        </is>
      </c>
      <c r="H451" s="1" t="inlineStr">
        <is>
          <t>09AV Giao tiep QT (TS)</t>
        </is>
      </c>
      <c r="I451" s="1" t="n">
        <v>5000000</v>
      </c>
      <c r="J451" s="1" t="inlineStr">
        <is>
          <t>TRAN THI THANH MAI QR - Chau Ngoc Han 25802600042 LHN0 925ND01 0939400074 TAI VietinBank</t>
        </is>
      </c>
    </row>
    <row r="452">
      <c r="A452" s="1" t="inlineStr">
        <is>
          <t>26-Aug-25</t>
        </is>
      </c>
      <c r="B452" s="1" t="inlineStr">
        <is>
          <t>I60596</t>
        </is>
      </c>
      <c r="C452" s="1" t="inlineStr">
        <is>
          <t>25806000099</t>
        </is>
      </c>
      <c r="D452" s="1" t="inlineStr">
        <is>
          <t>Huyønh Thò Nhaõ</t>
        </is>
      </c>
      <c r="E452" s="1" t="inlineStr">
        <is>
          <t>Phöông</t>
        </is>
      </c>
      <c r="F452" s="1" t="inlineStr">
        <is>
          <t>21-Jan-07</t>
        </is>
      </c>
      <c r="G452" s="1" t="inlineStr">
        <is>
          <t>LNH0925ND01</t>
        </is>
      </c>
      <c r="H452" s="1" t="inlineStr">
        <is>
          <t>09AV Giao tiep QT (TS)</t>
        </is>
      </c>
      <c r="I452" s="1" t="n">
        <v>5000000</v>
      </c>
      <c r="J452" s="1" t="inlineStr">
        <is>
          <t>NGUYEN TRUNG NGHIA HUYNH THI NHA PHUONG  2506000048  L NH0925ND01  0984013240 TAI VietinBank</t>
        </is>
      </c>
    </row>
    <row r="453">
      <c r="A453" s="1" t="inlineStr">
        <is>
          <t>26-Aug-25</t>
        </is>
      </c>
      <c r="B453" s="1" t="inlineStr">
        <is>
          <t>I60598</t>
        </is>
      </c>
      <c r="C453" s="1" t="inlineStr">
        <is>
          <t>25802100071</t>
        </is>
      </c>
      <c r="D453" s="1" t="inlineStr">
        <is>
          <t>Nguyeãn Vinh</t>
        </is>
      </c>
      <c r="E453" s="1" t="inlineStr">
        <is>
          <t>Quang</t>
        </is>
      </c>
      <c r="F453" s="1" t="inlineStr">
        <is>
          <t>30-Nov-07</t>
        </is>
      </c>
      <c r="G453" s="1" t="inlineStr">
        <is>
          <t>LNH0925ND01</t>
        </is>
      </c>
      <c r="H453" s="1" t="inlineStr">
        <is>
          <t>09AV Giao tiep QT (TS)</t>
        </is>
      </c>
      <c r="I453" s="1" t="n">
        <v>6415000</v>
      </c>
      <c r="J453" s="1" t="inlineStr">
        <is>
          <t>MBBANK IBFT Nguyen Vinh Quang 2502100023 LNH092 5ND01 0379471735 TAI IBT-MB                   HANOI</t>
        </is>
      </c>
    </row>
    <row r="454">
      <c r="A454" s="1" t="inlineStr">
        <is>
          <t>26-Aug-25</t>
        </is>
      </c>
      <c r="B454" s="1" t="inlineStr">
        <is>
          <t>I60599</t>
        </is>
      </c>
      <c r="C454" s="1" t="inlineStr">
        <is>
          <t>25801200021</t>
        </is>
      </c>
      <c r="D454" s="1" t="inlineStr">
        <is>
          <t>Traàn Quang</t>
        </is>
      </c>
      <c r="E454" s="1" t="inlineStr">
        <is>
          <t>Minh</t>
        </is>
      </c>
      <c r="F454" s="1" t="inlineStr">
        <is>
          <t>08-May-07</t>
        </is>
      </c>
      <c r="G454" s="1" t="inlineStr">
        <is>
          <t>LNH0925ND01</t>
        </is>
      </c>
      <c r="H454" s="1" t="inlineStr">
        <is>
          <t>09AV Giao tiep QT (TS)</t>
        </is>
      </c>
      <c r="I454" s="1" t="n">
        <v>7415000</v>
      </c>
      <c r="J454" s="1" t="inlineStr">
        <is>
          <t>TRAN MINH DUONG TRANQUANGMINH 25801200021 LNH0925ND 01 TAI IBT SEAB BANK            HANOI</t>
        </is>
      </c>
    </row>
    <row r="455">
      <c r="A455" s="1" t="inlineStr">
        <is>
          <t>26-Aug-25</t>
        </is>
      </c>
      <c r="B455" s="1" t="inlineStr">
        <is>
          <t>I60600</t>
        </is>
      </c>
      <c r="C455" s="1" t="inlineStr">
        <is>
          <t>25808200117</t>
        </is>
      </c>
      <c r="D455" s="1" t="inlineStr">
        <is>
          <t>Nguyeãn Thuaän</t>
        </is>
      </c>
      <c r="E455" s="1" t="inlineStr">
        <is>
          <t>Thanh</t>
        </is>
      </c>
      <c r="F455" s="1" t="inlineStr">
        <is>
          <t>10-Feb-07</t>
        </is>
      </c>
      <c r="G455" s="1" t="inlineStr">
        <is>
          <t>LNH0925ND01</t>
        </is>
      </c>
      <c r="H455" s="1" t="inlineStr">
        <is>
          <t>09AV Giao tiep QT (TS)</t>
        </is>
      </c>
      <c r="I455" s="1" t="n">
        <v>7415000</v>
      </c>
      <c r="J455" s="1" t="inlineStr">
        <is>
          <t>TRAN THI THANH MAI QR - Nguyen Thuan Thanh 25808200117 LNH0925ND01 0915728680 TAI VietinBank</t>
        </is>
      </c>
    </row>
    <row r="456">
      <c r="A456" s="1" t="inlineStr">
        <is>
          <t>26-Aug-25</t>
        </is>
      </c>
      <c r="B456" s="1" t="inlineStr">
        <is>
          <t>I60601</t>
        </is>
      </c>
      <c r="C456" s="1" t="inlineStr">
        <is>
          <t>25808600054</t>
        </is>
      </c>
      <c r="D456" s="1" t="inlineStr">
        <is>
          <t>Ñaëng Thò Thuøy</t>
        </is>
      </c>
      <c r="E456" s="1" t="inlineStr">
        <is>
          <t>Linh</t>
        </is>
      </c>
      <c r="F456" s="1" t="inlineStr">
        <is>
          <t>16-Feb-07</t>
        </is>
      </c>
      <c r="G456" s="1" t="inlineStr">
        <is>
          <t>LNH0925ND01</t>
        </is>
      </c>
      <c r="H456" s="1" t="inlineStr">
        <is>
          <t>09AV Giao tiep QT (TS)</t>
        </is>
      </c>
      <c r="I456" s="1" t="n">
        <v>7415000</v>
      </c>
      <c r="J456" s="1" t="inlineStr">
        <is>
          <t>TRANSFER LE THANH TIEN chuyen tien Dang Thi Thuy Linh 25808600054 LNH0925ND01- 0383385078  ma GD 100000003143178 TAI LienVietPostBank       Ha Noi</t>
        </is>
      </c>
    </row>
    <row r="457">
      <c r="A457" s="1" t="inlineStr">
        <is>
          <t>26-Aug-25</t>
        </is>
      </c>
      <c r="B457" s="1" t="inlineStr">
        <is>
          <t>I60602</t>
        </is>
      </c>
      <c r="C457" s="1" t="inlineStr">
        <is>
          <t>25807900080</t>
        </is>
      </c>
      <c r="D457" s="1" t="inlineStr">
        <is>
          <t>Hoaøng Gia Anh</t>
        </is>
      </c>
      <c r="E457" s="1" t="inlineStr">
        <is>
          <t>Kieät</t>
        </is>
      </c>
      <c r="F457" s="1" t="inlineStr">
        <is>
          <t>13-Dec-07</t>
        </is>
      </c>
      <c r="G457" s="1" t="inlineStr">
        <is>
          <t>LNH0925ND01</t>
        </is>
      </c>
      <c r="H457" s="1" t="inlineStr">
        <is>
          <t>09AV Giao tiep QT (TS)</t>
        </is>
      </c>
      <c r="I457" s="1" t="n">
        <v>7540000</v>
      </c>
      <c r="J457" s="1" t="inlineStr">
        <is>
          <t>HOANG GIA MAN QR - HOANG GIA ANH KIET 25807900080 LNH0925ND01 0971178085 TAI VietinBank</t>
        </is>
      </c>
    </row>
    <row r="458">
      <c r="A458" s="1" t="inlineStr">
        <is>
          <t>26-Aug-25</t>
        </is>
      </c>
      <c r="B458" s="1" t="inlineStr">
        <is>
          <t>I60603</t>
        </is>
      </c>
      <c r="C458" s="1" t="inlineStr">
        <is>
          <t>25801300042</t>
        </is>
      </c>
      <c r="D458" s="1" t="inlineStr">
        <is>
          <t>Ñoã Quoác</t>
        </is>
      </c>
      <c r="E458" s="1" t="inlineStr">
        <is>
          <t>Trung</t>
        </is>
      </c>
      <c r="F458" s="1" t="inlineStr">
        <is>
          <t>27-May-07</t>
        </is>
      </c>
      <c r="G458" s="1" t="inlineStr">
        <is>
          <t>LNH0925ND01</t>
        </is>
      </c>
      <c r="H458" s="1" t="inlineStr">
        <is>
          <t>09AV Giao tiep QT (TS)</t>
        </is>
      </c>
      <c r="I458" s="1" t="n">
        <v>8415000</v>
      </c>
      <c r="J458" s="1" t="inlineStr">
        <is>
          <t>TRAN THI THANH MAI QR - Do Quoc Trung 25801300042 LNH0 925ND01 0866381403 TAI VietinBank</t>
        </is>
      </c>
    </row>
    <row r="459">
      <c r="A459" s="1" t="inlineStr">
        <is>
          <t>26-Aug-25</t>
        </is>
      </c>
      <c r="B459" s="1" t="inlineStr">
        <is>
          <t>I60604</t>
        </is>
      </c>
      <c r="C459" s="1" t="inlineStr">
        <is>
          <t>25806800033</t>
        </is>
      </c>
      <c r="D459" s="1" t="inlineStr">
        <is>
          <t>Buøi Truùc</t>
        </is>
      </c>
      <c r="E459" s="1" t="inlineStr">
        <is>
          <t>Linh</t>
        </is>
      </c>
      <c r="F459" s="1" t="inlineStr">
        <is>
          <t>08-Nov-06</t>
        </is>
      </c>
      <c r="G459" s="1" t="inlineStr">
        <is>
          <t>LNH0925ND01</t>
        </is>
      </c>
      <c r="H459" s="1" t="inlineStr">
        <is>
          <t>09AV Giao tiep QT (TS)</t>
        </is>
      </c>
      <c r="I459" s="1" t="n">
        <v>8415000</v>
      </c>
      <c r="J459" s="1" t="inlineStr">
        <is>
          <t>THANG THANH TRUC ABBank 0521043748045 BUI TRUC LINH 25806800033 LNH0925ND01   081297177 TAI Agribank</t>
        </is>
      </c>
    </row>
    <row r="460">
      <c r="A460" s="1" t="inlineStr">
        <is>
          <t>26-Aug-25</t>
        </is>
      </c>
      <c r="B460" s="1" t="inlineStr">
        <is>
          <t>I60605</t>
        </is>
      </c>
      <c r="C460" s="1" t="inlineStr">
        <is>
          <t>25808100017</t>
        </is>
      </c>
      <c r="D460" s="1" t="inlineStr">
        <is>
          <t>Nguyeãn Quang</t>
        </is>
      </c>
      <c r="E460" s="1" t="inlineStr">
        <is>
          <t>Huy</t>
        </is>
      </c>
      <c r="F460" s="1" t="inlineStr">
        <is>
          <t>26-Jan-07</t>
        </is>
      </c>
      <c r="G460" s="1" t="inlineStr">
        <is>
          <t>LNH0925ND01</t>
        </is>
      </c>
      <c r="H460" s="1" t="inlineStr">
        <is>
          <t>09AV Giao tiep QT (TS)</t>
        </is>
      </c>
      <c r="I460" s="1" t="n">
        <v>8415000</v>
      </c>
      <c r="J460" s="1" t="inlineStr">
        <is>
          <t>NGUYEN VAN CUONG ABBank 0521043748045 nguyenQuangHuy 25808100017LNH 0925ND01 SDT 0913169 423 TAI Agribank</t>
        </is>
      </c>
    </row>
    <row r="461">
      <c r="A461" s="1" t="inlineStr">
        <is>
          <t>26-Aug-25</t>
        </is>
      </c>
      <c r="B461" s="1" t="inlineStr">
        <is>
          <t>I60606</t>
        </is>
      </c>
      <c r="C461" s="1" t="inlineStr">
        <is>
          <t>25820700010</t>
        </is>
      </c>
      <c r="D461" s="1" t="inlineStr">
        <is>
          <t>Nguyeãn Döông Hieàn</t>
        </is>
      </c>
      <c r="E461" s="1" t="inlineStr">
        <is>
          <t>Hoøa</t>
        </is>
      </c>
      <c r="F461" s="1" t="inlineStr">
        <is>
          <t>24-Jan-07</t>
        </is>
      </c>
      <c r="G461" s="1" t="inlineStr">
        <is>
          <t>LNH0925ND01</t>
        </is>
      </c>
      <c r="H461" s="1" t="inlineStr">
        <is>
          <t>09AV Giao tiep QT (TS)</t>
        </is>
      </c>
      <c r="I461" s="1" t="n">
        <v>8415000</v>
      </c>
      <c r="J461" s="1" t="inlineStr">
        <is>
          <t>NGUYEN TRUNG NGHIA NGUYEN DUONG HIEN HOA  25820700010 LNH0925ND01  0917283378 TAI VietinBank</t>
        </is>
      </c>
    </row>
    <row r="462">
      <c r="A462" s="1" t="inlineStr">
        <is>
          <t>26-Aug-25</t>
        </is>
      </c>
      <c r="B462" s="1" t="inlineStr">
        <is>
          <t>I60607</t>
        </is>
      </c>
      <c r="C462" s="1" t="inlineStr">
        <is>
          <t>25808600144</t>
        </is>
      </c>
      <c r="D462" s="1" t="inlineStr">
        <is>
          <t>Nguyeãn Thanh</t>
        </is>
      </c>
      <c r="E462" s="1" t="inlineStr">
        <is>
          <t>Tuyeàn</t>
        </is>
      </c>
      <c r="F462" s="1" t="inlineStr">
        <is>
          <t>28-Jan-07</t>
        </is>
      </c>
      <c r="G462" s="1" t="inlineStr">
        <is>
          <t>LNH0925ND01</t>
        </is>
      </c>
      <c r="H462" s="1" t="inlineStr">
        <is>
          <t>09AV Giao tiep QT (TS)</t>
        </is>
      </c>
      <c r="I462" s="1" t="n">
        <v>0</v>
      </c>
      <c r="J462" s="1" t="inlineStr">
        <is>
          <t>(Rut Hp)TRAN THI THANH MAI QR - Nguyen Thanh Tuyen 25808600144 LNH0925ND01 0338020125 TAI VietinBank</t>
        </is>
      </c>
    </row>
    <row r="463">
      <c r="A463" s="1" t="inlineStr">
        <is>
          <t>26-Aug-25</t>
        </is>
      </c>
      <c r="B463" s="1" t="inlineStr">
        <is>
          <t>I60608</t>
        </is>
      </c>
      <c r="C463" s="1" t="inlineStr">
        <is>
          <t>25820200110</t>
        </is>
      </c>
      <c r="D463" s="1" t="inlineStr">
        <is>
          <t>Nguyeãn Baù</t>
        </is>
      </c>
      <c r="E463" s="1" t="inlineStr">
        <is>
          <t>An</t>
        </is>
      </c>
      <c r="F463" s="1" t="inlineStr">
        <is>
          <t>16-Nov-07</t>
        </is>
      </c>
      <c r="G463" s="1" t="inlineStr">
        <is>
          <t>LNH0925ND01</t>
        </is>
      </c>
      <c r="H463" s="1" t="inlineStr">
        <is>
          <t>09AV Giao tiep QT (TS)</t>
        </is>
      </c>
      <c r="I463" s="1" t="n">
        <v>8415000</v>
      </c>
      <c r="J463" s="1" t="inlineStr">
        <is>
          <t>TRAN THI THANH MAI QR - Nguyen Ba An 25820200110 LNH09 25ND01 0814343007 TAI VietinBank</t>
        </is>
      </c>
    </row>
    <row r="464">
      <c r="A464" s="1" t="inlineStr">
        <is>
          <t>26-Aug-25</t>
        </is>
      </c>
      <c r="B464" s="1" t="inlineStr">
        <is>
          <t>I60609</t>
        </is>
      </c>
      <c r="C464" s="1" t="inlineStr">
        <is>
          <t>25800500049</t>
        </is>
      </c>
      <c r="D464" s="1" t="inlineStr">
        <is>
          <t>Leâ Trung</t>
        </is>
      </c>
      <c r="E464" s="1" t="inlineStr">
        <is>
          <t>Hieáu</t>
        </is>
      </c>
      <c r="F464" s="1" t="inlineStr">
        <is>
          <t>16-Mar-07</t>
        </is>
      </c>
      <c r="G464" s="1" t="inlineStr">
        <is>
          <t>LNH0925ND01</t>
        </is>
      </c>
      <c r="H464" s="1" t="inlineStr">
        <is>
          <t>09AV Giao tiep QT (TS)</t>
        </is>
      </c>
      <c r="I464" s="1" t="n">
        <v>8415000</v>
      </c>
      <c r="J464" s="1" t="inlineStr">
        <is>
          <t>NGUYEN THI HONG QR - Le Trung Hieu 25800500049 0338 577764 LNH0925ND01 TAI VietinBank</t>
        </is>
      </c>
    </row>
    <row r="465">
      <c r="A465" s="1" t="inlineStr">
        <is>
          <t>26-Aug-25</t>
        </is>
      </c>
      <c r="B465" s="1" t="inlineStr">
        <is>
          <t>I60610</t>
        </is>
      </c>
      <c r="C465" s="1" t="inlineStr">
        <is>
          <t>25820300038</t>
        </is>
      </c>
      <c r="D465" s="1" t="inlineStr">
        <is>
          <t>Traàn Duy</t>
        </is>
      </c>
      <c r="E465" s="1" t="inlineStr">
        <is>
          <t>Nguyeân</t>
        </is>
      </c>
      <c r="F465" s="1" t="inlineStr">
        <is>
          <t>15-Jun-07</t>
        </is>
      </c>
      <c r="G465" s="1" t="inlineStr">
        <is>
          <t>LNH0925ND01</t>
        </is>
      </c>
      <c r="H465" s="1" t="inlineStr">
        <is>
          <t>09AV Giao tiep QT (TS)</t>
        </is>
      </c>
      <c r="I465" s="1" t="n">
        <v>8415000</v>
      </c>
      <c r="J465" s="1" t="inlineStr">
        <is>
          <t>KlbFundtransfer247 HUTECH Tran Duy Nguyen 25820300038 LNH0925 ND010827835374 TAI KIENLONG BANK          98-108ACMT8S</t>
        </is>
      </c>
    </row>
    <row r="466">
      <c r="A466" s="1" t="inlineStr">
        <is>
          <t>26-Aug-25</t>
        </is>
      </c>
      <c r="B466" s="1" t="inlineStr">
        <is>
          <t>I60611</t>
        </is>
      </c>
      <c r="C466" s="1" t="inlineStr">
        <is>
          <t>25807500144</t>
        </is>
      </c>
      <c r="D466" s="1" t="inlineStr">
        <is>
          <t>Phaïm Minh</t>
        </is>
      </c>
      <c r="E466" s="1" t="inlineStr">
        <is>
          <t>Trí</t>
        </is>
      </c>
      <c r="F466" s="1" t="inlineStr">
        <is>
          <t>06-Jun-07</t>
        </is>
      </c>
      <c r="G466" s="1" t="inlineStr">
        <is>
          <t>LNH0925ND01</t>
        </is>
      </c>
      <c r="H466" s="1" t="inlineStr">
        <is>
          <t>09AV Giao tiep QT (TS)</t>
        </is>
      </c>
      <c r="I466" s="1" t="n">
        <v>8415000</v>
      </c>
      <c r="J466" s="1" t="inlineStr">
        <is>
          <t>PHAM TAN THANH Pham minh tri 25807500144 LNH0925ND 01 0338509546-260825-08 45 03 51915 5 TAI Ngan hang a chau       IBT SMARLINK</t>
        </is>
      </c>
    </row>
    <row r="467">
      <c r="A467" s="1" t="inlineStr">
        <is>
          <t>26-Aug-25</t>
        </is>
      </c>
      <c r="B467" s="1" t="inlineStr">
        <is>
          <t>I60612</t>
        </is>
      </c>
      <c r="C467" s="1" t="inlineStr">
        <is>
          <t>25806800022</t>
        </is>
      </c>
      <c r="D467" s="1" t="inlineStr">
        <is>
          <t>Nguyeãn Thò Ngoïc</t>
        </is>
      </c>
      <c r="E467" s="1" t="inlineStr">
        <is>
          <t>Haân</t>
        </is>
      </c>
      <c r="F467" s="1" t="inlineStr">
        <is>
          <t>26-May-07</t>
        </is>
      </c>
      <c r="G467" s="1" t="inlineStr">
        <is>
          <t>LNH0925ND01</t>
        </is>
      </c>
      <c r="H467" s="1" t="inlineStr">
        <is>
          <t>09AV Giao tiep QT (TS)</t>
        </is>
      </c>
      <c r="I467" s="1" t="n">
        <v>8415000</v>
      </c>
      <c r="J467" s="1" t="inlineStr">
        <is>
          <t>NGUYEN TUAN THANH QR - NGUYEN THI NGOC HAN 2580680002 2 LNH0925ND01 Chuyen tien TAI VietinBank</t>
        </is>
      </c>
    </row>
    <row r="468">
      <c r="A468" s="1" t="inlineStr">
        <is>
          <t>26-Aug-25</t>
        </is>
      </c>
      <c r="B468" s="1" t="inlineStr">
        <is>
          <t>I60613</t>
        </is>
      </c>
      <c r="C468" s="1" t="inlineStr">
        <is>
          <t>25807800064</t>
        </is>
      </c>
      <c r="D468" s="1" t="inlineStr">
        <is>
          <t>Quaùch Anh</t>
        </is>
      </c>
      <c r="E468" s="1" t="inlineStr">
        <is>
          <t>Khoa</t>
        </is>
      </c>
      <c r="F468" s="1" t="inlineStr">
        <is>
          <t>08-Oct-07</t>
        </is>
      </c>
      <c r="G468" s="1" t="inlineStr">
        <is>
          <t>LNH0925ND01</t>
        </is>
      </c>
      <c r="H468" s="1" t="inlineStr">
        <is>
          <t>09AV Giao tiep QT (TS)</t>
        </is>
      </c>
      <c r="I468" s="1" t="n">
        <v>8415000</v>
      </c>
      <c r="J468" s="1" t="inlineStr">
        <is>
          <t>QUACH ANH KHOA MBVCB.10684154278.048372.QUACH ANH KHOA 25807800064 LNH0925ND01 081679 7696.CT tu 1049450232 QUACH ANH KHO A toi 0521043748045 HUTECH tai ABBANK TAI Vietcombank</t>
        </is>
      </c>
    </row>
    <row r="469">
      <c r="A469" s="1" t="inlineStr">
        <is>
          <t>26-Aug-25</t>
        </is>
      </c>
      <c r="B469" s="1" t="inlineStr">
        <is>
          <t>I60614</t>
        </is>
      </c>
      <c r="C469" s="1" t="inlineStr">
        <is>
          <t>25808900146</t>
        </is>
      </c>
      <c r="D469" s="1" t="inlineStr">
        <is>
          <t>Phuøng Minh</t>
        </is>
      </c>
      <c r="E469" s="1" t="inlineStr">
        <is>
          <t>Tuaán</t>
        </is>
      </c>
      <c r="F469" s="1" t="inlineStr">
        <is>
          <t>28-Feb-07</t>
        </is>
      </c>
      <c r="G469" s="1" t="inlineStr">
        <is>
          <t>LNH0925ND01</t>
        </is>
      </c>
      <c r="H469" s="1" t="inlineStr">
        <is>
          <t>09AV Giao tiep QT (TS)</t>
        </is>
      </c>
      <c r="I469" s="1" t="n">
        <v>8415000</v>
      </c>
      <c r="J469" s="1" t="inlineStr">
        <is>
          <t>TRAN THI THANH MAI QR - Phung Minh Tuan 25808900146 LN H0925ND01 0385107586 TAI VietinBank</t>
        </is>
      </c>
    </row>
    <row r="470">
      <c r="A470" s="1" t="inlineStr">
        <is>
          <t>26-Aug-25</t>
        </is>
      </c>
      <c r="B470" s="1" t="inlineStr">
        <is>
          <t>I60615</t>
        </is>
      </c>
      <c r="C470" s="1" t="inlineStr">
        <is>
          <t>25808900240</t>
        </is>
      </c>
      <c r="D470" s="1" t="inlineStr">
        <is>
          <t>Phaïm Vaên</t>
        </is>
      </c>
      <c r="E470" s="1" t="inlineStr">
        <is>
          <t>Thaønh</t>
        </is>
      </c>
      <c r="F470" s="1" t="inlineStr">
        <is>
          <t>26-May-07</t>
        </is>
      </c>
      <c r="G470" s="1" t="inlineStr">
        <is>
          <t>LNH0925ND01</t>
        </is>
      </c>
      <c r="H470" s="1" t="inlineStr">
        <is>
          <t>09AV Giao tiep QT (TS)</t>
        </is>
      </c>
      <c r="I470" s="1" t="n">
        <v>8415000</v>
      </c>
      <c r="J470" s="1" t="inlineStr">
        <is>
          <t>TRAN THI THANH MAI QR - Pham Van Thanh 2508900070 LNH0 925ND01 0988529014 TAI VietinBank</t>
        </is>
      </c>
    </row>
    <row r="471">
      <c r="A471" s="1" t="inlineStr">
        <is>
          <t>26-Aug-25</t>
        </is>
      </c>
      <c r="B471" s="1" t="inlineStr">
        <is>
          <t>I60616</t>
        </is>
      </c>
      <c r="C471" s="1" t="inlineStr">
        <is>
          <t>25808900057</t>
        </is>
      </c>
      <c r="D471" s="1" t="inlineStr">
        <is>
          <t>Nguyeãn Hoaøng Anh</t>
        </is>
      </c>
      <c r="E471" s="1" t="inlineStr">
        <is>
          <t>Khoa</t>
        </is>
      </c>
      <c r="F471" s="1" t="inlineStr">
        <is>
          <t>18-Mar-07</t>
        </is>
      </c>
      <c r="G471" s="1" t="inlineStr">
        <is>
          <t>LNH0925ND01</t>
        </is>
      </c>
      <c r="H471" s="1" t="inlineStr">
        <is>
          <t>09AV Giao tiep QT (TS)</t>
        </is>
      </c>
      <c r="I471" s="1" t="n">
        <v>8415000</v>
      </c>
      <c r="J471" s="1" t="inlineStr">
        <is>
          <t>NGUYEN VAN DANG Nguyen Hoang Anh Khoa 25808900057 L NH0925ND01 0986830088 TAI IBT BIDV                 HANOI</t>
        </is>
      </c>
    </row>
    <row r="472">
      <c r="A472" s="1" t="inlineStr">
        <is>
          <t>26-Aug-25</t>
        </is>
      </c>
      <c r="B472" s="1" t="inlineStr">
        <is>
          <t>I60617</t>
        </is>
      </c>
      <c r="C472" s="1" t="inlineStr">
        <is>
          <t>25809600059</t>
        </is>
      </c>
      <c r="D472" s="1" t="inlineStr">
        <is>
          <t>Traàn Thanh</t>
        </is>
      </c>
      <c r="E472" s="1" t="inlineStr">
        <is>
          <t>Sôn</t>
        </is>
      </c>
      <c r="F472" s="1" t="inlineStr">
        <is>
          <t>17-May-07</t>
        </is>
      </c>
      <c r="G472" s="1" t="inlineStr">
        <is>
          <t>LNH0925ND01</t>
        </is>
      </c>
      <c r="H472" s="1" t="inlineStr">
        <is>
          <t>09AV Giao tiep QT (TS)</t>
        </is>
      </c>
      <c r="I472" s="1" t="n">
        <v>8415000</v>
      </c>
      <c r="J472" s="1" t="inlineStr">
        <is>
          <t>TRAN THANH SON MBVCB.10684441940.240768.TRAN THANH SON (25809600059) (LNH0925ND01) (0 328242857).CT tu 1042240730 TRAN TH ANH SON toi 0521043748045 HUTECH tai ABBANK TAI Vietcombank</t>
        </is>
      </c>
    </row>
    <row r="473">
      <c r="A473" s="1" t="inlineStr">
        <is>
          <t>26-Aug-25</t>
        </is>
      </c>
      <c r="B473" s="1" t="inlineStr">
        <is>
          <t>I60618</t>
        </is>
      </c>
      <c r="C473" s="1" t="inlineStr">
        <is>
          <t>25805800005</t>
        </is>
      </c>
      <c r="D473" s="1" t="inlineStr">
        <is>
          <t>Nguyeãn Khoa Tuyeát</t>
        </is>
      </c>
      <c r="E473" s="1" t="inlineStr">
        <is>
          <t>Chi</t>
        </is>
      </c>
      <c r="F473" s="1" t="inlineStr">
        <is>
          <t>10-Sep-07</t>
        </is>
      </c>
      <c r="G473" s="1" t="inlineStr">
        <is>
          <t>LNH0925ND01</t>
        </is>
      </c>
      <c r="H473" s="1" t="inlineStr">
        <is>
          <t>09AV Giao tiep QT (TS)</t>
        </is>
      </c>
      <c r="I473" s="1" t="n">
        <v>8415000</v>
      </c>
      <c r="J473" s="1" t="inlineStr">
        <is>
          <t>NGUYEN THI TUONG SUONG ABBank 0521043748045 NguyenKhoaTuye tMongChi25805800005LNH0925ND0109414 04080 TAI Agribank</t>
        </is>
      </c>
    </row>
    <row r="474">
      <c r="A474" s="1" t="inlineStr">
        <is>
          <t>26-Aug-25</t>
        </is>
      </c>
      <c r="B474" s="1" t="inlineStr">
        <is>
          <t>I60619</t>
        </is>
      </c>
      <c r="C474" s="1" t="inlineStr">
        <is>
          <t>25800500131</t>
        </is>
      </c>
      <c r="D474" s="1" t="inlineStr">
        <is>
          <t>Vuõ Vaên</t>
        </is>
      </c>
      <c r="E474" s="1" t="inlineStr">
        <is>
          <t>Nhaät</t>
        </is>
      </c>
      <c r="F474" s="1" t="inlineStr">
        <is>
          <t>24-Jan-07</t>
        </is>
      </c>
      <c r="G474" s="1" t="inlineStr">
        <is>
          <t>LNH0925ND01</t>
        </is>
      </c>
      <c r="H474" s="1" t="inlineStr">
        <is>
          <t>09AV Giao tiep QT (TS)</t>
        </is>
      </c>
      <c r="I474" s="1" t="n">
        <v>8415000</v>
      </c>
      <c r="J474" s="1" t="inlineStr">
        <is>
          <t>VU VAN VU vu van nhat 25800500131 LNH0925ND01 0365201564 TAI IBT BIDV                 HANOI</t>
        </is>
      </c>
    </row>
    <row r="475">
      <c r="A475" s="1" t="inlineStr">
        <is>
          <t>26-Aug-25</t>
        </is>
      </c>
      <c r="B475" s="1" t="inlineStr">
        <is>
          <t>I60620</t>
        </is>
      </c>
      <c r="C475" s="1" t="inlineStr">
        <is>
          <t>25808200022</t>
        </is>
      </c>
      <c r="D475" s="1" t="inlineStr">
        <is>
          <t>Nguyeãn Vuõ</t>
        </is>
      </c>
      <c r="E475" s="1" t="inlineStr">
        <is>
          <t>Duõng</t>
        </is>
      </c>
      <c r="F475" s="1" t="inlineStr">
        <is>
          <t>01-Dec-07</t>
        </is>
      </c>
      <c r="G475" s="1" t="inlineStr">
        <is>
          <t>LNH0925ND01</t>
        </is>
      </c>
      <c r="H475" s="1" t="inlineStr">
        <is>
          <t>09AV Giao tiep QT (TS)</t>
        </is>
      </c>
      <c r="I475" s="1" t="n">
        <v>8415000</v>
      </c>
      <c r="J475" s="1" t="inlineStr">
        <is>
          <t>VND-TGTT-NGUYEN THI THU NHAN Nguyen Vu Dung 25808200022 LNH0925N D01 0384485117 FT25238130560924 TAI TECHCOMBANK            HANOI</t>
        </is>
      </c>
    </row>
    <row r="476">
      <c r="A476" s="1" t="inlineStr">
        <is>
          <t>26-Aug-25</t>
        </is>
      </c>
      <c r="B476" s="1" t="inlineStr">
        <is>
          <t>I60621</t>
        </is>
      </c>
      <c r="C476" s="1" t="inlineStr">
        <is>
          <t>25808500347</t>
        </is>
      </c>
      <c r="D476" s="1" t="inlineStr">
        <is>
          <t>Trang Traàn Thaønh</t>
        </is>
      </c>
      <c r="E476" s="1" t="inlineStr">
        <is>
          <t>Thònh</t>
        </is>
      </c>
      <c r="F476" s="1" t="inlineStr">
        <is>
          <t>25-May-07</t>
        </is>
      </c>
      <c r="G476" s="1" t="inlineStr">
        <is>
          <t>LNH0925ND01</t>
        </is>
      </c>
      <c r="H476" s="1" t="inlineStr">
        <is>
          <t>09AV Giao tiep QT (TS)</t>
        </is>
      </c>
      <c r="I476" s="1" t="n">
        <v>8415000</v>
      </c>
      <c r="J476" s="1" t="inlineStr">
        <is>
          <t>TRAN THI NGOC TRAM Trang Tran thanh Thinh  25808500347 LNH0925ND01 0347028685 TAI IBT-NAMABANK             HANOI</t>
        </is>
      </c>
    </row>
    <row r="477">
      <c r="A477" s="1" t="inlineStr">
        <is>
          <t>26-Aug-25</t>
        </is>
      </c>
      <c r="B477" s="1" t="inlineStr">
        <is>
          <t>I60622</t>
        </is>
      </c>
      <c r="C477" s="1" t="inlineStr">
        <is>
          <t>25807500073</t>
        </is>
      </c>
      <c r="D477" s="1" t="inlineStr">
        <is>
          <t>Buøi Nguyeãn Trieäu</t>
        </is>
      </c>
      <c r="E477" s="1" t="inlineStr">
        <is>
          <t>Nam</t>
        </is>
      </c>
      <c r="F477" s="1" t="inlineStr">
        <is>
          <t>19-Nov-07</t>
        </is>
      </c>
      <c r="G477" s="1" t="inlineStr">
        <is>
          <t>LNH0925ND01</t>
        </is>
      </c>
      <c r="H477" s="1" t="inlineStr">
        <is>
          <t>09AV Giao tiep QT (TS)</t>
        </is>
      </c>
      <c r="I477" s="1" t="n">
        <v>8415000</v>
      </c>
      <c r="J477" s="1" t="inlineStr">
        <is>
          <t>BUI VAN KHA ABBank 0521043748045 Bui Nguyen Tri eu Nam 25807500073 LNH0925ND1 03782 79012 TAI Agribank</t>
        </is>
      </c>
    </row>
    <row r="478">
      <c r="A478" s="1" t="inlineStr">
        <is>
          <t>26-Aug-25</t>
        </is>
      </c>
      <c r="B478" s="1" t="inlineStr">
        <is>
          <t>I60623</t>
        </is>
      </c>
      <c r="C478" s="1" t="inlineStr">
        <is>
          <t>25802700012</t>
        </is>
      </c>
      <c r="D478" s="1" t="inlineStr">
        <is>
          <t>Nguyeãn Thò Caåm</t>
        </is>
      </c>
      <c r="E478" s="1" t="inlineStr">
        <is>
          <t>Bình</t>
        </is>
      </c>
      <c r="F478" s="1" t="inlineStr">
        <is>
          <t>12-Sep-07</t>
        </is>
      </c>
      <c r="G478" s="1" t="inlineStr">
        <is>
          <t>LNH0925ND01</t>
        </is>
      </c>
      <c r="H478" s="1" t="inlineStr">
        <is>
          <t>09AV Giao tiep QT (TS)</t>
        </is>
      </c>
      <c r="I478" s="1" t="n">
        <v>8415000</v>
      </c>
      <c r="J478" s="1" t="inlineStr">
        <is>
          <t>NGUYEN THI MINH NGUYEN THI CAM BINH 25802700012. LN H0925ND01 0976876127 TAI IBT BIDV                 HANOI</t>
        </is>
      </c>
    </row>
    <row r="479">
      <c r="A479" s="1" t="inlineStr">
        <is>
          <t>26-Aug-25</t>
        </is>
      </c>
      <c r="B479" s="1" t="inlineStr">
        <is>
          <t>I60624</t>
        </is>
      </c>
      <c r="C479" s="1" t="inlineStr">
        <is>
          <t>25800500276</t>
        </is>
      </c>
      <c r="D479" s="1" t="inlineStr">
        <is>
          <t>Nguyeãn Troïng</t>
        </is>
      </c>
      <c r="E479" s="1" t="inlineStr">
        <is>
          <t>Haûo</t>
        </is>
      </c>
      <c r="F479" s="1" t="inlineStr">
        <is>
          <t>03-Jul-07</t>
        </is>
      </c>
      <c r="G479" s="1" t="inlineStr">
        <is>
          <t>LNH0925ND01</t>
        </is>
      </c>
      <c r="H479" s="1" t="inlineStr">
        <is>
          <t>09AV Giao tiep QT (TS)</t>
        </is>
      </c>
      <c r="I479" s="1" t="n">
        <v>8415000</v>
      </c>
      <c r="J479" s="1" t="inlineStr">
        <is>
          <t>NGUYEN TRONG HUNG MBVCB.10685191407.730735.Nguyen Tro ng Hao 25800500276 LNH0925ND01 0379 857365.CT tu 0121002113544 NGUYEN T RONG HUNG toi 0521043748045 HUTECHtai ABBANK TAI Vietcombank</t>
        </is>
      </c>
    </row>
    <row r="480">
      <c r="A480" s="1" t="inlineStr">
        <is>
          <t>26-Aug-25</t>
        </is>
      </c>
      <c r="B480" s="1" t="inlineStr">
        <is>
          <t>I60625</t>
        </is>
      </c>
      <c r="C480" s="1" t="inlineStr">
        <is>
          <t>25802800001</t>
        </is>
      </c>
      <c r="D480" s="1" t="inlineStr">
        <is>
          <t>Nguyeãn Quoác</t>
        </is>
      </c>
      <c r="E480" s="1" t="inlineStr">
        <is>
          <t>An</t>
        </is>
      </c>
      <c r="F480" s="1" t="inlineStr">
        <is>
          <t>28-Oct-07</t>
        </is>
      </c>
      <c r="G480" s="1" t="inlineStr">
        <is>
          <t>LNH0925ND01</t>
        </is>
      </c>
      <c r="H480" s="1" t="inlineStr">
        <is>
          <t>09AV Giao tiep QT (TS)</t>
        </is>
      </c>
      <c r="I480" s="1" t="n">
        <v>8415000</v>
      </c>
      <c r="J480" s="1" t="inlineStr">
        <is>
          <t>MBBANK IBFT NGUYEN QUOC AN 25802800001 TAI IBT-MB                   HANOI</t>
        </is>
      </c>
    </row>
    <row r="481">
      <c r="A481" s="1" t="inlineStr">
        <is>
          <t>26-Aug-25</t>
        </is>
      </c>
      <c r="B481" s="1" t="inlineStr">
        <is>
          <t>I60626</t>
        </is>
      </c>
      <c r="C481" s="1" t="inlineStr">
        <is>
          <t>25808600126</t>
        </is>
      </c>
      <c r="D481" s="1" t="inlineStr">
        <is>
          <t>Hoà Nhaät</t>
        </is>
      </c>
      <c r="E481" s="1" t="inlineStr">
        <is>
          <t>Tieán</t>
        </is>
      </c>
      <c r="F481" s="1" t="inlineStr">
        <is>
          <t>27-Mar-07</t>
        </is>
      </c>
      <c r="G481" s="1" t="inlineStr">
        <is>
          <t>LNH0925ND01</t>
        </is>
      </c>
      <c r="H481" s="1" t="inlineStr">
        <is>
          <t>09AV Giao tiep QT (TS)</t>
        </is>
      </c>
      <c r="I481" s="1" t="n">
        <v>8415000</v>
      </c>
      <c r="J481" s="1" t="inlineStr">
        <is>
          <t>HO NHAT TIEN MBVCB.10685503156.932261.HO NHAT TI EN  MSSV 25808600126 LNH0925ND01 07 06289883.CT tu 1045098435 HO NHAT T IEN toi 0521043748045 HUTECH tai ABBANK TAI Vietcombank</t>
        </is>
      </c>
    </row>
    <row r="482">
      <c r="A482" s="1" t="inlineStr">
        <is>
          <t>26-Aug-25</t>
        </is>
      </c>
      <c r="B482" s="1" t="inlineStr">
        <is>
          <t>I60627</t>
        </is>
      </c>
      <c r="C482" s="1" t="inlineStr">
        <is>
          <t>25800500162</t>
        </is>
      </c>
      <c r="D482" s="1" t="inlineStr">
        <is>
          <t>Ñinh Coâng</t>
        </is>
      </c>
      <c r="E482" s="1" t="inlineStr">
        <is>
          <t>Thaéng</t>
        </is>
      </c>
      <c r="F482" s="1" t="inlineStr">
        <is>
          <t>15-Jan-07</t>
        </is>
      </c>
      <c r="G482" s="1" t="inlineStr">
        <is>
          <t>LNH0925ND01</t>
        </is>
      </c>
      <c r="H482" s="1" t="inlineStr">
        <is>
          <t>09AV Giao tiep QT (TS)</t>
        </is>
      </c>
      <c r="I482" s="1" t="n">
        <v>8415000</v>
      </c>
      <c r="J482" s="1" t="inlineStr">
        <is>
          <t>NGUYEN THI THU HA QR - DINH CONG THANG- 25800500162-0 911556504-LNH0925ND01 TAI VietinBank</t>
        </is>
      </c>
    </row>
    <row r="483">
      <c r="A483" s="1" t="inlineStr">
        <is>
          <t>26-Aug-25</t>
        </is>
      </c>
      <c r="B483" s="1" t="inlineStr">
        <is>
          <t>I60628</t>
        </is>
      </c>
      <c r="C483" s="1" t="inlineStr">
        <is>
          <t>25809400056</t>
        </is>
      </c>
      <c r="D483" s="1" t="inlineStr">
        <is>
          <t>Haø Thanh</t>
        </is>
      </c>
      <c r="E483" s="1" t="inlineStr">
        <is>
          <t>Duy</t>
        </is>
      </c>
      <c r="F483" s="1" t="inlineStr">
        <is>
          <t>14-Dec-07</t>
        </is>
      </c>
      <c r="G483" s="1" t="inlineStr">
        <is>
          <t>LNH0925ND01</t>
        </is>
      </c>
      <c r="H483" s="1" t="inlineStr">
        <is>
          <t>09AV Giao tiep QT (TS)</t>
        </is>
      </c>
      <c r="I483" s="1" t="n">
        <v>8415000</v>
      </c>
      <c r="J483" s="1" t="inlineStr">
        <is>
          <t>TRAN THI THANH MAI QR - Ha Thanh Duy 25809400056 LNH09 25ND01 0795334839 TAI VietinBank</t>
        </is>
      </c>
    </row>
    <row r="484">
      <c r="A484" s="1" t="inlineStr">
        <is>
          <t>26-Aug-25</t>
        </is>
      </c>
      <c r="B484" s="1" t="inlineStr">
        <is>
          <t>I60629</t>
        </is>
      </c>
      <c r="C484" s="1" t="inlineStr">
        <is>
          <t>25806600350</t>
        </is>
      </c>
      <c r="D484" s="1" t="inlineStr">
        <is>
          <t>Leâ Gia</t>
        </is>
      </c>
      <c r="E484" s="1" t="inlineStr">
        <is>
          <t>Minh</t>
        </is>
      </c>
      <c r="F484" s="1" t="inlineStr">
        <is>
          <t>06-May-07</t>
        </is>
      </c>
      <c r="G484" s="1" t="inlineStr">
        <is>
          <t>LNH0925ND01</t>
        </is>
      </c>
      <c r="H484" s="1" t="inlineStr">
        <is>
          <t>09AV Giao tiep QT (TS)</t>
        </is>
      </c>
      <c r="I484" s="1" t="n">
        <v>8415000</v>
      </c>
      <c r="J484" s="1" t="inlineStr">
        <is>
          <t>LE VAN LEO ABBank 0521043748045 LE GIA MINH 25 806600350 LNH0925ND01  0913209449 TAI Agribank</t>
        </is>
      </c>
    </row>
    <row r="485">
      <c r="A485" s="1" t="inlineStr">
        <is>
          <t>26-Aug-25</t>
        </is>
      </c>
      <c r="B485" s="1" t="inlineStr">
        <is>
          <t>I60630</t>
        </is>
      </c>
      <c r="C485" s="1" t="inlineStr">
        <is>
          <t>25800500306</t>
        </is>
      </c>
      <c r="D485" s="1" t="inlineStr">
        <is>
          <t>Haø Minh</t>
        </is>
      </c>
      <c r="E485" s="1" t="inlineStr">
        <is>
          <t>Ñöùc</t>
        </is>
      </c>
      <c r="F485" s="1" t="inlineStr">
        <is>
          <t>07-Oct-07</t>
        </is>
      </c>
      <c r="G485" s="1" t="inlineStr">
        <is>
          <t>LNH0925ND01</t>
        </is>
      </c>
      <c r="H485" s="1" t="inlineStr">
        <is>
          <t>09AV Giao tiep QT (TS)</t>
        </is>
      </c>
      <c r="I485" s="1" t="n">
        <v>8415000</v>
      </c>
      <c r="J485" s="1" t="inlineStr">
        <is>
          <t>TRAN THI THOA QR - Ha minh Duc 2500500102 LNH0925 ND01 0328052414 TAI VietinBank</t>
        </is>
      </c>
    </row>
    <row r="486">
      <c r="A486" s="1" t="inlineStr">
        <is>
          <t>26-Aug-25</t>
        </is>
      </c>
      <c r="B486" s="1" t="inlineStr">
        <is>
          <t>I60631</t>
        </is>
      </c>
      <c r="C486" s="1" t="inlineStr">
        <is>
          <t>25800400275</t>
        </is>
      </c>
      <c r="D486" s="1" t="inlineStr">
        <is>
          <t>Traàn Leâ Höõu</t>
        </is>
      </c>
      <c r="E486" s="1" t="inlineStr">
        <is>
          <t>Haäu</t>
        </is>
      </c>
      <c r="F486" s="1" t="inlineStr">
        <is>
          <t>30-Mar-07</t>
        </is>
      </c>
      <c r="G486" s="1" t="inlineStr">
        <is>
          <t>LNH0925ND01</t>
        </is>
      </c>
      <c r="H486" s="1" t="inlineStr">
        <is>
          <t>09AV Giao tiep QT (TS)</t>
        </is>
      </c>
      <c r="I486" s="1" t="n">
        <v>8415000</v>
      </c>
      <c r="J486" s="1" t="inlineStr">
        <is>
          <t>TRAN LE HUU HAU MBVCB.10686422536.539586.TRAN LE HU U HAU - 2500400088 - LNH0925ND01 - 0366139957.CT tu 1054442309 TRAN LE HUU HAU toi 0521043748045 HUTECH tai ABBANK TAI Vietcombank</t>
        </is>
      </c>
    </row>
    <row r="487">
      <c r="A487" s="1" t="inlineStr">
        <is>
          <t>26-Aug-25</t>
        </is>
      </c>
      <c r="B487" s="1" t="inlineStr">
        <is>
          <t>I60632</t>
        </is>
      </c>
      <c r="C487" s="1" t="inlineStr">
        <is>
          <t>25802600139</t>
        </is>
      </c>
      <c r="D487" s="1" t="inlineStr">
        <is>
          <t>Phaïm Nguyeãn Thaûo</t>
        </is>
      </c>
      <c r="E487" s="1" t="inlineStr">
        <is>
          <t>Vy</t>
        </is>
      </c>
      <c r="F487" s="1" t="inlineStr">
        <is>
          <t>10-Dec-07</t>
        </is>
      </c>
      <c r="G487" s="1" t="inlineStr">
        <is>
          <t>LNH0925ND01</t>
        </is>
      </c>
      <c r="H487" s="1" t="inlineStr">
        <is>
          <t>09AV Giao tiep QT (TS)</t>
        </is>
      </c>
      <c r="I487" s="1" t="n">
        <v>8415000</v>
      </c>
      <c r="J487" s="1" t="inlineStr">
        <is>
          <t>NGUYEN THUY KIM THOA PHAM NGUYEN THAO VY 25802600139 LNH 0925ND01 0899450728-260825-12 35 58 883786 TAI Ngan hang a chau       IBT SMARLINK</t>
        </is>
      </c>
    </row>
    <row r="488">
      <c r="A488" s="1" t="inlineStr">
        <is>
          <t>26-Aug-25</t>
        </is>
      </c>
      <c r="B488" s="1" t="inlineStr">
        <is>
          <t>I60633</t>
        </is>
      </c>
      <c r="C488" s="1" t="inlineStr">
        <is>
          <t>25806300025</t>
        </is>
      </c>
      <c r="D488" s="1" t="inlineStr">
        <is>
          <t>Hoaøng Ñöùc</t>
        </is>
      </c>
      <c r="E488" s="1" t="inlineStr">
        <is>
          <t>Maïnh</t>
        </is>
      </c>
      <c r="F488" s="1" t="inlineStr">
        <is>
          <t>02-Sep-07</t>
        </is>
      </c>
      <c r="G488" s="1" t="inlineStr">
        <is>
          <t>LNH0925ND01</t>
        </is>
      </c>
      <c r="H488" s="1" t="inlineStr">
        <is>
          <t>09AV Giao tiep QT (TS)</t>
        </is>
      </c>
      <c r="I488" s="1" t="n">
        <v>8415000</v>
      </c>
      <c r="J488" s="1" t="inlineStr">
        <is>
          <t>DINH THI HUONG MBVCB.10686612444.666619.Hoang Duc Manh 25806300025  LNH0925ND01  dt : 0344416379.CT tu 0161001716341 DINH THI HUONG toi 0521043748045 HUTECHtai ABBANK TAI Vietcombank</t>
        </is>
      </c>
    </row>
    <row r="489">
      <c r="A489" s="1" t="inlineStr">
        <is>
          <t>26-Aug-25</t>
        </is>
      </c>
      <c r="B489" s="1" t="inlineStr">
        <is>
          <t>I60634</t>
        </is>
      </c>
      <c r="C489" s="1" t="inlineStr">
        <is>
          <t>25802800068</t>
        </is>
      </c>
      <c r="D489" s="1" t="inlineStr">
        <is>
          <t>Löông Hoaøng</t>
        </is>
      </c>
      <c r="E489" s="1" t="inlineStr">
        <is>
          <t>Heân</t>
        </is>
      </c>
      <c r="F489" s="1" t="inlineStr">
        <is>
          <t>18-Feb-07</t>
        </is>
      </c>
      <c r="G489" s="1" t="inlineStr">
        <is>
          <t>LNH0925ND01</t>
        </is>
      </c>
      <c r="H489" s="1" t="inlineStr">
        <is>
          <t>09AV Giao tiep QT (TS)</t>
        </is>
      </c>
      <c r="I489" s="1" t="n">
        <v>8415000</v>
      </c>
      <c r="J489" s="1" t="inlineStr">
        <is>
          <t>VND-TGTT-LUONG THI DIEM PHUONG LUONG HOANG HEN25802800068LNH0925ND 010363461802Lop hoc toi 2-4-64 leve l FT25238900942200 TAI TECHCOMBANK            HANOI</t>
        </is>
      </c>
    </row>
    <row r="490">
      <c r="A490" s="1" t="inlineStr">
        <is>
          <t>26-Aug-25</t>
        </is>
      </c>
      <c r="B490" s="1" t="inlineStr">
        <is>
          <t>I60635</t>
        </is>
      </c>
      <c r="C490" s="1" t="inlineStr">
        <is>
          <t>25807800251</t>
        </is>
      </c>
      <c r="D490" s="1" t="inlineStr">
        <is>
          <t>Nguyeãn Leâ</t>
        </is>
      </c>
      <c r="E490" s="1" t="inlineStr">
        <is>
          <t>Khanh</t>
        </is>
      </c>
      <c r="F490" s="1" t="inlineStr">
        <is>
          <t>01-May-07</t>
        </is>
      </c>
      <c r="G490" s="1" t="inlineStr">
        <is>
          <t>LNH0925ND01</t>
        </is>
      </c>
      <c r="H490" s="1" t="inlineStr">
        <is>
          <t>09AV Giao tiep QT (TS)</t>
        </is>
      </c>
      <c r="I490" s="1" t="n">
        <v>8415000</v>
      </c>
      <c r="J490" s="1" t="inlineStr">
        <is>
          <t>LE THI HOAI THUONG ABBank 0521043748045 nguyen le khan h  2507800084 LNH0925ND01  09448850 11 TAI Agribank</t>
        </is>
      </c>
    </row>
    <row r="491">
      <c r="A491" s="1" t="inlineStr">
        <is>
          <t>26-Aug-25</t>
        </is>
      </c>
      <c r="B491" s="1" t="inlineStr">
        <is>
          <t>I60636</t>
        </is>
      </c>
      <c r="C491" s="1" t="inlineStr">
        <is>
          <t>25800500111</t>
        </is>
      </c>
      <c r="D491" s="1" t="inlineStr">
        <is>
          <t>Traàn Nguyeãn Hoaøng</t>
        </is>
      </c>
      <c r="E491" s="1" t="inlineStr">
        <is>
          <t>Minh</t>
        </is>
      </c>
      <c r="F491" s="1" t="inlineStr">
        <is>
          <t>11-Feb-07</t>
        </is>
      </c>
      <c r="G491" s="1" t="inlineStr">
        <is>
          <t>LNH0925ND01</t>
        </is>
      </c>
      <c r="H491" s="1" t="inlineStr">
        <is>
          <t>09AV Giao tiep QT (TS)</t>
        </is>
      </c>
      <c r="I491" s="1" t="n">
        <v>8415000</v>
      </c>
      <c r="J491" s="1" t="inlineStr">
        <is>
          <t>VND-TGTT-NGUYEN THI NGOC OANH Hoang Minh 25800500111 LNH0925ND01 0704505955 FT25238554235299 TAI TECHCOMBANK            HANOI</t>
        </is>
      </c>
    </row>
    <row r="492">
      <c r="A492" s="1" t="inlineStr">
        <is>
          <t>26-Aug-25</t>
        </is>
      </c>
      <c r="B492" s="1" t="inlineStr">
        <is>
          <t>I60637</t>
        </is>
      </c>
      <c r="C492" s="1" t="inlineStr">
        <is>
          <t>25808600200</t>
        </is>
      </c>
      <c r="D492" s="1" t="inlineStr">
        <is>
          <t>Traàn Phöông</t>
        </is>
      </c>
      <c r="E492" s="1" t="inlineStr">
        <is>
          <t>Quyønh</t>
        </is>
      </c>
      <c r="F492" s="1" t="inlineStr">
        <is>
          <t>14-Mar-07</t>
        </is>
      </c>
      <c r="G492" s="1" t="inlineStr">
        <is>
          <t>LNH0925ND01</t>
        </is>
      </c>
      <c r="H492" s="1" t="inlineStr">
        <is>
          <t>09AV Giao tiep QT (TS)</t>
        </is>
      </c>
      <c r="I492" s="1" t="n">
        <v>8415000</v>
      </c>
      <c r="J492" s="1" t="inlineStr">
        <is>
          <t>SACOMBANK IBFT Tran phuong quynh 25808600200 LNH0925ND01 0787510450 TAI SACOMBANK              HCM</t>
        </is>
      </c>
    </row>
    <row r="493">
      <c r="A493" s="1" t="inlineStr">
        <is>
          <t>26-Aug-25</t>
        </is>
      </c>
      <c r="B493" s="1" t="inlineStr">
        <is>
          <t>I60638</t>
        </is>
      </c>
      <c r="C493" s="1" t="inlineStr">
        <is>
          <t>25801100004</t>
        </is>
      </c>
      <c r="D493" s="1" t="inlineStr">
        <is>
          <t>Döông Gia</t>
        </is>
      </c>
      <c r="E493" s="1" t="inlineStr">
        <is>
          <t>Baûo</t>
        </is>
      </c>
      <c r="F493" s="1" t="inlineStr">
        <is>
          <t>24-Dec-06</t>
        </is>
      </c>
      <c r="G493" s="1" t="inlineStr">
        <is>
          <t>LNH0925ND01</t>
        </is>
      </c>
      <c r="H493" s="1" t="inlineStr">
        <is>
          <t>09AV Giao tiep QT (TS)</t>
        </is>
      </c>
      <c r="I493" s="1" t="n">
        <v>8415000</v>
      </c>
      <c r="J493" s="1" t="inlineStr">
        <is>
          <t>NGUYEN TRUNG NGHIA DUONG GIA BAO  2580110004  LNH0925N D01  0978219280 TAI VietinBank</t>
        </is>
      </c>
    </row>
    <row r="494">
      <c r="A494" s="1" t="inlineStr">
        <is>
          <t>26-Aug-25</t>
        </is>
      </c>
      <c r="B494" s="1" t="inlineStr">
        <is>
          <t>I60639</t>
        </is>
      </c>
      <c r="C494" s="1" t="inlineStr">
        <is>
          <t>25808100046</t>
        </is>
      </c>
      <c r="D494" s="1" t="inlineStr">
        <is>
          <t>Laâm Phuù</t>
        </is>
      </c>
      <c r="E494" s="1" t="inlineStr">
        <is>
          <t>Quí</t>
        </is>
      </c>
      <c r="F494" s="1" t="inlineStr">
        <is>
          <t>25-Jul-06</t>
        </is>
      </c>
      <c r="G494" s="1" t="inlineStr">
        <is>
          <t>LNH0925ND01</t>
        </is>
      </c>
      <c r="H494" s="1" t="inlineStr">
        <is>
          <t>09AV Giao tiep QT (TS)</t>
        </is>
      </c>
      <c r="I494" s="1" t="n">
        <v>8415000</v>
      </c>
      <c r="J494" s="1" t="inlineStr">
        <is>
          <t>TRAN THAO NGUYEN LAM PHU QUI-25808100046-LNH0925ND01 .0389347620-260825-14 39 52 069968 TAI Ngan hang a chau       IBT SMARLINK</t>
        </is>
      </c>
    </row>
    <row r="495">
      <c r="A495" s="1" t="inlineStr">
        <is>
          <t>26-Aug-25</t>
        </is>
      </c>
      <c r="B495" s="1" t="inlineStr">
        <is>
          <t>I60640</t>
        </is>
      </c>
      <c r="C495" s="1" t="inlineStr">
        <is>
          <t>25802800152</t>
        </is>
      </c>
      <c r="D495" s="1" t="inlineStr">
        <is>
          <t>Ñoã Thò Thanh</t>
        </is>
      </c>
      <c r="E495" s="1" t="inlineStr">
        <is>
          <t>Ngaân</t>
        </is>
      </c>
      <c r="F495" s="1" t="inlineStr">
        <is>
          <t>01-Sep-07</t>
        </is>
      </c>
      <c r="G495" s="1" t="inlineStr">
        <is>
          <t>LNH0925ND01</t>
        </is>
      </c>
      <c r="H495" s="1" t="inlineStr">
        <is>
          <t>09AV Giao tiep QT (TS)</t>
        </is>
      </c>
      <c r="I495" s="1" t="n">
        <v>8415000</v>
      </c>
      <c r="J495" s="1" t="inlineStr">
        <is>
          <t>DO THI THANH NGAN DO THI THANH NGAN 25802800152 LNH09 25ND01 0376396758 TAI IBT-NAMABANK             HANOI</t>
        </is>
      </c>
    </row>
    <row r="496">
      <c r="A496" s="1" t="inlineStr">
        <is>
          <t>26-Aug-25</t>
        </is>
      </c>
      <c r="B496" s="1" t="inlineStr">
        <is>
          <t>I60641</t>
        </is>
      </c>
      <c r="C496" s="1" t="inlineStr">
        <is>
          <t>25800500310</t>
        </is>
      </c>
      <c r="D496" s="1" t="inlineStr">
        <is>
          <t>Phan Gia</t>
        </is>
      </c>
      <c r="E496" s="1" t="inlineStr">
        <is>
          <t>Huy</t>
        </is>
      </c>
      <c r="F496" s="1" t="inlineStr">
        <is>
          <t>03-Jan-07</t>
        </is>
      </c>
      <c r="G496" s="1" t="inlineStr">
        <is>
          <t>LNH0925ND01</t>
        </is>
      </c>
      <c r="H496" s="1" t="inlineStr">
        <is>
          <t>09AV Giao tiep QT (TS)</t>
        </is>
      </c>
      <c r="I496" s="1" t="n">
        <v>8415000</v>
      </c>
      <c r="J496" s="1" t="inlineStr">
        <is>
          <t>NGUYEN TRUNG NGHIA PHAN GIA HUY  2500500104  LNH0925ND 01  0977155253 TAI VietinBank</t>
        </is>
      </c>
    </row>
    <row r="497">
      <c r="A497" s="1" t="inlineStr">
        <is>
          <t>26-Aug-25</t>
        </is>
      </c>
      <c r="B497" s="1" t="inlineStr">
        <is>
          <t>I60642</t>
        </is>
      </c>
      <c r="C497" s="1" t="inlineStr">
        <is>
          <t>25808600253</t>
        </is>
      </c>
      <c r="D497" s="1" t="inlineStr">
        <is>
          <t>Traàn Thò Kim</t>
        </is>
      </c>
      <c r="E497" s="1" t="inlineStr">
        <is>
          <t>Ngaân</t>
        </is>
      </c>
      <c r="F497" s="1" t="inlineStr">
        <is>
          <t>18-Nov-06</t>
        </is>
      </c>
      <c r="G497" s="1" t="inlineStr">
        <is>
          <t>LNH0925ND01</t>
        </is>
      </c>
      <c r="H497" s="1" t="inlineStr">
        <is>
          <t>09AV Giao tiep QT (TS)</t>
        </is>
      </c>
      <c r="I497" s="1" t="n">
        <v>8415000</v>
      </c>
      <c r="J497" s="1" t="inlineStr">
        <is>
          <t>TRAN THI KIEU TRAN THI KIM NGAN-2508600084-LNH092 5ND01-0967789092-260825-15 12 30 12 8379 TAI Ngan hang a chau       IBT SMARLINK</t>
        </is>
      </c>
    </row>
    <row r="498">
      <c r="A498" s="1" t="inlineStr">
        <is>
          <t>26-Aug-25</t>
        </is>
      </c>
      <c r="B498" s="1" t="inlineStr">
        <is>
          <t>I60643</t>
        </is>
      </c>
      <c r="C498" s="1" t="inlineStr">
        <is>
          <t>25802800402</t>
        </is>
      </c>
      <c r="D498" s="1" t="inlineStr">
        <is>
          <t>Nguyeãn Tuaán</t>
        </is>
      </c>
      <c r="E498" s="1" t="inlineStr">
        <is>
          <t>Anh</t>
        </is>
      </c>
      <c r="F498" s="1" t="inlineStr">
        <is>
          <t>13-Oct-07</t>
        </is>
      </c>
      <c r="G498" s="1" t="inlineStr">
        <is>
          <t>LNH0925ND01</t>
        </is>
      </c>
      <c r="H498" s="1" t="inlineStr">
        <is>
          <t>09AV Giao tiep QT (TS)</t>
        </is>
      </c>
      <c r="I498" s="1" t="n">
        <v>8415000</v>
      </c>
      <c r="J498" s="1" t="inlineStr">
        <is>
          <t>NGUYEN THI NHU QUYNH QR - Nguyen Tuan Anh 2502800090 TAI VietinBank</t>
        </is>
      </c>
    </row>
    <row r="499">
      <c r="A499" s="1" t="inlineStr">
        <is>
          <t>26-Aug-25</t>
        </is>
      </c>
      <c r="B499" s="1" t="inlineStr">
        <is>
          <t>I60644</t>
        </is>
      </c>
      <c r="C499" s="1" t="inlineStr">
        <is>
          <t>25806800047</t>
        </is>
      </c>
      <c r="D499" s="1" t="inlineStr">
        <is>
          <t>Hoàng Phöôùc</t>
        </is>
      </c>
      <c r="E499" s="1" t="inlineStr">
        <is>
          <t>Nghóa</t>
        </is>
      </c>
      <c r="F499" s="1" t="inlineStr">
        <is>
          <t>17-Nov-07</t>
        </is>
      </c>
      <c r="G499" s="1" t="inlineStr">
        <is>
          <t>LNH0925ND01</t>
        </is>
      </c>
      <c r="H499" s="1" t="inlineStr">
        <is>
          <t>09AV Giao tiep QT (TS)</t>
        </is>
      </c>
      <c r="I499" s="1" t="n">
        <v>8415000</v>
      </c>
      <c r="J499" s="1" t="inlineStr">
        <is>
          <t>MBBANK IBFT Hong Phuoc Nghia 25806800047 LNH092 5ND01 0816776994 TAI IBT-MB                   HANOI</t>
        </is>
      </c>
    </row>
    <row r="500">
      <c r="A500" s="1" t="inlineStr">
        <is>
          <t>26-Aug-25</t>
        </is>
      </c>
      <c r="B500" s="1" t="inlineStr">
        <is>
          <t>I60645</t>
        </is>
      </c>
      <c r="C500" s="1" t="inlineStr">
        <is>
          <t>25802800399</t>
        </is>
      </c>
      <c r="D500" s="1" t="inlineStr">
        <is>
          <t>Phaïm Thanh</t>
        </is>
      </c>
      <c r="E500" s="1" t="inlineStr">
        <is>
          <t>Sôn</t>
        </is>
      </c>
      <c r="F500" s="1" t="inlineStr">
        <is>
          <t>02-Jul-07</t>
        </is>
      </c>
      <c r="G500" s="1" t="inlineStr">
        <is>
          <t>LNH0925ND01</t>
        </is>
      </c>
      <c r="H500" s="1" t="inlineStr">
        <is>
          <t>09AV Giao tiep QT (TS)</t>
        </is>
      </c>
      <c r="I500" s="1" t="n">
        <v>8415000</v>
      </c>
      <c r="J500" s="1" t="inlineStr">
        <is>
          <t>VND-TGTT-PHAM HOANG TUAN Pham Thanh Son 25802800399 LNH0925N D01 0325433513 FT25238159796072 TAI TECHCOMBANK            HANOI</t>
        </is>
      </c>
    </row>
    <row r="501">
      <c r="A501" s="1" t="inlineStr">
        <is>
          <t>26-Aug-25</t>
        </is>
      </c>
      <c r="B501" s="1" t="inlineStr">
        <is>
          <t>I60646</t>
        </is>
      </c>
      <c r="C501" s="1" t="inlineStr">
        <is>
          <t>25802800140</t>
        </is>
      </c>
      <c r="D501" s="1" t="inlineStr">
        <is>
          <t>Giang Hoaøng Ñaïi</t>
        </is>
      </c>
      <c r="E501" s="1" t="inlineStr">
        <is>
          <t>Lôïi</t>
        </is>
      </c>
      <c r="F501" s="1" t="inlineStr">
        <is>
          <t>06-Apr-07</t>
        </is>
      </c>
      <c r="G501" s="1" t="inlineStr">
        <is>
          <t>LNH0925ND01</t>
        </is>
      </c>
      <c r="H501" s="1" t="inlineStr">
        <is>
          <t>09AV Giao tiep QT (TS)</t>
        </is>
      </c>
      <c r="I501" s="1" t="n">
        <v>8415000</v>
      </c>
      <c r="J501" s="1" t="inlineStr">
        <is>
          <t>GIANG HOANG DAI LOI QR - GIANG HOANG DAI LOI 2580280014 9 LNH0925ND01 0812014049 TAI VietinBank</t>
        </is>
      </c>
    </row>
    <row r="502">
      <c r="A502" s="1" t="inlineStr">
        <is>
          <t>26-Aug-25</t>
        </is>
      </c>
      <c r="B502" s="1" t="inlineStr">
        <is>
          <t>I60647</t>
        </is>
      </c>
      <c r="C502" s="1" t="inlineStr">
        <is>
          <t>25806400041</t>
        </is>
      </c>
      <c r="D502" s="1" t="inlineStr">
        <is>
          <t>Traàn Minh</t>
        </is>
      </c>
      <c r="E502" s="1" t="inlineStr">
        <is>
          <t>Löõ</t>
        </is>
      </c>
      <c r="F502" s="1" t="inlineStr">
        <is>
          <t>11-Oct-07</t>
        </is>
      </c>
      <c r="G502" s="1" t="inlineStr">
        <is>
          <t>LNH0925ND01</t>
        </is>
      </c>
      <c r="H502" s="1" t="inlineStr">
        <is>
          <t>09AV Giao tiep QT (TS)</t>
        </is>
      </c>
      <c r="I502" s="1" t="n">
        <v>8415000</v>
      </c>
      <c r="J502" s="1" t="inlineStr">
        <is>
          <t>TRAN MINH DUC QR - TRAN MINH LU 2506400015 LNH092 5ND01 0917775557 TAI VietinBank</t>
        </is>
      </c>
    </row>
    <row r="503">
      <c r="A503" s="1" t="inlineStr">
        <is>
          <t>26-Aug-25</t>
        </is>
      </c>
      <c r="B503" s="1" t="inlineStr">
        <is>
          <t>I60648</t>
        </is>
      </c>
      <c r="C503" s="1" t="inlineStr">
        <is>
          <t>25803800037</t>
        </is>
      </c>
      <c r="D503" s="1" t="inlineStr">
        <is>
          <t>Leâ Nguyeãn Ngoïc</t>
        </is>
      </c>
      <c r="E503" s="1" t="inlineStr">
        <is>
          <t>Ngaân</t>
        </is>
      </c>
      <c r="F503" s="1" t="inlineStr">
        <is>
          <t>15-Nov-07</t>
        </is>
      </c>
      <c r="G503" s="1" t="inlineStr">
        <is>
          <t>LNH0925ND01</t>
        </is>
      </c>
      <c r="H503" s="1" t="inlineStr">
        <is>
          <t>09AV Giao tiep QT (TS)</t>
        </is>
      </c>
      <c r="I503" s="1" t="n">
        <v>8415000</v>
      </c>
      <c r="J503" s="1" t="inlineStr">
        <is>
          <t>NGUYEN TRUNG NGHIA LE NGUYEN NGOC NGAN  25803800037  L NH0925ND01  0903900278 TAI VietinBank</t>
        </is>
      </c>
    </row>
    <row r="504">
      <c r="A504" s="1" t="inlineStr">
        <is>
          <t>26-Aug-25</t>
        </is>
      </c>
      <c r="B504" s="1" t="inlineStr">
        <is>
          <t>I60649</t>
        </is>
      </c>
      <c r="C504" s="1" t="inlineStr">
        <is>
          <t>25801900092</t>
        </is>
      </c>
      <c r="D504" s="1" t="inlineStr">
        <is>
          <t>Leâ Thò Thuùy</t>
        </is>
      </c>
      <c r="E504" s="1" t="inlineStr">
        <is>
          <t>Ngaân</t>
        </is>
      </c>
      <c r="F504" s="1" t="inlineStr">
        <is>
          <t>04-Sep-07</t>
        </is>
      </c>
      <c r="G504" s="1" t="inlineStr">
        <is>
          <t>LNH0925ND01</t>
        </is>
      </c>
      <c r="H504" s="1" t="inlineStr">
        <is>
          <t>09AV Giao tiep QT (TS)</t>
        </is>
      </c>
      <c r="I504" s="1" t="n">
        <v>8415000</v>
      </c>
      <c r="J504" s="1" t="inlineStr">
        <is>
          <t>LE THI THUY NGAN ABBank 0521043748045 LE THI THUY NG AN. MSSV 25801900092. LNH0925ND01. sdt 0337404251 TAI Agribank</t>
        </is>
      </c>
    </row>
    <row r="505">
      <c r="A505" s="1" t="inlineStr">
        <is>
          <t>26-Aug-25</t>
        </is>
      </c>
      <c r="B505" s="1" t="inlineStr">
        <is>
          <t>I60650</t>
        </is>
      </c>
      <c r="C505" s="1" t="inlineStr">
        <is>
          <t>25801300015</t>
        </is>
      </c>
      <c r="D505" s="1" t="inlineStr">
        <is>
          <t>Döông Thò Minh</t>
        </is>
      </c>
      <c r="E505" s="1" t="inlineStr">
        <is>
          <t>Loäc</t>
        </is>
      </c>
      <c r="F505" s="1" t="inlineStr">
        <is>
          <t>12-Jun-07</t>
        </is>
      </c>
      <c r="G505" s="1" t="inlineStr">
        <is>
          <t>LNH0925ND01</t>
        </is>
      </c>
      <c r="H505" s="1" t="inlineStr">
        <is>
          <t>09AV Giao tiep QT (TS)</t>
        </is>
      </c>
      <c r="I505" s="1" t="n">
        <v>8415000</v>
      </c>
      <c r="J505" s="1" t="inlineStr">
        <is>
          <t>TRAN THI THU TRANG DUONG THI MINH LOC 25801300015. LNH 0925ND01 . DT 0898250412 .LOP TOI 2 .4-6-260825-18 22 22 499741 TAI Ngan hang a chau       IBT SMARLINK</t>
        </is>
      </c>
    </row>
    <row r="506">
      <c r="A506" s="1" t="inlineStr">
        <is>
          <t>27-Aug-25</t>
        </is>
      </c>
      <c r="B506" s="1" t="inlineStr">
        <is>
          <t>I60662</t>
        </is>
      </c>
      <c r="C506" s="1" t="inlineStr">
        <is>
          <t>25801200012</t>
        </is>
      </c>
      <c r="D506" s="1" t="inlineStr">
        <is>
          <t>Höùa Nguyeãn Gia</t>
        </is>
      </c>
      <c r="E506" s="1" t="inlineStr">
        <is>
          <t>Haân</t>
        </is>
      </c>
      <c r="F506" s="1" t="inlineStr">
        <is>
          <t>08-Jan-07</t>
        </is>
      </c>
      <c r="G506" s="1" t="inlineStr">
        <is>
          <t>LNH0925ND01</t>
        </is>
      </c>
      <c r="H506" s="1" t="inlineStr">
        <is>
          <t>09AV Giao tiep QT (TS)</t>
        </is>
      </c>
      <c r="I506" s="1" t="n">
        <v>1000000</v>
      </c>
      <c r="J506" s="1" t="inlineStr">
        <is>
          <t>MBBANK IBFT HUA NGUYEN GIA HAN 25801200012 LNH0 925ND01 0943284343 TAI IBT-MB                   HANOI</t>
        </is>
      </c>
    </row>
    <row r="507">
      <c r="A507" s="1" t="inlineStr">
        <is>
          <t>27-Aug-25</t>
        </is>
      </c>
      <c r="B507" s="1" t="inlineStr">
        <is>
          <t>I60663</t>
        </is>
      </c>
      <c r="C507" s="39" t="inlineStr">
        <is>
          <t>25806600141</t>
        </is>
      </c>
      <c r="D507" s="1" t="inlineStr">
        <is>
          <t>Traàn Thò Maãn</t>
        </is>
      </c>
      <c r="E507" s="1" t="inlineStr">
        <is>
          <t>Nghi</t>
        </is>
      </c>
      <c r="F507" s="1" t="inlineStr">
        <is>
          <t>06-Jan-07</t>
        </is>
      </c>
      <c r="G507" s="1" t="inlineStr">
        <is>
          <t>LNH0925ND01</t>
        </is>
      </c>
      <c r="H507" s="1" t="inlineStr">
        <is>
          <t>09AV Giao tiep QT (TS)</t>
        </is>
      </c>
      <c r="I507" s="1" t="n">
        <v>1000000</v>
      </c>
      <c r="J507" s="1" t="inlineStr">
        <is>
          <t>MBBANK IBFT TRAN THI MAN NGHI 25806600141 LNH09 25ND01 0762832069 TAI IBT-MB                   HANOI</t>
        </is>
      </c>
    </row>
    <row r="508">
      <c r="A508" s="1" t="inlineStr">
        <is>
          <t>27-Aug-25</t>
        </is>
      </c>
      <c r="B508" s="1" t="inlineStr">
        <is>
          <t>I60664</t>
        </is>
      </c>
      <c r="C508" s="1" t="inlineStr">
        <is>
          <t>25802300057</t>
        </is>
      </c>
      <c r="D508" s="1" t="inlineStr">
        <is>
          <t>Nguyeãn Vaên</t>
        </is>
      </c>
      <c r="E508" s="1" t="inlineStr">
        <is>
          <t>Ñònh</t>
        </is>
      </c>
      <c r="F508" s="1" t="inlineStr">
        <is>
          <t>08-Apr-07</t>
        </is>
      </c>
      <c r="G508" s="1" t="inlineStr">
        <is>
          <t>LNH0925ND01</t>
        </is>
      </c>
      <c r="H508" s="1" t="inlineStr">
        <is>
          <t>09AV Giao tiep QT (TS)</t>
        </is>
      </c>
      <c r="I508" s="1" t="n">
        <v>1000000</v>
      </c>
      <c r="J508" s="1" t="inlineStr">
        <is>
          <t>NGUYEN VAN DINH NGUYEN VAN DINH 25802300057 LNH0925 ND01    0362584509 TAI IBT BIDV                 HANOI</t>
        </is>
      </c>
    </row>
    <row r="509">
      <c r="A509" s="1" t="inlineStr">
        <is>
          <t>27-Aug-25</t>
        </is>
      </c>
      <c r="B509" s="1" t="inlineStr">
        <is>
          <t>I60665</t>
        </is>
      </c>
      <c r="C509" s="1" t="inlineStr">
        <is>
          <t>25808600087</t>
        </is>
      </c>
      <c r="D509" s="1" t="inlineStr">
        <is>
          <t>Voõ Thò Tuyeát</t>
        </is>
      </c>
      <c r="E509" s="1" t="inlineStr">
        <is>
          <t>Nhö</t>
        </is>
      </c>
      <c r="F509" s="1" t="inlineStr">
        <is>
          <t>15-Nov-07</t>
        </is>
      </c>
      <c r="G509" s="1" t="inlineStr">
        <is>
          <t>LNH0925ND01</t>
        </is>
      </c>
      <c r="H509" s="1" t="inlineStr">
        <is>
          <t>09AV Giao tiep QT (TS)</t>
        </is>
      </c>
      <c r="I509" s="1" t="n">
        <v>1000000</v>
      </c>
      <c r="J509" s="1" t="inlineStr">
        <is>
          <t>VO VAN TAI vo thi tuyet nhu 25808600087 LNH092 5ND01 0337630237 TAI IBT BIDV                 HANOI</t>
        </is>
      </c>
    </row>
    <row r="510">
      <c r="A510" s="1" t="inlineStr">
        <is>
          <t>27-Aug-25</t>
        </is>
      </c>
      <c r="B510" s="1" t="inlineStr">
        <is>
          <t>I60666</t>
        </is>
      </c>
      <c r="C510" s="1" t="inlineStr">
        <is>
          <t>25803000317</t>
        </is>
      </c>
      <c r="D510" s="1" t="inlineStr">
        <is>
          <t>Traàn Gia</t>
        </is>
      </c>
      <c r="E510" s="1" t="inlineStr">
        <is>
          <t>Long</t>
        </is>
      </c>
      <c r="F510" s="1" t="inlineStr">
        <is>
          <t>15-Dec-07</t>
        </is>
      </c>
      <c r="G510" s="1" t="inlineStr">
        <is>
          <t>LNH0925ND01</t>
        </is>
      </c>
      <c r="H510" s="1" t="inlineStr">
        <is>
          <t>09AV Giao tiep QT (TS)</t>
        </is>
      </c>
      <c r="I510" s="1" t="n">
        <v>1000000</v>
      </c>
      <c r="J510" s="1" t="inlineStr">
        <is>
          <t>NGUYEN TRUNG NGHIA TRAN GIA LONG  25803000317  LNH0925 ND01  0339435440 TAI VietinBank</t>
        </is>
      </c>
    </row>
    <row r="511">
      <c r="A511" s="1" t="inlineStr">
        <is>
          <t>27-Aug-25</t>
        </is>
      </c>
      <c r="B511" s="1" t="inlineStr">
        <is>
          <t>I60667</t>
        </is>
      </c>
      <c r="C511" s="1" t="inlineStr">
        <is>
          <t>25802800141</t>
        </is>
      </c>
      <c r="D511" s="1" t="inlineStr">
        <is>
          <t>Nguyeãn Ñöùc</t>
        </is>
      </c>
      <c r="E511" s="1" t="inlineStr">
        <is>
          <t>Lôïi</t>
        </is>
      </c>
      <c r="F511" s="1" t="inlineStr">
        <is>
          <t>17-Apr-07</t>
        </is>
      </c>
      <c r="G511" s="1" t="inlineStr">
        <is>
          <t>LNH0925ND01</t>
        </is>
      </c>
      <c r="H511" s="1" t="inlineStr">
        <is>
          <t>09AV Giao tiep QT (TS)</t>
        </is>
      </c>
      <c r="I511" s="1" t="n">
        <v>1000000</v>
      </c>
      <c r="J511" s="1" t="inlineStr">
        <is>
          <t>NGUYEN TRUNG NGHIA NGUYEN DUC LOI  25802800141  LNH092 5ND01  0918209400 TAI VietinBank</t>
        </is>
      </c>
    </row>
    <row r="512">
      <c r="A512" s="1" t="inlineStr">
        <is>
          <t>27-Aug-25</t>
        </is>
      </c>
      <c r="B512" s="1" t="inlineStr">
        <is>
          <t>I60668</t>
        </is>
      </c>
      <c r="C512" s="1" t="inlineStr">
        <is>
          <t>25808700080</t>
        </is>
      </c>
      <c r="D512" s="1" t="inlineStr">
        <is>
          <t>Traàn Hoàng</t>
        </is>
      </c>
      <c r="E512" s="1" t="inlineStr">
        <is>
          <t>Phuùc</t>
        </is>
      </c>
      <c r="F512" s="1" t="inlineStr">
        <is>
          <t>17-Aug-07</t>
        </is>
      </c>
      <c r="G512" s="1" t="inlineStr">
        <is>
          <t>LNH0925ND01</t>
        </is>
      </c>
      <c r="H512" s="1" t="inlineStr">
        <is>
          <t>09AV Giao tiep QT (TS)</t>
        </is>
      </c>
      <c r="I512" s="1" t="n">
        <v>1000000</v>
      </c>
      <c r="J512" s="1" t="inlineStr">
        <is>
          <t>NGUYEN THI LANH QR - tran hong phuc  25808700080 LN H0925ND01 0793450807 TAI VietinBank</t>
        </is>
      </c>
    </row>
    <row r="513">
      <c r="A513" s="1" t="inlineStr">
        <is>
          <t>27-Aug-25</t>
        </is>
      </c>
      <c r="B513" s="1" t="inlineStr">
        <is>
          <t>I60669</t>
        </is>
      </c>
      <c r="C513" s="1" t="inlineStr">
        <is>
          <t>25800500133</t>
        </is>
      </c>
      <c r="D513" s="1" t="inlineStr">
        <is>
          <t>Nguyeãn Taán</t>
        </is>
      </c>
      <c r="E513" s="1" t="inlineStr">
        <is>
          <t>Phaùt</t>
        </is>
      </c>
      <c r="F513" s="1" t="inlineStr">
        <is>
          <t>25-Dec-07</t>
        </is>
      </c>
      <c r="G513" s="1" t="inlineStr">
        <is>
          <t>LNH0925ND01</t>
        </is>
      </c>
      <c r="H513" s="1" t="inlineStr">
        <is>
          <t>09AV Giao tiep QT (TS)</t>
        </is>
      </c>
      <c r="I513" s="1" t="n">
        <v>1000000</v>
      </c>
      <c r="J513" s="1" t="inlineStr">
        <is>
          <t>SACOMBANK IBFT Nguyen Tan Phat MSSV 258005001 33 LNH0925ND01 0923595405 TAI SACOMBANK              HCM</t>
        </is>
      </c>
    </row>
    <row r="514">
      <c r="A514" s="1" t="inlineStr">
        <is>
          <t>27-Aug-25</t>
        </is>
      </c>
      <c r="B514" s="1" t="inlineStr">
        <is>
          <t>I60670</t>
        </is>
      </c>
      <c r="C514" s="1" t="inlineStr">
        <is>
          <t>25800500113</t>
        </is>
      </c>
      <c r="D514" s="1" t="inlineStr">
        <is>
          <t>Nguyeãn Chí</t>
        </is>
      </c>
      <c r="E514" s="1" t="inlineStr">
        <is>
          <t>Nam</t>
        </is>
      </c>
      <c r="F514" s="1" t="inlineStr">
        <is>
          <t>24-Sep-07</t>
        </is>
      </c>
      <c r="G514" s="1" t="inlineStr">
        <is>
          <t>LNH0925ND01</t>
        </is>
      </c>
      <c r="H514" s="1" t="inlineStr">
        <is>
          <t>09AV Giao tiep QT (TS)</t>
        </is>
      </c>
      <c r="I514" s="1" t="n">
        <v>1000000</v>
      </c>
      <c r="J514" s="1" t="inlineStr">
        <is>
          <t>TRAN THI THANH MAI QR - Nguyen Chi Nam 25800500113 LNH 0925ND01 0984417724 TAI VietinBank</t>
        </is>
      </c>
    </row>
    <row r="515">
      <c r="A515" s="1" t="inlineStr">
        <is>
          <t>27-Aug-25</t>
        </is>
      </c>
      <c r="B515" s="1" t="inlineStr">
        <is>
          <t>I60671</t>
        </is>
      </c>
      <c r="C515" s="1" t="inlineStr">
        <is>
          <t>25801200005</t>
        </is>
      </c>
      <c r="D515" s="1" t="inlineStr">
        <is>
          <t>Nguyeãn Theá</t>
        </is>
      </c>
      <c r="E515" s="1" t="inlineStr">
        <is>
          <t>Baûo</t>
        </is>
      </c>
      <c r="F515" s="1" t="inlineStr">
        <is>
          <t>10-Apr-07</t>
        </is>
      </c>
      <c r="G515" s="1" t="inlineStr">
        <is>
          <t>LNH0925ND01</t>
        </is>
      </c>
      <c r="H515" s="1" t="inlineStr">
        <is>
          <t>09AV Giao tiep QT (TS)</t>
        </is>
      </c>
      <c r="I515" s="1" t="n">
        <v>1000000</v>
      </c>
      <c r="J515" s="1" t="inlineStr">
        <is>
          <t>TRAN THI THANH MAI QR - Nguyen The Bao 25801200005 LNH 0925ND01 0395950474 TAI VietinBank</t>
        </is>
      </c>
    </row>
    <row r="516">
      <c r="A516" s="1" t="inlineStr">
        <is>
          <t>27-Aug-25</t>
        </is>
      </c>
      <c r="B516" s="1" t="inlineStr">
        <is>
          <t>I60672</t>
        </is>
      </c>
      <c r="C516" s="1" t="inlineStr">
        <is>
          <t>25808500024</t>
        </is>
      </c>
      <c r="D516" s="1" t="inlineStr">
        <is>
          <t>Ñinh Nguyeãn Gia</t>
        </is>
      </c>
      <c r="E516" s="1" t="inlineStr">
        <is>
          <t>Baûo</t>
        </is>
      </c>
      <c r="F516" s="1" t="inlineStr">
        <is>
          <t>07-Dec-06</t>
        </is>
      </c>
      <c r="G516" s="1" t="inlineStr">
        <is>
          <t>LNH0925ND01</t>
        </is>
      </c>
      <c r="H516" s="1" t="inlineStr">
        <is>
          <t>09AV Giao tiep QT (TS)</t>
        </is>
      </c>
      <c r="I516" s="1" t="n">
        <v>1000000</v>
      </c>
      <c r="J516" s="1" t="inlineStr">
        <is>
          <t>NGUYEN TRUNG NGHIA DINH NGUYEN GIA BAO  25808500024  L NH0925ND01  0795794789 TAI VietinBank</t>
        </is>
      </c>
    </row>
    <row r="517">
      <c r="A517" s="1" t="inlineStr">
        <is>
          <t>27-Aug-25</t>
        </is>
      </c>
      <c r="B517" s="1" t="inlineStr">
        <is>
          <t>I60673</t>
        </is>
      </c>
      <c r="C517" s="1" t="inlineStr">
        <is>
          <t>25807700017</t>
        </is>
      </c>
      <c r="D517" s="1" t="inlineStr">
        <is>
          <t>Haø Quoác</t>
        </is>
      </c>
      <c r="E517" s="1" t="inlineStr">
        <is>
          <t>Duõng</t>
        </is>
      </c>
      <c r="F517" s="1" t="inlineStr">
        <is>
          <t>18-Jan-07</t>
        </is>
      </c>
      <c r="G517" s="1" t="inlineStr">
        <is>
          <t>LNH0925ND01</t>
        </is>
      </c>
      <c r="H517" s="1" t="inlineStr">
        <is>
          <t>09AV Giao tiep QT (TS)</t>
        </is>
      </c>
      <c r="I517" s="1" t="n">
        <v>1000000</v>
      </c>
      <c r="J517" s="1" t="inlineStr">
        <is>
          <t>TRAN THI THANH MAI QR - Ha Quoc Dung 25807700017 LNH09 25ND01 0332459330 TAI VietinBank</t>
        </is>
      </c>
    </row>
    <row r="518">
      <c r="A518" s="1" t="inlineStr">
        <is>
          <t>27-Aug-25</t>
        </is>
      </c>
      <c r="B518" s="1" t="inlineStr">
        <is>
          <t>I60674</t>
        </is>
      </c>
      <c r="C518" s="1" t="inlineStr">
        <is>
          <t>25808600180</t>
        </is>
      </c>
      <c r="D518" s="1" t="inlineStr">
        <is>
          <t>Nguyeãn Noâng Khaùnh</t>
        </is>
      </c>
      <c r="E518" s="1" t="inlineStr">
        <is>
          <t>Linh</t>
        </is>
      </c>
      <c r="F518" s="1" t="inlineStr">
        <is>
          <t>21-Aug-07</t>
        </is>
      </c>
      <c r="G518" s="1" t="inlineStr">
        <is>
          <t>LNH0925ND01</t>
        </is>
      </c>
      <c r="H518" s="1" t="inlineStr">
        <is>
          <t>09AV Giao tiep QT (TS)</t>
        </is>
      </c>
      <c r="I518" s="1" t="n">
        <v>1000000</v>
      </c>
      <c r="J518" s="1" t="inlineStr">
        <is>
          <t>LE THI LUONG ABBank 0521043748045 Nguyen Nong Kh anh Linh 25808600180 LNH0925 ND01 0 385099538 TAI Agribank</t>
        </is>
      </c>
    </row>
    <row r="519">
      <c r="A519" s="1" t="inlineStr">
        <is>
          <t>27-Aug-25</t>
        </is>
      </c>
      <c r="B519" s="1" t="inlineStr">
        <is>
          <t>I60675</t>
        </is>
      </c>
      <c r="C519" s="1" t="inlineStr">
        <is>
          <t>25802300142</t>
        </is>
      </c>
      <c r="D519" s="1" t="inlineStr">
        <is>
          <t>Ñaëng Thò Khaùnh</t>
        </is>
      </c>
      <c r="E519" s="1" t="inlineStr">
        <is>
          <t>Ly</t>
        </is>
      </c>
      <c r="F519" s="1" t="inlineStr">
        <is>
          <t>22-Jun-07</t>
        </is>
      </c>
      <c r="G519" s="1" t="inlineStr">
        <is>
          <t>LNH0925ND01</t>
        </is>
      </c>
      <c r="H519" s="1" t="inlineStr">
        <is>
          <t>09AV Giao tiep QT (TS)</t>
        </is>
      </c>
      <c r="I519" s="1" t="n">
        <v>1000000</v>
      </c>
      <c r="J519" s="1" t="inlineStr">
        <is>
          <t>MBBANK IBFT Dang Thi Khanh Ly  25802300142 LNH0 925ND01 0966624670 TAI IBT-MB                   HANOI</t>
        </is>
      </c>
    </row>
    <row r="520">
      <c r="A520" s="1" t="inlineStr">
        <is>
          <t>27-Aug-25</t>
        </is>
      </c>
      <c r="B520" s="1" t="inlineStr">
        <is>
          <t>I60676</t>
        </is>
      </c>
      <c r="C520" s="1" t="inlineStr">
        <is>
          <t>25808300103</t>
        </is>
      </c>
      <c r="D520" s="1" t="inlineStr">
        <is>
          <t>Leâ Thò Thuyø</t>
        </is>
      </c>
      <c r="E520" s="1" t="inlineStr">
        <is>
          <t>Dòu</t>
        </is>
      </c>
      <c r="F520" s="1" t="inlineStr">
        <is>
          <t>25-Nov-07</t>
        </is>
      </c>
      <c r="G520" s="1" t="inlineStr">
        <is>
          <t>LNH0925ND01</t>
        </is>
      </c>
      <c r="H520" s="1" t="inlineStr">
        <is>
          <t>09AV Giao tiep QT (TS)</t>
        </is>
      </c>
      <c r="I520" s="1" t="n">
        <v>1000000</v>
      </c>
      <c r="J520" s="1" t="inlineStr">
        <is>
          <t>CONG TY CP DICH VU DI DONG TRUC TUY EN 98834201062 0357135773 Le Thi Thuy Diu 25808300103 LNH0925ND01 035846 TAI IBT BIDV                 HANOI</t>
        </is>
      </c>
    </row>
    <row r="521">
      <c r="A521" s="1" t="inlineStr">
        <is>
          <t>27-Aug-25</t>
        </is>
      </c>
      <c r="B521" s="1" t="inlineStr">
        <is>
          <t>I60677</t>
        </is>
      </c>
      <c r="C521" s="1" t="inlineStr">
        <is>
          <t>25808600125</t>
        </is>
      </c>
      <c r="D521" s="1" t="inlineStr">
        <is>
          <t>Nguyeãn Thanh</t>
        </is>
      </c>
      <c r="E521" s="1" t="inlineStr">
        <is>
          <t>Tieàn</t>
        </is>
      </c>
      <c r="F521" s="1" t="inlineStr">
        <is>
          <t>01-Jun-07</t>
        </is>
      </c>
      <c r="G521" s="1" t="inlineStr">
        <is>
          <t>LNH0925ND01</t>
        </is>
      </c>
      <c r="H521" s="1" t="inlineStr">
        <is>
          <t>09AV Giao tiep QT (TS)</t>
        </is>
      </c>
      <c r="I521" s="1" t="n">
        <v>1000000</v>
      </c>
      <c r="J521" s="1" t="inlineStr">
        <is>
          <t>SACOMBANK IBFT NGUYEN THANH TIEN 25808600125 LNH0925ND01 0867482947 TAI SACOMBANK              HCM</t>
        </is>
      </c>
    </row>
    <row r="522">
      <c r="A522" s="1" t="inlineStr">
        <is>
          <t>27-Aug-25</t>
        </is>
      </c>
      <c r="B522" s="1" t="inlineStr">
        <is>
          <t>I60678</t>
        </is>
      </c>
      <c r="C522" s="1" t="inlineStr">
        <is>
          <t>25808600121</t>
        </is>
      </c>
      <c r="D522" s="1" t="inlineStr">
        <is>
          <t>Voõ Anh</t>
        </is>
      </c>
      <c r="E522" s="1" t="inlineStr">
        <is>
          <t>Thö</t>
        </is>
      </c>
      <c r="F522" s="1" t="inlineStr">
        <is>
          <t>03-Jul-07</t>
        </is>
      </c>
      <c r="G522" s="1" t="inlineStr">
        <is>
          <t>LNH0925ND01</t>
        </is>
      </c>
      <c r="H522" s="1" t="inlineStr">
        <is>
          <t>09AV Giao tiep QT (TS)</t>
        </is>
      </c>
      <c r="I522" s="1" t="n">
        <v>1000000</v>
      </c>
      <c r="J522" s="1" t="inlineStr">
        <is>
          <t>TRAN THI THANH MAI QR - Vo Anh Thu 25808600121 LNH0925 ND01 0912500785 TAI VietinBank</t>
        </is>
      </c>
    </row>
    <row r="523">
      <c r="A523" s="1" t="inlineStr">
        <is>
          <t>27-Aug-25</t>
        </is>
      </c>
      <c r="B523" s="1" t="inlineStr">
        <is>
          <t>I60679</t>
        </is>
      </c>
      <c r="C523" s="1" t="inlineStr">
        <is>
          <t>25805900060</t>
        </is>
      </c>
      <c r="D523" s="1" t="inlineStr">
        <is>
          <t>Nguyeãn Cöûu Minh</t>
        </is>
      </c>
      <c r="E523" s="1" t="inlineStr">
        <is>
          <t>Trí</t>
        </is>
      </c>
      <c r="F523" s="1" t="inlineStr">
        <is>
          <t>20-May-07</t>
        </is>
      </c>
      <c r="G523" s="1" t="inlineStr">
        <is>
          <t>LNH0925ND01</t>
        </is>
      </c>
      <c r="H523" s="1" t="inlineStr">
        <is>
          <t>09AV Giao tiep QT (TS)</t>
        </is>
      </c>
      <c r="I523" s="1" t="n">
        <v>1000000</v>
      </c>
      <c r="J523" s="1" t="inlineStr">
        <is>
          <t>NGUYEN TRUNG NGHIA NGUYEN CUU MINH TRI  25805900060  L NH0925ND01  0899336322 TAI VietinBank</t>
        </is>
      </c>
    </row>
    <row r="524">
      <c r="A524" s="1" t="inlineStr">
        <is>
          <t>27-Aug-25</t>
        </is>
      </c>
      <c r="B524" s="1" t="inlineStr">
        <is>
          <t>I60680</t>
        </is>
      </c>
      <c r="C524" s="1" t="inlineStr">
        <is>
          <t>25820200013</t>
        </is>
      </c>
      <c r="D524" s="1" t="inlineStr">
        <is>
          <t>Maõ Löông Haûi</t>
        </is>
      </c>
      <c r="E524" s="1" t="inlineStr">
        <is>
          <t>Ñaêng</t>
        </is>
      </c>
      <c r="F524" s="1" t="inlineStr">
        <is>
          <t>01-Jun-07</t>
        </is>
      </c>
      <c r="G524" s="1" t="inlineStr">
        <is>
          <t>LNH0925ND01</t>
        </is>
      </c>
      <c r="H524" s="1" t="inlineStr">
        <is>
          <t>09AV Giao tiep QT (TS)</t>
        </is>
      </c>
      <c r="I524" s="1" t="n">
        <v>1000000</v>
      </c>
      <c r="J524" s="1" t="inlineStr">
        <is>
          <t>LE THI LOAN ABBank 0521043748045 Ma Luong Hai D ang - maSV 25820200013- ma dong tie n LNH 0925ND01 TAI Agribank</t>
        </is>
      </c>
    </row>
    <row r="525">
      <c r="A525" s="1" t="inlineStr">
        <is>
          <t>27-Aug-25</t>
        </is>
      </c>
      <c r="B525" s="1" t="inlineStr">
        <is>
          <t>I60681</t>
        </is>
      </c>
      <c r="C525" s="1" t="inlineStr">
        <is>
          <t>25808600258</t>
        </is>
      </c>
      <c r="D525" s="1" t="inlineStr">
        <is>
          <t>Nguyeãn Ngoïc Tuù</t>
        </is>
      </c>
      <c r="E525" s="1" t="inlineStr">
        <is>
          <t>Nhö</t>
        </is>
      </c>
      <c r="F525" s="1" t="inlineStr">
        <is>
          <t>12-Aug-07</t>
        </is>
      </c>
      <c r="G525" s="1" t="inlineStr">
        <is>
          <t>LNH0925ND01</t>
        </is>
      </c>
      <c r="H525" s="1" t="inlineStr">
        <is>
          <t>09AV Giao tiep QT (TS)</t>
        </is>
      </c>
      <c r="I525" s="1" t="n">
        <v>1000000</v>
      </c>
      <c r="J525" s="1" t="inlineStr">
        <is>
          <t>MBBANK IBFT Nguyen Ngoc Tu Nhu 2508600087 LNH09 25ND01 0394498079 TAI IBT-MB                   HANOI</t>
        </is>
      </c>
    </row>
    <row r="526">
      <c r="A526" s="1" t="inlineStr">
        <is>
          <t>27-Aug-25</t>
        </is>
      </c>
      <c r="B526" s="1" t="inlineStr">
        <is>
          <t>I60682</t>
        </is>
      </c>
      <c r="C526" s="1" t="inlineStr">
        <is>
          <t>25802800092</t>
        </is>
      </c>
      <c r="D526" s="1" t="inlineStr">
        <is>
          <t>Nguyeãn Quoác</t>
        </is>
      </c>
      <c r="E526" s="1" t="inlineStr">
        <is>
          <t>Huy</t>
        </is>
      </c>
      <c r="F526" s="1" t="inlineStr">
        <is>
          <t>14-Oct-07</t>
        </is>
      </c>
      <c r="G526" s="1" t="inlineStr">
        <is>
          <t>LNH0925ND01</t>
        </is>
      </c>
      <c r="H526" s="1" t="inlineStr">
        <is>
          <t>09AV Giao tiep QT (TS)</t>
        </is>
      </c>
      <c r="I526" s="1" t="n">
        <v>1000000</v>
      </c>
      <c r="J526" s="1" t="inlineStr">
        <is>
          <t>NGUYEN TRUNG NGHIA NGUYEN QUOC HUY  25802800092  LNH09 25ND01  0852513749 TAI VietinBank</t>
        </is>
      </c>
    </row>
    <row r="527">
      <c r="A527" s="1" t="inlineStr">
        <is>
          <t>27-Aug-25</t>
        </is>
      </c>
      <c r="B527" s="1" t="inlineStr">
        <is>
          <t>I60683</t>
        </is>
      </c>
      <c r="C527" s="1" t="inlineStr">
        <is>
          <t>25802600133</t>
        </is>
      </c>
      <c r="D527" s="1" t="inlineStr">
        <is>
          <t>Nguyeãn Hoaøng</t>
        </is>
      </c>
      <c r="E527" s="1" t="inlineStr">
        <is>
          <t>Uyeân</t>
        </is>
      </c>
      <c r="F527" s="1" t="inlineStr">
        <is>
          <t>28-Oct-07</t>
        </is>
      </c>
      <c r="G527" s="1" t="inlineStr">
        <is>
          <t>LNH0925ND01</t>
        </is>
      </c>
      <c r="H527" s="1" t="inlineStr">
        <is>
          <t>09AV Giao tiep QT (TS)</t>
        </is>
      </c>
      <c r="I527" s="1" t="n">
        <v>1000000</v>
      </c>
      <c r="J527" s="1" t="inlineStr">
        <is>
          <t>NGUYEN TRUNG NGHIA NGUYEN HOANG UYEN  25802600133  LNH 0925ND01  03553306544 TAI VietinBank</t>
        </is>
      </c>
    </row>
    <row r="528">
      <c r="A528" s="1" t="inlineStr">
        <is>
          <t>27-Aug-25</t>
        </is>
      </c>
      <c r="B528" s="1" t="inlineStr">
        <is>
          <t>I60684</t>
        </is>
      </c>
      <c r="C528" s="1" t="inlineStr">
        <is>
          <t>25806000026</t>
        </is>
      </c>
      <c r="D528" s="1" t="inlineStr">
        <is>
          <t>Phaïm Vaên Vónh</t>
        </is>
      </c>
      <c r="E528" s="1" t="inlineStr">
        <is>
          <t>Phuùc</t>
        </is>
      </c>
      <c r="F528" s="1" t="inlineStr">
        <is>
          <t>22-Apr-07</t>
        </is>
      </c>
      <c r="G528" s="1" t="inlineStr">
        <is>
          <t>LNH0925ND01</t>
        </is>
      </c>
      <c r="H528" s="1" t="inlineStr">
        <is>
          <t>09AV Giao tiep QT (TS)</t>
        </is>
      </c>
      <c r="I528" s="1" t="n">
        <v>1000000</v>
      </c>
      <c r="J528" s="1" t="inlineStr">
        <is>
          <t>PHAM VAN HONG MBVCB.10695461983.642086.Pham Van V inh Phuc 25806000026 LNH0925ND01 03 77917638.CT tu 0281000584799 PHAM V AN HONG toi 0521043748045 HUTECH tai ABBANK TAI Vietcombank</t>
        </is>
      </c>
    </row>
    <row r="529">
      <c r="A529" s="1" t="inlineStr">
        <is>
          <t>27-Aug-25</t>
        </is>
      </c>
      <c r="B529" s="1" t="inlineStr">
        <is>
          <t>I60685</t>
        </is>
      </c>
      <c r="C529" s="1" t="inlineStr">
        <is>
          <t>25802800035</t>
        </is>
      </c>
      <c r="D529" s="1" t="inlineStr">
        <is>
          <t>Nguyeãn Chuùc</t>
        </is>
      </c>
      <c r="E529" s="1" t="inlineStr">
        <is>
          <t>Duyeân</t>
        </is>
      </c>
      <c r="F529" s="1" t="inlineStr">
        <is>
          <t>27-Aug-07</t>
        </is>
      </c>
      <c r="G529" s="1" t="inlineStr">
        <is>
          <t>LNH0925ND01</t>
        </is>
      </c>
      <c r="H529" s="1" t="inlineStr">
        <is>
          <t>09AV Giao tiep QT (TS)</t>
        </is>
      </c>
      <c r="I529" s="1" t="n">
        <v>0</v>
      </c>
      <c r="J529" s="1" t="inlineStr">
        <is>
          <t>NGUYEN TRUNG NGHIA NGUYEN CHUC DUYEN  25802800035 LNH0 925ND01  0353475174 TAI VietinBank</t>
        </is>
      </c>
    </row>
    <row r="530">
      <c r="A530" s="1" t="inlineStr">
        <is>
          <t>27-Aug-25</t>
        </is>
      </c>
      <c r="B530" s="1" t="inlineStr">
        <is>
          <t>I60686</t>
        </is>
      </c>
      <c r="C530" s="1" t="inlineStr">
        <is>
          <t>25800400012</t>
        </is>
      </c>
      <c r="D530" s="1" t="inlineStr">
        <is>
          <t>Nguyeãn Gia</t>
        </is>
      </c>
      <c r="E530" s="1" t="inlineStr">
        <is>
          <t>Baûo</t>
        </is>
      </c>
      <c r="F530" s="1" t="inlineStr">
        <is>
          <t>12-Dec-07</t>
        </is>
      </c>
      <c r="G530" s="1" t="inlineStr">
        <is>
          <t>LNH0925ND01</t>
        </is>
      </c>
      <c r="H530" s="1" t="inlineStr">
        <is>
          <t>09AV Giao tiep QT (TS)</t>
        </is>
      </c>
      <c r="I530" s="1" t="n">
        <v>1000000</v>
      </c>
      <c r="J530" s="1" t="inlineStr">
        <is>
          <t>TRAN THI THANH MAI QR - Nguyen Gia Bao 25800400012 LNH 0925ND01 0355598193 TAI VietinBank</t>
        </is>
      </c>
    </row>
    <row r="531">
      <c r="A531" s="1" t="inlineStr">
        <is>
          <t>27-Aug-25</t>
        </is>
      </c>
      <c r="B531" s="1" t="inlineStr">
        <is>
          <t>I60687</t>
        </is>
      </c>
      <c r="C531" s="1" t="inlineStr">
        <is>
          <t>25801200009</t>
        </is>
      </c>
      <c r="D531" s="1" t="inlineStr">
        <is>
          <t>Leâ Troïng</t>
        </is>
      </c>
      <c r="E531" s="1" t="inlineStr">
        <is>
          <t>Ñaïi</t>
        </is>
      </c>
      <c r="F531" s="1" t="inlineStr">
        <is>
          <t>20-Dec-07</t>
        </is>
      </c>
      <c r="G531" s="1" t="inlineStr">
        <is>
          <t>LNH0925ND01</t>
        </is>
      </c>
      <c r="H531" s="1" t="inlineStr">
        <is>
          <t>09AV Giao tiep QT (TS)</t>
        </is>
      </c>
      <c r="I531" s="1" t="n">
        <v>1000000</v>
      </c>
      <c r="J531" s="1" t="inlineStr">
        <is>
          <t>LE TRONG GIAP LeTrongDai 25801200009 LNH0925ND01 0378053643 TAI IBT EIB                  HCMC</t>
        </is>
      </c>
    </row>
    <row r="532">
      <c r="A532" s="1" t="inlineStr">
        <is>
          <t>27-Aug-25</t>
        </is>
      </c>
      <c r="B532" s="1" t="inlineStr">
        <is>
          <t>I60688</t>
        </is>
      </c>
      <c r="C532" s="1" t="inlineStr">
        <is>
          <t>25807700079</t>
        </is>
      </c>
      <c r="D532" s="1" t="inlineStr">
        <is>
          <t>Leâ Thanh</t>
        </is>
      </c>
      <c r="E532" s="1" t="inlineStr">
        <is>
          <t>Töôøng</t>
        </is>
      </c>
      <c r="F532" s="1" t="inlineStr">
        <is>
          <t>02-Dec-07</t>
        </is>
      </c>
      <c r="G532" s="1" t="inlineStr">
        <is>
          <t>LNH0925ND01</t>
        </is>
      </c>
      <c r="H532" s="1" t="inlineStr">
        <is>
          <t>09AV Giao tiep QT (TS)</t>
        </is>
      </c>
      <c r="I532" s="1" t="n">
        <v>1000000</v>
      </c>
      <c r="J532" s="1" t="inlineStr">
        <is>
          <t>TRAN THI THANH MAI QR - Le Thanh Tuong 25807700079 LNH 0925ND01 0345021207 TAI VietinBank</t>
        </is>
      </c>
    </row>
    <row r="533">
      <c r="A533" s="1" t="inlineStr">
        <is>
          <t>27-Aug-25</t>
        </is>
      </c>
      <c r="B533" s="1" t="inlineStr">
        <is>
          <t>I60689</t>
        </is>
      </c>
      <c r="C533" s="1" t="inlineStr">
        <is>
          <t>25808900119</t>
        </is>
      </c>
      <c r="D533" s="1" t="inlineStr">
        <is>
          <t>Nguyeãn Leâ</t>
        </is>
      </c>
      <c r="E533" s="1" t="inlineStr">
        <is>
          <t>Thaéng</t>
        </is>
      </c>
      <c r="F533" s="1" t="inlineStr">
        <is>
          <t>07-Oct-07</t>
        </is>
      </c>
      <c r="G533" s="1" t="inlineStr">
        <is>
          <t>LNH0925ND01</t>
        </is>
      </c>
      <c r="H533" s="1" t="inlineStr">
        <is>
          <t>09AV Giao tiep QT (TS)</t>
        </is>
      </c>
      <c r="I533" s="1" t="n">
        <v>1000000</v>
      </c>
      <c r="J533" s="1" t="inlineStr">
        <is>
          <t>TRAN THI THANH MAI QR - Nguyen Le Thang 25808900119 LN H0925ND01 0918095097 TAI VietinBank</t>
        </is>
      </c>
    </row>
    <row r="534">
      <c r="A534" s="1" t="inlineStr">
        <is>
          <t>27-Aug-25</t>
        </is>
      </c>
      <c r="B534" s="1" t="inlineStr">
        <is>
          <t>I60690</t>
        </is>
      </c>
      <c r="C534" s="1" t="inlineStr">
        <is>
          <t>25820300011</t>
        </is>
      </c>
      <c r="D534" s="1" t="inlineStr">
        <is>
          <t>Buøi Nguyeãn Thanh</t>
        </is>
      </c>
      <c r="E534" s="1" t="inlineStr">
        <is>
          <t>Haèng</t>
        </is>
      </c>
      <c r="F534" s="1" t="inlineStr">
        <is>
          <t>25-May-07</t>
        </is>
      </c>
      <c r="G534" s="1" t="inlineStr">
        <is>
          <t>LNH0925ND01</t>
        </is>
      </c>
      <c r="H534" s="1" t="inlineStr">
        <is>
          <t>09AV Giao tiep QT (TS)</t>
        </is>
      </c>
      <c r="I534" s="1" t="n">
        <v>1000000</v>
      </c>
      <c r="J534" s="1" t="inlineStr">
        <is>
          <t>NGUYEN TRUNG NGHIA BUI NGUYEN THANH HANG  25820300011 LNH0925ND01  0834956781 TAI VietinBank</t>
        </is>
      </c>
    </row>
    <row r="535">
      <c r="A535" s="1" t="inlineStr">
        <is>
          <t>27-Aug-25</t>
        </is>
      </c>
      <c r="B535" s="1" t="inlineStr">
        <is>
          <t>I60691</t>
        </is>
      </c>
      <c r="C535" s="1" t="inlineStr">
        <is>
          <t>25805800027</t>
        </is>
      </c>
      <c r="D535" s="1" t="inlineStr">
        <is>
          <t>Leâ Hieàn Thaûo</t>
        </is>
      </c>
      <c r="E535" s="1" t="inlineStr">
        <is>
          <t>Quyeân</t>
        </is>
      </c>
      <c r="F535" s="1" t="inlineStr">
        <is>
          <t>24-Sep-07</t>
        </is>
      </c>
      <c r="G535" s="1" t="inlineStr">
        <is>
          <t>LNH0925ND01</t>
        </is>
      </c>
      <c r="H535" s="1" t="inlineStr">
        <is>
          <t>09AV Giao tiep QT (TS)</t>
        </is>
      </c>
      <c r="I535" s="1" t="n">
        <v>1000000</v>
      </c>
      <c r="J535" s="1" t="inlineStr">
        <is>
          <t>TRAN THI THANH MAI QR - Le Hien Thao Quyen 25805800027 LNH0925ND01 078797265 TAI VietinBank</t>
        </is>
      </c>
    </row>
    <row r="536">
      <c r="A536" s="1" t="inlineStr">
        <is>
          <t>27-Aug-25</t>
        </is>
      </c>
      <c r="B536" s="1" t="inlineStr">
        <is>
          <t>I60692</t>
        </is>
      </c>
      <c r="C536" s="1" t="inlineStr">
        <is>
          <t>25807700035</t>
        </is>
      </c>
      <c r="D536" s="1" t="inlineStr">
        <is>
          <t>Chung Long</t>
        </is>
      </c>
      <c r="E536" s="1" t="inlineStr">
        <is>
          <t>Khang</t>
        </is>
      </c>
      <c r="F536" s="1" t="inlineStr">
        <is>
          <t>30-Nov-07</t>
        </is>
      </c>
      <c r="G536" s="1" t="inlineStr">
        <is>
          <t>LNH0925ND01</t>
        </is>
      </c>
      <c r="H536" s="1" t="inlineStr">
        <is>
          <t>09AV Giao tiep QT (TS)</t>
        </is>
      </c>
      <c r="I536" s="1" t="n">
        <v>1000000</v>
      </c>
      <c r="J536" s="1" t="inlineStr">
        <is>
          <t>TRAN THI THANH MAI QR - Chung Long Khang 25807700035 L NH0925ND01 0962269943 TAI VietinBank</t>
        </is>
      </c>
    </row>
    <row r="537">
      <c r="A537" s="1" t="inlineStr">
        <is>
          <t>27-Aug-25</t>
        </is>
      </c>
      <c r="B537" s="1" t="inlineStr">
        <is>
          <t>I60693</t>
        </is>
      </c>
      <c r="C537" s="1" t="inlineStr">
        <is>
          <t>25808200122</t>
        </is>
      </c>
      <c r="D537" s="1" t="inlineStr">
        <is>
          <t>Voõ Nhaát</t>
        </is>
      </c>
      <c r="E537" s="1" t="inlineStr">
        <is>
          <t>Thieân</t>
        </is>
      </c>
      <c r="F537" s="1" t="inlineStr">
        <is>
          <t>06-Jan-07</t>
        </is>
      </c>
      <c r="G537" s="1" t="inlineStr">
        <is>
          <t>LNH0925ND01</t>
        </is>
      </c>
      <c r="H537" s="1" t="inlineStr">
        <is>
          <t>09AV Giao tiep QT (TS)</t>
        </is>
      </c>
      <c r="I537" s="1" t="n">
        <v>1000000</v>
      </c>
      <c r="J537" s="1" t="inlineStr">
        <is>
          <t>TRAN THI THANH MAI QR - Vo Nhat Thien 25808200122 LNH0 925ND01 0337178341 TAI VietinBank</t>
        </is>
      </c>
    </row>
    <row r="538">
      <c r="A538" s="1" t="inlineStr">
        <is>
          <t>27-Aug-25</t>
        </is>
      </c>
      <c r="B538" s="1" t="inlineStr">
        <is>
          <t>I60694</t>
        </is>
      </c>
      <c r="C538" s="1" t="inlineStr">
        <is>
          <t>25808700021</t>
        </is>
      </c>
      <c r="D538" s="1" t="inlineStr">
        <is>
          <t>Nguyeãn Vaên</t>
        </is>
      </c>
      <c r="E538" s="1" t="inlineStr">
        <is>
          <t>Ñöùc</t>
        </is>
      </c>
      <c r="F538" s="1" t="inlineStr">
        <is>
          <t>22-Jan-07</t>
        </is>
      </c>
      <c r="G538" s="1" t="inlineStr">
        <is>
          <t>LNH0925ND01</t>
        </is>
      </c>
      <c r="H538" s="1" t="inlineStr">
        <is>
          <t>09AV Giao tiep QT (TS)</t>
        </is>
      </c>
      <c r="I538" s="1" t="n">
        <v>1000000</v>
      </c>
      <c r="J538" s="1" t="inlineStr">
        <is>
          <t>NGUYEN TRUNG NGHIA NGUYEN VAN DUC  25808700021  LNH092 5ND01  0335432450 TAI VietinBank</t>
        </is>
      </c>
    </row>
    <row r="539">
      <c r="A539" s="1" t="inlineStr">
        <is>
          <t>27-Aug-25</t>
        </is>
      </c>
      <c r="B539" s="1" t="inlineStr">
        <is>
          <t>I60695</t>
        </is>
      </c>
      <c r="C539" s="1" t="inlineStr">
        <is>
          <t>25820300033</t>
        </is>
      </c>
      <c r="D539" s="1" t="inlineStr">
        <is>
          <t>Phaïm Hoà Taân</t>
        </is>
      </c>
      <c r="E539" s="1" t="inlineStr">
        <is>
          <t>Minh</t>
        </is>
      </c>
      <c r="F539" s="1" t="inlineStr">
        <is>
          <t>26-Jan-07</t>
        </is>
      </c>
      <c r="G539" s="1" t="inlineStr">
        <is>
          <t>LNH0925ND01</t>
        </is>
      </c>
      <c r="H539" s="1" t="inlineStr">
        <is>
          <t>09AV Giao tiep QT (TS)</t>
        </is>
      </c>
      <c r="I539" s="1" t="n">
        <v>1000000</v>
      </c>
      <c r="J539" s="1" t="inlineStr">
        <is>
          <t>SACOMBANK IBFT PHAM HO TAN MINH 25820300033 L NH0925ND01 0343786563 TAI SACOMBANK              HCM</t>
        </is>
      </c>
    </row>
    <row r="540">
      <c r="A540" s="1" t="inlineStr">
        <is>
          <t>27-Aug-25</t>
        </is>
      </c>
      <c r="B540" s="1" t="inlineStr">
        <is>
          <t>I60696</t>
        </is>
      </c>
      <c r="C540" s="1" t="inlineStr">
        <is>
          <t>25808900229</t>
        </is>
      </c>
      <c r="D540" s="1" t="inlineStr">
        <is>
          <t>Nguyeãn Thieân</t>
        </is>
      </c>
      <c r="E540" s="1" t="inlineStr">
        <is>
          <t>AÂn</t>
        </is>
      </c>
      <c r="F540" s="1" t="inlineStr">
        <is>
          <t>23-Oct-07</t>
        </is>
      </c>
      <c r="G540" s="1" t="inlineStr">
        <is>
          <t>LNH0925ND01</t>
        </is>
      </c>
      <c r="H540" s="1" t="inlineStr">
        <is>
          <t>09AV Giao tiep QT (TS)</t>
        </is>
      </c>
      <c r="I540" s="1" t="n">
        <v>1000000</v>
      </c>
      <c r="J540" s="1" t="inlineStr">
        <is>
          <t>TRAN THI THANH MAI QR - Nguyen Thien An 25808900229 LN H0925ND01 0931250232 TAI VietinBank</t>
        </is>
      </c>
    </row>
    <row r="541">
      <c r="A541" s="1" t="inlineStr">
        <is>
          <t>27-Aug-25</t>
        </is>
      </c>
      <c r="B541" s="1" t="inlineStr">
        <is>
          <t>I60697</t>
        </is>
      </c>
      <c r="C541" s="1" t="inlineStr">
        <is>
          <t>25801800180</t>
        </is>
      </c>
      <c r="D541" s="1" t="inlineStr">
        <is>
          <t>Ngoâ Kieán</t>
        </is>
      </c>
      <c r="E541" s="1" t="inlineStr">
        <is>
          <t>Huy</t>
        </is>
      </c>
      <c r="F541" s="1" t="inlineStr">
        <is>
          <t>23-Aug-07</t>
        </is>
      </c>
      <c r="G541" s="1" t="inlineStr">
        <is>
          <t>LNH0925ND01</t>
        </is>
      </c>
      <c r="H541" s="1" t="inlineStr">
        <is>
          <t>09AV Giao tiep QT (TS)</t>
        </is>
      </c>
      <c r="I541" s="1" t="n">
        <v>0</v>
      </c>
      <c r="J541" s="1" t="inlineStr">
        <is>
          <t>(chuyen EDU)TRAN THI THANH MAI QR - Ngo Kien Huy 2501800084 LNH092 5ND01 0703698370 TAI VietinBank</t>
        </is>
      </c>
    </row>
    <row r="542">
      <c r="A542" s="1" t="inlineStr">
        <is>
          <t>27-Aug-25</t>
        </is>
      </c>
      <c r="B542" s="1" t="inlineStr">
        <is>
          <t>I60698</t>
        </is>
      </c>
      <c r="C542" s="1" t="inlineStr">
        <is>
          <t>25802700046</t>
        </is>
      </c>
      <c r="D542" s="1" t="inlineStr">
        <is>
          <t>Nguyeãn Kieàu Ly</t>
        </is>
      </c>
      <c r="E542" s="1" t="inlineStr">
        <is>
          <t>Ly</t>
        </is>
      </c>
      <c r="F542" s="1" t="inlineStr">
        <is>
          <t>29-May-07</t>
        </is>
      </c>
      <c r="G542" s="1" t="inlineStr">
        <is>
          <t>LNH0925ND01</t>
        </is>
      </c>
      <c r="H542" s="1" t="inlineStr">
        <is>
          <t>09AV Giao tiep QT (TS)</t>
        </is>
      </c>
      <c r="I542" s="1" t="n">
        <v>1000000</v>
      </c>
      <c r="J542" s="1" t="inlineStr">
        <is>
          <t>NGUYEN KIEU LY LY ABBank 0521043748045 Nguyen kieu ly ly 25802700046 LNH0925ND01 0942134 667 TAI Agribank</t>
        </is>
      </c>
    </row>
    <row r="543">
      <c r="A543" s="1" t="inlineStr">
        <is>
          <t>27-Aug-25</t>
        </is>
      </c>
      <c r="B543" s="1" t="inlineStr">
        <is>
          <t>I60699</t>
        </is>
      </c>
      <c r="C543" s="1" t="inlineStr">
        <is>
          <t>25802700006</t>
        </is>
      </c>
      <c r="D543" s="1" t="inlineStr">
        <is>
          <t>Leâ Quoác</t>
        </is>
      </c>
      <c r="E543" s="1" t="inlineStr">
        <is>
          <t>Anh</t>
        </is>
      </c>
      <c r="F543" s="1" t="inlineStr">
        <is>
          <t>28-Sep-07</t>
        </is>
      </c>
      <c r="G543" s="1" t="inlineStr">
        <is>
          <t>LNH0925ND01</t>
        </is>
      </c>
      <c r="H543" s="1" t="inlineStr">
        <is>
          <t>09AV Giao tiep QT (TS)</t>
        </is>
      </c>
      <c r="I543" s="1" t="n">
        <v>1000000</v>
      </c>
      <c r="J543" s="1" t="inlineStr">
        <is>
          <t>TRAN THI THANH MAI QR - Le Quoc Anh 25802700006 LNH092 5ND01 0387689430 TAI VietinBank</t>
        </is>
      </c>
    </row>
    <row r="544">
      <c r="A544" s="1" t="inlineStr">
        <is>
          <t>27-Aug-25</t>
        </is>
      </c>
      <c r="B544" s="1" t="inlineStr">
        <is>
          <t>I60700</t>
        </is>
      </c>
      <c r="C544" s="1" t="inlineStr">
        <is>
          <t>25800600195</t>
        </is>
      </c>
      <c r="D544" s="1" t="inlineStr">
        <is>
          <t>Nguyeãn Thanh</t>
        </is>
      </c>
      <c r="E544" s="1" t="inlineStr">
        <is>
          <t>Hieàn</t>
        </is>
      </c>
      <c r="F544" s="1" t="inlineStr">
        <is>
          <t>09-Aug-07</t>
        </is>
      </c>
      <c r="G544" s="1" t="inlineStr">
        <is>
          <t>LNH0925ND01</t>
        </is>
      </c>
      <c r="H544" s="1" t="inlineStr">
        <is>
          <t>09AV Giao tiep QT (TS)</t>
        </is>
      </c>
      <c r="I544" s="1" t="n">
        <v>1000000</v>
      </c>
      <c r="J544" s="1" t="inlineStr">
        <is>
          <t>TRAN THI THANH MAI QR - Nguyen Thanh Hien 25800600195 LNH0925ND01 0354019177 TAI VietinBank</t>
        </is>
      </c>
    </row>
    <row r="545">
      <c r="A545" s="1" t="inlineStr">
        <is>
          <t>27-Aug-25</t>
        </is>
      </c>
      <c r="B545" s="1" t="inlineStr">
        <is>
          <t>I60701</t>
        </is>
      </c>
      <c r="C545" s="1" t="inlineStr">
        <is>
          <t>25802700192</t>
        </is>
      </c>
      <c r="D545" s="1" t="inlineStr">
        <is>
          <t>Nguyeãn Taán</t>
        </is>
      </c>
      <c r="E545" s="1" t="inlineStr">
        <is>
          <t>Phaùt</t>
        </is>
      </c>
      <c r="F545" s="1" t="inlineStr">
        <is>
          <t>01-Oct-07</t>
        </is>
      </c>
      <c r="G545" s="1" t="inlineStr">
        <is>
          <t>LNH0925ND01</t>
        </is>
      </c>
      <c r="H545" s="1" t="inlineStr">
        <is>
          <t>09AV Giao tiep QT (TS)</t>
        </is>
      </c>
      <c r="I545" s="1" t="n">
        <v>1000000</v>
      </c>
      <c r="J545" s="1" t="inlineStr">
        <is>
          <t>TRAN THI THANH MAI QR - Nguyen Tan Phat 2502700067 LNH 0925ND01 0368649573 TAI VietinBank</t>
        </is>
      </c>
    </row>
    <row r="546">
      <c r="A546" s="1" t="inlineStr">
        <is>
          <t>27-Aug-25</t>
        </is>
      </c>
      <c r="B546" s="1" t="inlineStr">
        <is>
          <t>I60702</t>
        </is>
      </c>
      <c r="C546" s="1" t="inlineStr">
        <is>
          <t>25800500007</t>
        </is>
      </c>
      <c r="D546" s="1" t="inlineStr">
        <is>
          <t>Nguyeãn Huy</t>
        </is>
      </c>
      <c r="E546" s="1" t="inlineStr">
        <is>
          <t>Anh</t>
        </is>
      </c>
      <c r="F546" s="1" t="inlineStr">
        <is>
          <t>13-Dec-07</t>
        </is>
      </c>
      <c r="G546" s="1" t="inlineStr">
        <is>
          <t>LNH0925ND01</t>
        </is>
      </c>
      <c r="H546" s="1" t="inlineStr">
        <is>
          <t>09AV Giao tiep QT (TS)</t>
        </is>
      </c>
      <c r="I546" s="1" t="n">
        <v>1000000</v>
      </c>
      <c r="J546" s="1" t="inlineStr">
        <is>
          <t>NGUYEN KIM LAN QR - nguyen huy anh 25800500007 LNH 0925ND01 0707960851 TAI VietinBank</t>
        </is>
      </c>
    </row>
    <row r="547">
      <c r="A547" s="1" t="inlineStr">
        <is>
          <t>27-Aug-25</t>
        </is>
      </c>
      <c r="B547" s="1" t="inlineStr">
        <is>
          <t>I60703</t>
        </is>
      </c>
      <c r="C547" s="1" t="inlineStr">
        <is>
          <t>25820200068</t>
        </is>
      </c>
      <c r="D547" s="1" t="inlineStr">
        <is>
          <t>Nguyeãn Minh Nhö</t>
        </is>
      </c>
      <c r="E547" s="1" t="inlineStr">
        <is>
          <t>YÙ</t>
        </is>
      </c>
      <c r="F547" s="1" t="inlineStr">
        <is>
          <t>05-Nov-07</t>
        </is>
      </c>
      <c r="G547" s="1" t="inlineStr">
        <is>
          <t>LNH0925ND01</t>
        </is>
      </c>
      <c r="H547" s="1" t="inlineStr">
        <is>
          <t>09AV Giao tiep QT (TS)</t>
        </is>
      </c>
      <c r="I547" s="1" t="n">
        <v>1000000</v>
      </c>
      <c r="J547" s="1" t="inlineStr">
        <is>
          <t>TRAN THI THANH MAI QR - Nguyen Minh Nhu Y 25820200068 LNH0925ND01 0858743397 TAI VietinBank</t>
        </is>
      </c>
    </row>
    <row r="548">
      <c r="A548" s="1" t="inlineStr">
        <is>
          <t>27-Aug-25</t>
        </is>
      </c>
      <c r="B548" s="1" t="inlineStr">
        <is>
          <t>I60704</t>
        </is>
      </c>
      <c r="C548" s="1" t="inlineStr">
        <is>
          <t>25808900099</t>
        </is>
      </c>
      <c r="D548" s="1" t="inlineStr">
        <is>
          <t>Traàn Vaên</t>
        </is>
      </c>
      <c r="E548" s="1" t="inlineStr">
        <is>
          <t>Phuùc</t>
        </is>
      </c>
      <c r="F548" s="1" t="inlineStr">
        <is>
          <t>07-Mar-07</t>
        </is>
      </c>
      <c r="G548" s="1" t="inlineStr">
        <is>
          <t>LNH0925ND01</t>
        </is>
      </c>
      <c r="H548" s="1" t="inlineStr">
        <is>
          <t>09AV Giao tiep QT (TS)</t>
        </is>
      </c>
      <c r="I548" s="1" t="n">
        <v>1000000</v>
      </c>
      <c r="J548" s="1" t="inlineStr">
        <is>
          <t>MBBANK IBFT Tran Van Phuc 25808900099LNH0925ND0 1 0822979114 TAI IBT-MB                   HANOI</t>
        </is>
      </c>
    </row>
    <row r="549">
      <c r="A549" s="1" t="inlineStr">
        <is>
          <t>27-Aug-25</t>
        </is>
      </c>
      <c r="B549" s="1" t="inlineStr">
        <is>
          <t>I60705</t>
        </is>
      </c>
      <c r="C549" s="1" t="inlineStr">
        <is>
          <t>25808700203</t>
        </is>
      </c>
      <c r="D549" s="1" t="inlineStr">
        <is>
          <t>Mai Taán</t>
        </is>
      </c>
      <c r="E549" s="1" t="inlineStr">
        <is>
          <t>Nhaát</t>
        </is>
      </c>
      <c r="F549" s="1" t="inlineStr">
        <is>
          <t>14-Jul-06</t>
        </is>
      </c>
      <c r="G549" s="1" t="inlineStr">
        <is>
          <t>LNH0925ND01</t>
        </is>
      </c>
      <c r="H549" s="1" t="inlineStr">
        <is>
          <t>09AV Giao tiep QT (TS)</t>
        </is>
      </c>
      <c r="I549" s="1" t="n">
        <v>1000000</v>
      </c>
      <c r="J549" s="1" t="inlineStr">
        <is>
          <t>MAI TAN NHAT MAI TAN NHAT 2508700073 LNH0925ND01 0839451949 TAI IBT BIDV                 HANOI</t>
        </is>
      </c>
    </row>
    <row r="550">
      <c r="A550" s="1" t="inlineStr">
        <is>
          <t>27-Aug-25</t>
        </is>
      </c>
      <c r="B550" s="1" t="inlineStr">
        <is>
          <t>I60706</t>
        </is>
      </c>
      <c r="C550" s="1" t="inlineStr">
        <is>
          <t>25820200001</t>
        </is>
      </c>
      <c r="D550" s="1" t="inlineStr">
        <is>
          <t>Nguyeãn Thanh</t>
        </is>
      </c>
      <c r="E550" s="1" t="inlineStr">
        <is>
          <t>An</t>
        </is>
      </c>
      <c r="F550" s="1" t="inlineStr">
        <is>
          <t>02-Aug-06</t>
        </is>
      </c>
      <c r="G550" s="1" t="inlineStr">
        <is>
          <t>LNH0925ND01</t>
        </is>
      </c>
      <c r="H550" s="1" t="inlineStr">
        <is>
          <t>09AV Giao tiep QT (TS)</t>
        </is>
      </c>
      <c r="I550" s="1" t="n">
        <v>1000000</v>
      </c>
      <c r="J550" s="1" t="inlineStr">
        <is>
          <t>TRAN THI THANH MAI QR - Nguyen Thanh An 25820200001 LN H0925ND01 0888131914 TAI VietinBank</t>
        </is>
      </c>
    </row>
    <row r="551">
      <c r="A551" s="1" t="inlineStr">
        <is>
          <t>27-Aug-25</t>
        </is>
      </c>
      <c r="B551" s="1" t="inlineStr">
        <is>
          <t>I60707</t>
        </is>
      </c>
      <c r="C551" s="1" t="inlineStr">
        <is>
          <t>25803800063</t>
        </is>
      </c>
      <c r="D551" s="1" t="inlineStr">
        <is>
          <t>Nguyeãn Hoaøng Nhöït</t>
        </is>
      </c>
      <c r="E551" s="1" t="inlineStr">
        <is>
          <t>Trí</t>
        </is>
      </c>
      <c r="F551" s="1" t="inlineStr">
        <is>
          <t>17-Oct-07</t>
        </is>
      </c>
      <c r="G551" s="1" t="inlineStr">
        <is>
          <t>LNH0925ND01</t>
        </is>
      </c>
      <c r="H551" s="1" t="inlineStr">
        <is>
          <t>09AV Giao tiep QT (TS)</t>
        </is>
      </c>
      <c r="I551" s="1" t="n">
        <v>1000000</v>
      </c>
      <c r="J551" s="1" t="inlineStr">
        <is>
          <t>TRAN THI THANH MAI QR - Nguyen Hoang Nhut Tri 25803800 063 LNH0925ND01 0326301325 TAI VietinBank</t>
        </is>
      </c>
    </row>
    <row r="552">
      <c r="A552" s="1" t="inlineStr">
        <is>
          <t>27-Aug-25</t>
        </is>
      </c>
      <c r="B552" s="1" t="inlineStr">
        <is>
          <t>I60708</t>
        </is>
      </c>
      <c r="C552" s="1" t="inlineStr">
        <is>
          <t>25802800199</t>
        </is>
      </c>
      <c r="D552" s="1" t="inlineStr">
        <is>
          <t>Traàn Xuaân</t>
        </is>
      </c>
      <c r="E552" s="1" t="inlineStr">
        <is>
          <t>Phaùt</t>
        </is>
      </c>
      <c r="F552" s="1" t="inlineStr">
        <is>
          <t>01-Nov-07</t>
        </is>
      </c>
      <c r="G552" s="1" t="inlineStr">
        <is>
          <t>LNH0925ND01</t>
        </is>
      </c>
      <c r="H552" s="1" t="inlineStr">
        <is>
          <t>09AV Giao tiep QT (TS)</t>
        </is>
      </c>
      <c r="I552" s="1" t="n">
        <v>1000000</v>
      </c>
      <c r="J552" s="1" t="inlineStr">
        <is>
          <t>NGUYEN TRUNG NGHIA TRAN XUAN PHAT  25802800199  LNH092 5ND01  0398148215 TAI VietinBank</t>
        </is>
      </c>
    </row>
    <row r="553">
      <c r="A553" s="1" t="inlineStr">
        <is>
          <t>27-Aug-25</t>
        </is>
      </c>
      <c r="B553" s="1" t="inlineStr">
        <is>
          <t>I60709</t>
        </is>
      </c>
      <c r="C553" s="1" t="inlineStr">
        <is>
          <t>25808600073</t>
        </is>
      </c>
      <c r="D553" s="1" t="inlineStr">
        <is>
          <t>Huyønh Thò Hoàng</t>
        </is>
      </c>
      <c r="E553" s="1" t="inlineStr">
        <is>
          <t>Ngoïc</t>
        </is>
      </c>
      <c r="F553" s="1" t="inlineStr">
        <is>
          <t>11-Feb-07</t>
        </is>
      </c>
      <c r="G553" s="1" t="inlineStr">
        <is>
          <t>LNH0925ND01</t>
        </is>
      </c>
      <c r="H553" s="1" t="inlineStr">
        <is>
          <t>09AV Giao tiep QT (TS)</t>
        </is>
      </c>
      <c r="I553" s="1" t="n">
        <v>1000000</v>
      </c>
      <c r="J553" s="1" t="inlineStr">
        <is>
          <t>NGUYEN TRUNG NGHIA HUYNH THI HONG NGOC  25808600073  L NH0925ND01  0899629008 TAI VietinBank</t>
        </is>
      </c>
    </row>
    <row r="554">
      <c r="A554" s="1" t="inlineStr">
        <is>
          <t>27-Aug-25</t>
        </is>
      </c>
      <c r="B554" s="1" t="inlineStr">
        <is>
          <t>I60710</t>
        </is>
      </c>
      <c r="C554" s="1" t="inlineStr">
        <is>
          <t>25802800418</t>
        </is>
      </c>
      <c r="D554" s="1" t="inlineStr">
        <is>
          <t>Löu Yeán</t>
        </is>
      </c>
      <c r="E554" s="1" t="inlineStr">
        <is>
          <t>Ngoïc</t>
        </is>
      </c>
      <c r="F554" s="1" t="inlineStr">
        <is>
          <t>29-Dec-07</t>
        </is>
      </c>
      <c r="G554" s="1" t="inlineStr">
        <is>
          <t>LNH0925ND01</t>
        </is>
      </c>
      <c r="H554" s="1" t="inlineStr">
        <is>
          <t>09AV Giao tiep QT (TS)</t>
        </is>
      </c>
      <c r="I554" s="1" t="n">
        <v>0</v>
      </c>
      <c r="J554" s="1" t="inlineStr">
        <is>
          <t>(chuyen EDU)LUU MANH HA Luu Yen Ngoc - 2502800102 -LNH0925N D01-0783205849 TAI VIETBANK               HCM</t>
        </is>
      </c>
    </row>
    <row r="555">
      <c r="A555" s="1" t="inlineStr">
        <is>
          <t>27-Aug-25</t>
        </is>
      </c>
      <c r="B555" s="1" t="inlineStr">
        <is>
          <t>I60711</t>
        </is>
      </c>
      <c r="C555" s="1" t="inlineStr">
        <is>
          <t>25808600127</t>
        </is>
      </c>
      <c r="D555" s="1" t="inlineStr">
        <is>
          <t>Nguyeãn Trung</t>
        </is>
      </c>
      <c r="E555" s="1" t="inlineStr">
        <is>
          <t>Tín</t>
        </is>
      </c>
      <c r="F555" s="1" t="inlineStr">
        <is>
          <t>02-Jan-99</t>
        </is>
      </c>
      <c r="G555" s="1" t="inlineStr">
        <is>
          <t>LNH0925ND01</t>
        </is>
      </c>
      <c r="H555" s="1" t="inlineStr">
        <is>
          <t>09AV Giao tiep QT (TS)</t>
        </is>
      </c>
      <c r="I555" s="1" t="n">
        <v>1000000</v>
      </c>
      <c r="J555" s="1" t="inlineStr">
        <is>
          <t>NGUYEN TRUNG TIN nguyen trung tin 25808600127 LNH092 5ND01 0962524808 TAI IBT VPB EBANKING         HANOI</t>
        </is>
      </c>
    </row>
    <row r="556">
      <c r="A556" s="1" t="inlineStr">
        <is>
          <t>27-Aug-25</t>
        </is>
      </c>
      <c r="B556" s="1" t="inlineStr">
        <is>
          <t>I60712</t>
        </is>
      </c>
      <c r="C556" s="1" t="inlineStr">
        <is>
          <t>25808200228</t>
        </is>
      </c>
      <c r="D556" s="1" t="inlineStr">
        <is>
          <t>Tröông Gia</t>
        </is>
      </c>
      <c r="E556" s="1" t="inlineStr">
        <is>
          <t>Baûo</t>
        </is>
      </c>
      <c r="F556" s="1" t="inlineStr">
        <is>
          <t>22-Dec-07</t>
        </is>
      </c>
      <c r="G556" s="1" t="inlineStr">
        <is>
          <t>LNH0925ND01</t>
        </is>
      </c>
      <c r="H556" s="1" t="inlineStr">
        <is>
          <t>09AV Giao tiep QT (TS)</t>
        </is>
      </c>
      <c r="I556" s="1" t="n">
        <v>1000000</v>
      </c>
      <c r="J556" s="1" t="inlineStr">
        <is>
          <t>TRUONG XUAN QUYET QR - truong gia bao 25808200228 LNH 0925ND01 0388122426 TAI VietinBank</t>
        </is>
      </c>
    </row>
    <row r="557">
      <c r="A557" s="1" t="inlineStr">
        <is>
          <t>27-Aug-25</t>
        </is>
      </c>
      <c r="B557" s="1" t="inlineStr">
        <is>
          <t>I60713</t>
        </is>
      </c>
      <c r="C557" s="1" t="inlineStr">
        <is>
          <t>25800400142</t>
        </is>
      </c>
      <c r="D557" s="1" t="inlineStr">
        <is>
          <t>Ñoã Xuaân</t>
        </is>
      </c>
      <c r="E557" s="1" t="inlineStr">
        <is>
          <t>Thaønh</t>
        </is>
      </c>
      <c r="F557" s="1" t="inlineStr">
        <is>
          <t>07-Jun-07</t>
        </is>
      </c>
      <c r="G557" s="1" t="inlineStr">
        <is>
          <t>LNH0925ND01</t>
        </is>
      </c>
      <c r="H557" s="1" t="inlineStr">
        <is>
          <t>09AV Giao tiep QT (TS)</t>
        </is>
      </c>
      <c r="I557" s="1" t="n">
        <v>1000000</v>
      </c>
      <c r="J557" s="1" t="inlineStr">
        <is>
          <t>NGUYEN TRUNG NGHIA DO XUAN THANH  25800400142  LNH0925 ND01  0963029727 TAI VietinBank</t>
        </is>
      </c>
    </row>
    <row r="558">
      <c r="A558" s="1" t="inlineStr">
        <is>
          <t>27-Aug-25</t>
        </is>
      </c>
      <c r="B558" s="1" t="inlineStr">
        <is>
          <t>I60714</t>
        </is>
      </c>
      <c r="C558" s="24" t="inlineStr">
        <is>
          <t>25800601233</t>
        </is>
      </c>
      <c r="D558" s="1" t="inlineStr">
        <is>
          <t xml:space="preserve">Phan Nguyeãn Baûo </t>
        </is>
      </c>
      <c r="E558" s="1" t="inlineStr">
        <is>
          <t>Traâm</t>
        </is>
      </c>
      <c r="G558" s="1" t="inlineStr">
        <is>
          <t>LNH0925ND01</t>
        </is>
      </c>
      <c r="H558" s="1" t="inlineStr">
        <is>
          <t>09AV Giao tiep QT (TS)</t>
        </is>
      </c>
      <c r="I558" s="1" t="n">
        <v>1000000</v>
      </c>
      <c r="J558" s="1" t="inlineStr">
        <is>
          <t>TRAN THI THANH MAI QR - Phan Nguyen Bao Tran 250060036 7 LNH0925ND01 0945795720 TAI VietinBank</t>
        </is>
      </c>
    </row>
    <row r="559">
      <c r="A559" s="1" t="inlineStr">
        <is>
          <t>27-Aug-25</t>
        </is>
      </c>
      <c r="B559" s="1" t="inlineStr">
        <is>
          <t>I60715</t>
        </is>
      </c>
      <c r="C559" s="1" t="inlineStr">
        <is>
          <t>25801800004</t>
        </is>
      </c>
      <c r="D559" s="1" t="inlineStr">
        <is>
          <t>Nguyeãn Quyønh</t>
        </is>
      </c>
      <c r="E559" s="1" t="inlineStr">
        <is>
          <t>Anh</t>
        </is>
      </c>
      <c r="F559" s="1" t="inlineStr">
        <is>
          <t>20-Jan-06</t>
        </is>
      </c>
      <c r="G559" s="1" t="inlineStr">
        <is>
          <t>LNH0925ND01</t>
        </is>
      </c>
      <c r="H559" s="1" t="inlineStr">
        <is>
          <t>09AV Giao tiep QT (TS)</t>
        </is>
      </c>
      <c r="I559" s="1" t="n">
        <v>1000000</v>
      </c>
      <c r="J559" s="1" t="inlineStr">
        <is>
          <t>TRAN THI THANH MAI QR - Nguyen Quynh Anh 25801800004 L NH0925ND01 0766551514 TAI VietinBank</t>
        </is>
      </c>
    </row>
    <row r="560">
      <c r="A560" s="1" t="inlineStr">
        <is>
          <t>27-Aug-25</t>
        </is>
      </c>
      <c r="B560" s="1" t="inlineStr">
        <is>
          <t>I60716</t>
        </is>
      </c>
      <c r="C560" s="1" t="inlineStr">
        <is>
          <t>25809600043</t>
        </is>
      </c>
      <c r="D560" s="1" t="inlineStr">
        <is>
          <t>Nguyeãn Troïng</t>
        </is>
      </c>
      <c r="E560" s="1" t="inlineStr">
        <is>
          <t>Nhaân</t>
        </is>
      </c>
      <c r="F560" s="1" t="inlineStr">
        <is>
          <t>03-Jul-07</t>
        </is>
      </c>
      <c r="G560" s="1" t="inlineStr">
        <is>
          <t>LNH0925ND01</t>
        </is>
      </c>
      <c r="H560" s="1" t="inlineStr">
        <is>
          <t>09AV Giao tiep QT (TS)</t>
        </is>
      </c>
      <c r="I560" s="1" t="n">
        <v>1000000</v>
      </c>
      <c r="J560" s="1" t="inlineStr">
        <is>
          <t>TRAN THI THANH MAI QR - Nguyen Trong Nhan 25809600043 LNH0925ND01 0325377751 TAI VietinBank</t>
        </is>
      </c>
    </row>
    <row r="561">
      <c r="A561" s="1" t="inlineStr">
        <is>
          <t>27-Aug-25</t>
        </is>
      </c>
      <c r="B561" s="1" t="inlineStr">
        <is>
          <t>I60717</t>
        </is>
      </c>
      <c r="C561" s="1" t="inlineStr">
        <is>
          <t>25820600003</t>
        </is>
      </c>
      <c r="D561" s="1" t="inlineStr">
        <is>
          <t>Maõ Nguyeãn Taán</t>
        </is>
      </c>
      <c r="E561" s="1" t="inlineStr">
        <is>
          <t>Khoa</t>
        </is>
      </c>
      <c r="F561" s="1" t="inlineStr">
        <is>
          <t>03-Oct-07</t>
        </is>
      </c>
      <c r="G561" s="1" t="inlineStr">
        <is>
          <t>LNH0925ND01</t>
        </is>
      </c>
      <c r="H561" s="1" t="inlineStr">
        <is>
          <t>09AV Giao tiep QT (TS)</t>
        </is>
      </c>
      <c r="I561" s="1" t="n">
        <v>1000000</v>
      </c>
      <c r="J561" s="1" t="inlineStr">
        <is>
          <t>TRAN THI THANH MAI QR - Ma Nguyen Tan Khoa 25820600003 LNH0925ND01 0908790992 TAI VietinBank</t>
        </is>
      </c>
    </row>
    <row r="562">
      <c r="A562" s="1" t="inlineStr">
        <is>
          <t>27-Aug-25</t>
        </is>
      </c>
      <c r="B562" s="1" t="inlineStr">
        <is>
          <t>I60718</t>
        </is>
      </c>
      <c r="C562" s="1" t="inlineStr">
        <is>
          <t>25809600042</t>
        </is>
      </c>
      <c r="D562" s="1" t="inlineStr">
        <is>
          <t>Nguyeãn Phuùc Khoâi</t>
        </is>
      </c>
      <c r="E562" s="1" t="inlineStr">
        <is>
          <t>Nguyeân</t>
        </is>
      </c>
      <c r="F562" s="1" t="inlineStr">
        <is>
          <t>25-Sep-07</t>
        </is>
      </c>
      <c r="G562" s="1" t="inlineStr">
        <is>
          <t>LNH0925ND01</t>
        </is>
      </c>
      <c r="H562" s="1" t="inlineStr">
        <is>
          <t>09AV Giao tiep QT (TS)</t>
        </is>
      </c>
      <c r="I562" s="1" t="n">
        <v>1000000</v>
      </c>
      <c r="J562" s="1" t="inlineStr">
        <is>
          <t>NGUYEN PHUC KHOI NGUYEN NGUYEN PHUC KHOI NGUYEN 25809600042 LNH0925ND01 0775092007-270825-15 0 5 14 742840 TAI Ngan hang a chau       IBT SMARLINK</t>
        </is>
      </c>
    </row>
    <row r="563">
      <c r="A563" s="1" t="inlineStr">
        <is>
          <t>27-Aug-25</t>
        </is>
      </c>
      <c r="B563" s="1" t="inlineStr">
        <is>
          <t>I60719</t>
        </is>
      </c>
      <c r="C563" s="1" t="inlineStr">
        <is>
          <t>25801200024</t>
        </is>
      </c>
      <c r="D563" s="1" t="inlineStr">
        <is>
          <t>Leâ Thaùi</t>
        </is>
      </c>
      <c r="E563" s="1" t="inlineStr">
        <is>
          <t>Nguyeân</t>
        </is>
      </c>
      <c r="F563" s="1" t="inlineStr">
        <is>
          <t>02-Jan-07</t>
        </is>
      </c>
      <c r="G563" s="1" t="inlineStr">
        <is>
          <t>LNH0925ND01</t>
        </is>
      </c>
      <c r="H563" s="1" t="inlineStr">
        <is>
          <t>09AV Giao tiep QT (TS)</t>
        </is>
      </c>
      <c r="I563" s="1" t="n">
        <v>1000000</v>
      </c>
      <c r="J563" s="1" t="inlineStr">
        <is>
          <t>LE THI YEN THI QR - Lethainguyen-25801200024-LNH09 25ND01-0799921571 TAI VietinBank</t>
        </is>
      </c>
    </row>
    <row r="564">
      <c r="A564" s="1" t="inlineStr">
        <is>
          <t>27-Aug-25</t>
        </is>
      </c>
      <c r="B564" s="1" t="inlineStr">
        <is>
          <t>I60720</t>
        </is>
      </c>
      <c r="C564" s="39" t="inlineStr">
        <is>
          <t>25807500177</t>
        </is>
      </c>
      <c r="D564" s="1" t="inlineStr">
        <is>
          <t>Nguyeãn Huyønh Nhö</t>
        </is>
      </c>
      <c r="E564" s="1" t="inlineStr">
        <is>
          <t>YÙ</t>
        </is>
      </c>
      <c r="F564" s="1" t="inlineStr">
        <is>
          <t>25-Jun-07</t>
        </is>
      </c>
      <c r="G564" s="1" t="inlineStr">
        <is>
          <t>LNH0925ND01</t>
        </is>
      </c>
      <c r="H564" s="1" t="inlineStr">
        <is>
          <t>09AV Giao tiep QT (TS)</t>
        </is>
      </c>
      <c r="I564" s="1" t="n">
        <v>1000000</v>
      </c>
      <c r="J564" s="1" t="inlineStr">
        <is>
          <t>MBBANK IBFT Nguyen Huynh Nhu Y 25807500177LNH09 25ND01 0818630807 TAI IBT-MB                   HANOI</t>
        </is>
      </c>
    </row>
    <row r="565">
      <c r="A565" s="1" t="inlineStr">
        <is>
          <t>27-Aug-25</t>
        </is>
      </c>
      <c r="B565" s="1" t="inlineStr">
        <is>
          <t>I60721</t>
        </is>
      </c>
      <c r="C565" s="1" t="inlineStr">
        <is>
          <t>25808900115</t>
        </is>
      </c>
      <c r="D565" s="1" t="inlineStr">
        <is>
          <t>Hoà Hoaøng Dieäu</t>
        </is>
      </c>
      <c r="E565" s="1" t="inlineStr">
        <is>
          <t>Thaûo</t>
        </is>
      </c>
      <c r="F565" s="1" t="inlineStr">
        <is>
          <t>03-Jun-07</t>
        </is>
      </c>
      <c r="G565" s="1" t="inlineStr">
        <is>
          <t>LNH0925ND01</t>
        </is>
      </c>
      <c r="H565" s="1" t="inlineStr">
        <is>
          <t>09AV Giao tiep QT (TS)</t>
        </is>
      </c>
      <c r="I565" s="1" t="n">
        <v>0</v>
      </c>
      <c r="J565" s="1" t="inlineStr">
        <is>
          <t>(chuyen edu)TRAN THI THANH MAI QR - Ho Hoang Dieu Thao 25808900115 LNH0925ND01 0914558345 TAI VietinBank</t>
        </is>
      </c>
    </row>
    <row r="566">
      <c r="A566" s="1" t="inlineStr">
        <is>
          <t>27-Aug-25</t>
        </is>
      </c>
      <c r="B566" s="1" t="inlineStr">
        <is>
          <t>I60722</t>
        </is>
      </c>
      <c r="C566" s="1" t="inlineStr">
        <is>
          <t>25808200132</t>
        </is>
      </c>
      <c r="D566" s="1" t="inlineStr">
        <is>
          <t>Vuõ Cao Minh</t>
        </is>
      </c>
      <c r="E566" s="1" t="inlineStr">
        <is>
          <t>Trí</t>
        </is>
      </c>
      <c r="F566" s="1" t="inlineStr">
        <is>
          <t>05-May-07</t>
        </is>
      </c>
      <c r="G566" s="1" t="inlineStr">
        <is>
          <t>LNH0925ND01</t>
        </is>
      </c>
      <c r="H566" s="1" t="inlineStr">
        <is>
          <t>09AV Giao tiep QT (TS)</t>
        </is>
      </c>
      <c r="I566" s="1" t="n">
        <v>1000000</v>
      </c>
      <c r="J566" s="1" t="inlineStr">
        <is>
          <t>TRAN THI THANH MAI QR - Vu Cao Minh Tri 25808200132 LN H0925ND01 0792729660 TAI VietinBank</t>
        </is>
      </c>
    </row>
    <row r="567">
      <c r="A567" s="1" t="inlineStr">
        <is>
          <t>27-Aug-25</t>
        </is>
      </c>
      <c r="B567" s="1" t="inlineStr">
        <is>
          <t>I60723</t>
        </is>
      </c>
      <c r="C567" s="1" t="inlineStr">
        <is>
          <t>25808200259</t>
        </is>
      </c>
      <c r="D567" s="1" t="inlineStr">
        <is>
          <t>Nguyeãn Baûo</t>
        </is>
      </c>
      <c r="E567" s="1" t="inlineStr">
        <is>
          <t>Long</t>
        </is>
      </c>
      <c r="F567" s="1" t="inlineStr">
        <is>
          <t>06-Nov-07</t>
        </is>
      </c>
      <c r="G567" s="1" t="inlineStr">
        <is>
          <t>LNH0925ND01</t>
        </is>
      </c>
      <c r="H567" s="1" t="inlineStr">
        <is>
          <t>09AV Giao tiep QT (TS)</t>
        </is>
      </c>
      <c r="I567" s="1" t="n">
        <v>0</v>
      </c>
      <c r="J567" s="1" t="inlineStr">
        <is>
          <t>(chuyen edu)MBBANK IBFT Nguyen Bao Long 2508200113 LNH0925N D01 0866441164 TAI IBT-MB                   HANOI</t>
        </is>
      </c>
    </row>
    <row r="568">
      <c r="A568" s="1" t="inlineStr">
        <is>
          <t>27-Aug-25</t>
        </is>
      </c>
      <c r="B568" s="1" t="inlineStr">
        <is>
          <t>I60724</t>
        </is>
      </c>
      <c r="C568" s="1" t="inlineStr">
        <is>
          <t>25801300029</t>
        </is>
      </c>
      <c r="D568" s="1" t="inlineStr">
        <is>
          <t>Phaïm Thò Kieàu</t>
        </is>
      </c>
      <c r="E568" s="1" t="inlineStr">
        <is>
          <t>Nhi</t>
        </is>
      </c>
      <c r="F568" s="1" t="inlineStr">
        <is>
          <t>28-Oct-07</t>
        </is>
      </c>
      <c r="G568" s="1" t="inlineStr">
        <is>
          <t>LNH0925ND01</t>
        </is>
      </c>
      <c r="H568" s="1" t="inlineStr">
        <is>
          <t>09AV Giao tiep QT (TS)</t>
        </is>
      </c>
      <c r="I568" s="1" t="n">
        <v>0</v>
      </c>
      <c r="J568" s="1" t="inlineStr">
        <is>
          <t>(chuyen edu)PHAM THI KIEU NHI Pham Thi Kieu Nhi 25801300029 LNH09 25ND01 0704688827 TAI IBT TIENPHONGBANK      HANOI</t>
        </is>
      </c>
    </row>
    <row r="569">
      <c r="A569" s="1" t="inlineStr">
        <is>
          <t>27-Aug-25</t>
        </is>
      </c>
      <c r="B569" s="1" t="inlineStr">
        <is>
          <t>I60725</t>
        </is>
      </c>
      <c r="C569" s="1" t="inlineStr">
        <is>
          <t>25802800155</t>
        </is>
      </c>
      <c r="D569" s="1" t="inlineStr">
        <is>
          <t>Nguyeãn Huyønh Ñình</t>
        </is>
      </c>
      <c r="E569" s="1" t="inlineStr">
        <is>
          <t>Nghi</t>
        </is>
      </c>
      <c r="F569" s="1" t="inlineStr">
        <is>
          <t>21-Oct-07</t>
        </is>
      </c>
      <c r="G569" s="1" t="inlineStr">
        <is>
          <t>LNH0925ND01</t>
        </is>
      </c>
      <c r="H569" s="1" t="inlineStr">
        <is>
          <t>09AV Giao tiep QT (TS)</t>
        </is>
      </c>
      <c r="I569" s="1" t="n">
        <v>1000000</v>
      </c>
      <c r="J569" s="1" t="inlineStr">
        <is>
          <t>NGUYEN HUYNH DINH NGHI MBVCB.10699285788.166159.NGUYEN HUY NH DINH NGHI  25802800155 LNH0925ND 01 0777400973.CT tu 1059931257 NGUY EN HUYNH DINH NGHI toi 0521043748045 HUTECH tai ABBANK TAI Vietcombank</t>
        </is>
      </c>
    </row>
    <row r="570">
      <c r="A570" s="1" t="inlineStr">
        <is>
          <t>27-Aug-25</t>
        </is>
      </c>
      <c r="B570" s="1" t="inlineStr">
        <is>
          <t>I60726</t>
        </is>
      </c>
      <c r="C570" s="1" t="inlineStr">
        <is>
          <t>25802800144</t>
        </is>
      </c>
      <c r="D570" s="1" t="inlineStr">
        <is>
          <t>Phaïm Nguyeãn Ngoïc</t>
        </is>
      </c>
      <c r="E570" s="1" t="inlineStr">
        <is>
          <t>Mai</t>
        </is>
      </c>
      <c r="F570" s="1" t="inlineStr">
        <is>
          <t>13-Jul-07</t>
        </is>
      </c>
      <c r="G570" s="1" t="inlineStr">
        <is>
          <t>LNH0925ND01</t>
        </is>
      </c>
      <c r="H570" s="1" t="inlineStr">
        <is>
          <t>09AV Giao tiep QT (TS)</t>
        </is>
      </c>
      <c r="I570" s="1" t="n">
        <v>1000000</v>
      </c>
      <c r="J570" s="1" t="inlineStr">
        <is>
          <t>NGUYEN THI XUAN QUYNH Pham Nguyen Ngoc Mai- 25802800144 L NH0925ND01 0866479025 TAI IBT VPB EBANKING         HANOI</t>
        </is>
      </c>
    </row>
    <row r="571">
      <c r="A571" s="1" t="inlineStr">
        <is>
          <t>27-Aug-25</t>
        </is>
      </c>
      <c r="B571" s="1" t="inlineStr">
        <is>
          <t>I60727</t>
        </is>
      </c>
      <c r="C571" s="1" t="inlineStr">
        <is>
          <t>25801800085</t>
        </is>
      </c>
      <c r="D571" s="1" t="inlineStr">
        <is>
          <t>Traàn Caåm</t>
        </is>
      </c>
      <c r="E571" s="1" t="inlineStr">
        <is>
          <t>Vaân</t>
        </is>
      </c>
      <c r="F571" s="1" t="inlineStr">
        <is>
          <t>31-Dec-07</t>
        </is>
      </c>
      <c r="G571" s="1" t="inlineStr">
        <is>
          <t>LNH0925ND01</t>
        </is>
      </c>
      <c r="H571" s="1" t="inlineStr">
        <is>
          <t>09AV Giao tiep QT (TS)</t>
        </is>
      </c>
      <c r="I571" s="1" t="n">
        <v>1000000</v>
      </c>
      <c r="J571" s="1" t="inlineStr">
        <is>
          <t>TRAN THI THANH MAI QR - Tran Cam Van 25801800085 LNH09 25ND01 0374602550 TAI VietinBank</t>
        </is>
      </c>
    </row>
    <row r="572">
      <c r="A572" s="1" t="inlineStr">
        <is>
          <t>27-Aug-25</t>
        </is>
      </c>
      <c r="B572" s="1" t="inlineStr">
        <is>
          <t>I60728</t>
        </is>
      </c>
      <c r="C572" s="1" t="inlineStr">
        <is>
          <t>25802800275</t>
        </is>
      </c>
      <c r="D572" s="1" t="inlineStr">
        <is>
          <t>Traàn Ngoïc Baûo</t>
        </is>
      </c>
      <c r="E572" s="1" t="inlineStr">
        <is>
          <t>Traân</t>
        </is>
      </c>
      <c r="F572" s="1" t="inlineStr">
        <is>
          <t>11-Feb-07</t>
        </is>
      </c>
      <c r="G572" s="1" t="inlineStr">
        <is>
          <t>LNH0925ND01</t>
        </is>
      </c>
      <c r="H572" s="1" t="inlineStr">
        <is>
          <t>09AV Giao tiep QT (TS)</t>
        </is>
      </c>
      <c r="I572" s="1" t="n">
        <v>1000000</v>
      </c>
      <c r="J572" s="1" t="inlineStr">
        <is>
          <t>DANG THI BICH HOA TRAN NGOC BAO TRAN 25802800275 LNH0 925ND01 0938438387-270825-16 35 12 908361 TAI Ngan hang a chau       IBT SMARLINK</t>
        </is>
      </c>
    </row>
    <row r="573">
      <c r="A573" s="1" t="inlineStr">
        <is>
          <t>27-Aug-25</t>
        </is>
      </c>
      <c r="B573" s="1" t="inlineStr">
        <is>
          <t>I60729</t>
        </is>
      </c>
      <c r="C573" s="1" t="inlineStr">
        <is>
          <t>25807800110</t>
        </is>
      </c>
      <c r="D573" s="1" t="inlineStr">
        <is>
          <t>Nguyeãn Duyeân Hoaøn</t>
        </is>
      </c>
      <c r="E573" s="1" t="inlineStr">
        <is>
          <t>Phuùc</t>
        </is>
      </c>
      <c r="F573" s="1" t="inlineStr">
        <is>
          <t>13-Dec-07</t>
        </is>
      </c>
      <c r="G573" s="1" t="inlineStr">
        <is>
          <t>LNH0925ND01</t>
        </is>
      </c>
      <c r="H573" s="1" t="inlineStr">
        <is>
          <t>09AV Giao tiep QT (TS)</t>
        </is>
      </c>
      <c r="I573" s="1" t="n">
        <v>1000000</v>
      </c>
      <c r="J573" s="1" t="inlineStr">
        <is>
          <t>MBBANK IBFT NGUYEN DUYEN HOANG PHUC 25807800110 LNH0925ND01 0774631154 TAI IBT-MB                   HANOI</t>
        </is>
      </c>
    </row>
    <row r="574">
      <c r="A574" s="1" t="inlineStr">
        <is>
          <t>27-Aug-25</t>
        </is>
      </c>
      <c r="B574" s="1" t="inlineStr">
        <is>
          <t>I60730</t>
        </is>
      </c>
      <c r="C574" s="1" t="inlineStr">
        <is>
          <t>25807600017</t>
        </is>
      </c>
      <c r="D574" s="1" t="inlineStr">
        <is>
          <t>Phan Maïnh</t>
        </is>
      </c>
      <c r="E574" s="1" t="inlineStr">
        <is>
          <t>Huøng</t>
        </is>
      </c>
      <c r="F574" s="1" t="inlineStr">
        <is>
          <t>23-Jul-07</t>
        </is>
      </c>
      <c r="G574" s="1" t="inlineStr">
        <is>
          <t>LNH0925ND01</t>
        </is>
      </c>
      <c r="H574" s="1" t="inlineStr">
        <is>
          <t>09AV Giao tiep QT (TS)</t>
        </is>
      </c>
      <c r="I574" s="1" t="n">
        <v>1000000</v>
      </c>
      <c r="J574" s="1" t="inlineStr">
        <is>
          <t>TRANSFER Phan Manh Hung MSSV 25807600017 LNH 0925ND01 0945280310  ma GD 1000000 03467382 TAI LienVietPostBank       Ha Noi</t>
        </is>
      </c>
    </row>
    <row r="575">
      <c r="A575" s="1" t="inlineStr">
        <is>
          <t>27-Aug-25</t>
        </is>
      </c>
      <c r="B575" s="1" t="inlineStr">
        <is>
          <t>I60731</t>
        </is>
      </c>
      <c r="C575" s="1" t="inlineStr">
        <is>
          <t>25802100035</t>
        </is>
      </c>
      <c r="D575" s="1" t="inlineStr">
        <is>
          <t>Doan Thanh</t>
        </is>
      </c>
      <c r="E575" s="1" t="inlineStr">
        <is>
          <t>Tai</t>
        </is>
      </c>
      <c r="F575" s="1" t="inlineStr">
        <is>
          <t xml:space="preserve">  -   -</t>
        </is>
      </c>
      <c r="G575" s="1" t="inlineStr">
        <is>
          <t>LNH0925ND01</t>
        </is>
      </c>
      <c r="H575" s="1" t="inlineStr">
        <is>
          <t>09AV Giao tiep QT (TS)</t>
        </is>
      </c>
      <c r="I575" s="1" t="n">
        <v>1000000</v>
      </c>
      <c r="J575" s="1" t="inlineStr">
        <is>
          <t>TRAN THI THANH MAI QR - Doan Thanh Tai 25802100036 LNH 0925ND01 0353721392 TAI VietinBank</t>
        </is>
      </c>
    </row>
    <row r="576">
      <c r="A576" s="1" t="inlineStr">
        <is>
          <t>27-Aug-25</t>
        </is>
      </c>
      <c r="B576" s="1" t="inlineStr">
        <is>
          <t>I60732</t>
        </is>
      </c>
      <c r="C576" s="1" t="inlineStr">
        <is>
          <t>25807000028</t>
        </is>
      </c>
      <c r="D576" s="1" t="inlineStr">
        <is>
          <t>Trònh Minh</t>
        </is>
      </c>
      <c r="E576" s="1" t="inlineStr">
        <is>
          <t>Trang</t>
        </is>
      </c>
      <c r="F576" s="1" t="inlineStr">
        <is>
          <t>20-Mar-07</t>
        </is>
      </c>
      <c r="G576" s="1" t="inlineStr">
        <is>
          <t>LNH0925ND01</t>
        </is>
      </c>
      <c r="H576" s="1" t="inlineStr">
        <is>
          <t>09AV Giao tiep QT (TS)</t>
        </is>
      </c>
      <c r="I576" s="1" t="n">
        <v>0</v>
      </c>
      <c r="J576" s="1" t="inlineStr">
        <is>
          <t>(chuyen EDU)TRINH MINH TRANG MBVCB.10700398193.927531.TRINH MINH TRANG 25807000028 LNH0925ND01 0329 038627.CT tu 1051253639 TRINH MINH TRANG toi 0521043748045 HUTECH taiABBANK TAI Vietcombank</t>
        </is>
      </c>
    </row>
    <row r="577">
      <c r="A577" s="1" t="inlineStr">
        <is>
          <t>27-Aug-25</t>
        </is>
      </c>
      <c r="B577" s="1" t="inlineStr">
        <is>
          <t>I60733</t>
        </is>
      </c>
      <c r="C577" s="1" t="inlineStr">
        <is>
          <t>25802800061</t>
        </is>
      </c>
      <c r="D577" s="1" t="inlineStr">
        <is>
          <t>Phan Tröông Bích</t>
        </is>
      </c>
      <c r="E577" s="1" t="inlineStr">
        <is>
          <t>Haèng</t>
        </is>
      </c>
      <c r="F577" s="1" t="inlineStr">
        <is>
          <t>03-Jan-07</t>
        </is>
      </c>
      <c r="G577" s="1" t="inlineStr">
        <is>
          <t>LNH0925ND01</t>
        </is>
      </c>
      <c r="H577" s="1" t="inlineStr">
        <is>
          <t>09AV Giao tiep QT (TS)</t>
        </is>
      </c>
      <c r="I577" s="1" t="n">
        <v>1000000</v>
      </c>
      <c r="J577" s="1" t="inlineStr">
        <is>
          <t>TRAN THI THANH MAI QR - Phan Truong Bich Hang 25802800 061 LNH0925ND01 0903193100 TAI VietinBank</t>
        </is>
      </c>
    </row>
    <row r="578">
      <c r="A578" s="1" t="inlineStr">
        <is>
          <t>27-Aug-25</t>
        </is>
      </c>
      <c r="B578" s="1" t="inlineStr">
        <is>
          <t>I60734</t>
        </is>
      </c>
      <c r="C578" s="1" t="inlineStr">
        <is>
          <t>25808500042</t>
        </is>
      </c>
      <c r="D578" s="1" t="inlineStr">
        <is>
          <t>Traàn Chí</t>
        </is>
      </c>
      <c r="E578" s="1" t="inlineStr">
        <is>
          <t>Cöôøng</t>
        </is>
      </c>
      <c r="F578" s="1" t="inlineStr">
        <is>
          <t>21-Aug-07</t>
        </is>
      </c>
      <c r="G578" s="1" t="inlineStr">
        <is>
          <t>LNH0925ND01</t>
        </is>
      </c>
      <c r="H578" s="1" t="inlineStr">
        <is>
          <t>09AV Giao tiep QT (TS)</t>
        </is>
      </c>
      <c r="I578" s="1" t="n">
        <v>1415000</v>
      </c>
      <c r="J578" s="1" t="inlineStr">
        <is>
          <t>TRAN CHI CUONG TRAN CHI CUONG MSSV 25808500042 LNH 0925ND01 SDT 0343672421 TAI VietinBank</t>
        </is>
      </c>
    </row>
    <row r="579">
      <c r="A579" s="1" t="inlineStr">
        <is>
          <t>27-Aug-25</t>
        </is>
      </c>
      <c r="B579" s="1" t="inlineStr">
        <is>
          <t>I60735</t>
        </is>
      </c>
      <c r="C579" s="1" t="inlineStr">
        <is>
          <t>25805900091</t>
        </is>
      </c>
      <c r="D579" s="1" t="inlineStr">
        <is>
          <t>Phaïm Phöông</t>
        </is>
      </c>
      <c r="E579" s="1" t="inlineStr">
        <is>
          <t>Uyeân</t>
        </is>
      </c>
      <c r="F579" s="1" t="inlineStr">
        <is>
          <t>02-Sep-07</t>
        </is>
      </c>
      <c r="G579" s="1" t="inlineStr">
        <is>
          <t>LNH0925ND01</t>
        </is>
      </c>
      <c r="H579" s="1" t="inlineStr">
        <is>
          <t>09AV Giao tiep QT (TS)</t>
        </is>
      </c>
      <c r="I579" s="1" t="n">
        <v>1465000</v>
      </c>
      <c r="J579" s="1" t="inlineStr">
        <is>
          <t>VND-TGTT-PHAM THI THANH LY Pham Phuong Uyen 25805900091LNH0925 ND01 FT25239690668863 TAI TECHCOMBANK            HANOI</t>
        </is>
      </c>
    </row>
    <row r="580">
      <c r="A580" s="1" t="inlineStr">
        <is>
          <t>27-Aug-25</t>
        </is>
      </c>
      <c r="B580" s="1" t="inlineStr">
        <is>
          <t>I60736</t>
        </is>
      </c>
      <c r="C580" s="1" t="inlineStr">
        <is>
          <t>25802800346</t>
        </is>
      </c>
      <c r="D580" s="1" t="inlineStr">
        <is>
          <t>Nguyeãn Hoà Coâng</t>
        </is>
      </c>
      <c r="E580" s="1" t="inlineStr">
        <is>
          <t>Phuù</t>
        </is>
      </c>
      <c r="F580" s="1" t="inlineStr">
        <is>
          <t>15-Feb-07</t>
        </is>
      </c>
      <c r="G580" s="1" t="inlineStr">
        <is>
          <t>LNH0925ND01</t>
        </is>
      </c>
      <c r="H580" s="1" t="inlineStr">
        <is>
          <t>09AV Giao tiep QT (TS)</t>
        </is>
      </c>
      <c r="I580" s="1" t="n">
        <v>2000000</v>
      </c>
      <c r="J580" s="1" t="inlineStr">
        <is>
          <t>TRAN THI THANH MAI QR - Nguyen Ho Cong Phu 25802800346 LNH0925ND01 0921692979 TAI VietinBank</t>
        </is>
      </c>
    </row>
    <row r="581">
      <c r="A581" s="1" t="inlineStr">
        <is>
          <t>27-Aug-25</t>
        </is>
      </c>
      <c r="B581" s="1" t="inlineStr">
        <is>
          <t>I60737</t>
        </is>
      </c>
      <c r="C581" s="1" t="inlineStr">
        <is>
          <t>25801700034</t>
        </is>
      </c>
      <c r="D581" s="1" t="inlineStr">
        <is>
          <t>Nguyeãn Buøi Troïng</t>
        </is>
      </c>
      <c r="E581" s="1" t="inlineStr">
        <is>
          <t>Nghóa</t>
        </is>
      </c>
      <c r="F581" s="1" t="inlineStr">
        <is>
          <t>19-Jan-07</t>
        </is>
      </c>
      <c r="G581" s="1" t="inlineStr">
        <is>
          <t>LNH0925ND01</t>
        </is>
      </c>
      <c r="H581" s="1" t="inlineStr">
        <is>
          <t>09AV Giao tiep QT (TS)</t>
        </is>
      </c>
      <c r="I581" s="1" t="n">
        <v>2000000</v>
      </c>
      <c r="J581" s="1" t="inlineStr">
        <is>
          <t>NGUYEN TRUNG NGHIA NGUYEN BUI TRONG NGHIA  25801700034 LNH0925ND01  0398320941 TAI VietinBank</t>
        </is>
      </c>
    </row>
    <row r="582">
      <c r="A582" s="1" t="inlineStr">
        <is>
          <t>27-Aug-25</t>
        </is>
      </c>
      <c r="B582" s="1" t="inlineStr">
        <is>
          <t>I60738</t>
        </is>
      </c>
      <c r="C582" s="1" t="inlineStr">
        <is>
          <t>25801700016</t>
        </is>
      </c>
      <c r="D582" s="1" t="inlineStr">
        <is>
          <t>Leâ Nguyeãn Thu</t>
        </is>
      </c>
      <c r="E582" s="1" t="inlineStr">
        <is>
          <t>Haø</t>
        </is>
      </c>
      <c r="F582" s="1" t="inlineStr">
        <is>
          <t>12-Jul-07</t>
        </is>
      </c>
      <c r="G582" s="1" t="inlineStr">
        <is>
          <t>LNH0925ND01</t>
        </is>
      </c>
      <c r="H582" s="1" t="inlineStr">
        <is>
          <t>09AV Giao tiep QT (TS)</t>
        </is>
      </c>
      <c r="I582" s="1" t="n">
        <v>2100000</v>
      </c>
      <c r="J582" s="1" t="inlineStr">
        <is>
          <t>NGUYEN THI THOM ABBank 0521043748045 lenguyenthuha2 5801700016 LNH0925ND01  0328329941 TAI Agribank</t>
        </is>
      </c>
    </row>
    <row r="583">
      <c r="A583" s="1" t="inlineStr">
        <is>
          <t>27-Aug-25</t>
        </is>
      </c>
      <c r="B583" s="1" t="inlineStr">
        <is>
          <t>I60739</t>
        </is>
      </c>
      <c r="C583" s="1" t="inlineStr">
        <is>
          <t>25802600010</t>
        </is>
      </c>
      <c r="D583" s="1" t="inlineStr">
        <is>
          <t>Taêng Hoàng</t>
        </is>
      </c>
      <c r="E583" s="1" t="inlineStr">
        <is>
          <t>Anh</t>
        </is>
      </c>
      <c r="F583" s="1" t="inlineStr">
        <is>
          <t>17-Aug-07</t>
        </is>
      </c>
      <c r="G583" s="1" t="inlineStr">
        <is>
          <t>LNH0925ND01</t>
        </is>
      </c>
      <c r="H583" s="1" t="inlineStr">
        <is>
          <t>09AV Giao tiep QT (TS)</t>
        </is>
      </c>
      <c r="I583" s="1" t="n">
        <v>2100000</v>
      </c>
      <c r="J583" s="1" t="inlineStr">
        <is>
          <t>NGUYEN TRUNG NGHIA TANG HONG ANH  25802600010  LNH0925 ND01  0906921500 TAI VietinBank</t>
        </is>
      </c>
    </row>
    <row r="584">
      <c r="A584" s="1" t="inlineStr">
        <is>
          <t>27-Aug-25</t>
        </is>
      </c>
      <c r="B584" s="1" t="inlineStr">
        <is>
          <t>I60740</t>
        </is>
      </c>
      <c r="C584" s="1" t="inlineStr">
        <is>
          <t>25800601198</t>
        </is>
      </c>
      <c r="D584" s="1" t="inlineStr">
        <is>
          <t>Voõ Quoác</t>
        </is>
      </c>
      <c r="E584" s="1" t="inlineStr">
        <is>
          <t>Baûo</t>
        </is>
      </c>
      <c r="F584" s="1" t="inlineStr">
        <is>
          <t>15-Oct-07</t>
        </is>
      </c>
      <c r="G584" s="1" t="inlineStr">
        <is>
          <t>LNH0925ND01</t>
        </is>
      </c>
      <c r="H584" s="1" t="inlineStr">
        <is>
          <t>09AV Giao tiep QT (TS)</t>
        </is>
      </c>
      <c r="I584" s="1" t="n">
        <v>2100000</v>
      </c>
      <c r="J584" s="1" t="inlineStr">
        <is>
          <t>MBBANK IBFT vo quoc bao 2500600346 LNH0925ND01 0868461877 TAI IBT-MB                   HANOI</t>
        </is>
      </c>
    </row>
    <row r="585">
      <c r="A585" s="1" t="inlineStr">
        <is>
          <t>27-Aug-25</t>
        </is>
      </c>
      <c r="B585" s="1" t="inlineStr">
        <is>
          <t>I60741</t>
        </is>
      </c>
      <c r="C585" s="1" t="inlineStr">
        <is>
          <t>25808600158</t>
        </is>
      </c>
      <c r="D585" s="1" t="inlineStr">
        <is>
          <t>Tröông Ngoïc Minh</t>
        </is>
      </c>
      <c r="E585" s="1" t="inlineStr">
        <is>
          <t>Vy</t>
        </is>
      </c>
      <c r="F585" s="1" t="inlineStr">
        <is>
          <t>07-Aug-07</t>
        </is>
      </c>
      <c r="G585" s="1" t="inlineStr">
        <is>
          <t>LNH0925ND01</t>
        </is>
      </c>
      <c r="H585" s="1" t="inlineStr">
        <is>
          <t>09AV Giao tiep QT (TS)</t>
        </is>
      </c>
      <c r="I585" s="1" t="n">
        <v>2100000</v>
      </c>
      <c r="J585" s="1" t="inlineStr">
        <is>
          <t>TRUONG NGOC MINH VY TRUONG NGOC MINH VY 25808600158LNH0 925ND010789717226-270825-14 49 49 7 16748 TAI Ngan hang a chau       IBT SMARLINK</t>
        </is>
      </c>
    </row>
    <row r="586">
      <c r="A586" s="1" t="inlineStr">
        <is>
          <t>27-Aug-25</t>
        </is>
      </c>
      <c r="B586" s="1" t="inlineStr">
        <is>
          <t>I60742</t>
        </is>
      </c>
      <c r="C586" s="1" t="inlineStr">
        <is>
          <t>25801100071</t>
        </is>
      </c>
      <c r="D586" s="1" t="inlineStr">
        <is>
          <t>Traàn Troïng</t>
        </is>
      </c>
      <c r="E586" s="1" t="inlineStr">
        <is>
          <t>Tính</t>
        </is>
      </c>
      <c r="F586" s="1" t="inlineStr">
        <is>
          <t>29-Jun-07</t>
        </is>
      </c>
      <c r="G586" s="1" t="inlineStr">
        <is>
          <t>LNH0925ND01</t>
        </is>
      </c>
      <c r="H586" s="1" t="inlineStr">
        <is>
          <t>09AV Giao tiep QT (TS)</t>
        </is>
      </c>
      <c r="I586" s="1" t="n">
        <v>2100000</v>
      </c>
      <c r="J586" s="1" t="inlineStr">
        <is>
          <t>TRAN THI THUY MBVCB.10699120280.060197.TranTrongT inh25801100071LNH0925ND010865745474 .CT tu 0181003402203 TRAN THI THUY toi 0521043748045 HUTECH tai ABBANK TAI Vietcombank</t>
        </is>
      </c>
    </row>
    <row r="587">
      <c r="A587" s="1" t="inlineStr">
        <is>
          <t>27-Aug-25</t>
        </is>
      </c>
      <c r="B587" s="1" t="inlineStr">
        <is>
          <t>I60743</t>
        </is>
      </c>
      <c r="C587" s="1" t="inlineStr">
        <is>
          <t>25807500124</t>
        </is>
      </c>
      <c r="D587" s="1" t="inlineStr">
        <is>
          <t>Nguyeãn Anh</t>
        </is>
      </c>
      <c r="E587" s="1" t="inlineStr">
        <is>
          <t>Thö</t>
        </is>
      </c>
      <c r="F587" s="1" t="inlineStr">
        <is>
          <t>26-Oct-07</t>
        </is>
      </c>
      <c r="G587" s="1" t="inlineStr">
        <is>
          <t>LNH0925ND01</t>
        </is>
      </c>
      <c r="H587" s="1" t="inlineStr">
        <is>
          <t>09AV Giao tiep QT (TS)</t>
        </is>
      </c>
      <c r="I587" s="1" t="n">
        <v>2415000</v>
      </c>
      <c r="J587" s="1" t="inlineStr">
        <is>
          <t>NGUYEN TRUNG NGHIA NGUYEN ANH THU  25807500124  LNH092 5ND01  0919213735 TAI VietinBank</t>
        </is>
      </c>
    </row>
    <row r="588">
      <c r="A588" s="1" t="inlineStr">
        <is>
          <t>27-Aug-25</t>
        </is>
      </c>
      <c r="B588" s="1" t="inlineStr">
        <is>
          <t>I60744</t>
        </is>
      </c>
      <c r="C588" s="1" t="inlineStr">
        <is>
          <t>25820100087</t>
        </is>
      </c>
      <c r="D588" s="1" t="inlineStr">
        <is>
          <t>Vuõ Hoaøng</t>
        </is>
      </c>
      <c r="E588" s="1" t="inlineStr">
        <is>
          <t>Duy</t>
        </is>
      </c>
      <c r="F588" s="1" t="inlineStr">
        <is>
          <t>18-Oct-07</t>
        </is>
      </c>
      <c r="G588" s="1" t="inlineStr">
        <is>
          <t>LNH0925ND01</t>
        </is>
      </c>
      <c r="H588" s="1" t="inlineStr">
        <is>
          <t>09AV Giao tiep QT (TS)</t>
        </is>
      </c>
      <c r="I588" s="1" t="n">
        <v>2600000</v>
      </c>
      <c r="J588" s="1" t="inlineStr">
        <is>
          <t>TRAN THI THANH MAI QR - Vu Hoang Duy 2520100033 LNH092 5ND01 0355422192 TAI VietinBank</t>
        </is>
      </c>
    </row>
    <row r="589">
      <c r="A589" s="1" t="inlineStr">
        <is>
          <t>27-Aug-25</t>
        </is>
      </c>
      <c r="B589" s="1" t="inlineStr">
        <is>
          <t>I60745</t>
        </is>
      </c>
      <c r="C589" s="1" t="inlineStr">
        <is>
          <t>25805900091</t>
        </is>
      </c>
      <c r="D589" s="1" t="inlineStr">
        <is>
          <t>Phaïm Phöông</t>
        </is>
      </c>
      <c r="E589" s="1" t="inlineStr">
        <is>
          <t>Uyeân</t>
        </is>
      </c>
      <c r="F589" s="1" t="inlineStr">
        <is>
          <t>02-Sep-07</t>
        </is>
      </c>
      <c r="G589" s="1" t="inlineStr">
        <is>
          <t>LNH0925ND01</t>
        </is>
      </c>
      <c r="H589" s="1" t="inlineStr">
        <is>
          <t>09AV Giao tiep QT (TS)</t>
        </is>
      </c>
      <c r="I589" s="1" t="n">
        <v>3000000</v>
      </c>
      <c r="J589" s="1" t="inlineStr">
        <is>
          <t>NGUYEN TRUNG NGHIA PHAM PHUONG UYEN  25805900091  LNH0 925ND01  0948046311 TAI VietinBank</t>
        </is>
      </c>
    </row>
    <row r="590">
      <c r="A590" s="1" t="inlineStr">
        <is>
          <t>27-Aug-25</t>
        </is>
      </c>
      <c r="B590" s="1" t="inlineStr">
        <is>
          <t>I60746</t>
        </is>
      </c>
      <c r="C590" s="1" t="inlineStr">
        <is>
          <t>25800600036</t>
        </is>
      </c>
      <c r="D590" s="1" t="inlineStr">
        <is>
          <t>Ñoã Gia</t>
        </is>
      </c>
      <c r="E590" s="1" t="inlineStr">
        <is>
          <t>Baûo</t>
        </is>
      </c>
      <c r="F590" s="1" t="inlineStr">
        <is>
          <t>11-Oct-07</t>
        </is>
      </c>
      <c r="G590" s="1" t="inlineStr">
        <is>
          <t>LNH0925ND01</t>
        </is>
      </c>
      <c r="H590" s="1" t="inlineStr">
        <is>
          <t>09AV Giao tiep QT (TS)</t>
        </is>
      </c>
      <c r="I590" s="1" t="n">
        <v>3415000</v>
      </c>
      <c r="J590" s="1" t="inlineStr">
        <is>
          <t>DO MINH VU THIEN Do gia Bao 25800600036 LNH0925ND01 0395892900 TAI IBT SMARTLINK            HANOI</t>
        </is>
      </c>
    </row>
    <row r="591">
      <c r="A591" s="1" t="inlineStr">
        <is>
          <t>27-Aug-25</t>
        </is>
      </c>
      <c r="B591" s="1" t="inlineStr">
        <is>
          <t>I60747</t>
        </is>
      </c>
      <c r="C591" s="1" t="inlineStr">
        <is>
          <t>25807500126</t>
        </is>
      </c>
      <c r="D591" s="1" t="inlineStr">
        <is>
          <t>Phan Ngoïc Anh</t>
        </is>
      </c>
      <c r="E591" s="1" t="inlineStr">
        <is>
          <t>Thö</t>
        </is>
      </c>
      <c r="F591" s="1" t="inlineStr">
        <is>
          <t>28-Feb-07</t>
        </is>
      </c>
      <c r="G591" s="1" t="inlineStr">
        <is>
          <t>LNH0925ND01</t>
        </is>
      </c>
      <c r="H591" s="1" t="inlineStr">
        <is>
          <t>09AV Giao tiep QT (TS)</t>
        </is>
      </c>
      <c r="I591" s="1" t="n">
        <v>3465000</v>
      </c>
      <c r="J591" s="1" t="inlineStr">
        <is>
          <t>SACOMBANK IBFT PHAN NGOC ANH THU 25807500126 LNH0925ND01 0908754854 TAI SACOMBANK              HCM</t>
        </is>
      </c>
    </row>
    <row r="592">
      <c r="A592" s="1" t="inlineStr">
        <is>
          <t>27-Aug-25</t>
        </is>
      </c>
      <c r="B592" s="1" t="inlineStr">
        <is>
          <t>I60748</t>
        </is>
      </c>
      <c r="C592" s="1" t="inlineStr">
        <is>
          <t>25808600240</t>
        </is>
      </c>
      <c r="D592" s="1" t="inlineStr">
        <is>
          <t>Nguyeãn Haøn Myõ</t>
        </is>
      </c>
      <c r="E592" s="1" t="inlineStr">
        <is>
          <t>Dung</t>
        </is>
      </c>
      <c r="F592" s="1" t="inlineStr">
        <is>
          <t>13-Nov-07</t>
        </is>
      </c>
      <c r="G592" s="1" t="inlineStr">
        <is>
          <t>LNH0925ND01</t>
        </is>
      </c>
      <c r="H592" s="1" t="inlineStr">
        <is>
          <t>09AV Giao tiep QT (TS)</t>
        </is>
      </c>
      <c r="I592" s="1" t="n">
        <v>4465000</v>
      </c>
      <c r="J592" s="1" t="inlineStr">
        <is>
          <t>NGUYEN TRUNG NGHIA NGUYEN HAN MY DUNG  25808600240  LN H0925ND01  0385830763 TAI VietinBank</t>
        </is>
      </c>
    </row>
    <row r="593">
      <c r="A593" s="1" t="inlineStr">
        <is>
          <t>27-Aug-25</t>
        </is>
      </c>
      <c r="B593" s="1" t="inlineStr">
        <is>
          <t>I60749</t>
        </is>
      </c>
      <c r="C593" s="1" t="inlineStr">
        <is>
          <t>25802800151</t>
        </is>
      </c>
      <c r="D593" s="1" t="inlineStr">
        <is>
          <t>Rô Chaâm</t>
        </is>
      </c>
      <c r="E593" s="1" t="inlineStr">
        <is>
          <t>Ngaoh</t>
        </is>
      </c>
      <c r="F593" s="1" t="inlineStr">
        <is>
          <t>18-Jun-07</t>
        </is>
      </c>
      <c r="G593" s="1" t="inlineStr">
        <is>
          <t>LNH0925ND01</t>
        </is>
      </c>
      <c r="H593" s="1" t="inlineStr">
        <is>
          <t>09AV Giao tiep QT (TS)</t>
        </is>
      </c>
      <c r="I593" s="1" t="n">
        <v>4465000</v>
      </c>
      <c r="J593" s="1" t="inlineStr">
        <is>
          <t>NGUYEN TRUNG NGHIA RO CHAM NGAOH  25802800151  LNH0925 ND01  0327977063 TAI VietinBank</t>
        </is>
      </c>
    </row>
    <row r="594">
      <c r="A594" s="1" t="inlineStr">
        <is>
          <t>27-Aug-25</t>
        </is>
      </c>
      <c r="B594" s="1" t="inlineStr">
        <is>
          <t>I60750</t>
        </is>
      </c>
      <c r="C594" s="1" t="inlineStr">
        <is>
          <t>25807700081</t>
        </is>
      </c>
      <c r="D594" s="1" t="inlineStr">
        <is>
          <t>Ñaëng Hoaøng</t>
        </is>
      </c>
      <c r="E594" s="1" t="inlineStr">
        <is>
          <t>Vinh</t>
        </is>
      </c>
      <c r="F594" s="1" t="inlineStr">
        <is>
          <t>29-Sep-07</t>
        </is>
      </c>
      <c r="G594" s="1" t="inlineStr">
        <is>
          <t>LNH0925ND01</t>
        </is>
      </c>
      <c r="H594" s="1" t="inlineStr">
        <is>
          <t>09AV Giao tiep QT (TS)</t>
        </is>
      </c>
      <c r="I594" s="1" t="n">
        <v>4465000</v>
      </c>
      <c r="J594" s="1" t="inlineStr">
        <is>
          <t>NGUYEN TRUNG NGHIA DANG HOANG VINH  25807700081 LNH092 5ND01  0764452997 TAI VietinBank</t>
        </is>
      </c>
    </row>
    <row r="595">
      <c r="A595" s="1" t="inlineStr">
        <is>
          <t>27-Aug-25</t>
        </is>
      </c>
      <c r="B595" s="1" t="inlineStr">
        <is>
          <t>I60751</t>
        </is>
      </c>
      <c r="C595" s="1" t="inlineStr">
        <is>
          <t>25803800044</t>
        </is>
      </c>
      <c r="D595" s="1" t="inlineStr">
        <is>
          <t>Phaïm Minh</t>
        </is>
      </c>
      <c r="E595" s="1" t="inlineStr">
        <is>
          <t>Nhöït</t>
        </is>
      </c>
      <c r="F595" s="1" t="inlineStr">
        <is>
          <t>17-Mar-07</t>
        </is>
      </c>
      <c r="G595" s="1" t="inlineStr">
        <is>
          <t>LNH0925ND01</t>
        </is>
      </c>
      <c r="H595" s="1" t="inlineStr">
        <is>
          <t>09AV Giao tiep QT (TS)</t>
        </is>
      </c>
      <c r="I595" s="1" t="n">
        <v>4465000</v>
      </c>
      <c r="J595" s="1" t="inlineStr">
        <is>
          <t>DINH THI TRINH ABBank 0521043748045 PHAM MINH NHUT 25803800044 LNH0925ND01 0813872862 TAI Agribank</t>
        </is>
      </c>
    </row>
    <row r="596">
      <c r="A596" s="1" t="inlineStr">
        <is>
          <t>27-Aug-25</t>
        </is>
      </c>
      <c r="B596" s="1" t="inlineStr">
        <is>
          <t>I60752</t>
        </is>
      </c>
      <c r="C596" s="1" t="inlineStr">
        <is>
          <t>25820100011</t>
        </is>
      </c>
      <c r="D596" s="1" t="inlineStr">
        <is>
          <t>Nguyeãn Hoaøng Minh</t>
        </is>
      </c>
      <c r="E596" s="1" t="inlineStr">
        <is>
          <t>Ñöùc</t>
        </is>
      </c>
      <c r="F596" s="1" t="inlineStr">
        <is>
          <t>02-Jul-07</t>
        </is>
      </c>
      <c r="G596" s="1" t="inlineStr">
        <is>
          <t>LNH0925ND01</t>
        </is>
      </c>
      <c r="H596" s="1" t="inlineStr">
        <is>
          <t>09AV Giao tiep QT (TS)</t>
        </is>
      </c>
      <c r="I596" s="1" t="n">
        <v>4465000</v>
      </c>
      <c r="J596" s="1" t="inlineStr">
        <is>
          <t>NGUYEN TIEN THINH nguyen hoang minh duc 25820100011 L NH0925ND01 FT25239493779217 TAI TECHCOMBANK            HANOI</t>
        </is>
      </c>
    </row>
    <row r="597">
      <c r="A597" s="1" t="inlineStr">
        <is>
          <t>27-Aug-25</t>
        </is>
      </c>
      <c r="B597" s="1" t="inlineStr">
        <is>
          <t>I60753</t>
        </is>
      </c>
      <c r="C597" s="1" t="inlineStr">
        <is>
          <t>25809600006</t>
        </is>
      </c>
      <c r="D597" s="1" t="inlineStr">
        <is>
          <t>Vuõ Quoác</t>
        </is>
      </c>
      <c r="E597" s="1" t="inlineStr">
        <is>
          <t>Baûo</t>
        </is>
      </c>
      <c r="F597" s="1" t="inlineStr">
        <is>
          <t>25-Jan-07</t>
        </is>
      </c>
      <c r="G597" s="1" t="inlineStr">
        <is>
          <t>LNH0925ND01</t>
        </is>
      </c>
      <c r="H597" s="1" t="inlineStr">
        <is>
          <t>09AV Giao tiep QT (TS)</t>
        </is>
      </c>
      <c r="I597" s="1" t="n">
        <v>4465000</v>
      </c>
      <c r="J597" s="1" t="inlineStr">
        <is>
          <t>MBBANK IBFT VU QUOC BAO  25809600006  LNH0925ND 01  0378428865 TAI IBT-MB                   HANOI</t>
        </is>
      </c>
    </row>
    <row r="598">
      <c r="A598" s="1" t="inlineStr">
        <is>
          <t>27-Aug-25</t>
        </is>
      </c>
      <c r="B598" s="1" t="inlineStr">
        <is>
          <t>I60754</t>
        </is>
      </c>
      <c r="C598" s="1" t="inlineStr">
        <is>
          <t>25802700193</t>
        </is>
      </c>
      <c r="D598" s="1" t="inlineStr">
        <is>
          <t>Lyù Thò Ngoïc</t>
        </is>
      </c>
      <c r="E598" s="1" t="inlineStr">
        <is>
          <t>Traâm</t>
        </is>
      </c>
      <c r="F598" s="1" t="inlineStr">
        <is>
          <t>06-Mar-07</t>
        </is>
      </c>
      <c r="G598" s="1" t="inlineStr">
        <is>
          <t>LNH0925ND01</t>
        </is>
      </c>
      <c r="H598" s="1" t="inlineStr">
        <is>
          <t>09AV Giao tiep QT (TS)</t>
        </is>
      </c>
      <c r="I598" s="1" t="n">
        <v>4465000</v>
      </c>
      <c r="J598" s="1" t="inlineStr">
        <is>
          <t>KIEU THI NGOC TRI LY THI NGOC TRAM 2502700074 LNH0925 ND01 0989868307 TAI IBT VPB EBANKING         HANOI</t>
        </is>
      </c>
    </row>
    <row r="599">
      <c r="A599" s="1" t="inlineStr">
        <is>
          <t>27-Aug-25</t>
        </is>
      </c>
      <c r="B599" s="1" t="inlineStr">
        <is>
          <t>I60755</t>
        </is>
      </c>
      <c r="C599" s="1" t="inlineStr">
        <is>
          <t>25806400024</t>
        </is>
      </c>
      <c r="D599" s="1" t="inlineStr">
        <is>
          <t>Traàn Döông Kim</t>
        </is>
      </c>
      <c r="E599" s="1" t="inlineStr">
        <is>
          <t>Tuyeán</t>
        </is>
      </c>
      <c r="F599" s="1" t="inlineStr">
        <is>
          <t>08-Apr-07</t>
        </is>
      </c>
      <c r="G599" s="1" t="inlineStr">
        <is>
          <t>LNH0925ND01</t>
        </is>
      </c>
      <c r="H599" s="1" t="inlineStr">
        <is>
          <t>09AV Giao tiep QT (TS)</t>
        </is>
      </c>
      <c r="I599" s="1" t="n">
        <v>4940000</v>
      </c>
      <c r="J599" s="1" t="inlineStr">
        <is>
          <t>NGUYEN TRUNG NGHIA TRAN DUONG KIM TUYEN  25806400024 LNH0925ND01  0367978394 TAI VietinBank</t>
        </is>
      </c>
    </row>
    <row r="600">
      <c r="A600" s="1" t="inlineStr">
        <is>
          <t>27-Aug-25</t>
        </is>
      </c>
      <c r="B600" s="1" t="inlineStr">
        <is>
          <t>I60756</t>
        </is>
      </c>
      <c r="C600" s="1" t="inlineStr">
        <is>
          <t>25802800120</t>
        </is>
      </c>
      <c r="D600" s="1" t="inlineStr">
        <is>
          <t>Döông Gia</t>
        </is>
      </c>
      <c r="E600" s="1" t="inlineStr">
        <is>
          <t>Kieät</t>
        </is>
      </c>
      <c r="F600" s="1" t="inlineStr">
        <is>
          <t>01-Jun-07</t>
        </is>
      </c>
      <c r="G600" s="1" t="inlineStr">
        <is>
          <t>LNH0925ND01</t>
        </is>
      </c>
      <c r="H600" s="1" t="inlineStr">
        <is>
          <t>09AV Giao tiep QT (TS)</t>
        </is>
      </c>
      <c r="I600" s="1" t="n">
        <v>4940000</v>
      </c>
      <c r="J600" s="1" t="inlineStr">
        <is>
          <t>NGUYEN TRUNG NGHIA DUONG GIA KIET  25802800120  LNH092 5ND01  0876669863 TAI VietinBank</t>
        </is>
      </c>
    </row>
    <row r="601">
      <c r="A601" s="1" t="inlineStr">
        <is>
          <t>27-Aug-25</t>
        </is>
      </c>
      <c r="B601" s="1" t="inlineStr">
        <is>
          <t>I60757</t>
        </is>
      </c>
      <c r="C601" s="1" t="inlineStr">
        <is>
          <t>25800600036</t>
        </is>
      </c>
      <c r="D601" s="1" t="inlineStr">
        <is>
          <t>Ñoã Gia</t>
        </is>
      </c>
      <c r="E601" s="1" t="inlineStr">
        <is>
          <t>Baûo</t>
        </is>
      </c>
      <c r="F601" s="1" t="inlineStr">
        <is>
          <t>11-Oct-07</t>
        </is>
      </c>
      <c r="G601" s="1" t="inlineStr">
        <is>
          <t>LNH0925ND01</t>
        </is>
      </c>
      <c r="H601" s="1" t="inlineStr">
        <is>
          <t>09AV Giao tiep QT (TS)</t>
        </is>
      </c>
      <c r="I601" s="1" t="n">
        <v>5000000</v>
      </c>
      <c r="J601" s="1" t="inlineStr">
        <is>
          <t>NGUYEN TRUNG NGHIA DO GIA BAO  25800600036  LNH0925ND0 1  0395892900 TAI VietinBank</t>
        </is>
      </c>
    </row>
    <row r="602">
      <c r="A602" s="1" t="inlineStr">
        <is>
          <t>27-Aug-25</t>
        </is>
      </c>
      <c r="B602" s="1" t="inlineStr">
        <is>
          <t>I60758</t>
        </is>
      </c>
      <c r="C602" s="1" t="inlineStr">
        <is>
          <t>25808500042</t>
        </is>
      </c>
      <c r="D602" s="1" t="inlineStr">
        <is>
          <t>Traàn Chí</t>
        </is>
      </c>
      <c r="E602" s="1" t="inlineStr">
        <is>
          <t>Cöôøng</t>
        </is>
      </c>
      <c r="F602" s="1" t="inlineStr">
        <is>
          <t>21-Aug-07</t>
        </is>
      </c>
      <c r="G602" s="1" t="inlineStr">
        <is>
          <t>LNH0925ND01</t>
        </is>
      </c>
      <c r="H602" s="1" t="inlineStr">
        <is>
          <t>09AV Giao tiep QT (TS)</t>
        </is>
      </c>
      <c r="I602" s="1" t="n">
        <v>7000000</v>
      </c>
      <c r="J602" s="1" t="inlineStr">
        <is>
          <t>TRAN THI THANH MAI QR - Tran Chi Cong 25808500042 LNH0 925ND01 0343672421 TAI VietinBank</t>
        </is>
      </c>
    </row>
    <row r="603">
      <c r="A603" s="1" t="inlineStr">
        <is>
          <t>27-Aug-25</t>
        </is>
      </c>
      <c r="B603" s="1" t="inlineStr">
        <is>
          <t>I60759</t>
        </is>
      </c>
      <c r="C603" s="1" t="inlineStr">
        <is>
          <t>25801600070</t>
        </is>
      </c>
      <c r="D603" s="1" t="inlineStr">
        <is>
          <t>Phan Thaønh</t>
        </is>
      </c>
      <c r="E603" s="1" t="inlineStr">
        <is>
          <t>Nhaân</t>
        </is>
      </c>
      <c r="F603" s="1" t="inlineStr">
        <is>
          <t>09-Nov-07</t>
        </is>
      </c>
      <c r="G603" s="1" t="inlineStr">
        <is>
          <t>LNH0925ND01</t>
        </is>
      </c>
      <c r="H603" s="1" t="inlineStr">
        <is>
          <t>09AV Giao tiep QT (TS)</t>
        </is>
      </c>
      <c r="I603" s="1" t="n">
        <v>7415000</v>
      </c>
      <c r="J603" s="1" t="inlineStr">
        <is>
          <t>NGUYEN THI HONG YEN Phan thanh nhan msv 25801600070 mdt LNH0925ND01 0914608327 TAI IBT SMARTLINK            HANOI</t>
        </is>
      </c>
    </row>
    <row r="604">
      <c r="A604" s="1" t="inlineStr">
        <is>
          <t>27-Aug-25</t>
        </is>
      </c>
      <c r="B604" s="1" t="inlineStr">
        <is>
          <t>I60760</t>
        </is>
      </c>
      <c r="C604" s="1" t="inlineStr">
        <is>
          <t>25809100020</t>
        </is>
      </c>
      <c r="D604" s="1" t="inlineStr">
        <is>
          <t>Phaïm Huyønh Hai</t>
        </is>
      </c>
      <c r="E604" s="1" t="inlineStr">
        <is>
          <t>Tyû</t>
        </is>
      </c>
      <c r="F604" s="1" t="inlineStr">
        <is>
          <t>10-Jun-07</t>
        </is>
      </c>
      <c r="G604" s="1" t="inlineStr">
        <is>
          <t>LNH0925ND01</t>
        </is>
      </c>
      <c r="H604" s="1" t="inlineStr">
        <is>
          <t>09AV Giao tiep QT (TS)</t>
        </is>
      </c>
      <c r="I604" s="1" t="n">
        <v>7415000</v>
      </c>
      <c r="J604" s="1" t="inlineStr">
        <is>
          <t>MBBANK IBFT 98880083716 PHAM HUYNH HAITY 258091 0002 LNH0925ND0 0915027146 lop hoc toi 2 4 6 CHUYEN TIEN OQCH0001U7XQ MOMO98880083716MOMO TAI IBT-MB                   HANOI</t>
        </is>
      </c>
    </row>
    <row r="605">
      <c r="A605" s="1" t="inlineStr">
        <is>
          <t>27-Aug-25</t>
        </is>
      </c>
      <c r="B605" s="1" t="inlineStr">
        <is>
          <t>I60761</t>
        </is>
      </c>
      <c r="C605" s="1" t="inlineStr">
        <is>
          <t>25802800379</t>
        </is>
      </c>
      <c r="D605" s="1" t="inlineStr">
        <is>
          <t>Nguyeãn Thieân</t>
        </is>
      </c>
      <c r="E605" s="1" t="inlineStr">
        <is>
          <t>Phuùc</t>
        </is>
      </c>
      <c r="F605" s="1" t="inlineStr">
        <is>
          <t>27-Feb-07</t>
        </is>
      </c>
      <c r="G605" s="1" t="inlineStr">
        <is>
          <t>LNH0925ND01</t>
        </is>
      </c>
      <c r="H605" s="1" t="inlineStr">
        <is>
          <t>09AV Giao tiep QT (TS)</t>
        </is>
      </c>
      <c r="I605" s="1" t="n">
        <v>7415000</v>
      </c>
      <c r="J605" s="1" t="inlineStr">
        <is>
          <t>TRAN THI THANH MAI QR - Nguyen Thien Phu 2502800067 LN H0925ND01 0913196814 TAI VietinBank</t>
        </is>
      </c>
    </row>
    <row r="606">
      <c r="A606" s="1" t="inlineStr">
        <is>
          <t>27-Aug-25</t>
        </is>
      </c>
      <c r="B606" s="1" t="inlineStr">
        <is>
          <t>I60762</t>
        </is>
      </c>
      <c r="C606" s="1" t="inlineStr">
        <is>
          <t>25807500033</t>
        </is>
      </c>
      <c r="D606" s="1" t="inlineStr">
        <is>
          <t>Phaïm Minh</t>
        </is>
      </c>
      <c r="E606" s="1" t="inlineStr">
        <is>
          <t>Hoøa</t>
        </is>
      </c>
      <c r="F606" s="1" t="inlineStr">
        <is>
          <t>21-Nov-07</t>
        </is>
      </c>
      <c r="G606" s="1" t="inlineStr">
        <is>
          <t>LNH0925ND01</t>
        </is>
      </c>
      <c r="H606" s="1" t="inlineStr">
        <is>
          <t>09AV Giao tiep QT (TS)</t>
        </is>
      </c>
      <c r="I606" s="1" t="n">
        <v>7415000</v>
      </c>
      <c r="J606" s="1" t="inlineStr">
        <is>
          <t>PHAM VAN HOAI MBVCB.10701132306.445357.Pham Minh Hoa 25807500033 LNH0925ND01 0982466 739 Lop hoc toi 2-4-6.CT tu 0121000 867479 PHAM VAN HOAI toi 0521043748045 HUTECH tai ABBANK TAI Vietcombank</t>
        </is>
      </c>
    </row>
    <row r="607">
      <c r="A607" s="1" t="inlineStr">
        <is>
          <t>27-Aug-25</t>
        </is>
      </c>
      <c r="B607" s="1" t="inlineStr">
        <is>
          <t>I60763</t>
        </is>
      </c>
      <c r="C607" s="1" t="inlineStr">
        <is>
          <t>25802700069</t>
        </is>
      </c>
      <c r="D607" s="1" t="inlineStr">
        <is>
          <t>Nguyeãn Leâ Truùc</t>
        </is>
      </c>
      <c r="E607" s="1" t="inlineStr">
        <is>
          <t>Quyønh</t>
        </is>
      </c>
      <c r="F607" s="1" t="inlineStr">
        <is>
          <t>27-Aug-07</t>
        </is>
      </c>
      <c r="G607" s="1" t="inlineStr">
        <is>
          <t>LNH0925ND01</t>
        </is>
      </c>
      <c r="H607" s="1" t="inlineStr">
        <is>
          <t>09AV Giao tiep QT (TS)</t>
        </is>
      </c>
      <c r="I607" s="1" t="n">
        <v>8415000</v>
      </c>
      <c r="J607" s="1" t="inlineStr">
        <is>
          <t>NGUYEN LE TRUC MAI Nguyen Le Truc Quynh 25802700069 LN H0925ND01 0942904993 TAI IBT SMARTLINK            HANOI</t>
        </is>
      </c>
    </row>
    <row r="608">
      <c r="A608" s="1" t="inlineStr">
        <is>
          <t>27-Aug-25</t>
        </is>
      </c>
      <c r="B608" s="1" t="inlineStr">
        <is>
          <t>I60764</t>
        </is>
      </c>
      <c r="C608" s="1" t="inlineStr">
        <is>
          <t>25808200098</t>
        </is>
      </c>
      <c r="D608" s="1" t="inlineStr">
        <is>
          <t>Löông Tröôøng</t>
        </is>
      </c>
      <c r="E608" s="1" t="inlineStr">
        <is>
          <t>Phaùt</t>
        </is>
      </c>
      <c r="F608" s="1" t="inlineStr">
        <is>
          <t>07-May-07</t>
        </is>
      </c>
      <c r="G608" s="1" t="inlineStr">
        <is>
          <t>LNH0925ND01</t>
        </is>
      </c>
      <c r="H608" s="1" t="inlineStr">
        <is>
          <t>09AV Giao tiep QT (TS)</t>
        </is>
      </c>
      <c r="I608" s="1" t="n">
        <v>8415000</v>
      </c>
      <c r="J608" s="1" t="inlineStr">
        <is>
          <t>NGUYEN TRUNG NGHIA LUONG TRUONG PHAT  25808200098  LNH 0925ND01  0369663633 TAI VietinBank</t>
        </is>
      </c>
    </row>
    <row r="609">
      <c r="A609" s="1" t="inlineStr">
        <is>
          <t>27-Aug-25</t>
        </is>
      </c>
      <c r="B609" s="1" t="inlineStr">
        <is>
          <t>I60765</t>
        </is>
      </c>
      <c r="C609" s="1" t="inlineStr">
        <is>
          <t>25802800301</t>
        </is>
      </c>
      <c r="D609" s="1" t="inlineStr">
        <is>
          <t>Traàn Thaûo</t>
        </is>
      </c>
      <c r="E609" s="1" t="inlineStr">
        <is>
          <t>Vy</t>
        </is>
      </c>
      <c r="F609" s="1" t="inlineStr">
        <is>
          <t>07-Feb-07</t>
        </is>
      </c>
      <c r="G609" s="1" t="inlineStr">
        <is>
          <t>LNH0925ND01</t>
        </is>
      </c>
      <c r="H609" s="1" t="inlineStr">
        <is>
          <t>09AV Giao tiep QT (TS)</t>
        </is>
      </c>
      <c r="I609" s="1" t="n">
        <v>0</v>
      </c>
      <c r="J609" s="1" t="inlineStr">
        <is>
          <t>(Rut Hp)NGUYEN TRUNG NGHIA TRAN THAO VY  25802800301 LNH0925ND 01  0829959598 TAI VietinBank</t>
        </is>
      </c>
    </row>
    <row r="610">
      <c r="A610" s="1" t="inlineStr">
        <is>
          <t>27-Aug-25</t>
        </is>
      </c>
      <c r="B610" s="1" t="inlineStr">
        <is>
          <t>I60766</t>
        </is>
      </c>
      <c r="C610" s="1" t="inlineStr">
        <is>
          <t>25807400012</t>
        </is>
      </c>
      <c r="D610" s="1" t="inlineStr">
        <is>
          <t>Chaâu Laâm Gia</t>
        </is>
      </c>
      <c r="E610" s="1" t="inlineStr">
        <is>
          <t>Quyeân</t>
        </is>
      </c>
      <c r="F610" s="1" t="inlineStr">
        <is>
          <t>08-Nov-07</t>
        </is>
      </c>
      <c r="G610" s="1" t="inlineStr">
        <is>
          <t>LNH0925ND01</t>
        </is>
      </c>
      <c r="H610" s="1" t="inlineStr">
        <is>
          <t>09AV Giao tiep QT (TS)</t>
        </is>
      </c>
      <c r="I610" s="1" t="n">
        <v>8415000</v>
      </c>
      <c r="J610" s="1" t="inlineStr">
        <is>
          <t>SACOMBANK IBFT Chau Lam Gia Quyen 25807400012 LNH0925ND01 0964484008 TAI SACOMBANK              HCM</t>
        </is>
      </c>
    </row>
    <row r="611">
      <c r="A611" s="1" t="inlineStr">
        <is>
          <t>27-Aug-25</t>
        </is>
      </c>
      <c r="B611" s="1" t="inlineStr">
        <is>
          <t>I60767</t>
        </is>
      </c>
      <c r="C611" s="1" t="inlineStr">
        <is>
          <t>25800500325</t>
        </is>
      </c>
      <c r="D611" s="1" t="inlineStr">
        <is>
          <t>Ñoã Quang</t>
        </is>
      </c>
      <c r="E611" s="1" t="inlineStr">
        <is>
          <t>Quyù</t>
        </is>
      </c>
      <c r="F611" s="1" t="inlineStr">
        <is>
          <t>22-Feb-07</t>
        </is>
      </c>
      <c r="G611" s="1" t="inlineStr">
        <is>
          <t>LNH0925ND01</t>
        </is>
      </c>
      <c r="H611" s="1" t="inlineStr">
        <is>
          <t>09AV Giao tiep QT (TS)</t>
        </is>
      </c>
      <c r="I611" s="1" t="n">
        <v>8415000</v>
      </c>
      <c r="J611" s="1" t="inlineStr">
        <is>
          <t>DO TAN XUAN ABBank 0521043748045 Quang Quy 2500 500110 LNH0925ND01 0396941701 TAI Agribank</t>
        </is>
      </c>
    </row>
    <row r="612">
      <c r="A612" s="1" t="inlineStr">
        <is>
          <t>27-Aug-25</t>
        </is>
      </c>
      <c r="B612" s="1" t="inlineStr">
        <is>
          <t>I60768</t>
        </is>
      </c>
      <c r="C612" s="1" t="inlineStr">
        <is>
          <t>25800400170</t>
        </is>
      </c>
      <c r="D612" s="1" t="inlineStr">
        <is>
          <t>Toâ Buøi Hoaøng</t>
        </is>
      </c>
      <c r="E612" s="1" t="inlineStr">
        <is>
          <t>Tuaán</t>
        </is>
      </c>
      <c r="F612" s="1" t="inlineStr">
        <is>
          <t>14-Aug-07</t>
        </is>
      </c>
      <c r="G612" s="1" t="inlineStr">
        <is>
          <t>LNH0925ND01</t>
        </is>
      </c>
      <c r="H612" s="1" t="inlineStr">
        <is>
          <t>09AV Giao tiep QT (TS)</t>
        </is>
      </c>
      <c r="I612" s="1" t="n">
        <v>8415000</v>
      </c>
      <c r="J612" s="1" t="inlineStr">
        <is>
          <t>TO THI LAN PHUONG MBVCB.10694760065.167967.To bui hoa ng tuan - MSSV :25800400170. LNH092 5ND01   sdt : 0397926070.CT tu 0231 000142244 TO THI LAN PHUONG toi 0521043748045 HUTECH tai ABBANK TAI Vietcombank</t>
        </is>
      </c>
    </row>
    <row r="613">
      <c r="A613" s="1" t="inlineStr">
        <is>
          <t>27-Aug-25</t>
        </is>
      </c>
      <c r="B613" s="1" t="inlineStr">
        <is>
          <t>I60769</t>
        </is>
      </c>
      <c r="C613" s="1" t="inlineStr">
        <is>
          <t>25808700092</t>
        </is>
      </c>
      <c r="D613" s="1" t="inlineStr">
        <is>
          <t>Nguyeãn Chieán</t>
        </is>
      </c>
      <c r="E613" s="1" t="inlineStr">
        <is>
          <t>Thaéng</t>
        </is>
      </c>
      <c r="F613" s="1" t="inlineStr">
        <is>
          <t>11-Jun-07</t>
        </is>
      </c>
      <c r="G613" s="1" t="inlineStr">
        <is>
          <t>LNH0925ND01</t>
        </is>
      </c>
      <c r="H613" s="1" t="inlineStr">
        <is>
          <t>09AV Giao tiep QT (TS)</t>
        </is>
      </c>
      <c r="I613" s="1" t="n">
        <v>8415000</v>
      </c>
      <c r="J613" s="1" t="inlineStr">
        <is>
          <t>NGUYEN TUAN THANH QR - Nguyen Chien Thang 25808700092 LNH0925ND01  0858150488 TAI VietinBank</t>
        </is>
      </c>
    </row>
    <row r="614">
      <c r="A614" s="1" t="inlineStr">
        <is>
          <t>27-Aug-25</t>
        </is>
      </c>
      <c r="B614" s="1" t="inlineStr">
        <is>
          <t>I60770</t>
        </is>
      </c>
      <c r="C614" s="1" t="inlineStr">
        <is>
          <t>25809600056</t>
        </is>
      </c>
      <c r="D614" s="1" t="inlineStr">
        <is>
          <t>Nguyeãn Minh</t>
        </is>
      </c>
      <c r="E614" s="1" t="inlineStr">
        <is>
          <t>Quaân</t>
        </is>
      </c>
      <c r="F614" s="1" t="inlineStr">
        <is>
          <t>08-Aug-07</t>
        </is>
      </c>
      <c r="G614" s="1" t="inlineStr">
        <is>
          <t>LNH0925ND01</t>
        </is>
      </c>
      <c r="H614" s="1" t="inlineStr">
        <is>
          <t>09AV Giao tiep QT (TS)</t>
        </is>
      </c>
      <c r="I614" s="1" t="n">
        <v>0</v>
      </c>
      <c r="J614" s="1" t="inlineStr">
        <is>
          <t>(chuyen EDU)NGUYEN THI HUYEN ABBank 0521043748045 Nguyen Minh Qu an 25809600056 LNH0925ND01  0972424 112 TAI Agribank</t>
        </is>
      </c>
    </row>
    <row r="615">
      <c r="A615" s="1" t="inlineStr">
        <is>
          <t>27-Aug-25</t>
        </is>
      </c>
      <c r="B615" s="1" t="inlineStr">
        <is>
          <t>I60771</t>
        </is>
      </c>
      <c r="C615" s="1" t="inlineStr">
        <is>
          <t>25820700005</t>
        </is>
      </c>
      <c r="D615" s="1" t="inlineStr">
        <is>
          <t>Voõ Ngoïc Vaân</t>
        </is>
      </c>
      <c r="E615" s="1" t="inlineStr">
        <is>
          <t>Anh</t>
        </is>
      </c>
      <c r="F615" s="1" t="inlineStr">
        <is>
          <t>07-Apr-07</t>
        </is>
      </c>
      <c r="G615" s="1" t="inlineStr">
        <is>
          <t>LNH0925ND01</t>
        </is>
      </c>
      <c r="H615" s="1" t="inlineStr">
        <is>
          <t>09AV Giao tiep QT (TS)</t>
        </is>
      </c>
      <c r="I615" s="1" t="n">
        <v>8415000</v>
      </c>
      <c r="J615" s="1" t="inlineStr">
        <is>
          <t>TRAN THI THANH MAI QR - Vo Ngoc Van Anh 25820700005 LN H0925N001 TAI VietinBank</t>
        </is>
      </c>
    </row>
    <row r="616">
      <c r="A616" s="1" t="inlineStr">
        <is>
          <t>27-Aug-25</t>
        </is>
      </c>
      <c r="B616" s="1" t="inlineStr">
        <is>
          <t>I60772</t>
        </is>
      </c>
      <c r="C616" s="1" t="inlineStr">
        <is>
          <t>25802600095</t>
        </is>
      </c>
      <c r="D616" s="1" t="inlineStr">
        <is>
          <t>Ñinh Thò Linh</t>
        </is>
      </c>
      <c r="E616" s="1" t="inlineStr">
        <is>
          <t>Nhi</t>
        </is>
      </c>
      <c r="F616" s="1" t="inlineStr">
        <is>
          <t>21-Aug-07</t>
        </is>
      </c>
      <c r="G616" s="1" t="inlineStr">
        <is>
          <t>LNH0925ND01</t>
        </is>
      </c>
      <c r="H616" s="1" t="inlineStr">
        <is>
          <t>09AV Giao tiep QT (TS)</t>
        </is>
      </c>
      <c r="I616" s="1" t="n">
        <v>8415000</v>
      </c>
      <c r="J616" s="1" t="inlineStr">
        <is>
          <t>NGUYEN TRUNG NGHIA DINH THI LINH NHI  25802600095  LNH 0925ND01  0337898832 TAI VietinBank</t>
        </is>
      </c>
    </row>
    <row r="617">
      <c r="A617" s="1" t="inlineStr">
        <is>
          <t>27-Aug-25</t>
        </is>
      </c>
      <c r="B617" s="1" t="inlineStr">
        <is>
          <t>I60773</t>
        </is>
      </c>
      <c r="C617" s="1" t="inlineStr">
        <is>
          <t>25802800082</t>
        </is>
      </c>
      <c r="D617" s="1" t="inlineStr">
        <is>
          <t>Nguyeãn Quoác</t>
        </is>
      </c>
      <c r="E617" s="1" t="inlineStr">
        <is>
          <t>Huøng</t>
        </is>
      </c>
      <c r="F617" s="1" t="inlineStr">
        <is>
          <t>08-Jun-07</t>
        </is>
      </c>
      <c r="G617" s="1" t="inlineStr">
        <is>
          <t>LNH0925ND01</t>
        </is>
      </c>
      <c r="H617" s="1" t="inlineStr">
        <is>
          <t>09AV Giao tiep QT (TS)</t>
        </is>
      </c>
      <c r="I617" s="1" t="n">
        <v>8415000</v>
      </c>
      <c r="J617" s="1" t="inlineStr">
        <is>
          <t>TRAN THI THANH MAI QR - Nguyen Quoc Hung 25802800082 L NH0925 ND01 0397171505 TAI VietinBank</t>
        </is>
      </c>
    </row>
    <row r="618">
      <c r="A618" s="1" t="inlineStr">
        <is>
          <t>27-Aug-25</t>
        </is>
      </c>
      <c r="B618" s="1" t="inlineStr">
        <is>
          <t>I60774</t>
        </is>
      </c>
      <c r="C618" s="1" t="inlineStr">
        <is>
          <t>25809300003</t>
        </is>
      </c>
      <c r="D618" s="1" t="inlineStr">
        <is>
          <t>Nguyeãn Ñaéc</t>
        </is>
      </c>
      <c r="E618" s="1" t="inlineStr">
        <is>
          <t>Taøi</t>
        </is>
      </c>
      <c r="F618" s="1" t="inlineStr">
        <is>
          <t>13-Jul-07</t>
        </is>
      </c>
      <c r="G618" s="1" t="inlineStr">
        <is>
          <t>LNH0925ND01</t>
        </is>
      </c>
      <c r="H618" s="1" t="inlineStr">
        <is>
          <t>09AV Giao tiep QT (TS)</t>
        </is>
      </c>
      <c r="I618" s="1" t="n">
        <v>8415000</v>
      </c>
      <c r="J618" s="1" t="inlineStr">
        <is>
          <t>PHAN THUY DAN Nguyen Dac Tai 25809300003 LNH0925N D01 0836554458 TAI IBT SEAB BANK            HANOI</t>
        </is>
      </c>
    </row>
    <row r="619">
      <c r="A619" s="1" t="inlineStr">
        <is>
          <t>27-Aug-25</t>
        </is>
      </c>
      <c r="B619" s="1" t="inlineStr">
        <is>
          <t>I60775</t>
        </is>
      </c>
      <c r="C619" s="1" t="inlineStr">
        <is>
          <t>25806400010</t>
        </is>
      </c>
      <c r="D619" s="1" t="inlineStr">
        <is>
          <t>Traàn Vuõ Gia</t>
        </is>
      </c>
      <c r="E619" s="1" t="inlineStr">
        <is>
          <t>Huy</t>
        </is>
      </c>
      <c r="F619" s="1" t="inlineStr">
        <is>
          <t>05-Apr-07</t>
        </is>
      </c>
      <c r="G619" s="1" t="inlineStr">
        <is>
          <t>LNH0925ND01</t>
        </is>
      </c>
      <c r="H619" s="1" t="inlineStr">
        <is>
          <t>09AV Giao tiep QT (TS)</t>
        </is>
      </c>
      <c r="I619" s="1" t="n">
        <v>8415000</v>
      </c>
      <c r="J619" s="1" t="inlineStr">
        <is>
          <t>VU THI KIM OANH TRAN VU GIA HUY 25806400010 LNH0925 ND01 0835195956-270825-10 00 36 241 087 TAI Ngan hang a chau       IBT SMARLINK</t>
        </is>
      </c>
    </row>
    <row r="620">
      <c r="A620" s="1" t="inlineStr">
        <is>
          <t>27-Aug-25</t>
        </is>
      </c>
      <c r="B620" s="1" t="inlineStr">
        <is>
          <t>I60776</t>
        </is>
      </c>
      <c r="C620" s="1" t="inlineStr">
        <is>
          <t>25800400059</t>
        </is>
      </c>
      <c r="D620" s="1" t="inlineStr">
        <is>
          <t>Phan Quoác</t>
        </is>
      </c>
      <c r="E620" s="1" t="inlineStr">
        <is>
          <t>Huy</t>
        </is>
      </c>
      <c r="F620" s="1" t="inlineStr">
        <is>
          <t>17-May-07</t>
        </is>
      </c>
      <c r="G620" s="1" t="inlineStr">
        <is>
          <t>LNH0925ND01</t>
        </is>
      </c>
      <c r="H620" s="1" t="inlineStr">
        <is>
          <t>09AV Giao tiep QT (TS)</t>
        </is>
      </c>
      <c r="I620" s="1" t="n">
        <v>8415000</v>
      </c>
      <c r="J620" s="1" t="inlineStr">
        <is>
          <t>PHAN HOANG VU PHAN QUOC HUY 25800400059 LNH0925ND 01 0358734328 TAI IBT BIDV                 HANOI</t>
        </is>
      </c>
    </row>
    <row r="621">
      <c r="A621" s="1" t="inlineStr">
        <is>
          <t>27-Aug-25</t>
        </is>
      </c>
      <c r="B621" s="1" t="inlineStr">
        <is>
          <t>I60777</t>
        </is>
      </c>
      <c r="C621" s="1" t="inlineStr">
        <is>
          <t>25802700003</t>
        </is>
      </c>
      <c r="D621" s="1" t="inlineStr">
        <is>
          <t>Traàn Ñình</t>
        </is>
      </c>
      <c r="E621" s="1" t="inlineStr">
        <is>
          <t>An</t>
        </is>
      </c>
      <c r="F621" s="1" t="inlineStr">
        <is>
          <t>06-Oct-07</t>
        </is>
      </c>
      <c r="G621" s="1" t="inlineStr">
        <is>
          <t>LNH0925ND01</t>
        </is>
      </c>
      <c r="H621" s="1" t="inlineStr">
        <is>
          <t>09AV Giao tiep QT (TS)</t>
        </is>
      </c>
      <c r="I621" s="1" t="n">
        <v>8415000</v>
      </c>
      <c r="J621" s="1" t="inlineStr">
        <is>
          <t>NGUYEN THI THUY TRAN DINH AN 25802700003.   LNH0925 ND01    0969310148-270825-10 26 07 284261 TAI Ngan hang a chau       IBT SMARLINK</t>
        </is>
      </c>
    </row>
    <row r="622">
      <c r="A622" s="1" t="inlineStr">
        <is>
          <t>27-Aug-25</t>
        </is>
      </c>
      <c r="B622" s="1" t="inlineStr">
        <is>
          <t>I60778</t>
        </is>
      </c>
      <c r="C622" s="1" t="inlineStr">
        <is>
          <t>25801100017</t>
        </is>
      </c>
      <c r="D622" s="1" t="inlineStr">
        <is>
          <t>Huyønh Trung</t>
        </is>
      </c>
      <c r="E622" s="1" t="inlineStr">
        <is>
          <t>Haäu</t>
        </is>
      </c>
      <c r="F622" s="1" t="inlineStr">
        <is>
          <t>13-Sep-07</t>
        </is>
      </c>
      <c r="G622" s="1" t="inlineStr">
        <is>
          <t>LNH0925ND01</t>
        </is>
      </c>
      <c r="H622" s="1" t="inlineStr">
        <is>
          <t>09AV Giao tiep QT (TS)</t>
        </is>
      </c>
      <c r="I622" s="1" t="n">
        <v>8415000</v>
      </c>
      <c r="J622" s="1" t="inlineStr">
        <is>
          <t>MBBANK IBFT Huynh Trung Hau 25801100017 LNH0925 ND01 0886172978 TAI IBT-MB                   HANOI</t>
        </is>
      </c>
    </row>
    <row r="623">
      <c r="A623" s="1" t="inlineStr">
        <is>
          <t>27-Aug-25</t>
        </is>
      </c>
      <c r="B623" s="1" t="inlineStr">
        <is>
          <t>I60779</t>
        </is>
      </c>
      <c r="C623" s="1" t="inlineStr">
        <is>
          <t>25820300009</t>
        </is>
      </c>
      <c r="D623" s="1" t="inlineStr">
        <is>
          <t>Trònh Nhaät</t>
        </is>
      </c>
      <c r="E623" s="1" t="inlineStr">
        <is>
          <t>Ñoâng</t>
        </is>
      </c>
      <c r="F623" s="1" t="inlineStr">
        <is>
          <t>08-Jan-07</t>
        </is>
      </c>
      <c r="G623" s="1" t="inlineStr">
        <is>
          <t>LNH0925ND01</t>
        </is>
      </c>
      <c r="H623" s="1" t="inlineStr">
        <is>
          <t>09AV Giao tiep QT (TS)</t>
        </is>
      </c>
      <c r="I623" s="1" t="n">
        <v>8415000</v>
      </c>
      <c r="J623" s="1" t="inlineStr">
        <is>
          <t>TRINH NHAT DONG ABBank 0521043748045 TRINH NHAT DON G 25820300009 LNH0925ND01 092136331 TAI Agribank</t>
        </is>
      </c>
    </row>
    <row r="624">
      <c r="A624" s="1" t="inlineStr">
        <is>
          <t>27-Aug-25</t>
        </is>
      </c>
      <c r="B624" s="1" t="inlineStr">
        <is>
          <t>I60780</t>
        </is>
      </c>
      <c r="C624" s="1" t="inlineStr">
        <is>
          <t>25800400291</t>
        </is>
      </c>
      <c r="D624" s="1" t="inlineStr">
        <is>
          <t>Phuøng Minh</t>
        </is>
      </c>
      <c r="E624" s="1" t="inlineStr">
        <is>
          <t>Trí</t>
        </is>
      </c>
      <c r="F624" s="1" t="inlineStr">
        <is>
          <t>23-Jul-07</t>
        </is>
      </c>
      <c r="G624" s="1" t="inlineStr">
        <is>
          <t>LNH0925ND01</t>
        </is>
      </c>
      <c r="H624" s="1" t="inlineStr">
        <is>
          <t>09AV Giao tiep QT (TS)</t>
        </is>
      </c>
      <c r="I624" s="1" t="n">
        <v>8415000</v>
      </c>
      <c r="J624" s="1" t="inlineStr">
        <is>
          <t>TRAN THI THANH MAI QR - Phung Minh Tri 2500400099 LNH0 925ND01 0362407212 TAI VietinBank</t>
        </is>
      </c>
    </row>
    <row r="625">
      <c r="A625" s="1" t="inlineStr">
        <is>
          <t>27-Aug-25</t>
        </is>
      </c>
      <c r="B625" s="1" t="inlineStr">
        <is>
          <t>I60781</t>
        </is>
      </c>
      <c r="C625" s="1" t="inlineStr">
        <is>
          <t>25820300027</t>
        </is>
      </c>
      <c r="D625" s="1" t="inlineStr">
        <is>
          <t>Haø Ñình</t>
        </is>
      </c>
      <c r="E625" s="1" t="inlineStr">
        <is>
          <t>Kieân</t>
        </is>
      </c>
      <c r="F625" s="1" t="inlineStr">
        <is>
          <t>02-Dec-07</t>
        </is>
      </c>
      <c r="G625" s="1" t="inlineStr">
        <is>
          <t>LNH0925ND01</t>
        </is>
      </c>
      <c r="H625" s="1" t="inlineStr">
        <is>
          <t>09AV Giao tiep QT (TS)</t>
        </is>
      </c>
      <c r="I625" s="1" t="n">
        <v>8415000</v>
      </c>
      <c r="J625" s="1" t="inlineStr">
        <is>
          <t>TRAN THI THANH MAI QR - Ha Dinh Kien 25820300027 LNH09 25ND01 0393336296 TAI VietinBank</t>
        </is>
      </c>
    </row>
    <row r="626">
      <c r="A626" s="1" t="inlineStr">
        <is>
          <t>27-Aug-25</t>
        </is>
      </c>
      <c r="B626" s="1" t="inlineStr">
        <is>
          <t>I60782</t>
        </is>
      </c>
      <c r="C626" s="1" t="inlineStr">
        <is>
          <t>25802800338</t>
        </is>
      </c>
      <c r="D626" s="1" t="inlineStr">
        <is>
          <t>Buøi Taân</t>
        </is>
      </c>
      <c r="E626" s="1" t="inlineStr">
        <is>
          <t>Nhaøn</t>
        </is>
      </c>
      <c r="F626" s="1" t="inlineStr">
        <is>
          <t>01-Jun-07</t>
        </is>
      </c>
      <c r="G626" s="1" t="inlineStr">
        <is>
          <t>LNH0925ND01</t>
        </is>
      </c>
      <c r="H626" s="1" t="inlineStr">
        <is>
          <t>09AV Giao tiep QT (TS)</t>
        </is>
      </c>
      <c r="I626" s="1" t="n">
        <v>8415000</v>
      </c>
      <c r="J626" s="1" t="inlineStr">
        <is>
          <t>TRAN THI THANH MAI QR - Bui Tan Nhan 25802800338 LNH09 25ND01 0348965918 TAI VietinBank</t>
        </is>
      </c>
    </row>
    <row r="627">
      <c r="A627" s="1" t="inlineStr">
        <is>
          <t>27-Aug-25</t>
        </is>
      </c>
      <c r="B627" s="1" t="inlineStr">
        <is>
          <t>I60783</t>
        </is>
      </c>
      <c r="C627" s="1" t="inlineStr">
        <is>
          <t>25806800040</t>
        </is>
      </c>
      <c r="D627" s="1" t="inlineStr">
        <is>
          <t>Phan Nguyeãn Traø</t>
        </is>
      </c>
      <c r="E627" s="1" t="inlineStr">
        <is>
          <t>My</t>
        </is>
      </c>
      <c r="F627" s="1" t="inlineStr">
        <is>
          <t>09-Jan-07</t>
        </is>
      </c>
      <c r="G627" s="1" t="inlineStr">
        <is>
          <t>LNH0925ND01</t>
        </is>
      </c>
      <c r="H627" s="1" t="inlineStr">
        <is>
          <t>09AV Giao tiep QT (TS)</t>
        </is>
      </c>
      <c r="I627" s="1" t="n">
        <v>8415000</v>
      </c>
      <c r="J627" s="1" t="inlineStr">
        <is>
          <t>PHAN NGUYEN TRA MY MBVCB.10696477996.303702.PHAN NGUYE N TRA MY 25806800040 LNH0925ND01 03 92768087.CT tu 1054165918 PHAN NGUY EN TRA MY toi 0521043748045 HUTECHtai ABBANK TAI Vietcombank</t>
        </is>
      </c>
    </row>
    <row r="628">
      <c r="A628" s="1" t="inlineStr">
        <is>
          <t>27-Aug-25</t>
        </is>
      </c>
      <c r="B628" s="1" t="inlineStr">
        <is>
          <t>I60784</t>
        </is>
      </c>
      <c r="C628" s="1" t="inlineStr">
        <is>
          <t>25807500053</t>
        </is>
      </c>
      <c r="D628" s="1" t="inlineStr">
        <is>
          <t>Traàn Tuaán</t>
        </is>
      </c>
      <c r="E628" s="1" t="inlineStr">
        <is>
          <t>Kieät</t>
        </is>
      </c>
      <c r="F628" s="1" t="inlineStr">
        <is>
          <t>06-Apr-07</t>
        </is>
      </c>
      <c r="G628" s="1" t="inlineStr">
        <is>
          <t>LNH0925ND01</t>
        </is>
      </c>
      <c r="H628" s="1" t="inlineStr">
        <is>
          <t>09AV Giao tiep QT (TS)</t>
        </is>
      </c>
      <c r="I628" s="1" t="n">
        <v>8415000</v>
      </c>
      <c r="J628" s="1" t="inlineStr">
        <is>
          <t>TRAN THI THANH MAI QR - Tran Tuan Kiet 25807500053 LNH 0925ND01 0392235265 TAI VietinBank</t>
        </is>
      </c>
    </row>
    <row r="629">
      <c r="A629" s="1" t="inlineStr">
        <is>
          <t>27-Aug-25</t>
        </is>
      </c>
      <c r="B629" s="1" t="inlineStr">
        <is>
          <t>I60785</t>
        </is>
      </c>
      <c r="C629" s="1" t="inlineStr">
        <is>
          <t>25801100044</t>
        </is>
      </c>
      <c r="D629" s="1" t="inlineStr">
        <is>
          <t>Leâ Vaên</t>
        </is>
      </c>
      <c r="E629" s="1" t="inlineStr">
        <is>
          <t>Nhaân</t>
        </is>
      </c>
      <c r="F629" s="1" t="inlineStr">
        <is>
          <t>08-Nov-07</t>
        </is>
      </c>
      <c r="G629" s="1" t="inlineStr">
        <is>
          <t>LNH0925ND01</t>
        </is>
      </c>
      <c r="H629" s="1" t="inlineStr">
        <is>
          <t>09AV Giao tiep QT (TS)</t>
        </is>
      </c>
      <c r="I629" s="1" t="n">
        <v>8415000</v>
      </c>
      <c r="J629" s="1" t="inlineStr">
        <is>
          <t>LE VAN VI LE VAN NHAN  25801100044  LNH0925ND 01  0869218769 TAI IBT BIDV                 HANOI</t>
        </is>
      </c>
    </row>
    <row r="630">
      <c r="A630" s="1" t="inlineStr">
        <is>
          <t>27-Aug-25</t>
        </is>
      </c>
      <c r="B630" s="1" t="inlineStr">
        <is>
          <t>I60786</t>
        </is>
      </c>
      <c r="C630" s="1" t="inlineStr">
        <is>
          <t>25805900003</t>
        </is>
      </c>
      <c r="D630" s="1" t="inlineStr">
        <is>
          <t>Ñinh Thò Ngoïc</t>
        </is>
      </c>
      <c r="E630" s="1" t="inlineStr">
        <is>
          <t>AÙnh</t>
        </is>
      </c>
      <c r="F630" s="1" t="inlineStr">
        <is>
          <t>02-Dec-07</t>
        </is>
      </c>
      <c r="G630" s="1" t="inlineStr">
        <is>
          <t>LNH0925ND01</t>
        </is>
      </c>
      <c r="H630" s="1" t="inlineStr">
        <is>
          <t>09AV Giao tiep QT (TS)</t>
        </is>
      </c>
      <c r="I630" s="1" t="n">
        <v>8415000</v>
      </c>
      <c r="J630" s="1" t="inlineStr">
        <is>
          <t>DINH XUAN TRINH DinhThiNgocAnh  25805900003 LNH0925 ND01 0814341331 TAI IBT EIB                  HCMC</t>
        </is>
      </c>
    </row>
    <row r="631">
      <c r="A631" s="1" t="inlineStr">
        <is>
          <t>27-Aug-25</t>
        </is>
      </c>
      <c r="B631" s="1" t="inlineStr">
        <is>
          <t>I60787</t>
        </is>
      </c>
      <c r="C631" s="1" t="inlineStr">
        <is>
          <t>25802600089</t>
        </is>
      </c>
      <c r="D631" s="1" t="inlineStr">
        <is>
          <t>Ñaëng Kim Phöông</t>
        </is>
      </c>
      <c r="E631" s="1" t="inlineStr">
        <is>
          <t>Nghi</t>
        </is>
      </c>
      <c r="F631" s="1" t="inlineStr">
        <is>
          <t>25-Oct-07</t>
        </is>
      </c>
      <c r="G631" s="1" t="inlineStr">
        <is>
          <t>LNH0925ND01</t>
        </is>
      </c>
      <c r="H631" s="1" t="inlineStr">
        <is>
          <t>09AV Giao tiep QT (TS)</t>
        </is>
      </c>
      <c r="I631" s="1" t="n">
        <v>8415000</v>
      </c>
      <c r="J631" s="1" t="inlineStr">
        <is>
          <t>DANG KIM HUY MBVCB.10697226162.801954.DANG KIM P HUONG NGHI 25802600089 LNH0925ND01 0792330111.CT tu 1021662745 DANG KI M HUY toi 0521043748045 HUTECH taiABBANK TAI Vietcombank</t>
        </is>
      </c>
    </row>
    <row r="632">
      <c r="A632" s="1" t="inlineStr">
        <is>
          <t>27-Aug-25</t>
        </is>
      </c>
      <c r="B632" s="1" t="inlineStr">
        <is>
          <t>I60788</t>
        </is>
      </c>
      <c r="C632" s="1" t="inlineStr">
        <is>
          <t>25800500021</t>
        </is>
      </c>
      <c r="D632" s="1" t="inlineStr">
        <is>
          <t>Tröông Troïng</t>
        </is>
      </c>
      <c r="E632" s="1" t="inlineStr">
        <is>
          <t>Bình</t>
        </is>
      </c>
      <c r="F632" s="1" t="inlineStr">
        <is>
          <t>12-Jul-07</t>
        </is>
      </c>
      <c r="G632" s="1" t="inlineStr">
        <is>
          <t>LNH0925ND01</t>
        </is>
      </c>
      <c r="H632" s="1" t="inlineStr">
        <is>
          <t>09AV Giao tiep QT (TS)</t>
        </is>
      </c>
      <c r="I632" s="1" t="n">
        <v>8415000</v>
      </c>
      <c r="J632" s="1" t="inlineStr">
        <is>
          <t>MBBANK IBFT Truong Trong Binh 25800500021 LNH09 25ND01 0815327574 TAI IBT-MB                   HANOI</t>
        </is>
      </c>
    </row>
    <row r="633">
      <c r="A633" s="1" t="inlineStr">
        <is>
          <t>27-Aug-25</t>
        </is>
      </c>
      <c r="B633" s="1" t="inlineStr">
        <is>
          <t>I60789</t>
        </is>
      </c>
      <c r="C633" s="1" t="inlineStr">
        <is>
          <t>25808500106</t>
        </is>
      </c>
      <c r="D633" s="1" t="inlineStr">
        <is>
          <t>Phaïm Ngoïc</t>
        </is>
      </c>
      <c r="E633" s="1" t="inlineStr">
        <is>
          <t>Haân</t>
        </is>
      </c>
      <c r="F633" s="1" t="inlineStr">
        <is>
          <t>05-Oct-07</t>
        </is>
      </c>
      <c r="G633" s="1" t="inlineStr">
        <is>
          <t>LNH0925ND01</t>
        </is>
      </c>
      <c r="H633" s="1" t="inlineStr">
        <is>
          <t>09AV Giao tiep QT (TS)</t>
        </is>
      </c>
      <c r="I633" s="1" t="n">
        <v>8415000</v>
      </c>
      <c r="J633" s="1" t="inlineStr">
        <is>
          <t>PHAM VAN MANH MBVCB.10697321538.872756.PHAM NGOC HAN  25808500106 LNH0925ND01  09379 07067.CT tu 0081000268604 PHAM VAN MANH toi 0521043748045 HUTECH tai ABBANK TAI Vietcombank</t>
        </is>
      </c>
    </row>
    <row r="634">
      <c r="A634" s="1" t="inlineStr">
        <is>
          <t>27-Aug-25</t>
        </is>
      </c>
      <c r="B634" s="1" t="inlineStr">
        <is>
          <t>I60790</t>
        </is>
      </c>
      <c r="C634" s="1" t="inlineStr">
        <is>
          <t>25808600018</t>
        </is>
      </c>
      <c r="D634" s="1" t="inlineStr">
        <is>
          <t>Ngoâ Vaên</t>
        </is>
      </c>
      <c r="E634" s="1" t="inlineStr">
        <is>
          <t>Duõng</t>
        </is>
      </c>
      <c r="F634" s="1" t="inlineStr">
        <is>
          <t>30-Oct-07</t>
        </is>
      </c>
      <c r="G634" s="1" t="inlineStr">
        <is>
          <t>LNH0925ND01</t>
        </is>
      </c>
      <c r="H634" s="1" t="inlineStr">
        <is>
          <t>09AV Giao tiep QT (TS)</t>
        </is>
      </c>
      <c r="I634" s="1" t="n">
        <v>8415000</v>
      </c>
      <c r="J634" s="1" t="inlineStr">
        <is>
          <t>TRAN THI THANH MAI QR - Ngo Van Dung 25808600018 LNH09 25ND01 0396386882 TAI VietinBank</t>
        </is>
      </c>
    </row>
    <row r="635">
      <c r="A635" s="1" t="inlineStr">
        <is>
          <t>27-Aug-25</t>
        </is>
      </c>
      <c r="B635" s="1" t="inlineStr">
        <is>
          <t>I60791</t>
        </is>
      </c>
      <c r="C635" s="1" t="inlineStr">
        <is>
          <t>25807100028</t>
        </is>
      </c>
      <c r="D635" s="1" t="inlineStr">
        <is>
          <t>Traàn Nhaät</t>
        </is>
      </c>
      <c r="E635" s="1" t="inlineStr">
        <is>
          <t>Anh</t>
        </is>
      </c>
      <c r="F635" s="1" t="inlineStr">
        <is>
          <t>06-Nov-07</t>
        </is>
      </c>
      <c r="G635" s="1" t="inlineStr">
        <is>
          <t>LNH0925ND01</t>
        </is>
      </c>
      <c r="H635" s="1" t="inlineStr">
        <is>
          <t>09AV Giao tiep QT (TS)</t>
        </is>
      </c>
      <c r="I635" s="1" t="n">
        <v>8415000</v>
      </c>
      <c r="J635" s="1" t="inlineStr">
        <is>
          <t>KIEU THI LOAN ABBank 0521043748045 tran nhat Anh 2507100015 LNH0925ND01 0898981087 TAI Agribank</t>
        </is>
      </c>
    </row>
    <row r="636">
      <c r="A636" s="1" t="inlineStr">
        <is>
          <t>27-Aug-25</t>
        </is>
      </c>
      <c r="B636" s="1" t="inlineStr">
        <is>
          <t>I60792</t>
        </is>
      </c>
      <c r="C636" s="1" t="inlineStr">
        <is>
          <t>25801100082</t>
        </is>
      </c>
      <c r="D636" s="1" t="inlineStr">
        <is>
          <t>Nguyeãn Thò Thaûo</t>
        </is>
      </c>
      <c r="E636" s="1" t="inlineStr">
        <is>
          <t>Vy</t>
        </is>
      </c>
      <c r="F636" s="1" t="inlineStr">
        <is>
          <t>26-Dec-07</t>
        </is>
      </c>
      <c r="G636" s="1" t="inlineStr">
        <is>
          <t>LNH0925ND01</t>
        </is>
      </c>
      <c r="H636" s="1" t="inlineStr">
        <is>
          <t>09AV Giao tiep QT (TS)</t>
        </is>
      </c>
      <c r="I636" s="1" t="n">
        <v>8415000</v>
      </c>
      <c r="J636" s="1" t="inlineStr">
        <is>
          <t>NGUYEN THI THAO VY QR - NGUYEN THI THAO VY 25801100082 LNH0925ND01 0379154642 TAI VietinBank</t>
        </is>
      </c>
    </row>
    <row r="637">
      <c r="A637" s="1" t="inlineStr">
        <is>
          <t>27-Aug-25</t>
        </is>
      </c>
      <c r="B637" s="1" t="inlineStr">
        <is>
          <t>I60793</t>
        </is>
      </c>
      <c r="C637" s="1" t="inlineStr">
        <is>
          <t>25800400088</t>
        </is>
      </c>
      <c r="D637" s="1" t="inlineStr">
        <is>
          <t>Nguyeãn Ñoã Anh</t>
        </is>
      </c>
      <c r="E637" s="1" t="inlineStr">
        <is>
          <t>Kieät</t>
        </is>
      </c>
      <c r="F637" s="1" t="inlineStr">
        <is>
          <t>25-Sep-07</t>
        </is>
      </c>
      <c r="G637" s="1" t="inlineStr">
        <is>
          <t>LNH0925ND01</t>
        </is>
      </c>
      <c r="H637" s="1" t="inlineStr">
        <is>
          <t>09AV Giao tiep QT (TS)</t>
        </is>
      </c>
      <c r="I637" s="1" t="n">
        <v>8415000</v>
      </c>
      <c r="J637" s="1" t="inlineStr">
        <is>
          <t>DO NGOC PHUONG MBVCB.10698130682.407315.NGUYEN DO ANH KIET 25800400088 LNH0925ND01 03 39534293.CT tu 1036414916 DO NGOC P HUONG toi 0521043748045 HUTECH taiABBANK TAI Vietcombank</t>
        </is>
      </c>
    </row>
    <row r="638">
      <c r="A638" s="1" t="inlineStr">
        <is>
          <t>27-Aug-25</t>
        </is>
      </c>
      <c r="B638" s="1" t="inlineStr">
        <is>
          <t>I60794</t>
        </is>
      </c>
      <c r="C638" s="1" t="inlineStr">
        <is>
          <t>25800400055</t>
        </is>
      </c>
      <c r="D638" s="1" t="inlineStr">
        <is>
          <t>Ngoâ Laâm Baûo</t>
        </is>
      </c>
      <c r="E638" s="1" t="inlineStr">
        <is>
          <t>Huy</t>
        </is>
      </c>
      <c r="F638" s="1" t="inlineStr">
        <is>
          <t>22-Sep-07</t>
        </is>
      </c>
      <c r="G638" s="1" t="inlineStr">
        <is>
          <t>LNH0925ND01</t>
        </is>
      </c>
      <c r="H638" s="1" t="inlineStr">
        <is>
          <t>09AV Giao tiep QT (TS)</t>
        </is>
      </c>
      <c r="I638" s="1" t="n">
        <v>8415000</v>
      </c>
      <c r="J638" s="1" t="inlineStr">
        <is>
          <t>TRINH HIEU THAO MBVCB.10698252721.487766.TRINH HIEU THAO chuyen tienNgo Lam Bao Huy  M SV 25800400055 MDT:LNH0925ND01   SD T0904124431.CT tu 0251002660598 TRINH HIEU THAO toi 0521043748045 HUTECH tai ABBANK TAI Vietcombank</t>
        </is>
      </c>
    </row>
    <row r="639">
      <c r="A639" s="1" t="inlineStr">
        <is>
          <t>27-Aug-25</t>
        </is>
      </c>
      <c r="B639" s="1" t="inlineStr">
        <is>
          <t>I60795</t>
        </is>
      </c>
      <c r="C639" s="1" t="inlineStr">
        <is>
          <t>25820100044</t>
        </is>
      </c>
      <c r="D639" s="1" t="inlineStr">
        <is>
          <t>Chieâm Hoaøng</t>
        </is>
      </c>
      <c r="E639" s="1" t="inlineStr">
        <is>
          <t>Taân</t>
        </is>
      </c>
      <c r="F639" s="1" t="inlineStr">
        <is>
          <t>02-Oct-07</t>
        </is>
      </c>
      <c r="G639" s="1" t="inlineStr">
        <is>
          <t>LNH0925ND01</t>
        </is>
      </c>
      <c r="H639" s="1" t="inlineStr">
        <is>
          <t>09AV Giao tiep QT (TS)</t>
        </is>
      </c>
      <c r="I639" s="1" t="n">
        <v>8415000</v>
      </c>
      <c r="J639" s="1" t="inlineStr">
        <is>
          <t>NGUYEN TRUNG NGHIA CHIEM HOANG TAN  25820100044  LNH09 25ND01  0794234230 TAI VietinBank</t>
        </is>
      </c>
    </row>
    <row r="640">
      <c r="A640" s="1" t="inlineStr">
        <is>
          <t>27-Aug-25</t>
        </is>
      </c>
      <c r="B640" s="1" t="inlineStr">
        <is>
          <t>I60796</t>
        </is>
      </c>
      <c r="C640" s="1" t="inlineStr">
        <is>
          <t>25807800120</t>
        </is>
      </c>
      <c r="D640" s="1" t="inlineStr">
        <is>
          <t>Traàn Vaên</t>
        </is>
      </c>
      <c r="E640" s="1" t="inlineStr">
        <is>
          <t>Quyeàn</t>
        </is>
      </c>
      <c r="F640" s="1" t="inlineStr">
        <is>
          <t>25-Feb-07</t>
        </is>
      </c>
      <c r="G640" s="1" t="inlineStr">
        <is>
          <t>LNH0925ND01</t>
        </is>
      </c>
      <c r="H640" s="1" t="inlineStr">
        <is>
          <t>09AV Giao tiep QT (TS)</t>
        </is>
      </c>
      <c r="I640" s="1" t="n">
        <v>8415000</v>
      </c>
      <c r="J640" s="1" t="inlineStr">
        <is>
          <t>TRAN VAN QUYEN MBVCB.10698375932.570103.TRAN VAN Q UYEN  25807800120 LNH0925ND01 03377 20652.CT tu 1035252771 TRAN VAN QUY EN toi 0521043748045 HUTECH tai ABBANK TAI Vietcombank</t>
        </is>
      </c>
    </row>
    <row r="641">
      <c r="A641" s="1" t="inlineStr">
        <is>
          <t>27-Aug-25</t>
        </is>
      </c>
      <c r="B641" s="1" t="inlineStr">
        <is>
          <t>I60797</t>
        </is>
      </c>
      <c r="C641" s="1" t="inlineStr">
        <is>
          <t>25807800085</t>
        </is>
      </c>
      <c r="D641" s="1" t="inlineStr">
        <is>
          <t>Toâ Hoaøng</t>
        </is>
      </c>
      <c r="E641" s="1" t="inlineStr">
        <is>
          <t>Minh</t>
        </is>
      </c>
      <c r="F641" s="1" t="inlineStr">
        <is>
          <t>11-Dec-07</t>
        </is>
      </c>
      <c r="G641" s="1" t="inlineStr">
        <is>
          <t>LNH0925ND01</t>
        </is>
      </c>
      <c r="H641" s="1" t="inlineStr">
        <is>
          <t>09AV Giao tiep QT (TS)</t>
        </is>
      </c>
      <c r="I641" s="1" t="n">
        <v>8415000</v>
      </c>
      <c r="J641" s="1" t="inlineStr">
        <is>
          <t>TO HOANG PHUC MBVCB.10698650986.750626.TO HOANG M INH  25807800085  LNH0925ND01  0979 157016.CT tu 1037067198 TO HOANG PH UC toi 0521043748045 HUTECH tai ABBANK TAI Vietcombank</t>
        </is>
      </c>
    </row>
    <row r="642">
      <c r="A642" s="1" t="inlineStr">
        <is>
          <t>27-Aug-25</t>
        </is>
      </c>
      <c r="B642" s="1" t="inlineStr">
        <is>
          <t>I60798</t>
        </is>
      </c>
      <c r="C642" s="1" t="inlineStr">
        <is>
          <t>25805900117</t>
        </is>
      </c>
      <c r="D642" s="1" t="inlineStr">
        <is>
          <t>Ñaëng Thò Truùc</t>
        </is>
      </c>
      <c r="E642" s="1" t="inlineStr">
        <is>
          <t>Phöông</t>
        </is>
      </c>
      <c r="F642" s="1" t="inlineStr">
        <is>
          <t>15-Oct-07</t>
        </is>
      </c>
      <c r="G642" s="1" t="inlineStr">
        <is>
          <t>LNH0925ND01</t>
        </is>
      </c>
      <c r="H642" s="1" t="inlineStr">
        <is>
          <t>09AV Giao tiep QT (TS)</t>
        </is>
      </c>
      <c r="I642" s="1" t="n">
        <v>8415000</v>
      </c>
      <c r="J642" s="1" t="inlineStr">
        <is>
          <t>TRAN THI MINH TAM QR - DANG THI TRUC PHUONG 250590004 6 LNH0925ND01 0907681594 TAI VietinBank</t>
        </is>
      </c>
    </row>
    <row r="643">
      <c r="A643" s="1" t="inlineStr">
        <is>
          <t>27-Aug-25</t>
        </is>
      </c>
      <c r="B643" s="1" t="inlineStr">
        <is>
          <t>I60799</t>
        </is>
      </c>
      <c r="C643" s="1" t="inlineStr">
        <is>
          <t>25800500012</t>
        </is>
      </c>
      <c r="D643" s="1" t="inlineStr">
        <is>
          <t>Döông Gia</t>
        </is>
      </c>
      <c r="E643" s="1" t="inlineStr">
        <is>
          <t>Baûo</t>
        </is>
      </c>
      <c r="F643" s="1" t="inlineStr">
        <is>
          <t>01-Aug-07</t>
        </is>
      </c>
      <c r="G643" s="1" t="inlineStr">
        <is>
          <t>LNH0925ND01</t>
        </is>
      </c>
      <c r="H643" s="1" t="inlineStr">
        <is>
          <t>09AV Giao tiep QT (TS)</t>
        </is>
      </c>
      <c r="I643" s="1" t="n">
        <v>8415000</v>
      </c>
      <c r="J643" s="1" t="inlineStr">
        <is>
          <t>HOANG THI VAN QR - Duong Gia Bao 25800500012 LNH0 925ND01 0969670727 TAI VietinBank</t>
        </is>
      </c>
    </row>
    <row r="644">
      <c r="A644" s="1" t="inlineStr">
        <is>
          <t>27-Aug-25</t>
        </is>
      </c>
      <c r="B644" s="1" t="inlineStr">
        <is>
          <t>I60800</t>
        </is>
      </c>
      <c r="C644" s="1" t="inlineStr">
        <is>
          <t>25820100019</t>
        </is>
      </c>
      <c r="D644" s="1" t="inlineStr">
        <is>
          <t>Hoà Quoác</t>
        </is>
      </c>
      <c r="E644" s="1" t="inlineStr">
        <is>
          <t>Khaùnh</t>
        </is>
      </c>
      <c r="F644" s="1" t="inlineStr">
        <is>
          <t>15-Apr-07</t>
        </is>
      </c>
      <c r="G644" s="1" t="inlineStr">
        <is>
          <t>LNH0925ND01</t>
        </is>
      </c>
      <c r="H644" s="1" t="inlineStr">
        <is>
          <t>09AV Giao tiep QT (TS)</t>
        </is>
      </c>
      <c r="I644" s="1" t="n">
        <v>8415000</v>
      </c>
      <c r="J644" s="1" t="inlineStr">
        <is>
          <t>PHAM THI THUY KIEU ABBank 0521043748045 Ho Quoc Khanh 25820100019 LNH0925ND01  0965440109 TAI Agribank</t>
        </is>
      </c>
    </row>
    <row r="645">
      <c r="A645" s="1" t="inlineStr">
        <is>
          <t>27-Aug-25</t>
        </is>
      </c>
      <c r="B645" s="1" t="inlineStr">
        <is>
          <t>I60801</t>
        </is>
      </c>
      <c r="C645" s="1" t="inlineStr">
        <is>
          <t>25808600051</t>
        </is>
      </c>
      <c r="D645" s="1" t="inlineStr">
        <is>
          <t>Maõ Thò</t>
        </is>
      </c>
      <c r="E645" s="1" t="inlineStr">
        <is>
          <t>Lieân</t>
        </is>
      </c>
      <c r="F645" s="1" t="inlineStr">
        <is>
          <t>27-Feb-05</t>
        </is>
      </c>
      <c r="G645" s="1" t="inlineStr">
        <is>
          <t>LNH0925ND01</t>
        </is>
      </c>
      <c r="H645" s="1" t="inlineStr">
        <is>
          <t>09AV Giao tiep QT (TS)</t>
        </is>
      </c>
      <c r="I645" s="1" t="n">
        <v>8415000</v>
      </c>
      <c r="J645" s="1" t="inlineStr">
        <is>
          <t>TRAN THI THANH MAI QR - Ma Thi Lien 25808600051 LNH092 5ND01 0859863273 TAI VietinBank</t>
        </is>
      </c>
    </row>
    <row r="646">
      <c r="A646" s="1" t="inlineStr">
        <is>
          <t>27-Aug-25</t>
        </is>
      </c>
      <c r="B646" s="1" t="inlineStr">
        <is>
          <t>I60802</t>
        </is>
      </c>
      <c r="C646" s="1" t="inlineStr">
        <is>
          <t>25800400114</t>
        </is>
      </c>
      <c r="D646" s="1" t="inlineStr">
        <is>
          <t>Traàn Thieän</t>
        </is>
      </c>
      <c r="E646" s="1" t="inlineStr">
        <is>
          <t>Nhaân</t>
        </is>
      </c>
      <c r="F646" s="1" t="inlineStr">
        <is>
          <t>25-Dec-07</t>
        </is>
      </c>
      <c r="G646" s="1" t="inlineStr">
        <is>
          <t>LNH0925ND01</t>
        </is>
      </c>
      <c r="H646" s="1" t="inlineStr">
        <is>
          <t>09AV Giao tiep QT (TS)</t>
        </is>
      </c>
      <c r="I646" s="1" t="n">
        <v>8475000</v>
      </c>
      <c r="J646" s="1" t="inlineStr">
        <is>
          <t>TRAN XUAN CAM MBVCB.10694430816.947615.TranThienN han 25800400114 LNH0925ND01 0962199 177  357.CT tu 0051000155466 TRAN X UAN CAM toi 0521043748045 HUTECH tai ABBANK TAI Vietcombank</t>
        </is>
      </c>
    </row>
    <row r="647">
      <c r="A647" s="1" t="inlineStr">
        <is>
          <t>28-Aug-25</t>
        </is>
      </c>
      <c r="B647" s="1" t="inlineStr">
        <is>
          <t>I60810</t>
        </is>
      </c>
      <c r="C647" s="1" t="inlineStr">
        <is>
          <t>25800400102</t>
        </is>
      </c>
      <c r="D647" s="1" t="inlineStr">
        <is>
          <t>Leâ Gia</t>
        </is>
      </c>
      <c r="E647" s="1" t="inlineStr">
        <is>
          <t>Nam</t>
        </is>
      </c>
      <c r="F647" s="1" t="inlineStr">
        <is>
          <t>19-Feb-07</t>
        </is>
      </c>
      <c r="G647" s="1" t="inlineStr">
        <is>
          <t>LNH0925ND01</t>
        </is>
      </c>
      <c r="H647" s="1" t="inlineStr">
        <is>
          <t>09AV Giao tiep QT (TS)</t>
        </is>
      </c>
      <c r="I647" s="1" t="n">
        <v>500000</v>
      </c>
      <c r="J647" s="1" t="inlineStr">
        <is>
          <t>LE GIA NAM MBVCB.10707414709.710479.le gia nam 25800400102 LNH0925ND01 0329808127 .CT tu 1055012166 LE GIA NAM toi 05 21043748045 HUTECH tai ABBANK TAI Vietcombank</t>
        </is>
      </c>
    </row>
    <row r="648">
      <c r="A648" s="1" t="inlineStr">
        <is>
          <t>28-Aug-25</t>
        </is>
      </c>
      <c r="B648" s="1" t="inlineStr">
        <is>
          <t>I60811</t>
        </is>
      </c>
      <c r="C648" s="1" t="inlineStr">
        <is>
          <t>25807800229</t>
        </is>
      </c>
      <c r="D648" s="1" t="inlineStr">
        <is>
          <t>Phan Huyønh Quoác</t>
        </is>
      </c>
      <c r="E648" s="1" t="inlineStr">
        <is>
          <t>Thaéng</t>
        </is>
      </c>
      <c r="F648" s="1" t="inlineStr">
        <is>
          <t>09-Nov-07</t>
        </is>
      </c>
      <c r="G648" s="1" t="inlineStr">
        <is>
          <t>LNH0925ND01</t>
        </is>
      </c>
      <c r="H648" s="1" t="inlineStr">
        <is>
          <t>09AV Giao tiep QT (TS)</t>
        </is>
      </c>
      <c r="I648" s="1" t="n">
        <v>500000</v>
      </c>
      <c r="J648" s="1" t="inlineStr">
        <is>
          <t>NGUYEN TRUNG NGHIA PHAN HUYNH QUOC THANG  25807800229 LNH0925ND01  0912430377 TAI VietinBank</t>
        </is>
      </c>
    </row>
    <row r="649">
      <c r="A649" s="1" t="inlineStr">
        <is>
          <t>28-Aug-25</t>
        </is>
      </c>
      <c r="B649" s="1" t="inlineStr">
        <is>
          <t>I60812</t>
        </is>
      </c>
      <c r="C649" s="1" t="inlineStr">
        <is>
          <t>25800500288</t>
        </is>
      </c>
      <c r="D649" s="1" t="inlineStr">
        <is>
          <t>Nguyeãn Trung</t>
        </is>
      </c>
      <c r="E649" s="1" t="inlineStr">
        <is>
          <t>Hieáu</t>
        </is>
      </c>
      <c r="F649" s="1" t="inlineStr">
        <is>
          <t>02-Dec-07</t>
        </is>
      </c>
      <c r="G649" s="1" t="inlineStr">
        <is>
          <t>LNH0925ND01</t>
        </is>
      </c>
      <c r="H649" s="1" t="inlineStr">
        <is>
          <t>09AV Giao tiep QT (TS)</t>
        </is>
      </c>
      <c r="I649" s="1" t="n">
        <v>1000000</v>
      </c>
      <c r="J649" s="1" t="inlineStr">
        <is>
          <t>MBBANK IBFT Nguyen Trung Hieu 25800500288 LNH09 25ND01 0329741900 TAI IBT-MB                   HANOI</t>
        </is>
      </c>
    </row>
    <row r="650">
      <c r="A650" s="1" t="inlineStr">
        <is>
          <t>28-Aug-25</t>
        </is>
      </c>
      <c r="B650" s="1" t="inlineStr">
        <is>
          <t>I60813</t>
        </is>
      </c>
      <c r="C650" s="1" t="inlineStr">
        <is>
          <t>25808600109</t>
        </is>
      </c>
      <c r="D650" s="1" t="inlineStr">
        <is>
          <t>Vaên Coâng</t>
        </is>
      </c>
      <c r="E650" s="1" t="inlineStr">
        <is>
          <t>Thaønh</t>
        </is>
      </c>
      <c r="F650" s="1" t="inlineStr">
        <is>
          <t>22-Dec-07</t>
        </is>
      </c>
      <c r="G650" s="1" t="inlineStr">
        <is>
          <t>LNH0925ND01</t>
        </is>
      </c>
      <c r="H650" s="1" t="inlineStr">
        <is>
          <t>09AV Giao tiep QT (TS)</t>
        </is>
      </c>
      <c r="I650" s="1" t="n">
        <v>1000000</v>
      </c>
      <c r="J650" s="1" t="inlineStr">
        <is>
          <t>MBBANK IBFT Van Cong Thanh25808600109LNH0925ND0 10941246080 TAI IBT-MB                   HANOI</t>
        </is>
      </c>
    </row>
    <row r="651">
      <c r="A651" s="1" t="inlineStr">
        <is>
          <t>28-Aug-25</t>
        </is>
      </c>
      <c r="B651" s="1" t="inlineStr">
        <is>
          <t>I60814</t>
        </is>
      </c>
      <c r="C651" s="1" t="inlineStr">
        <is>
          <t>25808200247</t>
        </is>
      </c>
      <c r="D651" s="1" t="inlineStr">
        <is>
          <t>Leâ Quang</t>
        </is>
      </c>
      <c r="E651" s="1" t="inlineStr">
        <is>
          <t>Huy</t>
        </is>
      </c>
      <c r="F651" s="1" t="inlineStr">
        <is>
          <t>06-Jan-07</t>
        </is>
      </c>
      <c r="G651" s="1" t="inlineStr">
        <is>
          <t>LNH0925ND01</t>
        </is>
      </c>
      <c r="H651" s="1" t="inlineStr">
        <is>
          <t>09AV Giao tiep QT (TS)</t>
        </is>
      </c>
      <c r="I651" s="1" t="n">
        <v>1000000</v>
      </c>
      <c r="J651" s="1" t="inlineStr">
        <is>
          <t>TRAN THI THANH MAI QR - Le Quang Huy 25808200247 LNH09 25ND01 0357015085 TAI VietinBank</t>
        </is>
      </c>
    </row>
    <row r="652">
      <c r="A652" s="1" t="inlineStr">
        <is>
          <t>28-Aug-25</t>
        </is>
      </c>
      <c r="B652" s="1" t="inlineStr">
        <is>
          <t>I60815</t>
        </is>
      </c>
      <c r="C652" s="1" t="inlineStr">
        <is>
          <t>25807900016</t>
        </is>
      </c>
      <c r="D652" s="1" t="inlineStr">
        <is>
          <t>Nguyeãn Duy</t>
        </is>
      </c>
      <c r="E652" s="1" t="inlineStr">
        <is>
          <t>Huøng</t>
        </is>
      </c>
      <c r="F652" s="1" t="inlineStr">
        <is>
          <t>24-Dec-07</t>
        </is>
      </c>
      <c r="G652" s="1" t="inlineStr">
        <is>
          <t>LNH0925ND01</t>
        </is>
      </c>
      <c r="H652" s="1" t="inlineStr">
        <is>
          <t>09AV Giao tiep QT (TS)</t>
        </is>
      </c>
      <c r="I652" s="1" t="n">
        <v>1000000</v>
      </c>
      <c r="J652" s="1" t="inlineStr">
        <is>
          <t>TRAN THI THANH MAI QR - Nguyen Duy Hung 25807900016 LN H0925ND01 0334094180 TAI VietinBank</t>
        </is>
      </c>
    </row>
    <row r="653">
      <c r="A653" s="1" t="inlineStr">
        <is>
          <t>28-Aug-25</t>
        </is>
      </c>
      <c r="B653" s="1" t="inlineStr">
        <is>
          <t>I60816</t>
        </is>
      </c>
      <c r="C653" s="1" t="inlineStr">
        <is>
          <t>25808200052</t>
        </is>
      </c>
      <c r="D653" s="1" t="inlineStr">
        <is>
          <t>Nguyeãn Quang</t>
        </is>
      </c>
      <c r="E653" s="1" t="inlineStr">
        <is>
          <t>Huy</t>
        </is>
      </c>
      <c r="F653" s="1" t="inlineStr">
        <is>
          <t>29-Jan-07</t>
        </is>
      </c>
      <c r="G653" s="1" t="inlineStr">
        <is>
          <t>LNH0925ND01</t>
        </is>
      </c>
      <c r="H653" s="1" t="inlineStr">
        <is>
          <t>09AV Giao tiep QT (TS)</t>
        </is>
      </c>
      <c r="I653" s="1" t="n">
        <v>1000000</v>
      </c>
      <c r="J653" s="1" t="inlineStr">
        <is>
          <t>MBBANK IBFT Nguyen Quang Huy 25808200052 LNH092 5ND01 0973579291 TAI IBT-MB                   HANOI</t>
        </is>
      </c>
    </row>
    <row r="654">
      <c r="A654" s="1" t="inlineStr">
        <is>
          <t>28-Aug-25</t>
        </is>
      </c>
      <c r="B654" s="1" t="inlineStr">
        <is>
          <t>I60817</t>
        </is>
      </c>
      <c r="C654" s="1" t="inlineStr">
        <is>
          <t>25808900077</t>
        </is>
      </c>
      <c r="D654" s="1" t="inlineStr">
        <is>
          <t>Laâm Hoaøng</t>
        </is>
      </c>
      <c r="E654" s="1" t="inlineStr">
        <is>
          <t>Maïnh</t>
        </is>
      </c>
      <c r="F654" s="1" t="inlineStr">
        <is>
          <t>29-Mar-06</t>
        </is>
      </c>
      <c r="G654" s="1" t="inlineStr">
        <is>
          <t>LNH0925ND01</t>
        </is>
      </c>
      <c r="H654" s="1" t="inlineStr">
        <is>
          <t>09AV Giao tiep QT (TS)</t>
        </is>
      </c>
      <c r="I654" s="1" t="n">
        <v>1000000</v>
      </c>
      <c r="J654" s="1" t="inlineStr">
        <is>
          <t>LAM HOANG MANH MBVCB.10706275496.955187.Lam hoang manh 25808900077 LNH0925ND01  03748 45502.CT tu 1041196954 LAM HOANG MA NH toi 0521043748045 HUTECH tai ABBANK TAI Vietcombank</t>
        </is>
      </c>
    </row>
    <row r="655">
      <c r="A655" s="1" t="inlineStr">
        <is>
          <t>28-Aug-25</t>
        </is>
      </c>
      <c r="B655" s="1" t="inlineStr">
        <is>
          <t>I60818</t>
        </is>
      </c>
      <c r="C655" s="1" t="inlineStr">
        <is>
          <t>25802800036</t>
        </is>
      </c>
      <c r="D655" s="1" t="inlineStr">
        <is>
          <t>Nguyeãn Quyønh</t>
        </is>
      </c>
      <c r="E655" s="1" t="inlineStr">
        <is>
          <t>Duyeân</t>
        </is>
      </c>
      <c r="F655" s="1" t="inlineStr">
        <is>
          <t>02-Dec-07</t>
        </is>
      </c>
      <c r="G655" s="1" t="inlineStr">
        <is>
          <t>LNH0925ND01</t>
        </is>
      </c>
      <c r="H655" s="1" t="inlineStr">
        <is>
          <t>09AV Giao tiep QT (TS)</t>
        </is>
      </c>
      <c r="I655" s="1" t="n">
        <v>1000000</v>
      </c>
      <c r="J655" s="1" t="inlineStr">
        <is>
          <t>NGUYEN THI QUYNH NHU ABBank 0521043748045 NGUYEN QUYNH D UYEN-MSSV25802800036-DTSV0327400337 - LNH0925ND01 TAI Agribank</t>
        </is>
      </c>
    </row>
    <row r="656">
      <c r="A656" s="1" t="inlineStr">
        <is>
          <t>28-Aug-25</t>
        </is>
      </c>
      <c r="B656" s="1" t="inlineStr">
        <is>
          <t>I60819</t>
        </is>
      </c>
      <c r="C656" s="1" t="inlineStr">
        <is>
          <t>25809100019</t>
        </is>
      </c>
      <c r="D656" s="1" t="inlineStr">
        <is>
          <t>Leâ Traàn Anh</t>
        </is>
      </c>
      <c r="E656" s="1" t="inlineStr">
        <is>
          <t>Tuaán</t>
        </is>
      </c>
      <c r="F656" s="1" t="inlineStr">
        <is>
          <t>08-Aug-07</t>
        </is>
      </c>
      <c r="G656" s="1" t="inlineStr">
        <is>
          <t>LNH0925ND01</t>
        </is>
      </c>
      <c r="H656" s="1" t="inlineStr">
        <is>
          <t>09AV Giao tiep QT (TS)</t>
        </is>
      </c>
      <c r="I656" s="1" t="n">
        <v>1000000</v>
      </c>
      <c r="J656" s="1" t="inlineStr">
        <is>
          <t>TRAN THI THANH MAI QR - Le Tran Anh Tuan 25809100019 L NH0925ND01 0336288117 TAI VietinBank</t>
        </is>
      </c>
    </row>
    <row r="657">
      <c r="A657" s="1" t="inlineStr">
        <is>
          <t>28-Aug-25</t>
        </is>
      </c>
      <c r="B657" s="1" t="inlineStr">
        <is>
          <t>I60820</t>
        </is>
      </c>
      <c r="C657" s="1" t="inlineStr">
        <is>
          <t>25800500156</t>
        </is>
      </c>
      <c r="D657" s="1" t="inlineStr">
        <is>
          <t>Hoaøng Anh</t>
        </is>
      </c>
      <c r="E657" s="1" t="inlineStr">
        <is>
          <t>Thaùi</t>
        </is>
      </c>
      <c r="F657" s="1" t="inlineStr">
        <is>
          <t>22-Aug-07</t>
        </is>
      </c>
      <c r="G657" s="1" t="inlineStr">
        <is>
          <t>LNH0925ND01</t>
        </is>
      </c>
      <c r="H657" s="1" t="inlineStr">
        <is>
          <t>09AV Giao tiep QT (TS)</t>
        </is>
      </c>
      <c r="I657" s="1" t="n">
        <v>0</v>
      </c>
      <c r="J657" s="1" t="inlineStr">
        <is>
          <t>(chuyen EDU)HOANG TRUNG THANH QR - Hoang anh Thai 25800500156. LN H0925ND01 0372007547 TAI VietinBank</t>
        </is>
      </c>
    </row>
    <row r="658">
      <c r="A658" s="1" t="inlineStr">
        <is>
          <t>28-Aug-25</t>
        </is>
      </c>
      <c r="B658" s="1" t="inlineStr">
        <is>
          <t>I60821</t>
        </is>
      </c>
      <c r="C658" s="1" t="inlineStr">
        <is>
          <t>25801300009</t>
        </is>
      </c>
      <c r="D658" s="1" t="inlineStr">
        <is>
          <t>Nguyeãn Ngoïc Trung</t>
        </is>
      </c>
      <c r="E658" s="1" t="inlineStr">
        <is>
          <t>Hoaøng</t>
        </is>
      </c>
      <c r="F658" s="1" t="inlineStr">
        <is>
          <t>09-Mar-07</t>
        </is>
      </c>
      <c r="G658" s="1" t="inlineStr">
        <is>
          <t>LNH0925ND01</t>
        </is>
      </c>
      <c r="H658" s="1" t="inlineStr">
        <is>
          <t>09AV Giao tiep QT (TS)</t>
        </is>
      </c>
      <c r="I658" s="1" t="n">
        <v>1000000</v>
      </c>
      <c r="J658" s="1" t="inlineStr">
        <is>
          <t>NGUYEN TRUNG NGHIA NGUYEN NGOC TRUNG HOANG  2580130000 9  LNH0925ND01  0327620146 TAI VietinBank</t>
        </is>
      </c>
    </row>
    <row r="659">
      <c r="A659" s="1" t="inlineStr">
        <is>
          <t>28-Aug-25</t>
        </is>
      </c>
      <c r="B659" s="1" t="inlineStr">
        <is>
          <t>I60822</t>
        </is>
      </c>
      <c r="C659" s="1" t="inlineStr">
        <is>
          <t>25802100007</t>
        </is>
      </c>
      <c r="D659" s="1" t="inlineStr">
        <is>
          <t>Voõ Thaønh</t>
        </is>
      </c>
      <c r="E659" s="1" t="inlineStr">
        <is>
          <t>Ñaït</t>
        </is>
      </c>
      <c r="F659" s="1" t="inlineStr">
        <is>
          <t>14-Apr-07</t>
        </is>
      </c>
      <c r="G659" s="1" t="inlineStr">
        <is>
          <t>LNH0925ND01</t>
        </is>
      </c>
      <c r="H659" s="1" t="inlineStr">
        <is>
          <t>09AV Giao tiep QT (TS)</t>
        </is>
      </c>
      <c r="I659" s="1" t="n">
        <v>1000000</v>
      </c>
      <c r="J659" s="1" t="inlineStr">
        <is>
          <t>MBBANK IBFT Vo Thanh Dat  25802100007 LNH0925ND 01 0898764453 TAI IBT-MB                   HANOI</t>
        </is>
      </c>
    </row>
    <row r="660">
      <c r="A660" s="1" t="inlineStr">
        <is>
          <t>28-Aug-25</t>
        </is>
      </c>
      <c r="B660" s="1" t="inlineStr">
        <is>
          <t>I60823</t>
        </is>
      </c>
      <c r="C660" s="1" t="inlineStr">
        <is>
          <t>25806000004</t>
        </is>
      </c>
      <c r="D660" s="1" t="inlineStr">
        <is>
          <t>Huyønh Long</t>
        </is>
      </c>
      <c r="E660" s="1" t="inlineStr">
        <is>
          <t>Chöông</t>
        </is>
      </c>
      <c r="F660" s="1" t="inlineStr">
        <is>
          <t>28-Jun-07</t>
        </is>
      </c>
      <c r="G660" s="1" t="inlineStr">
        <is>
          <t>LNH0925ND01</t>
        </is>
      </c>
      <c r="H660" s="1" t="inlineStr">
        <is>
          <t>09AV Giao tiep QT (TS)</t>
        </is>
      </c>
      <c r="I660" s="1" t="n">
        <v>1000000</v>
      </c>
      <c r="J660" s="1" t="inlineStr">
        <is>
          <t>TRAN THI THANH MAI QR - Huynh Long Chuong 25806000004 LNH0925ND01 0339549845 TAI VietinBank</t>
        </is>
      </c>
    </row>
    <row r="661">
      <c r="A661" s="1" t="inlineStr">
        <is>
          <t>28-Aug-25</t>
        </is>
      </c>
      <c r="B661" s="1" t="inlineStr">
        <is>
          <t>I60824</t>
        </is>
      </c>
      <c r="C661" s="1" t="inlineStr">
        <is>
          <t>25807000014</t>
        </is>
      </c>
      <c r="D661" s="1" t="inlineStr">
        <is>
          <t>Huyønh Taán</t>
        </is>
      </c>
      <c r="E661" s="1" t="inlineStr">
        <is>
          <t>Loäc</t>
        </is>
      </c>
      <c r="F661" s="1" t="inlineStr">
        <is>
          <t>08-Jul-07</t>
        </is>
      </c>
      <c r="G661" s="1" t="inlineStr">
        <is>
          <t>LNH0925ND01</t>
        </is>
      </c>
      <c r="H661" s="1" t="inlineStr">
        <is>
          <t>09AV Giao tiep QT (TS)</t>
        </is>
      </c>
      <c r="I661" s="1" t="n">
        <v>1000000</v>
      </c>
      <c r="J661" s="1" t="inlineStr">
        <is>
          <t>TRAN THI TAM HUYNH TAN LOC 25807000014 LNH0925ND 01 0798969407-280825-09 15 46 85140 1 TAI Ngan hang a chau       IBT SMARLINK</t>
        </is>
      </c>
    </row>
    <row r="662">
      <c r="A662" s="1" t="inlineStr">
        <is>
          <t>28-Aug-25</t>
        </is>
      </c>
      <c r="B662" s="1" t="inlineStr">
        <is>
          <t>I60825</t>
        </is>
      </c>
      <c r="C662" s="1" t="inlineStr">
        <is>
          <t>25820700027</t>
        </is>
      </c>
      <c r="D662" s="1" t="inlineStr">
        <is>
          <t>Phaïm Lieãu Quyønh</t>
        </is>
      </c>
      <c r="E662" s="1" t="inlineStr">
        <is>
          <t>Nhö</t>
        </is>
      </c>
      <c r="F662" s="1" t="inlineStr">
        <is>
          <t>27-Mar-06</t>
        </is>
      </c>
      <c r="G662" s="1" t="inlineStr">
        <is>
          <t>LNH0925ND01</t>
        </is>
      </c>
      <c r="H662" s="1" t="inlineStr">
        <is>
          <t>09AV Giao tiep QT (TS)</t>
        </is>
      </c>
      <c r="I662" s="1" t="n">
        <v>1000000</v>
      </c>
      <c r="J662" s="1" t="inlineStr">
        <is>
          <t>TRAN THI THANH MAI QR - Pham Lieu Quynh Nhu 2582070002 7 LNH0925ND01 0382012209 TAI VietinBank</t>
        </is>
      </c>
    </row>
    <row r="663">
      <c r="A663" s="1" t="inlineStr">
        <is>
          <t>28-Aug-25</t>
        </is>
      </c>
      <c r="B663" s="1" t="inlineStr">
        <is>
          <t>I60826</t>
        </is>
      </c>
      <c r="C663" s="1" t="inlineStr">
        <is>
          <t>25802800242</t>
        </is>
      </c>
      <c r="D663" s="1" t="inlineStr">
        <is>
          <t>Phaïm Thuøy Phöông</t>
        </is>
      </c>
      <c r="E663" s="1" t="inlineStr">
        <is>
          <t>Thaûo</t>
        </is>
      </c>
      <c r="F663" s="1" t="inlineStr">
        <is>
          <t>19-Mar-06</t>
        </is>
      </c>
      <c r="G663" s="1" t="inlineStr">
        <is>
          <t>LNH0925ND01</t>
        </is>
      </c>
      <c r="H663" s="1" t="inlineStr">
        <is>
          <t>09AV Giao tiep QT (TS)</t>
        </is>
      </c>
      <c r="I663" s="1" t="n">
        <v>1000000</v>
      </c>
      <c r="J663" s="1" t="inlineStr">
        <is>
          <t>VND-TGTT-PHAM THUY PHUONG THAO PHAM THUY PHUONG THAO 25802800242 L NH0925ND01 FT25240503548653 TAI TECHCOMBANK            HANOI</t>
        </is>
      </c>
    </row>
    <row r="664">
      <c r="A664" s="1" t="inlineStr">
        <is>
          <t>28-Aug-25</t>
        </is>
      </c>
      <c r="B664" s="1" t="inlineStr">
        <is>
          <t>I60827</t>
        </is>
      </c>
      <c r="C664" s="1" t="inlineStr">
        <is>
          <t>25800500181</t>
        </is>
      </c>
      <c r="D664" s="1" t="inlineStr">
        <is>
          <t>Traàn Anh</t>
        </is>
      </c>
      <c r="E664" s="1" t="inlineStr">
        <is>
          <t>Tuaán</t>
        </is>
      </c>
      <c r="F664" s="1" t="inlineStr">
        <is>
          <t>24-Apr-07</t>
        </is>
      </c>
      <c r="G664" s="1" t="inlineStr">
        <is>
          <t>LNH0925ND01</t>
        </is>
      </c>
      <c r="H664" s="1" t="inlineStr">
        <is>
          <t>09AV Giao tiep QT (TS)</t>
        </is>
      </c>
      <c r="I664" s="1" t="n">
        <v>0</v>
      </c>
      <c r="J664" s="1" t="inlineStr">
        <is>
          <t>(chuyen edu)TRAN ANH TUAN TRAN ANH TUAN 25800500181 LNH0925ND 01 0876350113 FT25240106596930 TAI TECHCOMBANK            HANOI</t>
        </is>
      </c>
    </row>
    <row r="665">
      <c r="A665" s="1" t="inlineStr">
        <is>
          <t>28-Aug-25</t>
        </is>
      </c>
      <c r="B665" s="1" t="inlineStr">
        <is>
          <t>I60828</t>
        </is>
      </c>
      <c r="C665" s="1" t="inlineStr">
        <is>
          <t>25802800019</t>
        </is>
      </c>
      <c r="D665" s="1" t="inlineStr">
        <is>
          <t>Ninh Gia</t>
        </is>
      </c>
      <c r="E665" s="1" t="inlineStr">
        <is>
          <t>Baûo</t>
        </is>
      </c>
      <c r="F665" s="1" t="inlineStr">
        <is>
          <t>15-Oct-07</t>
        </is>
      </c>
      <c r="G665" s="1" t="inlineStr">
        <is>
          <t>LNH0925ND01</t>
        </is>
      </c>
      <c r="H665" s="1" t="inlineStr">
        <is>
          <t>09AV Giao tiep QT (TS)</t>
        </is>
      </c>
      <c r="I665" s="1" t="n">
        <v>1000000</v>
      </c>
      <c r="J665" s="1" t="inlineStr">
        <is>
          <t>TRAN THI THANH MAI QR - Ninh Gia Bao 25802800019 LNH09 25ND01 0962212389 TAI VietinBank</t>
        </is>
      </c>
    </row>
    <row r="666">
      <c r="A666" s="1" t="inlineStr">
        <is>
          <t>28-Aug-25</t>
        </is>
      </c>
      <c r="B666" s="1" t="inlineStr">
        <is>
          <t>I60829</t>
        </is>
      </c>
      <c r="C666" s="1" t="inlineStr">
        <is>
          <t>25808200258</t>
        </is>
      </c>
      <c r="D666" s="1" t="inlineStr">
        <is>
          <t>Ngoâ Phuùc</t>
        </is>
      </c>
      <c r="E666" s="1" t="inlineStr">
        <is>
          <t>Haûi</t>
        </is>
      </c>
      <c r="F666" s="1" t="inlineStr">
        <is>
          <t>19-Sep-07</t>
        </is>
      </c>
      <c r="G666" s="1" t="inlineStr">
        <is>
          <t>LNH0925ND01</t>
        </is>
      </c>
      <c r="H666" s="1" t="inlineStr">
        <is>
          <t>09AV Giao tiep QT (TS)</t>
        </is>
      </c>
      <c r="I666" s="1" t="n">
        <v>1000000</v>
      </c>
      <c r="J666" s="1" t="inlineStr">
        <is>
          <t>TRAN THI THANH MAI QR - Ngo Phuc Hai 25808200258 LNH09 25ND01 0936611631 TAI VietinBank</t>
        </is>
      </c>
    </row>
    <row r="667">
      <c r="A667" s="1" t="inlineStr">
        <is>
          <t>28-Aug-25</t>
        </is>
      </c>
      <c r="B667" s="1" t="inlineStr">
        <is>
          <t>I60830</t>
        </is>
      </c>
      <c r="C667" s="1" t="inlineStr">
        <is>
          <t>25801300027</t>
        </is>
      </c>
      <c r="D667" s="1" t="inlineStr">
        <is>
          <t>Ñinh Leâ Haân</t>
        </is>
      </c>
      <c r="E667" s="1" t="inlineStr">
        <is>
          <t>Nhi</t>
        </is>
      </c>
      <c r="F667" s="1" t="inlineStr">
        <is>
          <t>17-Apr-07</t>
        </is>
      </c>
      <c r="G667" s="1" t="inlineStr">
        <is>
          <t>LNH0925ND01</t>
        </is>
      </c>
      <c r="H667" s="1" t="inlineStr">
        <is>
          <t>09AV Giao tiep QT (TS)</t>
        </is>
      </c>
      <c r="I667" s="1" t="n">
        <v>1000000</v>
      </c>
      <c r="J667" s="1" t="inlineStr">
        <is>
          <t>MBBANK IBFT dinh le han nhi 25801300027 LNH0925 ND01 0376635868 TAI IBT-MB                   HANOI</t>
        </is>
      </c>
    </row>
    <row r="668">
      <c r="A668" s="1" t="inlineStr">
        <is>
          <t>28-Aug-25</t>
        </is>
      </c>
      <c r="B668" s="1" t="inlineStr">
        <is>
          <t>I60831</t>
        </is>
      </c>
      <c r="C668" s="1" t="inlineStr">
        <is>
          <t>25808200016</t>
        </is>
      </c>
      <c r="D668" s="1" t="inlineStr">
        <is>
          <t>Nguyeãn Sôn</t>
        </is>
      </c>
      <c r="E668" s="1" t="inlineStr">
        <is>
          <t>Baûo</t>
        </is>
      </c>
      <c r="F668" s="1" t="inlineStr">
        <is>
          <t>28-Jul-07</t>
        </is>
      </c>
      <c r="G668" s="1" t="inlineStr">
        <is>
          <t>LNH0925ND01</t>
        </is>
      </c>
      <c r="H668" s="1" t="inlineStr">
        <is>
          <t>09AV Giao tiep QT (TS)</t>
        </is>
      </c>
      <c r="I668" s="1" t="n">
        <v>1000000</v>
      </c>
      <c r="J668" s="1" t="inlineStr">
        <is>
          <t>NGUYEN TRUNG NGHIA NGUYEN SON BAO  25808200016  LNH092 5ND01  0824429605 TAI VietinBank</t>
        </is>
      </c>
    </row>
    <row r="669">
      <c r="A669" s="1" t="inlineStr">
        <is>
          <t>28-Aug-25</t>
        </is>
      </c>
      <c r="B669" s="1" t="inlineStr">
        <is>
          <t>I60832</t>
        </is>
      </c>
      <c r="C669" s="1" t="inlineStr">
        <is>
          <t>25808900122</t>
        </is>
      </c>
      <c r="D669" s="1" t="inlineStr">
        <is>
          <t>Nguyeãn Ngoïc</t>
        </is>
      </c>
      <c r="E669" s="1" t="inlineStr">
        <is>
          <t>Thuaän</t>
        </is>
      </c>
      <c r="F669" s="1" t="inlineStr">
        <is>
          <t>19-Aug-07</t>
        </is>
      </c>
      <c r="G669" s="1" t="inlineStr">
        <is>
          <t>LNH0925ND01</t>
        </is>
      </c>
      <c r="H669" s="1" t="inlineStr">
        <is>
          <t>09AV Giao tiep QT (TS)</t>
        </is>
      </c>
      <c r="I669" s="1" t="n">
        <v>1000000</v>
      </c>
      <c r="J669" s="1" t="inlineStr">
        <is>
          <t>MBBANK IBFT NGUYEN NGOC THUAN 25808900122 LNH09 25ND01 0865601547 TAI IBT-MB                   HANOI</t>
        </is>
      </c>
    </row>
    <row r="670">
      <c r="A670" s="1" t="inlineStr">
        <is>
          <t>28-Aug-25</t>
        </is>
      </c>
      <c r="B670" s="1" t="inlineStr">
        <is>
          <t>I60833</t>
        </is>
      </c>
      <c r="C670" s="1" t="inlineStr">
        <is>
          <t>25800500312</t>
        </is>
      </c>
      <c r="D670" s="1" t="inlineStr">
        <is>
          <t>Löu Khaûi</t>
        </is>
      </c>
      <c r="E670" s="1" t="inlineStr">
        <is>
          <t>Nguyeân</t>
        </is>
      </c>
      <c r="F670" s="1" t="inlineStr">
        <is>
          <t>24-Sep-07</t>
        </is>
      </c>
      <c r="G670" s="1" t="inlineStr">
        <is>
          <t>LNH0925ND01</t>
        </is>
      </c>
      <c r="H670" s="1" t="inlineStr">
        <is>
          <t>09AV Giao tiep QT (TS)</t>
        </is>
      </c>
      <c r="I670" s="1" t="n">
        <v>1000000</v>
      </c>
      <c r="J670" s="1" t="inlineStr">
        <is>
          <t>NGUYEN TRUNG NGHIA LUU KHAI NGUYEN  25800500312  LNH09 25ND01  0977042416 TAI VietinBank</t>
        </is>
      </c>
    </row>
    <row r="671">
      <c r="A671" s="1" t="inlineStr">
        <is>
          <t>28-Aug-25</t>
        </is>
      </c>
      <c r="B671" s="1" t="inlineStr">
        <is>
          <t>I60834</t>
        </is>
      </c>
      <c r="C671" s="1" t="inlineStr">
        <is>
          <t>25801300028</t>
        </is>
      </c>
      <c r="D671" s="1" t="inlineStr">
        <is>
          <t>Nguyeãn Thò Yeán</t>
        </is>
      </c>
      <c r="E671" s="1" t="inlineStr">
        <is>
          <t>Nhi</t>
        </is>
      </c>
      <c r="F671" s="1" t="inlineStr">
        <is>
          <t>30-Dec-07</t>
        </is>
      </c>
      <c r="G671" s="1" t="inlineStr">
        <is>
          <t>LNH0925ND01</t>
        </is>
      </c>
      <c r="H671" s="1" t="inlineStr">
        <is>
          <t>09AV Giao tiep QT (TS)</t>
        </is>
      </c>
      <c r="I671" s="1" t="n">
        <v>1000000</v>
      </c>
      <c r="J671" s="1" t="inlineStr">
        <is>
          <t>DINH THI THE PHUONG NGUYEN THI YEN NHI 25801300028 LNH0 925ND01 0936021280 TAI VietinBank</t>
        </is>
      </c>
    </row>
    <row r="672">
      <c r="A672" s="1" t="inlineStr">
        <is>
          <t>28-Aug-25</t>
        </is>
      </c>
      <c r="B672" s="1" t="inlineStr">
        <is>
          <t>I60835</t>
        </is>
      </c>
      <c r="C672" s="1" t="inlineStr">
        <is>
          <t>25802800289</t>
        </is>
      </c>
      <c r="D672" s="1" t="inlineStr">
        <is>
          <t>Nguyeãn Thò Lan</t>
        </is>
      </c>
      <c r="E672" s="1" t="inlineStr">
        <is>
          <t>Töôøng</t>
        </is>
      </c>
      <c r="F672" s="1" t="inlineStr">
        <is>
          <t>19-Mar-07</t>
        </is>
      </c>
      <c r="G672" s="1" t="inlineStr">
        <is>
          <t>LNH0925ND01</t>
        </is>
      </c>
      <c r="H672" s="1" t="inlineStr">
        <is>
          <t>09AV Giao tiep QT (TS)</t>
        </is>
      </c>
      <c r="I672" s="1" t="n">
        <v>1000000</v>
      </c>
      <c r="J672" s="1" t="inlineStr">
        <is>
          <t>DINH THI THE PHUONG NGUYEN THI LAN TUONG 25802800289 LN H0925ND01 0348955616 TAI VietinBank</t>
        </is>
      </c>
    </row>
    <row r="673">
      <c r="A673" s="1" t="inlineStr">
        <is>
          <t>28-Aug-25</t>
        </is>
      </c>
      <c r="B673" s="1" t="inlineStr">
        <is>
          <t>I60836</t>
        </is>
      </c>
      <c r="C673" s="1" t="inlineStr">
        <is>
          <t>25806100301</t>
        </is>
      </c>
      <c r="D673" s="1" t="inlineStr">
        <is>
          <t>Nguyeãn Nhöït Song</t>
        </is>
      </c>
      <c r="E673" s="1" t="inlineStr">
        <is>
          <t>Toaøn</t>
        </is>
      </c>
      <c r="F673" s="1" t="inlineStr">
        <is>
          <t>18-Jul-07</t>
        </is>
      </c>
      <c r="G673" s="1" t="inlineStr">
        <is>
          <t>LNH0925ND01</t>
        </is>
      </c>
      <c r="H673" s="1" t="inlineStr">
        <is>
          <t>09AV Giao tiep QT (TS)</t>
        </is>
      </c>
      <c r="I673" s="1" t="n">
        <v>1000000</v>
      </c>
      <c r="J673" s="1" t="inlineStr">
        <is>
          <t>DINH THI THE PHUONG NGUYEN NHUT SONG TOAN 25809300006 L NH0925ND01 0917601787 TAI VietinBank</t>
        </is>
      </c>
    </row>
    <row r="674">
      <c r="A674" s="1" t="inlineStr">
        <is>
          <t>28-Aug-25</t>
        </is>
      </c>
      <c r="B674" s="1" t="inlineStr">
        <is>
          <t>I60837</t>
        </is>
      </c>
      <c r="C674" s="1" t="inlineStr">
        <is>
          <t>25807100002</t>
        </is>
      </c>
      <c r="D674" s="1" t="inlineStr">
        <is>
          <t>Löu Nguyeãn Hoaøng</t>
        </is>
      </c>
      <c r="E674" s="1" t="inlineStr">
        <is>
          <t>Haø</t>
        </is>
      </c>
      <c r="F674" s="1" t="inlineStr">
        <is>
          <t>07-Jul-07</t>
        </is>
      </c>
      <c r="G674" s="1" t="inlineStr">
        <is>
          <t>LNH0925ND01</t>
        </is>
      </c>
      <c r="H674" s="1" t="inlineStr">
        <is>
          <t>09AV Giao tiep QT (TS)</t>
        </is>
      </c>
      <c r="I674" s="1" t="n">
        <v>1000000</v>
      </c>
      <c r="J674" s="1" t="inlineStr">
        <is>
          <t>VND-TGTT-LUU NGUYEN HOANG GIANG Luu Nguyen Hoang Ha mssv25807100002 LNH0925ND01 FT25240024289780 TAI TECHCOMBANK            HANOI</t>
        </is>
      </c>
    </row>
    <row r="675">
      <c r="A675" s="1" t="inlineStr">
        <is>
          <t>28-Aug-25</t>
        </is>
      </c>
      <c r="B675" s="1" t="inlineStr">
        <is>
          <t>I60838</t>
        </is>
      </c>
      <c r="C675" s="1" t="inlineStr">
        <is>
          <t>25800400151</t>
        </is>
      </c>
      <c r="D675" s="1" t="inlineStr">
        <is>
          <t>Phaïm Hoaøng</t>
        </is>
      </c>
      <c r="E675" s="1" t="inlineStr">
        <is>
          <t>Thoâng</t>
        </is>
      </c>
      <c r="F675" s="1" t="inlineStr">
        <is>
          <t>18-May-07</t>
        </is>
      </c>
      <c r="G675" s="1" t="inlineStr">
        <is>
          <t>LNH0925ND01</t>
        </is>
      </c>
      <c r="H675" s="1" t="inlineStr">
        <is>
          <t>09AV Giao tiep QT (TS)</t>
        </is>
      </c>
      <c r="I675" s="1" t="n">
        <v>1000000</v>
      </c>
      <c r="J675" s="1" t="inlineStr">
        <is>
          <t>VND-TGTT-PHAM HOANG THONG PHAM HOANG THONG25800400151 LNH0925 ND01 0988755718 FT25240316048000 TAI TECHCOMBANK            HANOI</t>
        </is>
      </c>
    </row>
    <row r="676">
      <c r="A676" s="1" t="inlineStr">
        <is>
          <t>28-Aug-25</t>
        </is>
      </c>
      <c r="B676" s="1" t="inlineStr">
        <is>
          <t>I60839</t>
        </is>
      </c>
      <c r="C676" s="1" t="inlineStr">
        <is>
          <t>25808200009</t>
        </is>
      </c>
      <c r="D676" s="1" t="inlineStr">
        <is>
          <t>Phan Huyønh Thieân</t>
        </is>
      </c>
      <c r="E676" s="1" t="inlineStr">
        <is>
          <t>AÂn</t>
        </is>
      </c>
      <c r="F676" s="1" t="inlineStr">
        <is>
          <t>11-Nov-07</t>
        </is>
      </c>
      <c r="G676" s="1" t="inlineStr">
        <is>
          <t>LNH0925ND01</t>
        </is>
      </c>
      <c r="H676" s="1" t="inlineStr">
        <is>
          <t>09AV Giao tiep QT (TS)</t>
        </is>
      </c>
      <c r="I676" s="1" t="n">
        <v>1000000</v>
      </c>
      <c r="J676" s="1" t="inlineStr">
        <is>
          <t>DINH THI THE PHUONG PHAN HUYNH THIEN AN 25808200009 LNH 0925ND01 0348122855 TAI VietinBank</t>
        </is>
      </c>
    </row>
    <row r="677">
      <c r="A677" s="1" t="inlineStr">
        <is>
          <t>28-Aug-25</t>
        </is>
      </c>
      <c r="B677" s="1" t="inlineStr">
        <is>
          <t>I60840</t>
        </is>
      </c>
      <c r="C677" s="1" t="inlineStr">
        <is>
          <t>25801100045</t>
        </is>
      </c>
      <c r="D677" s="1" t="inlineStr">
        <is>
          <t>Phaïm Minh</t>
        </is>
      </c>
      <c r="E677" s="1" t="inlineStr">
        <is>
          <t>Nhaät</t>
        </is>
      </c>
      <c r="F677" s="1" t="inlineStr">
        <is>
          <t>09-Sep-07</t>
        </is>
      </c>
      <c r="G677" s="1" t="inlineStr">
        <is>
          <t>LNH0925ND01</t>
        </is>
      </c>
      <c r="H677" s="1" t="inlineStr">
        <is>
          <t>09AV Giao tiep QT (TS)</t>
        </is>
      </c>
      <c r="I677" s="1" t="n">
        <v>1000000</v>
      </c>
      <c r="J677" s="1" t="inlineStr">
        <is>
          <t>MBBANK IBFT Pham Minh Nhat 25801100045 LNH0925N D01 0339120097 TAI IBT-MB                   HANOI</t>
        </is>
      </c>
    </row>
    <row r="678">
      <c r="A678" s="1" t="inlineStr">
        <is>
          <t>28-Aug-25</t>
        </is>
      </c>
      <c r="B678" s="1" t="inlineStr">
        <is>
          <t>I60841</t>
        </is>
      </c>
      <c r="C678" s="1" t="inlineStr">
        <is>
          <t>25820200133</t>
        </is>
      </c>
      <c r="D678" s="1" t="inlineStr">
        <is>
          <t>Nguyeãn Quang</t>
        </is>
      </c>
      <c r="E678" s="1" t="inlineStr">
        <is>
          <t>Ñaïi</t>
        </is>
      </c>
      <c r="F678" s="1" t="inlineStr">
        <is>
          <t>17-Apr-07</t>
        </is>
      </c>
      <c r="G678" s="1" t="inlineStr">
        <is>
          <t>LNH0925ND01</t>
        </is>
      </c>
      <c r="H678" s="1" t="inlineStr">
        <is>
          <t>09AV Giao tiep QT (TS)</t>
        </is>
      </c>
      <c r="I678" s="1" t="n">
        <v>1000000</v>
      </c>
      <c r="J678" s="1" t="inlineStr">
        <is>
          <t>NGUYEN TRUNG NGHIA NGUYEN QUANG DAI  2520200063  LNH09 25ND01  0339652519 TAI VietinBank</t>
        </is>
      </c>
    </row>
    <row r="679">
      <c r="A679" s="1" t="inlineStr">
        <is>
          <t>28-Aug-25</t>
        </is>
      </c>
      <c r="B679" s="1" t="inlineStr">
        <is>
          <t>I60842</t>
        </is>
      </c>
      <c r="C679" s="1" t="inlineStr">
        <is>
          <t>25820200064</t>
        </is>
      </c>
      <c r="D679" s="1" t="inlineStr">
        <is>
          <t>Ngoâ Maïnh</t>
        </is>
      </c>
      <c r="E679" s="1" t="inlineStr">
        <is>
          <t>Tuaán</t>
        </is>
      </c>
      <c r="F679" s="1" t="inlineStr">
        <is>
          <t>17-Jan-07</t>
        </is>
      </c>
      <c r="G679" s="1" t="inlineStr">
        <is>
          <t>LNH0925ND01</t>
        </is>
      </c>
      <c r="H679" s="1" t="inlineStr">
        <is>
          <t>09AV Giao tiep QT (TS)</t>
        </is>
      </c>
      <c r="I679" s="1" t="n">
        <v>1000000</v>
      </c>
      <c r="J679" s="1" t="inlineStr">
        <is>
          <t>NGO MANH TUAN NGO MANH TUAN 25820200064 LNH0925ND 01 0913123103 TAI IBT BIDV                 HANOI</t>
        </is>
      </c>
    </row>
    <row r="680">
      <c r="A680" s="1" t="inlineStr">
        <is>
          <t>28-Aug-25</t>
        </is>
      </c>
      <c r="B680" s="1" t="inlineStr">
        <is>
          <t>I60843</t>
        </is>
      </c>
      <c r="C680" s="1" t="inlineStr">
        <is>
          <t>25807500028</t>
        </is>
      </c>
      <c r="D680" s="1" t="inlineStr">
        <is>
          <t>Toâ Gia</t>
        </is>
      </c>
      <c r="E680" s="1" t="inlineStr">
        <is>
          <t>Haân</t>
        </is>
      </c>
      <c r="F680" s="1" t="inlineStr">
        <is>
          <t>10-Mar-07</t>
        </is>
      </c>
      <c r="G680" s="1" t="inlineStr">
        <is>
          <t>LNH0925ND01</t>
        </is>
      </c>
      <c r="H680" s="1" t="inlineStr">
        <is>
          <t>09AV Giao tiep QT (TS)</t>
        </is>
      </c>
      <c r="I680" s="1" t="n">
        <v>1000000</v>
      </c>
      <c r="J680" s="1" t="inlineStr">
        <is>
          <t>NGUYEN TRUNG NGHIA TO GIA HAN  25807500028  LNH0925ND0 1  0988719345 TAI VietinBank</t>
        </is>
      </c>
    </row>
    <row r="681">
      <c r="A681" s="1" t="inlineStr">
        <is>
          <t>28-Aug-25</t>
        </is>
      </c>
      <c r="B681" s="1" t="inlineStr">
        <is>
          <t>I60844</t>
        </is>
      </c>
      <c r="C681" s="1" t="inlineStr">
        <is>
          <t>25820300063</t>
        </is>
      </c>
      <c r="D681" s="1" t="inlineStr">
        <is>
          <t>Thaùi Thaønh</t>
        </is>
      </c>
      <c r="E681" s="1" t="inlineStr">
        <is>
          <t>Trí</t>
        </is>
      </c>
      <c r="F681" s="1" t="inlineStr">
        <is>
          <t>01-Jul-07</t>
        </is>
      </c>
      <c r="G681" s="1" t="inlineStr">
        <is>
          <t>LNH0925ND01</t>
        </is>
      </c>
      <c r="H681" s="1" t="inlineStr">
        <is>
          <t>09AV Giao tiep QT (TS)</t>
        </is>
      </c>
      <c r="I681" s="1" t="n">
        <v>1000000</v>
      </c>
      <c r="J681" s="1" t="inlineStr">
        <is>
          <t>NGUYEN TRUNG NGHIA THAI THANH TRI  25820300063  LNH092 5ND01  0398308404 TAI VietinBank</t>
        </is>
      </c>
    </row>
    <row r="682">
      <c r="A682" s="1" t="inlineStr">
        <is>
          <t>28-Aug-25</t>
        </is>
      </c>
      <c r="B682" s="1" t="inlineStr">
        <is>
          <t>I60845</t>
        </is>
      </c>
      <c r="C682" s="1" t="inlineStr">
        <is>
          <t>25800400097</t>
        </is>
      </c>
      <c r="D682" s="1" t="inlineStr">
        <is>
          <t>Leâ Ñöùc</t>
        </is>
      </c>
      <c r="E682" s="1" t="inlineStr">
        <is>
          <t>Löôïng</t>
        </is>
      </c>
      <c r="F682" s="1" t="inlineStr">
        <is>
          <t>12-Mar-07</t>
        </is>
      </c>
      <c r="G682" s="1" t="inlineStr">
        <is>
          <t>LNH0925ND01</t>
        </is>
      </c>
      <c r="H682" s="1" t="inlineStr">
        <is>
          <t>09AV Giao tiep QT (TS)</t>
        </is>
      </c>
      <c r="I682" s="1" t="n">
        <v>1000000</v>
      </c>
      <c r="J682" s="1" t="inlineStr">
        <is>
          <t>NGUYEN TRUNG NGHIA LE DUC LUONG  25800400097  LNH0925N D01  0376073007 TAI VietinBank</t>
        </is>
      </c>
    </row>
    <row r="683">
      <c r="A683" s="1" t="inlineStr">
        <is>
          <t>28-Aug-25</t>
        </is>
      </c>
      <c r="B683" s="1" t="inlineStr">
        <is>
          <t>I60846</t>
        </is>
      </c>
      <c r="C683" s="1" t="inlineStr">
        <is>
          <t>25808200146</t>
        </is>
      </c>
      <c r="D683" s="1" t="inlineStr">
        <is>
          <t>Ngoâ Quoác</t>
        </is>
      </c>
      <c r="E683" s="1" t="inlineStr">
        <is>
          <t>Vieät</t>
        </is>
      </c>
      <c r="F683" s="1" t="inlineStr">
        <is>
          <t>02-Mar-07</t>
        </is>
      </c>
      <c r="G683" s="1" t="inlineStr">
        <is>
          <t>LNH0925ND01</t>
        </is>
      </c>
      <c r="H683" s="1" t="inlineStr">
        <is>
          <t>09AV Giao tiep QT (TS)</t>
        </is>
      </c>
      <c r="I683" s="1" t="n">
        <v>1000000</v>
      </c>
      <c r="J683" s="1" t="inlineStr">
        <is>
          <t>MBBANK IBFT Ngo Quoc Viet25808200146LNH0925ND01 0383212803 TAI IBT-MB                   HANOI</t>
        </is>
      </c>
    </row>
    <row r="684">
      <c r="A684" s="1" t="inlineStr">
        <is>
          <t>28-Aug-25</t>
        </is>
      </c>
      <c r="B684" s="1" t="inlineStr">
        <is>
          <t>I60847</t>
        </is>
      </c>
      <c r="C684" s="1" t="inlineStr">
        <is>
          <t>25802800198</t>
        </is>
      </c>
      <c r="D684" s="1" t="inlineStr">
        <is>
          <t>Phaïm Hoaøng</t>
        </is>
      </c>
      <c r="E684" s="1" t="inlineStr">
        <is>
          <t>Phaùt</t>
        </is>
      </c>
      <c r="F684" s="1" t="inlineStr">
        <is>
          <t>05-Sep-07</t>
        </is>
      </c>
      <c r="G684" s="1" t="inlineStr">
        <is>
          <t>LNH0925ND01</t>
        </is>
      </c>
      <c r="H684" s="1" t="inlineStr">
        <is>
          <t>09AV Giao tiep QT (TS)</t>
        </is>
      </c>
      <c r="I684" s="1" t="n">
        <v>1000000</v>
      </c>
      <c r="J684" s="1" t="inlineStr">
        <is>
          <t>PHAM HOANG LONG MBVCB.10708258650.268556.PHAM HOANG PHAT  25802800198  LNH0925ND01 086 6153876.CT tu 1014950135 PHAM HOANG LONG toi 0521043748045 HUTECH taiABBANK TAI Vietcombank</t>
        </is>
      </c>
    </row>
    <row r="685">
      <c r="A685" s="1" t="inlineStr">
        <is>
          <t>28-Aug-25</t>
        </is>
      </c>
      <c r="B685" s="1" t="inlineStr">
        <is>
          <t>I60848</t>
        </is>
      </c>
      <c r="C685" s="1" t="inlineStr">
        <is>
          <t>25802800240</t>
        </is>
      </c>
      <c r="D685" s="1" t="inlineStr">
        <is>
          <t>Nguyeãn Thò Hoàng</t>
        </is>
      </c>
      <c r="E685" s="1" t="inlineStr">
        <is>
          <t>Thaûo</t>
        </is>
      </c>
      <c r="F685" s="1" t="inlineStr">
        <is>
          <t>04-Mar-07</t>
        </is>
      </c>
      <c r="G685" s="1" t="inlineStr">
        <is>
          <t>LNH0925ND01</t>
        </is>
      </c>
      <c r="H685" s="1" t="inlineStr">
        <is>
          <t>09AV Giao tiep QT (TS)</t>
        </is>
      </c>
      <c r="I685" s="1" t="n">
        <v>1000000</v>
      </c>
      <c r="J685" s="1" t="inlineStr">
        <is>
          <t>NGUYEN TRUNG NGHIA NGUYEN THI HONG THAO  25802800240 LNH0925ND01  0393566983 TAI VietinBank</t>
        </is>
      </c>
    </row>
    <row r="686">
      <c r="A686" s="1" t="inlineStr">
        <is>
          <t>28-Aug-25</t>
        </is>
      </c>
      <c r="B686" s="1" t="inlineStr">
        <is>
          <t>I60849</t>
        </is>
      </c>
      <c r="C686" s="1" t="inlineStr">
        <is>
          <t>25808200269</t>
        </is>
      </c>
      <c r="D686" s="1" t="inlineStr">
        <is>
          <t>Nguyeãn Thaønh</t>
        </is>
      </c>
      <c r="E686" s="1" t="inlineStr">
        <is>
          <t>Tieán</t>
        </is>
      </c>
      <c r="F686" s="1" t="inlineStr">
        <is>
          <t>04-Sep-07</t>
        </is>
      </c>
      <c r="G686" s="1" t="inlineStr">
        <is>
          <t>LNH0925ND01</t>
        </is>
      </c>
      <c r="H686" s="1" t="inlineStr">
        <is>
          <t>09AV Giao tiep QT (TS)</t>
        </is>
      </c>
      <c r="I686" s="1" t="n">
        <v>1000000</v>
      </c>
      <c r="J686" s="1" t="inlineStr">
        <is>
          <t>NGUYEN TRUNG NGHIA NGUYEN THANH TIEN  25808200269  LNH 0925ND01  0944258815 TAI VietinBank</t>
        </is>
      </c>
    </row>
    <row r="687">
      <c r="A687" s="1" t="inlineStr">
        <is>
          <t>28-Aug-25</t>
        </is>
      </c>
      <c r="B687" s="1" t="inlineStr">
        <is>
          <t>I60850</t>
        </is>
      </c>
      <c r="C687" s="1" t="inlineStr">
        <is>
          <t>25802800103</t>
        </is>
      </c>
      <c r="D687" s="1" t="inlineStr">
        <is>
          <t>Nguyeãn Hoàng</t>
        </is>
      </c>
      <c r="E687" s="1" t="inlineStr">
        <is>
          <t>Khang</t>
        </is>
      </c>
      <c r="F687" s="1" t="inlineStr">
        <is>
          <t>30-Apr-07</t>
        </is>
      </c>
      <c r="G687" s="1" t="inlineStr">
        <is>
          <t>LNH0925ND01</t>
        </is>
      </c>
      <c r="H687" s="1" t="inlineStr">
        <is>
          <t>09AV Giao tiep QT (TS)</t>
        </is>
      </c>
      <c r="I687" s="1" t="n">
        <v>1000000</v>
      </c>
      <c r="J687" s="1" t="inlineStr">
        <is>
          <t>MBBANK IBFT Nguyen Hong Khang 25802800103 LNH09 25ND01 0393879091 TAI IBT-MB                   HANOI</t>
        </is>
      </c>
    </row>
    <row r="688">
      <c r="A688" s="1" t="inlineStr">
        <is>
          <t>28-Aug-25</t>
        </is>
      </c>
      <c r="B688" s="1" t="inlineStr">
        <is>
          <t>I60851</t>
        </is>
      </c>
      <c r="C688" s="1" t="inlineStr">
        <is>
          <t>25807700055</t>
        </is>
      </c>
      <c r="D688" s="1" t="inlineStr">
        <is>
          <t>Phan Minh Baûo</t>
        </is>
      </c>
      <c r="E688" s="1" t="inlineStr">
        <is>
          <t>Nguyeân</t>
        </is>
      </c>
      <c r="F688" s="1" t="inlineStr">
        <is>
          <t>12-Apr-07</t>
        </is>
      </c>
      <c r="G688" s="1" t="inlineStr">
        <is>
          <t>LNH0925ND01</t>
        </is>
      </c>
      <c r="H688" s="1" t="inlineStr">
        <is>
          <t>09AV Giao tiep QT (TS)</t>
        </is>
      </c>
      <c r="I688" s="1" t="n">
        <v>0</v>
      </c>
      <c r="J688" s="1" t="inlineStr">
        <is>
          <t>(chuyen edu)VND-TGTT-PHAN MINH NHAT PhanMinhBaoNguyen 25807700055 LNH09 25ND01 FT25240971239628 TAI TECHCOMBANK            HANOI</t>
        </is>
      </c>
    </row>
    <row r="689">
      <c r="A689" s="1" t="inlineStr">
        <is>
          <t>28-Aug-25</t>
        </is>
      </c>
      <c r="B689" s="1" t="inlineStr">
        <is>
          <t>I60852</t>
        </is>
      </c>
      <c r="C689" s="1" t="inlineStr">
        <is>
          <t>25820200051</t>
        </is>
      </c>
      <c r="D689" s="1" t="inlineStr">
        <is>
          <t>Nguyeãn Troïng</t>
        </is>
      </c>
      <c r="E689" s="1" t="inlineStr">
        <is>
          <t>Phuùc</t>
        </is>
      </c>
      <c r="F689" s="1" t="inlineStr">
        <is>
          <t>06-Feb-07</t>
        </is>
      </c>
      <c r="G689" s="1" t="inlineStr">
        <is>
          <t>LNH0925ND01</t>
        </is>
      </c>
      <c r="H689" s="1" t="inlineStr">
        <is>
          <t>09AV Giao tiep QT (TS)</t>
        </is>
      </c>
      <c r="I689" s="1" t="n">
        <v>1000000</v>
      </c>
      <c r="J689" s="1" t="inlineStr">
        <is>
          <t>NGUYEN TRUNG NGHIA NGUYEN TRONG PHUC  25820200051  LNH 0925ND01  0909078285 TAI VietinBank</t>
        </is>
      </c>
    </row>
    <row r="690">
      <c r="A690" s="1" t="inlineStr">
        <is>
          <t>28-Aug-25</t>
        </is>
      </c>
      <c r="B690" s="1" t="inlineStr">
        <is>
          <t>I60853</t>
        </is>
      </c>
      <c r="C690" s="1" t="inlineStr">
        <is>
          <t>25808900039</t>
        </is>
      </c>
      <c r="D690" s="1" t="inlineStr">
        <is>
          <t>Voõ Tröông Kim</t>
        </is>
      </c>
      <c r="E690" s="1" t="inlineStr">
        <is>
          <t>Hoaøn</t>
        </is>
      </c>
      <c r="F690" s="1" t="inlineStr">
        <is>
          <t>16-Oct-07</t>
        </is>
      </c>
      <c r="G690" s="1" t="inlineStr">
        <is>
          <t>LNH0925ND01</t>
        </is>
      </c>
      <c r="H690" s="1" t="inlineStr">
        <is>
          <t>09AV Giao tiep QT (TS)</t>
        </is>
      </c>
      <c r="I690" s="1" t="n">
        <v>1000000</v>
      </c>
      <c r="J690" s="1" t="inlineStr">
        <is>
          <t>MBBANK IBFT VO TRUONG KIM HOAN 25808900039 LNH0 925ND01 0829191079 TAI IBT-MB                   HANOI</t>
        </is>
      </c>
    </row>
    <row r="691">
      <c r="A691" s="1" t="inlineStr">
        <is>
          <t>28-Aug-25</t>
        </is>
      </c>
      <c r="B691" s="1" t="inlineStr">
        <is>
          <t>I60854</t>
        </is>
      </c>
      <c r="C691" s="1" t="inlineStr">
        <is>
          <t>25808900053</t>
        </is>
      </c>
      <c r="D691" s="1" t="inlineStr">
        <is>
          <t>Nguyeãn Tuaán</t>
        </is>
      </c>
      <c r="E691" s="1" t="inlineStr">
        <is>
          <t>Khang</t>
        </is>
      </c>
      <c r="F691" s="1" t="inlineStr">
        <is>
          <t>25-Jun-07</t>
        </is>
      </c>
      <c r="G691" s="1" t="inlineStr">
        <is>
          <t>LNH0925ND01</t>
        </is>
      </c>
      <c r="H691" s="1" t="inlineStr">
        <is>
          <t>09AV Giao tiep QT (TS)</t>
        </is>
      </c>
      <c r="I691" s="1" t="n">
        <v>1000000</v>
      </c>
      <c r="J691" s="1" t="inlineStr">
        <is>
          <t>MBBANK IBFT NGUYEN TUAN KHANG 25808900053LNH092 5ND010773055011 TAI IBT-MB                   HANOI</t>
        </is>
      </c>
    </row>
    <row r="692">
      <c r="A692" s="1" t="inlineStr">
        <is>
          <t>28-Aug-25</t>
        </is>
      </c>
      <c r="B692" s="1" t="inlineStr">
        <is>
          <t>I60855</t>
        </is>
      </c>
      <c r="C692" s="1" t="inlineStr">
        <is>
          <t>25806000008</t>
        </is>
      </c>
      <c r="D692" s="1" t="inlineStr">
        <is>
          <t>Trònh Thuøy</t>
        </is>
      </c>
      <c r="E692" s="1" t="inlineStr">
        <is>
          <t>Döông</t>
        </is>
      </c>
      <c r="F692" s="1" t="inlineStr">
        <is>
          <t>03-Apr-07</t>
        </is>
      </c>
      <c r="G692" s="1" t="inlineStr">
        <is>
          <t>LNH0925ND01</t>
        </is>
      </c>
      <c r="H692" s="1" t="inlineStr">
        <is>
          <t>09AV Giao tiep QT (TS)</t>
        </is>
      </c>
      <c r="I692" s="1" t="n">
        <v>1000000</v>
      </c>
      <c r="J692" s="1" t="inlineStr">
        <is>
          <t>TRINH THUY DUONG QR - TRINH THUY DUONG 25806000008 L NH0925ND01  0787360014 TAI VietinBank</t>
        </is>
      </c>
    </row>
    <row r="693">
      <c r="A693" s="1" t="inlineStr">
        <is>
          <t>28-Aug-25</t>
        </is>
      </c>
      <c r="B693" s="1" t="inlineStr">
        <is>
          <t>I60856</t>
        </is>
      </c>
      <c r="C693" s="1" t="inlineStr">
        <is>
          <t>25807700031</t>
        </is>
      </c>
      <c r="D693" s="1" t="inlineStr">
        <is>
          <t>Nguyeãn Vaên</t>
        </is>
      </c>
      <c r="E693" s="1" t="inlineStr">
        <is>
          <t>Hoaøng</t>
        </is>
      </c>
      <c r="F693" s="1" t="inlineStr">
        <is>
          <t>03-Dec-05</t>
        </is>
      </c>
      <c r="G693" s="1" t="inlineStr">
        <is>
          <t>LNH0925ND01</t>
        </is>
      </c>
      <c r="H693" s="1" t="inlineStr">
        <is>
          <t>09AV Giao tiep QT (TS)</t>
        </is>
      </c>
      <c r="I693" s="1" t="n">
        <v>1000000</v>
      </c>
      <c r="J693" s="1" t="inlineStr">
        <is>
          <t>CONG TY CP DICH VU DI DONG TRUC TUY EN 98973062348 0869449530 Nguyen Van H oang 25807700031 LNH0925ND01 08694 TAI IBT BIDV                 HANOI</t>
        </is>
      </c>
    </row>
    <row r="694">
      <c r="A694" s="1" t="inlineStr">
        <is>
          <t>28-Aug-25</t>
        </is>
      </c>
      <c r="B694" s="1" t="inlineStr">
        <is>
          <t>I60857</t>
        </is>
      </c>
      <c r="C694" s="1" t="inlineStr">
        <is>
          <t>25807500237</t>
        </is>
      </c>
      <c r="D694" s="1" t="inlineStr">
        <is>
          <t>Nguyeãn Thaønh</t>
        </is>
      </c>
      <c r="E694" s="1" t="inlineStr">
        <is>
          <t>Luaân</t>
        </is>
      </c>
      <c r="F694" s="1" t="inlineStr">
        <is>
          <t>04-Apr-07</t>
        </is>
      </c>
      <c r="G694" s="1" t="inlineStr">
        <is>
          <t>LNH0925ND01</t>
        </is>
      </c>
      <c r="H694" s="1" t="inlineStr">
        <is>
          <t>09AV Giao tiep QT (TS)</t>
        </is>
      </c>
      <c r="I694" s="1" t="n">
        <v>1000000</v>
      </c>
      <c r="J694" s="1" t="inlineStr">
        <is>
          <t>NGUYEN QUOC BAO NGUYEN THANH LUAN 2507500057 LNH092 5ND01. FT25240906647053 TAI TECHCOMBANK            HANOI</t>
        </is>
      </c>
    </row>
    <row r="695">
      <c r="A695" s="1" t="inlineStr">
        <is>
          <t>28-Aug-25</t>
        </is>
      </c>
      <c r="B695" s="1" t="inlineStr">
        <is>
          <t>I60858</t>
        </is>
      </c>
      <c r="C695" s="1" t="inlineStr">
        <is>
          <t>25807600039</t>
        </is>
      </c>
      <c r="D695" s="1" t="inlineStr">
        <is>
          <t>Buøi Hoaøng Yeán</t>
        </is>
      </c>
      <c r="E695" s="1" t="inlineStr">
        <is>
          <t>Nhi</t>
        </is>
      </c>
      <c r="F695" s="1" t="inlineStr">
        <is>
          <t>17-Mar-07</t>
        </is>
      </c>
      <c r="G695" s="1" t="inlineStr">
        <is>
          <t>LNH0925ND01</t>
        </is>
      </c>
      <c r="H695" s="1" t="inlineStr">
        <is>
          <t>09AV Giao tiep QT (TS)</t>
        </is>
      </c>
      <c r="I695" s="1" t="n">
        <v>1000000</v>
      </c>
      <c r="J695" s="1" t="inlineStr">
        <is>
          <t>MBBANK IBFT HOANG THI DIEP chuyen tien BUI HOAN G YEN NHI                    MSSV 25807600039 LNH0925ND01   SDT  0984 527397 TAI IBT-MB                   HANOI</t>
        </is>
      </c>
    </row>
    <row r="696">
      <c r="A696" s="1" t="inlineStr">
        <is>
          <t>28-Aug-25</t>
        </is>
      </c>
      <c r="B696" s="1" t="inlineStr">
        <is>
          <t>I60859</t>
        </is>
      </c>
      <c r="C696" s="1" t="inlineStr">
        <is>
          <t>25820300092</t>
        </is>
      </c>
      <c r="D696" s="1" t="inlineStr">
        <is>
          <t>Nguyeãn Duy</t>
        </is>
      </c>
      <c r="E696" s="1" t="inlineStr">
        <is>
          <t>Hoaøng</t>
        </is>
      </c>
      <c r="F696" s="1" t="inlineStr">
        <is>
          <t>15-Jul-07</t>
        </is>
      </c>
      <c r="G696" s="1" t="inlineStr">
        <is>
          <t>LNH0925ND01</t>
        </is>
      </c>
      <c r="H696" s="1" t="inlineStr">
        <is>
          <t>09AV Giao tiep QT (TS)</t>
        </is>
      </c>
      <c r="I696" s="1" t="n">
        <v>1000000</v>
      </c>
      <c r="J696" s="1" t="inlineStr">
        <is>
          <t>NGUYEN DUY HAI Nguyen Duy Hai 25820300092 LNH0925N D01 0347011139 TAI IBT TIENPHONGBANK      HANOI</t>
        </is>
      </c>
    </row>
    <row r="697">
      <c r="A697" s="1" t="inlineStr">
        <is>
          <t>28-Aug-25</t>
        </is>
      </c>
      <c r="B697" s="1" t="inlineStr">
        <is>
          <t>I60860</t>
        </is>
      </c>
      <c r="C697" s="1" t="inlineStr">
        <is>
          <t>25800400058</t>
        </is>
      </c>
      <c r="D697" s="1" t="inlineStr">
        <is>
          <t>Phan Ngoïc Gia</t>
        </is>
      </c>
      <c r="E697" s="1" t="inlineStr">
        <is>
          <t>Huy</t>
        </is>
      </c>
      <c r="F697" s="1" t="inlineStr">
        <is>
          <t>21-Sep-07</t>
        </is>
      </c>
      <c r="G697" s="1" t="inlineStr">
        <is>
          <t>LNH0925ND01</t>
        </is>
      </c>
      <c r="H697" s="1" t="inlineStr">
        <is>
          <t>09AV Giao tiep QT (TS)</t>
        </is>
      </c>
      <c r="I697" s="1" t="n">
        <v>1000000</v>
      </c>
      <c r="J697" s="1" t="inlineStr">
        <is>
          <t>NGUYEN TRUNG NGHIA PHAN NGOC GIA HUY  25800400058  LNH 0925ND01  0395303210 TAI VietinBank</t>
        </is>
      </c>
    </row>
    <row r="698">
      <c r="A698" s="1" t="inlineStr">
        <is>
          <t>28-Aug-25</t>
        </is>
      </c>
      <c r="B698" s="1" t="inlineStr">
        <is>
          <t>I60861</t>
        </is>
      </c>
      <c r="C698" s="1" t="inlineStr">
        <is>
          <t>25801300045</t>
        </is>
      </c>
      <c r="D698" s="1" t="inlineStr">
        <is>
          <t>Voõ Quoác</t>
        </is>
      </c>
      <c r="E698" s="1" t="inlineStr">
        <is>
          <t>Vinh</t>
        </is>
      </c>
      <c r="F698" s="1" t="inlineStr">
        <is>
          <t>20-Dec-07</t>
        </is>
      </c>
      <c r="G698" s="1" t="inlineStr">
        <is>
          <t>LNH0925ND01</t>
        </is>
      </c>
      <c r="H698" s="1" t="inlineStr">
        <is>
          <t>09AV Giao tiep QT (TS)</t>
        </is>
      </c>
      <c r="I698" s="1" t="n">
        <v>1000000</v>
      </c>
      <c r="J698" s="1" t="inlineStr">
        <is>
          <t>NGUYEN TRUNG NGHIA VO QUOC VINH  25801300045  LNH0925N D01  0393535524 TAI VietinBank</t>
        </is>
      </c>
    </row>
    <row r="699">
      <c r="A699" s="1" t="inlineStr">
        <is>
          <t>28-Aug-25</t>
        </is>
      </c>
      <c r="B699" s="1" t="inlineStr">
        <is>
          <t>I60862</t>
        </is>
      </c>
      <c r="C699" s="1" t="inlineStr">
        <is>
          <t>25802700083</t>
        </is>
      </c>
      <c r="D699" s="1" t="inlineStr">
        <is>
          <t>Traàn Trieäu</t>
        </is>
      </c>
      <c r="E699" s="1" t="inlineStr">
        <is>
          <t>Thieän</t>
        </is>
      </c>
      <c r="F699" s="1" t="inlineStr">
        <is>
          <t>12-Feb-07</t>
        </is>
      </c>
      <c r="G699" s="1" t="inlineStr">
        <is>
          <t>LNH0925ND01</t>
        </is>
      </c>
      <c r="H699" s="1" t="inlineStr">
        <is>
          <t>09AV Giao tiep QT (TS)</t>
        </is>
      </c>
      <c r="I699" s="1" t="n">
        <v>1000000</v>
      </c>
      <c r="J699" s="1" t="inlineStr">
        <is>
          <t>TRAN TRIEU THIEN MBVCB.10711472609.403205.TRAN TRIEU THIEN 25802700083 LNH0925ND01 0347 606689.CT tu 1047542748 TRAN TRIEU THIEN toi 0521043748045 HUTECH taiABBANK TAI Vietcombank</t>
        </is>
      </c>
    </row>
    <row r="700">
      <c r="A700" s="1" t="inlineStr">
        <is>
          <t>28-Aug-25</t>
        </is>
      </c>
      <c r="B700" s="1" t="inlineStr">
        <is>
          <t>I60863</t>
        </is>
      </c>
      <c r="C700" s="1" t="inlineStr">
        <is>
          <t>25808700063</t>
        </is>
      </c>
      <c r="D700" s="1" t="inlineStr">
        <is>
          <t>Ñoã Traàn Thieän</t>
        </is>
      </c>
      <c r="E700" s="1" t="inlineStr">
        <is>
          <t>Nhaân</t>
        </is>
      </c>
      <c r="F700" s="1" t="inlineStr">
        <is>
          <t>20-Apr-07</t>
        </is>
      </c>
      <c r="G700" s="1" t="inlineStr">
        <is>
          <t>LNH0925ND01</t>
        </is>
      </c>
      <c r="H700" s="1" t="inlineStr">
        <is>
          <t>09AV Giao tiep QT (TS)</t>
        </is>
      </c>
      <c r="I700" s="1" t="n">
        <v>1000000</v>
      </c>
      <c r="J700" s="1" t="inlineStr">
        <is>
          <t>MBBANK IBFT DO TRAN THIEN NHAN25808700063LNH092 5ND010915097646 TAI IBT-MB                   HANOI</t>
        </is>
      </c>
    </row>
    <row r="701">
      <c r="A701" s="1" t="inlineStr">
        <is>
          <t>28-Aug-25</t>
        </is>
      </c>
      <c r="B701" s="1" t="inlineStr">
        <is>
          <t>I60864</t>
        </is>
      </c>
      <c r="C701" s="1" t="inlineStr">
        <is>
          <t>25802600209</t>
        </is>
      </c>
      <c r="D701" s="1" t="inlineStr">
        <is>
          <t>Baïch Ñoan</t>
        </is>
      </c>
      <c r="E701" s="1" t="inlineStr">
        <is>
          <t>Linh</t>
        </is>
      </c>
      <c r="F701" s="1" t="inlineStr">
        <is>
          <t>03-Aug-07</t>
        </is>
      </c>
      <c r="G701" s="1" t="inlineStr">
        <is>
          <t>LNH0925ND01</t>
        </is>
      </c>
      <c r="H701" s="1" t="inlineStr">
        <is>
          <t>09AV Giao tiep QT (TS)</t>
        </is>
      </c>
      <c r="I701" s="1" t="n">
        <v>1000000</v>
      </c>
      <c r="J701" s="1" t="inlineStr">
        <is>
          <t>BACH THI LUONG LE MBVCB.10712572970.150140.Bach Doan Linh 25802600209 LNH0925ND01 086546 3297.CT tu 0531002561742 BACH THI L UONG LE toi 0521043748045 HUTECH tai ABBANK TAI Vietcombank</t>
        </is>
      </c>
    </row>
    <row r="702">
      <c r="A702" s="1" t="inlineStr">
        <is>
          <t>28-Aug-25</t>
        </is>
      </c>
      <c r="B702" s="1" t="inlineStr">
        <is>
          <t>I60865</t>
        </is>
      </c>
      <c r="C702" s="1" t="inlineStr">
        <is>
          <t>25808600033</t>
        </is>
      </c>
      <c r="D702" s="1" t="inlineStr">
        <is>
          <t>Phaïm Thò Ngoïc</t>
        </is>
      </c>
      <c r="E702" s="1" t="inlineStr">
        <is>
          <t>Haân</t>
        </is>
      </c>
      <c r="F702" s="1" t="inlineStr">
        <is>
          <t>30-Sep-07</t>
        </is>
      </c>
      <c r="G702" s="1" t="inlineStr">
        <is>
          <t>LNH0925ND01</t>
        </is>
      </c>
      <c r="H702" s="1" t="inlineStr">
        <is>
          <t>09AV Giao tiep QT (TS)</t>
        </is>
      </c>
      <c r="I702" s="1" t="n">
        <v>2000000</v>
      </c>
      <c r="J702" s="1" t="inlineStr">
        <is>
          <t>THAI THACH PHONG PHAM THI NGOC HAN  MSSV  2580860003 3  LNH0925ND01  Sdt 0767943719 TAI IBT SMARTLINK            HANOI</t>
        </is>
      </c>
    </row>
    <row r="703">
      <c r="A703" s="1" t="inlineStr">
        <is>
          <t>28-Aug-25</t>
        </is>
      </c>
      <c r="B703" s="1" t="inlineStr">
        <is>
          <t>I60866</t>
        </is>
      </c>
      <c r="C703" s="1" t="inlineStr">
        <is>
          <t>25802800401</t>
        </is>
      </c>
      <c r="D703" s="1" t="inlineStr">
        <is>
          <t>Nguyeãn Phan Phöông</t>
        </is>
      </c>
      <c r="E703" s="1" t="inlineStr">
        <is>
          <t>Truùc</t>
        </is>
      </c>
      <c r="F703" s="1" t="inlineStr">
        <is>
          <t>03-Dec-07</t>
        </is>
      </c>
      <c r="G703" s="1" t="inlineStr">
        <is>
          <t>LNH0925ND01</t>
        </is>
      </c>
      <c r="H703" s="1" t="inlineStr">
        <is>
          <t>09AV Giao tiep QT (TS)</t>
        </is>
      </c>
      <c r="I703" s="1" t="n">
        <v>2100000</v>
      </c>
      <c r="J703" s="1" t="inlineStr">
        <is>
          <t>NGUYEN THI LAM DUYEN Nguyen Phan Phuong Truc 2502800081 LNH0925ND01 0846028926 TAI IBT BIDV                 HANOI</t>
        </is>
      </c>
    </row>
    <row r="704">
      <c r="A704" s="1" t="inlineStr">
        <is>
          <t>28-Aug-25</t>
        </is>
      </c>
      <c r="B704" s="1" t="inlineStr">
        <is>
          <t>I60867</t>
        </is>
      </c>
      <c r="C704" s="1" t="inlineStr">
        <is>
          <t>25808700211</t>
        </is>
      </c>
      <c r="D704" s="1" t="inlineStr">
        <is>
          <t>Nguyeãn Thanh</t>
        </is>
      </c>
      <c r="E704" s="1" t="inlineStr">
        <is>
          <t>Phong</t>
        </is>
      </c>
      <c r="F704" s="1" t="inlineStr">
        <is>
          <t>22-Oct-07</t>
        </is>
      </c>
      <c r="G704" s="1" t="inlineStr">
        <is>
          <t>LNH0925ND01</t>
        </is>
      </c>
      <c r="H704" s="1" t="inlineStr">
        <is>
          <t>09AV Giao tiep QT (TS)</t>
        </is>
      </c>
      <c r="I704" s="1" t="n">
        <v>4465000</v>
      </c>
      <c r="J704" s="1" t="inlineStr">
        <is>
          <t>HUYNH KIM DUNG Nguyen Thanh Phong 2508700083 LNH 0 925ND01 0909297512 TAI IBT-NAMABANK             HANOI</t>
        </is>
      </c>
    </row>
    <row r="705">
      <c r="A705" s="1" t="inlineStr">
        <is>
          <t>28-Aug-25</t>
        </is>
      </c>
      <c r="B705" s="1" t="inlineStr">
        <is>
          <t>I60868</t>
        </is>
      </c>
      <c r="C705" s="1" t="inlineStr">
        <is>
          <t>25800500149</t>
        </is>
      </c>
      <c r="D705" s="1" t="inlineStr">
        <is>
          <t>Nguyeãn Ngoïc Ñöùc</t>
        </is>
      </c>
      <c r="E705" s="1" t="inlineStr">
        <is>
          <t>Taøi</t>
        </is>
      </c>
      <c r="F705" s="1" t="inlineStr">
        <is>
          <t>11-Sep-07</t>
        </is>
      </c>
      <c r="G705" s="1" t="inlineStr">
        <is>
          <t>LNH0925ND01</t>
        </is>
      </c>
      <c r="H705" s="1" t="inlineStr">
        <is>
          <t>09AV Giao tiep QT (TS)</t>
        </is>
      </c>
      <c r="I705" s="1" t="n">
        <v>7415000</v>
      </c>
      <c r="J705" s="1" t="inlineStr">
        <is>
          <t>TRAN THI THANH MAI QR - Nguyen Ngoc Duc Tai 2580050014 9 LNH0925ND01 0933884915 TAI VietinBank</t>
        </is>
      </c>
    </row>
    <row r="706">
      <c r="A706" s="1" t="inlineStr">
        <is>
          <t>28-Aug-25</t>
        </is>
      </c>
      <c r="B706" s="1" t="inlineStr">
        <is>
          <t>I60869</t>
        </is>
      </c>
      <c r="C706" s="1" t="inlineStr">
        <is>
          <t>25807900016</t>
        </is>
      </c>
      <c r="D706" s="1" t="inlineStr">
        <is>
          <t>Nguyeãn Duy</t>
        </is>
      </c>
      <c r="E706" s="1" t="inlineStr">
        <is>
          <t>Huøng</t>
        </is>
      </c>
      <c r="F706" s="1" t="inlineStr">
        <is>
          <t>24-Dec-07</t>
        </is>
      </c>
      <c r="G706" s="1" t="inlineStr">
        <is>
          <t>LNH0925ND01</t>
        </is>
      </c>
      <c r="H706" s="1" t="inlineStr">
        <is>
          <t>09AV Giao tiep QT (TS)</t>
        </is>
      </c>
      <c r="I706" s="1" t="n">
        <v>7415000</v>
      </c>
      <c r="J706" s="1" t="inlineStr">
        <is>
          <t>NGUYEN DUY HA ABBank 0521043748045 NGUYEN DUY HUN G. 25807900016. LNH0925ND01. 033409 4180 TAI Agribank</t>
        </is>
      </c>
    </row>
    <row r="707">
      <c r="A707" s="1" t="inlineStr">
        <is>
          <t>28-Aug-25</t>
        </is>
      </c>
      <c r="B707" s="1" t="inlineStr">
        <is>
          <t>I60870</t>
        </is>
      </c>
      <c r="C707" s="1" t="inlineStr">
        <is>
          <t>25805900103</t>
        </is>
      </c>
      <c r="D707" s="1" t="inlineStr">
        <is>
          <t>Leâ Myõ</t>
        </is>
      </c>
      <c r="E707" s="1" t="inlineStr">
        <is>
          <t>Nhaøn</t>
        </is>
      </c>
      <c r="F707" s="1" t="inlineStr">
        <is>
          <t>11-Aug-07</t>
        </is>
      </c>
      <c r="G707" s="1" t="inlineStr">
        <is>
          <t>LNH0925ND01</t>
        </is>
      </c>
      <c r="H707" s="1" t="inlineStr">
        <is>
          <t>09AV Giao tiep QT (TS)</t>
        </is>
      </c>
      <c r="I707" s="1" t="n">
        <v>7415000</v>
      </c>
      <c r="J707" s="1" t="inlineStr">
        <is>
          <t>NGUYEN TRUNG NGHIA LE MY NHAN  2505900032  LNH0925ND01 0816363476 TAI VietinBank</t>
        </is>
      </c>
    </row>
    <row r="708">
      <c r="A708" s="1" t="inlineStr">
        <is>
          <t>28-Aug-25</t>
        </is>
      </c>
      <c r="B708" s="1" t="inlineStr">
        <is>
          <t>I60871</t>
        </is>
      </c>
      <c r="C708" s="1" t="inlineStr">
        <is>
          <t>25802300306</t>
        </is>
      </c>
      <c r="D708" s="1" t="inlineStr">
        <is>
          <t>Leâ Ngoïc Kieàu</t>
        </is>
      </c>
      <c r="E708" s="1" t="inlineStr">
        <is>
          <t>Vy</t>
        </is>
      </c>
      <c r="F708" s="1" t="inlineStr">
        <is>
          <t>20-Aug-07</t>
        </is>
      </c>
      <c r="G708" s="1" t="inlineStr">
        <is>
          <t>LNH0925ND01</t>
        </is>
      </c>
      <c r="H708" s="1" t="inlineStr">
        <is>
          <t>09AV Giao tiep QT (TS)</t>
        </is>
      </c>
      <c r="I708" s="1" t="n">
        <v>7415000</v>
      </c>
      <c r="J708" s="1" t="inlineStr">
        <is>
          <t>NGUYEN DINH TAI QR - Le Ngoc Kieu Vy 25802300306 LN H0925ND01 0367568807 TAI VietinBank</t>
        </is>
      </c>
    </row>
    <row r="709">
      <c r="A709" s="1" t="inlineStr">
        <is>
          <t>28-Aug-25</t>
        </is>
      </c>
      <c r="B709" s="1" t="inlineStr">
        <is>
          <t>I60872</t>
        </is>
      </c>
      <c r="C709" s="1" t="inlineStr">
        <is>
          <t>25800400287</t>
        </is>
      </c>
      <c r="D709" s="1" t="inlineStr">
        <is>
          <t>Nguyeãn Minh</t>
        </is>
      </c>
      <c r="E709" s="1" t="inlineStr">
        <is>
          <t>Hieáu</t>
        </is>
      </c>
      <c r="F709" s="1" t="inlineStr">
        <is>
          <t>17-Jan-07</t>
        </is>
      </c>
      <c r="G709" s="1" t="inlineStr">
        <is>
          <t>LNH0925ND01</t>
        </is>
      </c>
      <c r="H709" s="1" t="inlineStr">
        <is>
          <t>09AV Giao tiep QT (TS)</t>
        </is>
      </c>
      <c r="I709" s="1" t="n">
        <v>8415000</v>
      </c>
      <c r="J709" s="1" t="inlineStr">
        <is>
          <t>NGUYEN TIEN VIET ABBank 0521043748045 Nguyen Minh Hi eu 25800400287 LNH0925ND01 09658961 76 TAI Agribank</t>
        </is>
      </c>
    </row>
    <row r="710">
      <c r="A710" s="1" t="inlineStr">
        <is>
          <t>28-Aug-25</t>
        </is>
      </c>
      <c r="B710" s="1" t="inlineStr">
        <is>
          <t>I60873</t>
        </is>
      </c>
      <c r="C710" s="1" t="inlineStr">
        <is>
          <t>25802800081</t>
        </is>
      </c>
      <c r="D710" s="1" t="inlineStr">
        <is>
          <t>Leâ Xuaân</t>
        </is>
      </c>
      <c r="E710" s="1" t="inlineStr">
        <is>
          <t>Huøng</t>
        </is>
      </c>
      <c r="F710" s="1" t="inlineStr">
        <is>
          <t>26-Sep-07</t>
        </is>
      </c>
      <c r="G710" s="1" t="inlineStr">
        <is>
          <t>LNH0925ND01</t>
        </is>
      </c>
      <c r="H710" s="1" t="inlineStr">
        <is>
          <t>09AV Giao tiep QT (TS)</t>
        </is>
      </c>
      <c r="I710" s="1" t="n">
        <v>8415000</v>
      </c>
      <c r="J710" s="1" t="inlineStr">
        <is>
          <t>LE XUAN BAO ABBank 0521043748045 LE XUAN BAO ch uyen tien LE XUAN HUNG 25802800081 LNH0925ND01 0848700478 TAI Agribank</t>
        </is>
      </c>
    </row>
    <row r="711">
      <c r="A711" s="1" t="inlineStr">
        <is>
          <t>28-Aug-25</t>
        </is>
      </c>
      <c r="B711" s="1" t="inlineStr">
        <is>
          <t>I60874</t>
        </is>
      </c>
      <c r="C711" s="1" t="inlineStr">
        <is>
          <t>25800400009</t>
        </is>
      </c>
      <c r="D711" s="1" t="inlineStr">
        <is>
          <t>Leâ Khaéc</t>
        </is>
      </c>
      <c r="E711" s="1" t="inlineStr">
        <is>
          <t>Baûo</t>
        </is>
      </c>
      <c r="F711" s="1" t="inlineStr">
        <is>
          <t>06-Nov-07</t>
        </is>
      </c>
      <c r="G711" s="1" t="inlineStr">
        <is>
          <t>LNH0925ND01</t>
        </is>
      </c>
      <c r="H711" s="1" t="inlineStr">
        <is>
          <t>09AV Giao tiep QT (TS)</t>
        </is>
      </c>
      <c r="I711" s="1" t="n">
        <v>8415000</v>
      </c>
      <c r="J711" s="1" t="inlineStr">
        <is>
          <t>NGUYEN TRUNG NGHIA LE KHAC BAO  25800400009  LNH0925ND 01  0386304076 TAI VietinBank</t>
        </is>
      </c>
    </row>
    <row r="712">
      <c r="A712" s="1" t="inlineStr">
        <is>
          <t>28-Aug-25</t>
        </is>
      </c>
      <c r="B712" s="1" t="inlineStr">
        <is>
          <t>I60875</t>
        </is>
      </c>
      <c r="C712" s="1" t="inlineStr">
        <is>
          <t>25808300031</t>
        </is>
      </c>
      <c r="D712" s="1" t="inlineStr">
        <is>
          <t>Nguyeãn Ngoïc Thieân</t>
        </is>
      </c>
      <c r="E712" s="1" t="inlineStr">
        <is>
          <t>Ngaân</t>
        </is>
      </c>
      <c r="F712" s="1" t="inlineStr">
        <is>
          <t>22-Aug-07</t>
        </is>
      </c>
      <c r="G712" s="1" t="inlineStr">
        <is>
          <t>LNH0925ND01</t>
        </is>
      </c>
      <c r="H712" s="1" t="inlineStr">
        <is>
          <t>09AV Giao tiep QT (TS)</t>
        </is>
      </c>
      <c r="I712" s="1" t="n">
        <v>8415000</v>
      </c>
      <c r="J712" s="1" t="inlineStr">
        <is>
          <t>SHBMB Nguyen ngoc Thien Ngan 25808300031 LNH0925ND01 0984236244 TAI NganhangthuongmaicpSHB HaNoiVietNam</t>
        </is>
      </c>
    </row>
    <row r="713">
      <c r="A713" s="1" t="inlineStr">
        <is>
          <t>28-Aug-25</t>
        </is>
      </c>
      <c r="B713" s="1" t="inlineStr">
        <is>
          <t>I60876</t>
        </is>
      </c>
      <c r="C713" s="1" t="inlineStr">
        <is>
          <t>25800400125</t>
        </is>
      </c>
      <c r="D713" s="1" t="inlineStr">
        <is>
          <t>Nguyeãn Xuaân</t>
        </is>
      </c>
      <c r="E713" s="1" t="inlineStr">
        <is>
          <t>Phuù</t>
        </is>
      </c>
      <c r="F713" s="1" t="inlineStr">
        <is>
          <t>25-Dec-07</t>
        </is>
      </c>
      <c r="G713" s="1" t="inlineStr">
        <is>
          <t>LNH0925ND01</t>
        </is>
      </c>
      <c r="H713" s="1" t="inlineStr">
        <is>
          <t>09AV Giao tiep QT (TS)</t>
        </is>
      </c>
      <c r="I713" s="1" t="n">
        <v>8415000</v>
      </c>
      <c r="J713" s="1" t="inlineStr">
        <is>
          <t>NGUYEN TRUNG NGHIA NGUYEN XUAN PHU  2580040025  LNH092 5ND01  0896572089 TAI VietinBank</t>
        </is>
      </c>
    </row>
    <row r="714">
      <c r="A714" s="1" t="inlineStr">
        <is>
          <t>28-Aug-25</t>
        </is>
      </c>
      <c r="B714" s="1" t="inlineStr">
        <is>
          <t>I60877</t>
        </is>
      </c>
      <c r="C714" s="1" t="inlineStr">
        <is>
          <t>25808700176</t>
        </is>
      </c>
      <c r="D714" s="1" t="inlineStr">
        <is>
          <t>Nguyeãn Baûo</t>
        </is>
      </c>
      <c r="E714" s="1" t="inlineStr">
        <is>
          <t>Uyeân</t>
        </is>
      </c>
      <c r="F714" s="1" t="inlineStr">
        <is>
          <t>13-Jul-07</t>
        </is>
      </c>
      <c r="G714" s="1" t="inlineStr">
        <is>
          <t>LNH0925ND01</t>
        </is>
      </c>
      <c r="H714" s="1" t="inlineStr">
        <is>
          <t>09AV Giao tiep QT (TS)</t>
        </is>
      </c>
      <c r="I714" s="1" t="n">
        <v>8415000</v>
      </c>
      <c r="J714" s="1" t="inlineStr">
        <is>
          <t>NGUYEN TRUNG NGHIA NGUYEN BAO UYEN  25808700176  LNH09 25ND01  0387909948 TAI VietinBank</t>
        </is>
      </c>
    </row>
    <row r="715">
      <c r="A715" s="1" t="inlineStr">
        <is>
          <t>28-Aug-25</t>
        </is>
      </c>
      <c r="B715" s="1" t="inlineStr">
        <is>
          <t>I60878</t>
        </is>
      </c>
      <c r="C715" s="1" t="inlineStr">
        <is>
          <t>25802800165</t>
        </is>
      </c>
      <c r="D715" s="1" t="inlineStr">
        <is>
          <t>Nguyeãn Kim</t>
        </is>
      </c>
      <c r="E715" s="1" t="inlineStr">
        <is>
          <t>Ngoïc</t>
        </is>
      </c>
      <c r="F715" s="1" t="inlineStr">
        <is>
          <t>19-Sep-07</t>
        </is>
      </c>
      <c r="G715" s="1" t="inlineStr">
        <is>
          <t>LNH0925ND01</t>
        </is>
      </c>
      <c r="H715" s="1" t="inlineStr">
        <is>
          <t>09AV Giao tiep QT (TS)</t>
        </is>
      </c>
      <c r="I715" s="1" t="n">
        <v>8415000</v>
      </c>
      <c r="J715" s="1" t="inlineStr">
        <is>
          <t>NGUYEN MINH NGUYEN MBVCB.10705895277.698675.Nguyen Kim Ngoc 25802800165 LNH0925ND01.CT tu 0911000003241 NGUYEN MINH NGUYEN t oi 0521043748045 HUTECH tai ABBANK TAI Vietcombank</t>
        </is>
      </c>
    </row>
    <row r="716">
      <c r="A716" s="1" t="inlineStr">
        <is>
          <t>28-Aug-25</t>
        </is>
      </c>
      <c r="B716" s="1" t="inlineStr">
        <is>
          <t>I60879</t>
        </is>
      </c>
      <c r="C716" s="1" t="inlineStr">
        <is>
          <t>25801400608</t>
        </is>
      </c>
      <c r="D716" s="1" t="inlineStr">
        <is>
          <t>Traàn Minh</t>
        </is>
      </c>
      <c r="E716" s="1" t="inlineStr">
        <is>
          <t>Thaønh</t>
        </is>
      </c>
      <c r="F716" s="1" t="inlineStr">
        <is>
          <t>16-Dec-07</t>
        </is>
      </c>
      <c r="G716" s="1" t="inlineStr">
        <is>
          <t>LNH0925ND01</t>
        </is>
      </c>
      <c r="H716" s="1" t="inlineStr">
        <is>
          <t>09AV Giao tiep QT (TS)</t>
        </is>
      </c>
      <c r="I716" s="1" t="n">
        <v>8415000</v>
      </c>
      <c r="J716" s="1" t="inlineStr">
        <is>
          <t>NGUYEN TRUNG NGHIA TRAN MINH THANH  2501400245  LNH092 5ND01  0839844351 TAI VietinBank</t>
        </is>
      </c>
    </row>
    <row r="717">
      <c r="A717" s="1" t="inlineStr">
        <is>
          <t>28-Aug-25</t>
        </is>
      </c>
      <c r="B717" s="1" t="inlineStr">
        <is>
          <t>I60880</t>
        </is>
      </c>
      <c r="C717" s="1" t="inlineStr">
        <is>
          <t>25808200280</t>
        </is>
      </c>
      <c r="D717" s="1" t="inlineStr">
        <is>
          <t>Nguyeãn Vaên</t>
        </is>
      </c>
      <c r="E717" s="1" t="inlineStr">
        <is>
          <t>Trieàu</t>
        </is>
      </c>
      <c r="F717" s="1" t="inlineStr">
        <is>
          <t>12-Dec-07</t>
        </is>
      </c>
      <c r="G717" s="1" t="inlineStr">
        <is>
          <t>LNH0925ND01</t>
        </is>
      </c>
      <c r="H717" s="1" t="inlineStr">
        <is>
          <t>09AV Giao tiep QT (TS)</t>
        </is>
      </c>
      <c r="I717" s="1" t="n">
        <v>8415000</v>
      </c>
      <c r="J717" s="1" t="inlineStr">
        <is>
          <t>NGUYEN TRUNG NGHIA NGUYEN VAN TRIEU  2508200117  LNH09 25ND01  0386355879 TAI VietinBank</t>
        </is>
      </c>
    </row>
    <row r="718">
      <c r="A718" s="1" t="inlineStr">
        <is>
          <t>28-Aug-25</t>
        </is>
      </c>
      <c r="B718" s="1" t="inlineStr">
        <is>
          <t>I60881</t>
        </is>
      </c>
      <c r="C718" s="1" t="inlineStr">
        <is>
          <t>25808700122</t>
        </is>
      </c>
      <c r="D718" s="1" t="inlineStr">
        <is>
          <t>Traàn Nhö</t>
        </is>
      </c>
      <c r="E718" s="1" t="inlineStr">
        <is>
          <t>YÙ</t>
        </is>
      </c>
      <c r="F718" s="1" t="inlineStr">
        <is>
          <t>21-Apr-07</t>
        </is>
      </c>
      <c r="G718" s="1" t="inlineStr">
        <is>
          <t>LNH0925ND01</t>
        </is>
      </c>
      <c r="H718" s="1" t="inlineStr">
        <is>
          <t>09AV Giao tiep QT (TS)</t>
        </is>
      </c>
      <c r="I718" s="1" t="n">
        <v>8415000</v>
      </c>
      <c r="J718" s="1" t="inlineStr">
        <is>
          <t>TRAN BINH THAI TRAN NHU Y 25808700122 LNH0925ND01 0328700807-280825-08 24 14 778323 TAI Ngan hang a chau       IBT SMARLINK</t>
        </is>
      </c>
    </row>
    <row r="719">
      <c r="A719" s="1" t="inlineStr">
        <is>
          <t>28-Aug-25</t>
        </is>
      </c>
      <c r="B719" s="1" t="inlineStr">
        <is>
          <t>I60882</t>
        </is>
      </c>
      <c r="C719" s="1" t="inlineStr">
        <is>
          <t>25800400106</t>
        </is>
      </c>
      <c r="D719" s="1" t="inlineStr">
        <is>
          <t>Ñaëng Hieáu</t>
        </is>
      </c>
      <c r="E719" s="1" t="inlineStr">
        <is>
          <t>Nghóa</t>
        </is>
      </c>
      <c r="F719" s="1" t="inlineStr">
        <is>
          <t>06-May-07</t>
        </is>
      </c>
      <c r="G719" s="1" t="inlineStr">
        <is>
          <t>LNH0925ND01</t>
        </is>
      </c>
      <c r="H719" s="1" t="inlineStr">
        <is>
          <t>09AV Giao tiep QT (TS)</t>
        </is>
      </c>
      <c r="I719" s="1" t="n">
        <v>8415000</v>
      </c>
      <c r="J719" s="1" t="inlineStr">
        <is>
          <t>TRAN THI THANH MAI QR - Dang Hieu Nghia 25800400106 LN H0925ND01 0962458353 TAI VietinBank</t>
        </is>
      </c>
    </row>
    <row r="720">
      <c r="A720" s="1" t="inlineStr">
        <is>
          <t>28-Aug-25</t>
        </is>
      </c>
      <c r="B720" s="1" t="inlineStr">
        <is>
          <t>I60883</t>
        </is>
      </c>
      <c r="C720" s="1" t="inlineStr">
        <is>
          <t>25808200096</t>
        </is>
      </c>
      <c r="D720" s="1" t="inlineStr">
        <is>
          <t>Nguyeãn Ñöùc</t>
        </is>
      </c>
      <c r="E720" s="1" t="inlineStr">
        <is>
          <t>Nhaät</t>
        </is>
      </c>
      <c r="F720" s="1" t="inlineStr">
        <is>
          <t>05-Jul-07</t>
        </is>
      </c>
      <c r="G720" s="1" t="inlineStr">
        <is>
          <t>LNH0925ND01</t>
        </is>
      </c>
      <c r="H720" s="1" t="inlineStr">
        <is>
          <t>09AV Giao tiep QT (TS)</t>
        </is>
      </c>
      <c r="I720" s="1" t="n">
        <v>8415000</v>
      </c>
      <c r="J720" s="1" t="inlineStr">
        <is>
          <t>NGUYEN THI THUY KIM NGUYEN  DUC NHAT  25808200096 LNH09 25ND01  0344028871 TAI IBT BIDV                 HANOI</t>
        </is>
      </c>
    </row>
    <row r="721">
      <c r="A721" s="1" t="inlineStr">
        <is>
          <t>28-Aug-25</t>
        </is>
      </c>
      <c r="B721" s="1" t="inlineStr">
        <is>
          <t>I60884</t>
        </is>
      </c>
      <c r="C721" s="1" t="inlineStr">
        <is>
          <t>25802100018</t>
        </is>
      </c>
      <c r="D721" s="1" t="inlineStr">
        <is>
          <t>Leâ Anh</t>
        </is>
      </c>
      <c r="E721" s="1" t="inlineStr">
        <is>
          <t>Khoa</t>
        </is>
      </c>
      <c r="F721" s="1" t="inlineStr">
        <is>
          <t>19-Dec-07</t>
        </is>
      </c>
      <c r="G721" s="1" t="inlineStr">
        <is>
          <t>LNH0925ND01</t>
        </is>
      </c>
      <c r="H721" s="1" t="inlineStr">
        <is>
          <t>09AV Giao tiep QT (TS)</t>
        </is>
      </c>
      <c r="I721" s="1" t="n">
        <v>8415000</v>
      </c>
      <c r="J721" s="1" t="inlineStr">
        <is>
          <t>TRAN THI THANH MAI QR - Le Anh Khoa 25802100018 LNH092 5ND01 0335979795 TAI VietinBank</t>
        </is>
      </c>
    </row>
    <row r="722">
      <c r="A722" s="1" t="inlineStr">
        <is>
          <t>28-Aug-25</t>
        </is>
      </c>
      <c r="B722" s="1" t="inlineStr">
        <is>
          <t>I60885</t>
        </is>
      </c>
      <c r="C722" s="1" t="inlineStr">
        <is>
          <t>25802800070</t>
        </is>
      </c>
      <c r="D722" s="1" t="inlineStr">
        <is>
          <t>Leâ Thò Thu</t>
        </is>
      </c>
      <c r="E722" s="1" t="inlineStr">
        <is>
          <t>Hieàn</t>
        </is>
      </c>
      <c r="F722" s="1" t="inlineStr">
        <is>
          <t>13-Jun-07</t>
        </is>
      </c>
      <c r="G722" s="1" t="inlineStr">
        <is>
          <t>LNH0925ND01</t>
        </is>
      </c>
      <c r="H722" s="1" t="inlineStr">
        <is>
          <t>09AV Giao tiep QT (TS)</t>
        </is>
      </c>
      <c r="I722" s="1" t="n">
        <v>8415000</v>
      </c>
      <c r="J722" s="1" t="inlineStr">
        <is>
          <t>NGUYEN TRUNG NGHIA LE THI THU HIEN  25802800070  LNH09 25ND01  0918690003 TAI VietinBank</t>
        </is>
      </c>
    </row>
    <row r="723">
      <c r="A723" s="1" t="inlineStr">
        <is>
          <t>28-Aug-25</t>
        </is>
      </c>
      <c r="B723" s="1" t="inlineStr">
        <is>
          <t>I60886</t>
        </is>
      </c>
      <c r="C723" s="1" t="inlineStr">
        <is>
          <t>25808200111</t>
        </is>
      </c>
      <c r="D723" s="1" t="inlineStr">
        <is>
          <t>Phaïm Hoaøng Taøi Ch</t>
        </is>
      </c>
      <c r="E723" s="1" t="inlineStr">
        <is>
          <t>Taâm</t>
        </is>
      </c>
      <c r="F723" s="1" t="inlineStr">
        <is>
          <t>18-Jul-07</t>
        </is>
      </c>
      <c r="G723" s="1" t="inlineStr">
        <is>
          <t>LNH0925ND01</t>
        </is>
      </c>
      <c r="H723" s="1" t="inlineStr">
        <is>
          <t>09AV Giao tiep QT (TS)</t>
        </is>
      </c>
      <c r="I723" s="1" t="n">
        <v>8415000</v>
      </c>
      <c r="J723" s="1" t="inlineStr">
        <is>
          <t>PHAM VAN TUAT MBVCB.10706953886.402141.PHAM HOANG TAI CHI TAM .25808200111.LNH0925ND 01.0359215145.CT tu 0121000351272 P HAM VAN TUAT toi 0521043748045 HUTECH tai ABBANK TAI Vietcombank</t>
        </is>
      </c>
    </row>
    <row r="724">
      <c r="A724" s="1" t="inlineStr">
        <is>
          <t>28-Aug-25</t>
        </is>
      </c>
      <c r="B724" s="1" t="inlineStr">
        <is>
          <t>I60887</t>
        </is>
      </c>
      <c r="C724" s="1" t="inlineStr">
        <is>
          <t>25805900064</t>
        </is>
      </c>
      <c r="D724" s="1" t="inlineStr">
        <is>
          <t>Traàn Ngoïc Hoaøng</t>
        </is>
      </c>
      <c r="E724" s="1" t="inlineStr">
        <is>
          <t>Uyeân</t>
        </is>
      </c>
      <c r="F724" s="1" t="inlineStr">
        <is>
          <t>12-Aug-07</t>
        </is>
      </c>
      <c r="G724" s="1" t="inlineStr">
        <is>
          <t>LNH0925ND01</t>
        </is>
      </c>
      <c r="H724" s="1" t="inlineStr">
        <is>
          <t>09AV Giao tiep QT (TS)</t>
        </is>
      </c>
      <c r="I724" s="1" t="n">
        <v>8415000</v>
      </c>
      <c r="J724" s="1" t="inlineStr">
        <is>
          <t>NGUYEN TRUNG NGHIA TRAN NGOC HOANG UYEN  25805900064 LNH0925ND01  0948433843 TAI VietinBank</t>
        </is>
      </c>
    </row>
    <row r="725">
      <c r="A725" s="1" t="inlineStr">
        <is>
          <t>28-Aug-25</t>
        </is>
      </c>
      <c r="B725" s="1" t="inlineStr">
        <is>
          <t>I60888</t>
        </is>
      </c>
      <c r="C725" s="1" t="inlineStr">
        <is>
          <t>25820300088</t>
        </is>
      </c>
      <c r="D725" s="1" t="inlineStr">
        <is>
          <t>Noâng Thanh</t>
        </is>
      </c>
      <c r="E725" s="1" t="inlineStr">
        <is>
          <t>Quyeàn</t>
        </is>
      </c>
      <c r="F725" s="1" t="inlineStr">
        <is>
          <t>15-Feb-07</t>
        </is>
      </c>
      <c r="G725" s="1" t="inlineStr">
        <is>
          <t>LNH0925ND01</t>
        </is>
      </c>
      <c r="H725" s="1" t="inlineStr">
        <is>
          <t>09AV Giao tiep QT (TS)</t>
        </is>
      </c>
      <c r="I725" s="1" t="n">
        <v>8415000</v>
      </c>
      <c r="J725" s="1" t="inlineStr">
        <is>
          <t>MBBANK IBFT NONG THANH QUYEN 25820300088 LNH092 5ND01 0355151079 TAI IBT-MB                   HANOI</t>
        </is>
      </c>
    </row>
    <row r="726">
      <c r="A726" s="1" t="inlineStr">
        <is>
          <t>28-Aug-25</t>
        </is>
      </c>
      <c r="B726" s="1" t="inlineStr">
        <is>
          <t>I60889</t>
        </is>
      </c>
      <c r="C726" s="1" t="inlineStr">
        <is>
          <t>25808900043</t>
        </is>
      </c>
      <c r="D726" s="1" t="inlineStr">
        <is>
          <t>Huyønh Xuaân</t>
        </is>
      </c>
      <c r="E726" s="1" t="inlineStr">
        <is>
          <t>Huøng</t>
        </is>
      </c>
      <c r="F726" s="1" t="inlineStr">
        <is>
          <t>16-Aug-07</t>
        </is>
      </c>
      <c r="G726" s="1" t="inlineStr">
        <is>
          <t>LNH0925ND01</t>
        </is>
      </c>
      <c r="H726" s="1" t="inlineStr">
        <is>
          <t>09AV Giao tiep QT (TS)</t>
        </is>
      </c>
      <c r="I726" s="1" t="n">
        <v>8415000</v>
      </c>
      <c r="J726" s="1" t="inlineStr">
        <is>
          <t>NGUYEN TRUNG NGHIA HUYNH XUAN HUNG  25808900043  LNH09 25ND01  03577999860 TAI VietinBank</t>
        </is>
      </c>
    </row>
    <row r="727">
      <c r="A727" s="1" t="inlineStr">
        <is>
          <t>28-Aug-25</t>
        </is>
      </c>
      <c r="B727" s="1" t="inlineStr">
        <is>
          <t>I60890</t>
        </is>
      </c>
      <c r="C727" s="1" t="inlineStr">
        <is>
          <t>25809600017</t>
        </is>
      </c>
      <c r="D727" s="1" t="inlineStr">
        <is>
          <t>Phan Nguyeãn Anh</t>
        </is>
      </c>
      <c r="E727" s="1" t="inlineStr">
        <is>
          <t>Ñöùc</t>
        </is>
      </c>
      <c r="F727" s="1" t="inlineStr">
        <is>
          <t>24-Nov-07</t>
        </is>
      </c>
      <c r="G727" s="1" t="inlineStr">
        <is>
          <t>LNH0925ND01</t>
        </is>
      </c>
      <c r="H727" s="1" t="inlineStr">
        <is>
          <t>09AV Giao tiep QT (TS)</t>
        </is>
      </c>
      <c r="I727" s="1" t="n">
        <v>8415000</v>
      </c>
      <c r="J727" s="1" t="inlineStr">
        <is>
          <t>DINH THI THE PHUONG PHAN NGUYEN ANH DUC 25809600017 LNH 0925ND01 0862352411 TAI VietinBank</t>
        </is>
      </c>
    </row>
    <row r="728">
      <c r="A728" s="1" t="inlineStr">
        <is>
          <t>28-Aug-25</t>
        </is>
      </c>
      <c r="B728" s="1" t="inlineStr">
        <is>
          <t>I60891</t>
        </is>
      </c>
      <c r="C728" s="1" t="inlineStr">
        <is>
          <t>25806500015</t>
        </is>
      </c>
      <c r="D728" s="1" t="inlineStr">
        <is>
          <t>Ñaëng Taát</t>
        </is>
      </c>
      <c r="E728" s="1" t="inlineStr">
        <is>
          <t>Thaéng</t>
        </is>
      </c>
      <c r="F728" s="1" t="inlineStr">
        <is>
          <t>16-May-07</t>
        </is>
      </c>
      <c r="G728" s="1" t="inlineStr">
        <is>
          <t>LNH0925ND01</t>
        </is>
      </c>
      <c r="H728" s="1" t="inlineStr">
        <is>
          <t>09AV Giao tiep QT (TS)</t>
        </is>
      </c>
      <c r="I728" s="1" t="n">
        <v>8415000</v>
      </c>
      <c r="J728" s="1" t="inlineStr">
        <is>
          <t>TRAN THI PHUONG LAN ABBank 0521043748045 Dang Tat Thang 25806500015 LNH0925ND01 0824535969 TAI Agribank</t>
        </is>
      </c>
    </row>
    <row r="729">
      <c r="A729" s="1" t="inlineStr">
        <is>
          <t>28-Aug-25</t>
        </is>
      </c>
      <c r="B729" s="1" t="inlineStr">
        <is>
          <t>I60892</t>
        </is>
      </c>
      <c r="C729" s="1" t="inlineStr">
        <is>
          <t>25808200125</t>
        </is>
      </c>
      <c r="D729" s="1" t="inlineStr">
        <is>
          <t>Döông Vaên Minh</t>
        </is>
      </c>
      <c r="E729" s="1" t="inlineStr">
        <is>
          <t>Thoâng</t>
        </is>
      </c>
      <c r="F729" s="1" t="inlineStr">
        <is>
          <t>23-Sep-07</t>
        </is>
      </c>
      <c r="G729" s="1" t="inlineStr">
        <is>
          <t>LNH0925ND01</t>
        </is>
      </c>
      <c r="H729" s="1" t="inlineStr">
        <is>
          <t>09AV Giao tiep QT (TS)</t>
        </is>
      </c>
      <c r="I729" s="1" t="n">
        <v>8415000</v>
      </c>
      <c r="J729" s="1" t="inlineStr">
        <is>
          <t>DUONG VAN THAI ABBank 0521043748045 DUONG VAN MINH THONG  25808200125  LNH0925ND01 08 37525148 TAI Agribank</t>
        </is>
      </c>
    </row>
    <row r="730">
      <c r="A730" s="1" t="inlineStr">
        <is>
          <t>28-Aug-25</t>
        </is>
      </c>
      <c r="B730" s="1" t="inlineStr">
        <is>
          <t>I60893</t>
        </is>
      </c>
      <c r="C730" s="1" t="inlineStr">
        <is>
          <t>25801100001</t>
        </is>
      </c>
      <c r="D730" s="1" t="inlineStr">
        <is>
          <t>Ñinh Tuaán</t>
        </is>
      </c>
      <c r="E730" s="1" t="inlineStr">
        <is>
          <t>Anh</t>
        </is>
      </c>
      <c r="F730" s="1" t="inlineStr">
        <is>
          <t>28-Dec-07</t>
        </is>
      </c>
      <c r="G730" s="1" t="inlineStr">
        <is>
          <t>LNH0925ND01</t>
        </is>
      </c>
      <c r="H730" s="1" t="inlineStr">
        <is>
          <t>09AV Giao tiep QT (TS)</t>
        </is>
      </c>
      <c r="I730" s="1" t="n">
        <v>8415000</v>
      </c>
      <c r="J730" s="1" t="inlineStr">
        <is>
          <t>TRUONG THI THUY HANG ABBank 0521043748045 Dinh Tuan Anh 25801100001 LNH0925ND01 0901326654 TAI Agribank</t>
        </is>
      </c>
    </row>
    <row r="731">
      <c r="A731" s="1" t="inlineStr">
        <is>
          <t>28-Aug-25</t>
        </is>
      </c>
      <c r="B731" s="1" t="inlineStr">
        <is>
          <t>I60894</t>
        </is>
      </c>
      <c r="C731" s="1" t="inlineStr">
        <is>
          <t>25808900132</t>
        </is>
      </c>
      <c r="D731" s="1" t="inlineStr">
        <is>
          <t>Phaïm Thanh</t>
        </is>
      </c>
      <c r="E731" s="1" t="inlineStr">
        <is>
          <t>Toaøn</t>
        </is>
      </c>
      <c r="F731" s="1" t="inlineStr">
        <is>
          <t>14-Feb-07</t>
        </is>
      </c>
      <c r="G731" s="1" t="inlineStr">
        <is>
          <t>LNH0925ND01</t>
        </is>
      </c>
      <c r="H731" s="1" t="inlineStr">
        <is>
          <t>09AV Giao tiep QT (TS)</t>
        </is>
      </c>
      <c r="I731" s="1" t="n">
        <v>8415000</v>
      </c>
      <c r="J731" s="1" t="inlineStr">
        <is>
          <t>PHAM THANH LOC ABBank 0521043748045 PHAM THANH TOA N 25808900132 LNH0925ND01 097237764 TAI Agribank</t>
        </is>
      </c>
    </row>
    <row r="732">
      <c r="A732" s="1" t="inlineStr">
        <is>
          <t>28-Aug-25</t>
        </is>
      </c>
      <c r="B732" s="1" t="inlineStr">
        <is>
          <t>I60895</t>
        </is>
      </c>
      <c r="C732" s="1" t="inlineStr">
        <is>
          <t>25802800010</t>
        </is>
      </c>
      <c r="D732" s="1" t="inlineStr">
        <is>
          <t>Phaïm Thò Ngoïc</t>
        </is>
      </c>
      <c r="E732" s="1" t="inlineStr">
        <is>
          <t>Anh</t>
        </is>
      </c>
      <c r="F732" s="1" t="inlineStr">
        <is>
          <t>27-Sep-07</t>
        </is>
      </c>
      <c r="G732" s="1" t="inlineStr">
        <is>
          <t>LNH0925ND01</t>
        </is>
      </c>
      <c r="H732" s="1" t="inlineStr">
        <is>
          <t>09AV Giao tiep QT (TS)</t>
        </is>
      </c>
      <c r="I732" s="1" t="n">
        <v>8415000</v>
      </c>
      <c r="J732" s="1" t="inlineStr">
        <is>
          <t>PHAM DUC KY pham thi ngoc anh 25802800010 LNH09 25ND01 0867147374 TAI IBT BIDV                 HANOI</t>
        </is>
      </c>
    </row>
    <row r="733">
      <c r="A733" s="1" t="inlineStr">
        <is>
          <t>28-Aug-25</t>
        </is>
      </c>
      <c r="B733" s="1" t="inlineStr">
        <is>
          <t>I60896</t>
        </is>
      </c>
      <c r="C733" s="1" t="inlineStr">
        <is>
          <t>25800500005</t>
        </is>
      </c>
      <c r="D733" s="1" t="inlineStr">
        <is>
          <t>Leâ Tuaán</t>
        </is>
      </c>
      <c r="E733" s="1" t="inlineStr">
        <is>
          <t>Anh</t>
        </is>
      </c>
      <c r="F733" s="1" t="inlineStr">
        <is>
          <t>27-May-07</t>
        </is>
      </c>
      <c r="G733" s="1" t="inlineStr">
        <is>
          <t>LNH0925ND01</t>
        </is>
      </c>
      <c r="H733" s="1" t="inlineStr">
        <is>
          <t>09AV Giao tiep QT (TS)</t>
        </is>
      </c>
      <c r="I733" s="1" t="n">
        <v>8415000</v>
      </c>
      <c r="J733" s="1" t="inlineStr">
        <is>
          <t>LE HONG NIEN le tuan anh 25800500005 LNH0925ND01 0369777653 TAI IBT BIDV                 HANOI</t>
        </is>
      </c>
    </row>
    <row r="734">
      <c r="A734" s="1" t="inlineStr">
        <is>
          <t>28-Aug-25</t>
        </is>
      </c>
      <c r="B734" s="1" t="inlineStr">
        <is>
          <t>I60897</t>
        </is>
      </c>
      <c r="C734" s="1" t="inlineStr">
        <is>
          <t>25802100069</t>
        </is>
      </c>
      <c r="D734" s="1" t="inlineStr">
        <is>
          <t>Löông Baûo</t>
        </is>
      </c>
      <c r="E734" s="1" t="inlineStr">
        <is>
          <t>Huy</t>
        </is>
      </c>
      <c r="F734" s="1" t="inlineStr">
        <is>
          <t>16-Feb-07</t>
        </is>
      </c>
      <c r="G734" s="1" t="inlineStr">
        <is>
          <t>LNH0925ND01</t>
        </is>
      </c>
      <c r="H734" s="1" t="inlineStr">
        <is>
          <t>09AV Giao tiep QT (TS)</t>
        </is>
      </c>
      <c r="I734" s="1" t="n">
        <v>8415000</v>
      </c>
      <c r="J734" s="1" t="inlineStr">
        <is>
          <t>NGUYEN TRUNG NGHIA LUONG BAO HUY  25802100069  LNH0925 ND01  0988475169 TAI VietinBank</t>
        </is>
      </c>
    </row>
    <row r="735">
      <c r="A735" s="1" t="inlineStr">
        <is>
          <t>28-Aug-25</t>
        </is>
      </c>
      <c r="B735" s="1" t="inlineStr">
        <is>
          <t>I60898</t>
        </is>
      </c>
      <c r="C735" s="1" t="inlineStr">
        <is>
          <t>25808200225</t>
        </is>
      </c>
      <c r="D735" s="1" t="inlineStr">
        <is>
          <t>Nguyeãn Quoác</t>
        </is>
      </c>
      <c r="E735" s="1" t="inlineStr">
        <is>
          <t>Vieät</t>
        </is>
      </c>
      <c r="F735" s="1" t="inlineStr">
        <is>
          <t>02-Sep-06</t>
        </is>
      </c>
      <c r="G735" s="1" t="inlineStr">
        <is>
          <t>LNH0925ND01</t>
        </is>
      </c>
      <c r="H735" s="1" t="inlineStr">
        <is>
          <t>09AV Giao tiep QT (TS)</t>
        </is>
      </c>
      <c r="I735" s="1" t="n">
        <v>8415000</v>
      </c>
      <c r="J735" s="1" t="inlineStr">
        <is>
          <t>MBBANK IBFT NGUYEN QUOC VIET 25808200225 LNH092 5ND01 0924737357 TAI IBT-MB                   HANOI</t>
        </is>
      </c>
    </row>
    <row r="736">
      <c r="A736" s="1" t="inlineStr">
        <is>
          <t>28-Aug-25</t>
        </is>
      </c>
      <c r="B736" s="1" t="inlineStr">
        <is>
          <t>I60899</t>
        </is>
      </c>
      <c r="C736" s="1" t="inlineStr">
        <is>
          <t>25808900047</t>
        </is>
      </c>
      <c r="D736" s="1" t="inlineStr">
        <is>
          <t>Nguyeãn Kim</t>
        </is>
      </c>
      <c r="E736" s="1" t="inlineStr">
        <is>
          <t>Huy</t>
        </is>
      </c>
      <c r="F736" s="1" t="inlineStr">
        <is>
          <t>17-Apr-07</t>
        </is>
      </c>
      <c r="G736" s="1" t="inlineStr">
        <is>
          <t>LNH0925ND01</t>
        </is>
      </c>
      <c r="H736" s="1" t="inlineStr">
        <is>
          <t>09AV Giao tiep QT (TS)</t>
        </is>
      </c>
      <c r="I736" s="1" t="n">
        <v>8415000</v>
      </c>
      <c r="J736" s="1" t="inlineStr">
        <is>
          <t>NGUYEN KIM LOC ABBank 0521043748045 nguyen kim huy 25808900047 LNH0925ND01 0865186453 TAI Agribank</t>
        </is>
      </c>
    </row>
    <row r="737">
      <c r="A737" s="1" t="inlineStr">
        <is>
          <t>28-Aug-25</t>
        </is>
      </c>
      <c r="B737" s="1" t="inlineStr">
        <is>
          <t>I60900</t>
        </is>
      </c>
      <c r="C737" s="1" t="inlineStr">
        <is>
          <t>25820200120</t>
        </is>
      </c>
      <c r="D737" s="1" t="inlineStr">
        <is>
          <t>Ñoã Nhaät Hoaøng</t>
        </is>
      </c>
      <c r="E737" s="1" t="inlineStr">
        <is>
          <t>Long</t>
        </is>
      </c>
      <c r="F737" s="1" t="inlineStr">
        <is>
          <t>18-May-07</t>
        </is>
      </c>
      <c r="G737" s="1" t="inlineStr">
        <is>
          <t>LNH0925ND01</t>
        </is>
      </c>
      <c r="H737" s="1" t="inlineStr">
        <is>
          <t>09AV Giao tiep QT (TS)</t>
        </is>
      </c>
      <c r="I737" s="1" t="n">
        <v>0</v>
      </c>
      <c r="J737" s="1" t="inlineStr">
        <is>
          <t>(chuyen EDU)DO DUC DIEN Do nhat hoang long 25820200120 LnH0 925ND01 sdt 0355490122 TAI IBT VPB EBANKING         HANOI</t>
        </is>
      </c>
    </row>
    <row r="738">
      <c r="A738" s="1" t="inlineStr">
        <is>
          <t>28-Aug-25</t>
        </is>
      </c>
      <c r="B738" s="1" t="inlineStr">
        <is>
          <t>I60901</t>
        </is>
      </c>
      <c r="C738" s="1" t="inlineStr">
        <is>
          <t>25801800061</t>
        </is>
      </c>
      <c r="D738" s="1" t="inlineStr">
        <is>
          <t>Nguyeãn Hoaøng</t>
        </is>
      </c>
      <c r="E738" s="1" t="inlineStr">
        <is>
          <t>Sang</t>
        </is>
      </c>
      <c r="F738" s="1" t="inlineStr">
        <is>
          <t>27-Dec-07</t>
        </is>
      </c>
      <c r="G738" s="1" t="inlineStr">
        <is>
          <t>LNH0925ND01</t>
        </is>
      </c>
      <c r="H738" s="1" t="inlineStr">
        <is>
          <t>09AV Giao tiep QT (TS)</t>
        </is>
      </c>
      <c r="I738" s="1" t="n">
        <v>8415000</v>
      </c>
      <c r="J738" s="1" t="inlineStr">
        <is>
          <t>MBBANK IBFT Nguyen Hoang Sang 25801800061 LNH09 25ND01 0937446069 TAI IBT-MB                   HANOI</t>
        </is>
      </c>
    </row>
    <row r="739">
      <c r="A739" s="1" t="inlineStr">
        <is>
          <t>28-Aug-25</t>
        </is>
      </c>
      <c r="B739" s="1" t="inlineStr">
        <is>
          <t>I60902</t>
        </is>
      </c>
      <c r="C739" s="1" t="inlineStr">
        <is>
          <t>25802600212</t>
        </is>
      </c>
      <c r="D739" s="1" t="inlineStr">
        <is>
          <t>Ñaøm Kieàu Yeán</t>
        </is>
      </c>
      <c r="E739" s="1" t="inlineStr">
        <is>
          <t>Nhi</t>
        </is>
      </c>
      <c r="F739" s="1" t="inlineStr">
        <is>
          <t>08-Apr-07</t>
        </is>
      </c>
      <c r="G739" s="1" t="inlineStr">
        <is>
          <t>LNH0925ND01</t>
        </is>
      </c>
      <c r="H739" s="1" t="inlineStr">
        <is>
          <t>09AV Giao tiep QT (TS)</t>
        </is>
      </c>
      <c r="I739" s="1" t="n">
        <v>0</v>
      </c>
      <c r="J739" s="1" t="inlineStr">
        <is>
          <t>(chuyen edu)DAM VAN HIEN ABBank 0521043748045 DAM KIEU YEN N HI 2502600065 LNH0925ND01 034973327 TAI Agribank</t>
        </is>
      </c>
    </row>
    <row r="740">
      <c r="A740" s="1" t="inlineStr">
        <is>
          <t>28-Aug-25</t>
        </is>
      </c>
      <c r="B740" s="1" t="inlineStr">
        <is>
          <t>I60903</t>
        </is>
      </c>
      <c r="C740" s="1" t="inlineStr">
        <is>
          <t>25802600031</t>
        </is>
      </c>
      <c r="D740" s="1" t="inlineStr">
        <is>
          <t>Nguyeãn Ñaëng Minh</t>
        </is>
      </c>
      <c r="E740" s="1" t="inlineStr">
        <is>
          <t>Ñaït</t>
        </is>
      </c>
      <c r="F740" s="1" t="inlineStr">
        <is>
          <t>19-Nov-07</t>
        </is>
      </c>
      <c r="G740" s="1" t="inlineStr">
        <is>
          <t>LNH0925ND01</t>
        </is>
      </c>
      <c r="H740" s="1" t="inlineStr">
        <is>
          <t>09AV Giao tiep QT (TS)</t>
        </is>
      </c>
      <c r="I740" s="1" t="n">
        <v>8415000</v>
      </c>
      <c r="J740" s="1" t="inlineStr">
        <is>
          <t>DANG TRAN THUY AN NGUYEN DANG MINH DAT25802600031 LNH 0925ND01 0941191107 TAI HDBank                 Ebanking</t>
        </is>
      </c>
    </row>
    <row r="741">
      <c r="A741" s="1" t="inlineStr">
        <is>
          <t>28-Aug-25</t>
        </is>
      </c>
      <c r="B741" s="1" t="inlineStr">
        <is>
          <t>I60904</t>
        </is>
      </c>
      <c r="C741" s="1" t="inlineStr">
        <is>
          <t>25801500098</t>
        </is>
      </c>
      <c r="D741" s="1" t="inlineStr">
        <is>
          <t>Nguyeãn Ñaëng Minh</t>
        </is>
      </c>
      <c r="E741" s="1" t="inlineStr">
        <is>
          <t>Trí</t>
        </is>
      </c>
      <c r="F741" s="1" t="inlineStr">
        <is>
          <t>19-Nov-07</t>
        </is>
      </c>
      <c r="G741" s="1" t="inlineStr">
        <is>
          <t>LNH0925ND01</t>
        </is>
      </c>
      <c r="H741" s="1" t="inlineStr">
        <is>
          <t>09AV Giao tiep QT (TS)</t>
        </is>
      </c>
      <c r="I741" s="1" t="n">
        <v>8415000</v>
      </c>
      <c r="J741" s="1" t="inlineStr">
        <is>
          <t>DANG TRAN THUY AN NGUYEN DANG MINH TRI 25801500098 LN H0925ND01 0937191107 TAI HDBank                 Ebanking</t>
        </is>
      </c>
    </row>
    <row r="742">
      <c r="A742" s="1" t="inlineStr">
        <is>
          <t>28-Aug-25</t>
        </is>
      </c>
      <c r="B742" s="1" t="inlineStr">
        <is>
          <t>I60905</t>
        </is>
      </c>
      <c r="C742" s="1" t="inlineStr">
        <is>
          <t>25808900109</t>
        </is>
      </c>
      <c r="D742" s="1" t="inlineStr">
        <is>
          <t>Leâ Vaên</t>
        </is>
      </c>
      <c r="E742" s="1" t="inlineStr">
        <is>
          <t>Taán</t>
        </is>
      </c>
      <c r="F742" s="1" t="inlineStr">
        <is>
          <t>01-Nov-07</t>
        </is>
      </c>
      <c r="G742" s="1" t="inlineStr">
        <is>
          <t>LNH0925ND01</t>
        </is>
      </c>
      <c r="H742" s="1" t="inlineStr">
        <is>
          <t>09AV Giao tiep QT (TS)</t>
        </is>
      </c>
      <c r="I742" s="1" t="n">
        <v>8415000</v>
      </c>
      <c r="J742" s="1" t="inlineStr">
        <is>
          <t>MBBANK IBFT Le Van Tan mssv 25808900109 LNH0925 ND01 sdt0329514135 TAI IBT-MB                   HANOI</t>
        </is>
      </c>
    </row>
    <row r="743">
      <c r="A743" s="1" t="inlineStr">
        <is>
          <t>28-Aug-25</t>
        </is>
      </c>
      <c r="B743" s="1" t="inlineStr">
        <is>
          <t>I60906</t>
        </is>
      </c>
      <c r="C743" s="1" t="inlineStr">
        <is>
          <t>25808900014</t>
        </is>
      </c>
      <c r="D743" s="1" t="inlineStr">
        <is>
          <t>Traàn Minh</t>
        </is>
      </c>
      <c r="E743" s="1" t="inlineStr">
        <is>
          <t>Chí</t>
        </is>
      </c>
      <c r="F743" s="1" t="inlineStr">
        <is>
          <t>10-Oct-07</t>
        </is>
      </c>
      <c r="G743" s="1" t="inlineStr">
        <is>
          <t>LNH0925ND01</t>
        </is>
      </c>
      <c r="H743" s="1" t="inlineStr">
        <is>
          <t>09AV Giao tiep QT (TS)</t>
        </is>
      </c>
      <c r="I743" s="1" t="n">
        <v>8415000</v>
      </c>
      <c r="J743" s="1" t="inlineStr">
        <is>
          <t>MBBANK IBFT Tran Minh Chi mssv 25808900014 LNH0 925ND01 sdt 0388845701 TAI IBT-MB                   HANOI</t>
        </is>
      </c>
    </row>
    <row r="744">
      <c r="A744" s="1" t="inlineStr">
        <is>
          <t>29-Aug-25</t>
        </is>
      </c>
      <c r="B744" s="1" t="inlineStr">
        <is>
          <t>I60907</t>
        </is>
      </c>
      <c r="C744" s="1" t="inlineStr">
        <is>
          <t>25802800113</t>
        </is>
      </c>
      <c r="D744" s="1" t="inlineStr">
        <is>
          <t>Huyønh Phaïm Ñaêng</t>
        </is>
      </c>
      <c r="E744" s="1" t="inlineStr">
        <is>
          <t>Khoa</t>
        </is>
      </c>
      <c r="F744" s="1" t="inlineStr">
        <is>
          <t>29-Dec-07</t>
        </is>
      </c>
      <c r="G744" s="1" t="inlineStr">
        <is>
          <t>LNH0925ND01</t>
        </is>
      </c>
      <c r="H744" s="1" t="inlineStr">
        <is>
          <t>09AV Giao tiep QT (TS)</t>
        </is>
      </c>
      <c r="I744" s="1" t="n">
        <v>1000000</v>
      </c>
      <c r="J744" s="1" t="inlineStr">
        <is>
          <t>(ma cu LNH0925NT01) CONG TY CP DICH VU DI DONG TRUC TUY EN 99058079567 0903864518 Huynh Pham D ang Khoa mssv 25802800113 LNH0925N TAI IBT BIDV                 HANOI</t>
        </is>
      </c>
    </row>
    <row r="745">
      <c r="A745" s="1" t="inlineStr">
        <is>
          <t>29-Aug-25</t>
        </is>
      </c>
      <c r="B745" s="1" t="inlineStr">
        <is>
          <t>I60911</t>
        </is>
      </c>
      <c r="C745" s="1" t="inlineStr">
        <is>
          <t>25807800040</t>
        </is>
      </c>
      <c r="D745" s="1" t="inlineStr">
        <is>
          <t>Nguyeãn Theá</t>
        </is>
      </c>
      <c r="E745" s="1" t="inlineStr">
        <is>
          <t>Haûi</t>
        </is>
      </c>
      <c r="F745" s="1" t="inlineStr">
        <is>
          <t>04-Jun-07</t>
        </is>
      </c>
      <c r="G745" s="1" t="inlineStr">
        <is>
          <t>LNH0925ND01</t>
        </is>
      </c>
      <c r="H745" s="1" t="inlineStr">
        <is>
          <t>09AV Giao tiep QT (TS)</t>
        </is>
      </c>
      <c r="I745" s="1" t="n">
        <v>500000</v>
      </c>
      <c r="J745" s="1" t="inlineStr">
        <is>
          <t>NGUYEN TRUNG NGHIA NGUYEN THE HAI  25807800040  LNH092 5ND01  0352131630 TAI VietinBank</t>
        </is>
      </c>
    </row>
    <row r="746">
      <c r="A746" s="1" t="inlineStr">
        <is>
          <t>29-Aug-25</t>
        </is>
      </c>
      <c r="B746" s="1" t="inlineStr">
        <is>
          <t>I60912</t>
        </is>
      </c>
      <c r="C746" s="1" t="inlineStr">
        <is>
          <t>25800500004</t>
        </is>
      </c>
      <c r="D746" s="1" t="inlineStr">
        <is>
          <t>Leâ Nguyeãn Vieät</t>
        </is>
      </c>
      <c r="E746" s="1" t="inlineStr">
        <is>
          <t>Anh</t>
        </is>
      </c>
      <c r="F746" s="1" t="inlineStr">
        <is>
          <t>09-Jul-07</t>
        </is>
      </c>
      <c r="G746" s="1" t="inlineStr">
        <is>
          <t>LNH0925ND01</t>
        </is>
      </c>
      <c r="H746" s="1" t="inlineStr">
        <is>
          <t>09AV Giao tiep QT (TS)</t>
        </is>
      </c>
      <c r="I746" s="1" t="n">
        <v>1000000</v>
      </c>
      <c r="J746" s="1" t="inlineStr">
        <is>
          <t>MBBANK IBFT le nguyen viet anh 25800500004 LNH0 925ND01 0869281617 TAI IBT-MB                   HANOI</t>
        </is>
      </c>
    </row>
    <row r="747">
      <c r="A747" s="1" t="inlineStr">
        <is>
          <t>29-Aug-25</t>
        </is>
      </c>
      <c r="B747" s="1" t="inlineStr">
        <is>
          <t>I60914</t>
        </is>
      </c>
      <c r="C747" s="1" t="inlineStr">
        <is>
          <t>25808200090</t>
        </is>
      </c>
      <c r="D747" s="1" t="inlineStr">
        <is>
          <t>Phan Tuaán</t>
        </is>
      </c>
      <c r="E747" s="1" t="inlineStr">
        <is>
          <t>Nghóa</t>
        </is>
      </c>
      <c r="F747" s="1" t="inlineStr">
        <is>
          <t>02-Dec-07</t>
        </is>
      </c>
      <c r="G747" s="1" t="inlineStr">
        <is>
          <t>LNH0925ND01</t>
        </is>
      </c>
      <c r="H747" s="1" t="inlineStr">
        <is>
          <t>09AV Giao tiep QT (TS)</t>
        </is>
      </c>
      <c r="I747" s="1" t="n">
        <v>1000000</v>
      </c>
      <c r="J747" s="1" t="inlineStr">
        <is>
          <t>PHAN TUAN NGHIA PHAN TUAN NGHIA 25808200090 LNH0925 ND01 0347274716 TAI IBT BIDV                 HANOI</t>
        </is>
      </c>
    </row>
    <row r="748">
      <c r="A748" s="1" t="inlineStr">
        <is>
          <t>29-Aug-25</t>
        </is>
      </c>
      <c r="B748" s="1" t="inlineStr">
        <is>
          <t>I60915</t>
        </is>
      </c>
      <c r="C748" s="1" t="inlineStr">
        <is>
          <t>25800500339</t>
        </is>
      </c>
      <c r="D748" s="1" t="inlineStr">
        <is>
          <t>Leâ Coâng</t>
        </is>
      </c>
      <c r="E748" s="1" t="inlineStr">
        <is>
          <t>Minh</t>
        </is>
      </c>
      <c r="F748" s="1" t="inlineStr">
        <is>
          <t>03-Dec-07</t>
        </is>
      </c>
      <c r="G748" s="1" t="inlineStr">
        <is>
          <t>LNH0925ND01</t>
        </is>
      </c>
      <c r="H748" s="1" t="inlineStr">
        <is>
          <t>09AV Giao tiep QT (TS)</t>
        </is>
      </c>
      <c r="I748" s="1" t="n">
        <v>0</v>
      </c>
      <c r="J748" s="1" t="inlineStr">
        <is>
          <t>(Rut Hp)LE CONG MINH MBVCB.10717852033.762165.LE CONG MI NH 2500500131 LNH0925ND01 032653891 8.CT tu 1053614584 LE CONG MINH toi 0521043748045 HUTECH tai ABBANK TAI Vietcombank</t>
        </is>
      </c>
    </row>
    <row r="749">
      <c r="A749" s="1" t="inlineStr">
        <is>
          <t>29-Aug-25</t>
        </is>
      </c>
      <c r="B749" s="1" t="inlineStr">
        <is>
          <t>I60916</t>
        </is>
      </c>
      <c r="C749" s="1" t="inlineStr">
        <is>
          <t>25802800351</t>
        </is>
      </c>
      <c r="D749" s="1" t="inlineStr">
        <is>
          <t>Nguyeãn Duy</t>
        </is>
      </c>
      <c r="E749" s="1" t="inlineStr">
        <is>
          <t>Thaéng</t>
        </is>
      </c>
      <c r="F749" s="1" t="inlineStr">
        <is>
          <t>19-Aug-07</t>
        </is>
      </c>
      <c r="G749" s="1" t="inlineStr">
        <is>
          <t>LNH0925ND01</t>
        </is>
      </c>
      <c r="H749" s="1" t="inlineStr">
        <is>
          <t>09AV Giao tiep QT (TS)</t>
        </is>
      </c>
      <c r="I749" s="1" t="n">
        <v>1000000</v>
      </c>
      <c r="J749" s="1" t="inlineStr">
        <is>
          <t>MBBANK IBFT NGUYEN DUY THANG 25802800351 LNH092 5ND01 0344592702 TAI IBT-MB                   HANOI</t>
        </is>
      </c>
    </row>
    <row r="750">
      <c r="A750" s="1" t="inlineStr">
        <is>
          <t>29-Aug-25</t>
        </is>
      </c>
      <c r="B750" s="1" t="inlineStr">
        <is>
          <t>I60917</t>
        </is>
      </c>
      <c r="C750" s="1" t="inlineStr">
        <is>
          <t>25801800183</t>
        </is>
      </c>
      <c r="D750" s="1" t="inlineStr">
        <is>
          <t>Traàn Thò Minh</t>
        </is>
      </c>
      <c r="E750" s="1" t="inlineStr">
        <is>
          <t>Tuù</t>
        </is>
      </c>
      <c r="F750" s="1" t="inlineStr">
        <is>
          <t>14-Feb-07</t>
        </is>
      </c>
      <c r="G750" s="1" t="inlineStr">
        <is>
          <t>LNH0925ND01</t>
        </is>
      </c>
      <c r="H750" s="1" t="inlineStr">
        <is>
          <t>09AV Giao tiep QT (TS)</t>
        </is>
      </c>
      <c r="I750" s="1" t="n">
        <v>1000000</v>
      </c>
      <c r="J750" s="1" t="inlineStr">
        <is>
          <t>TRAN MINH HUNG ABBank 0521043748045 Tran Thi Minh Tu 25801800183 LNH0925ND01 09856096 30 TAI Agribank</t>
        </is>
      </c>
    </row>
    <row r="751">
      <c r="A751" s="1" t="inlineStr">
        <is>
          <t>29-Aug-25</t>
        </is>
      </c>
      <c r="B751" s="1" t="inlineStr">
        <is>
          <t>I60918</t>
        </is>
      </c>
      <c r="C751" s="1" t="inlineStr">
        <is>
          <t>25803800110</t>
        </is>
      </c>
      <c r="D751" s="1" t="inlineStr">
        <is>
          <t>Traàn Quang</t>
        </is>
      </c>
      <c r="E751" s="1" t="inlineStr">
        <is>
          <t>Trung</t>
        </is>
      </c>
      <c r="F751" s="1" t="inlineStr">
        <is>
          <t>15-Apr-07</t>
        </is>
      </c>
      <c r="G751" s="1" t="inlineStr">
        <is>
          <t>LNH0925ND01</t>
        </is>
      </c>
      <c r="H751" s="1" t="inlineStr">
        <is>
          <t>09AV Giao tiep QT (TS)</t>
        </is>
      </c>
      <c r="I751" s="1" t="n">
        <v>0</v>
      </c>
      <c r="J751" s="1" t="inlineStr">
        <is>
          <t>(Rut hp)DINH THI THE PHUONG TRAN QUANG TRUNG 25803800110 LNH092 5ND01 0985880320 TAI VietinBank</t>
        </is>
      </c>
    </row>
    <row r="752">
      <c r="A752" s="1" t="inlineStr">
        <is>
          <t>29-Aug-25</t>
        </is>
      </c>
      <c r="B752" s="1" t="inlineStr">
        <is>
          <t>I60919</t>
        </is>
      </c>
      <c r="C752" s="1" t="inlineStr">
        <is>
          <t>25820200048</t>
        </is>
      </c>
      <c r="D752" s="1" t="inlineStr">
        <is>
          <t>Vuõ Thieân</t>
        </is>
      </c>
      <c r="E752" s="1" t="inlineStr">
        <is>
          <t>Phuù</t>
        </is>
      </c>
      <c r="F752" s="1" t="inlineStr">
        <is>
          <t>06-Jan-07</t>
        </is>
      </c>
      <c r="G752" s="1" t="inlineStr">
        <is>
          <t>LNH0925ND01</t>
        </is>
      </c>
      <c r="H752" s="1" t="inlineStr">
        <is>
          <t>09AV Giao tiep QT (TS)</t>
        </is>
      </c>
      <c r="I752" s="1" t="n">
        <v>1000000</v>
      </c>
      <c r="J752" s="1" t="inlineStr">
        <is>
          <t>MBBANK IBFT Vu Thien Phu 25820200048 LNH0925ND0 1 0918472858 TAI IBT-MB                   HANOI</t>
        </is>
      </c>
    </row>
    <row r="753">
      <c r="A753" s="1" t="inlineStr">
        <is>
          <t>29-Aug-25</t>
        </is>
      </c>
      <c r="B753" s="1" t="inlineStr">
        <is>
          <t>I60920</t>
        </is>
      </c>
      <c r="C753" s="1" t="inlineStr">
        <is>
          <t>25808200137</t>
        </is>
      </c>
      <c r="D753" s="1" t="inlineStr">
        <is>
          <t>Traàn Minh</t>
        </is>
      </c>
      <c r="E753" s="1" t="inlineStr">
        <is>
          <t>Tuù</t>
        </is>
      </c>
      <c r="F753" s="1" t="inlineStr">
        <is>
          <t>30-Apr-07</t>
        </is>
      </c>
      <c r="G753" s="1" t="inlineStr">
        <is>
          <t>LNH0925ND01</t>
        </is>
      </c>
      <c r="H753" s="1" t="inlineStr">
        <is>
          <t>09AV Giao tiep QT (TS)</t>
        </is>
      </c>
      <c r="I753" s="1" t="n">
        <v>1000000</v>
      </c>
      <c r="J753" s="1" t="inlineStr">
        <is>
          <t>TRAN MINH CHAU MBVCB.10718561912.236306.Tran Minh Tu 25808200137 LNH0925ND01  0964164 155.CT tu 0271001013548 TRAN MINH C HAU toi 0521043748045 HUTECH tai ABBANK TAI Vietcombank</t>
        </is>
      </c>
    </row>
    <row r="754">
      <c r="A754" s="1" t="inlineStr">
        <is>
          <t>29-Aug-25</t>
        </is>
      </c>
      <c r="B754" s="1" t="inlineStr">
        <is>
          <t>I60921</t>
        </is>
      </c>
      <c r="C754" s="1" t="inlineStr">
        <is>
          <t>25820100086</t>
        </is>
      </c>
      <c r="D754" s="1" t="inlineStr">
        <is>
          <t>Nguyeãn Tuaán</t>
        </is>
      </c>
      <c r="E754" s="1" t="inlineStr">
        <is>
          <t>Anh</t>
        </is>
      </c>
      <c r="F754" s="1" t="inlineStr">
        <is>
          <t>10-Apr-07</t>
        </is>
      </c>
      <c r="G754" s="1" t="inlineStr">
        <is>
          <t>LNH0925ND01</t>
        </is>
      </c>
      <c r="H754" s="1" t="inlineStr">
        <is>
          <t>09AV Giao tiep QT (TS)</t>
        </is>
      </c>
      <c r="I754" s="1" t="n">
        <v>1000000</v>
      </c>
      <c r="J754" s="1" t="inlineStr">
        <is>
          <t>NGUYEN MINH HIEU Nguyen Tuan Anh 25820100086 LNH0925 ND01 0355965707 TAI IBT TIENPHONGBANK      HANOI</t>
        </is>
      </c>
    </row>
    <row r="755">
      <c r="A755" s="1" t="inlineStr">
        <is>
          <t>29-Aug-25</t>
        </is>
      </c>
      <c r="B755" s="1" t="inlineStr">
        <is>
          <t>I60922</t>
        </is>
      </c>
      <c r="C755" s="1" t="inlineStr">
        <is>
          <t>25808300040</t>
        </is>
      </c>
      <c r="D755" s="1" t="inlineStr">
        <is>
          <t>Cao Chung Thaùi</t>
        </is>
      </c>
      <c r="E755" s="1" t="inlineStr">
        <is>
          <t>Sôn</t>
        </is>
      </c>
      <c r="F755" s="1" t="inlineStr">
        <is>
          <t>01-Jan-03</t>
        </is>
      </c>
      <c r="G755" s="1" t="inlineStr">
        <is>
          <t>LNH0925ND01</t>
        </is>
      </c>
      <c r="H755" s="1" t="inlineStr">
        <is>
          <t>09AV Giao tiep QT (TS)</t>
        </is>
      </c>
      <c r="I755" s="1" t="n">
        <v>1000000</v>
      </c>
      <c r="J755" s="1" t="inlineStr">
        <is>
          <t>CHUNG THI THUY HA MBVCB.10718731414.346643.CAO CHUNG THAI SON 25808300040 LNH0925ND01 09 14221889.CT tu 0431000215889 CHUNG THI THUY HA toi 0521043748045 HUTECH tai ABBANK TAI Vietcombank</t>
        </is>
      </c>
    </row>
    <row r="756">
      <c r="A756" s="1" t="inlineStr">
        <is>
          <t>29-Aug-25</t>
        </is>
      </c>
      <c r="B756" s="1" t="inlineStr">
        <is>
          <t>I60923</t>
        </is>
      </c>
      <c r="C756" s="1" t="inlineStr">
        <is>
          <t>25807800050</t>
        </is>
      </c>
      <c r="D756" s="1" t="inlineStr">
        <is>
          <t>Voõ Löông Nhaät</t>
        </is>
      </c>
      <c r="E756" s="1" t="inlineStr">
        <is>
          <t>Hoaøng</t>
        </is>
      </c>
      <c r="F756" s="1" t="inlineStr">
        <is>
          <t>25-Jun-07</t>
        </is>
      </c>
      <c r="G756" s="1" t="inlineStr">
        <is>
          <t>LNH0925ND01</t>
        </is>
      </c>
      <c r="H756" s="1" t="inlineStr">
        <is>
          <t>09AV Giao tiep QT (TS)</t>
        </is>
      </c>
      <c r="I756" s="1" t="n">
        <v>1000000</v>
      </c>
      <c r="J756" s="1" t="inlineStr">
        <is>
          <t>NGUYEN TRUNG NGHIA VO LUONG NHAT HOANG  25807800050  L NH0925ND01  0377272539 TAI VietinBank</t>
        </is>
      </c>
    </row>
    <row r="757">
      <c r="A757" s="1" t="inlineStr">
        <is>
          <t>29-Aug-25</t>
        </is>
      </c>
      <c r="B757" s="1" t="inlineStr">
        <is>
          <t>I60924</t>
        </is>
      </c>
      <c r="C757" s="1" t="inlineStr">
        <is>
          <t>25806000105</t>
        </is>
      </c>
      <c r="D757" s="1" t="inlineStr">
        <is>
          <t>Vuõ Ñoã Nhö</t>
        </is>
      </c>
      <c r="E757" s="1" t="inlineStr">
        <is>
          <t>Quyønh</t>
        </is>
      </c>
      <c r="F757" s="1" t="inlineStr">
        <is>
          <t>26-Feb-07</t>
        </is>
      </c>
      <c r="G757" s="1" t="inlineStr">
        <is>
          <t>LNH0925ND01</t>
        </is>
      </c>
      <c r="H757" s="1" t="inlineStr">
        <is>
          <t>09AV Giao tiep QT (TS)</t>
        </is>
      </c>
      <c r="I757" s="1" t="n">
        <v>1000000</v>
      </c>
      <c r="J757" s="1" t="inlineStr">
        <is>
          <t>NGUYEN TRUNG NGHIA VO DO NHU QUYNH  25806000105  LNH09 25ND01  0333550967 TAI VietinBank</t>
        </is>
      </c>
    </row>
    <row r="758">
      <c r="A758" s="1" t="inlineStr">
        <is>
          <t>29-Aug-25</t>
        </is>
      </c>
      <c r="B758" s="1" t="inlineStr">
        <is>
          <t>I60925</t>
        </is>
      </c>
      <c r="C758" s="1" t="inlineStr">
        <is>
          <t>25807800153</t>
        </is>
      </c>
      <c r="D758" s="1" t="inlineStr">
        <is>
          <t>Hoaøng Vaên</t>
        </is>
      </c>
      <c r="E758" s="1" t="inlineStr">
        <is>
          <t>Tröôøng</t>
        </is>
      </c>
      <c r="F758" s="1" t="inlineStr">
        <is>
          <t>11-Apr-07</t>
        </is>
      </c>
      <c r="G758" s="1" t="inlineStr">
        <is>
          <t>LNH0925ND01</t>
        </is>
      </c>
      <c r="H758" s="1" t="inlineStr">
        <is>
          <t>09AV Giao tiep QT (TS)</t>
        </is>
      </c>
      <c r="I758" s="1" t="n">
        <v>1000000</v>
      </c>
      <c r="J758" s="1" t="inlineStr">
        <is>
          <t>MBBANK IBFT HOANG VAN TRUONG 25807800153 LNH092 5ND01 0349893124 TAI IBT-MB                   HANOI</t>
        </is>
      </c>
    </row>
    <row r="759">
      <c r="A759" s="1" t="inlineStr">
        <is>
          <t>29-Aug-25</t>
        </is>
      </c>
      <c r="B759" s="1" t="inlineStr">
        <is>
          <t>I60926</t>
        </is>
      </c>
      <c r="C759" s="1" t="inlineStr">
        <is>
          <t>25820300085</t>
        </is>
      </c>
      <c r="D759" s="1" t="inlineStr">
        <is>
          <t>Nguyeãn Hoaøng Troïn</t>
        </is>
      </c>
      <c r="E759" s="1" t="inlineStr">
        <is>
          <t>Phuù</t>
        </is>
      </c>
      <c r="F759" s="1" t="inlineStr">
        <is>
          <t>05-Aug-07</t>
        </is>
      </c>
      <c r="G759" s="1" t="inlineStr">
        <is>
          <t>LNH0925ND01</t>
        </is>
      </c>
      <c r="H759" s="1" t="inlineStr">
        <is>
          <t>09AV Giao tiep QT (TS)</t>
        </is>
      </c>
      <c r="I759" s="1" t="n">
        <v>1000000</v>
      </c>
      <c r="J759" s="1" t="inlineStr">
        <is>
          <t>NGUYEN TRUNG NGHIA NGUYEN HOANG TRONG PHU  25820300085 LNH0925ND01  0384172372 TAI VietinBank</t>
        </is>
      </c>
    </row>
    <row r="760">
      <c r="A760" s="1" t="inlineStr">
        <is>
          <t>29-Aug-25</t>
        </is>
      </c>
      <c r="B760" s="1" t="inlineStr">
        <is>
          <t>I60927</t>
        </is>
      </c>
      <c r="C760" s="1" t="inlineStr">
        <is>
          <t>25808600090</t>
        </is>
      </c>
      <c r="D760" s="1" t="inlineStr">
        <is>
          <t>Ñoã Thò Minh</t>
        </is>
      </c>
      <c r="E760" s="1" t="inlineStr">
        <is>
          <t>Phöông</t>
        </is>
      </c>
      <c r="F760" s="1" t="inlineStr">
        <is>
          <t>13-May-07</t>
        </is>
      </c>
      <c r="G760" s="1" t="inlineStr">
        <is>
          <t>LNH0925ND01</t>
        </is>
      </c>
      <c r="H760" s="1" t="inlineStr">
        <is>
          <t>09AV Giao tiep QT (TS)</t>
        </is>
      </c>
      <c r="I760" s="1" t="n">
        <v>1000000</v>
      </c>
      <c r="J760" s="1" t="inlineStr">
        <is>
          <t>MBBANK IBFT DO THI MINH PHUONG 25808600090 LNH0 925ND01 0862174890 TAI IBT-MB                   HANOI</t>
        </is>
      </c>
    </row>
    <row r="761">
      <c r="A761" s="1" t="inlineStr">
        <is>
          <t>29-Aug-25</t>
        </is>
      </c>
      <c r="B761" s="1" t="inlineStr">
        <is>
          <t>I60928</t>
        </is>
      </c>
      <c r="C761" s="1" t="inlineStr">
        <is>
          <t>25808600067</t>
        </is>
      </c>
      <c r="D761" s="1" t="inlineStr">
        <is>
          <t>Voõ Leâ Thaûo</t>
        </is>
      </c>
      <c r="E761" s="1" t="inlineStr">
        <is>
          <t>My</t>
        </is>
      </c>
      <c r="F761" s="1" t="inlineStr">
        <is>
          <t>12-Oct-07</t>
        </is>
      </c>
      <c r="G761" s="1" t="inlineStr">
        <is>
          <t>LNH0925ND01</t>
        </is>
      </c>
      <c r="H761" s="1" t="inlineStr">
        <is>
          <t>09AV Giao tiep QT (TS)</t>
        </is>
      </c>
      <c r="I761" s="1" t="n">
        <v>1000000</v>
      </c>
      <c r="J761" s="1" t="inlineStr">
        <is>
          <t>CONG TY CP DICH VU DI DONG TRUC TUY EN 99067153130 0961162970 VO LE THAO M Y 25808600067 LNH0925ND01 03760980 TAI IBT BIDV                 HANOI</t>
        </is>
      </c>
    </row>
    <row r="762">
      <c r="A762" s="1" t="inlineStr">
        <is>
          <t>29-Aug-25</t>
        </is>
      </c>
      <c r="B762" s="1" t="inlineStr">
        <is>
          <t>I60929</t>
        </is>
      </c>
      <c r="C762" s="1" t="inlineStr">
        <is>
          <t>25800400150</t>
        </is>
      </c>
      <c r="D762" s="1" t="inlineStr">
        <is>
          <t>Löu Nguyeãn Minh</t>
        </is>
      </c>
      <c r="E762" s="1" t="inlineStr">
        <is>
          <t>Thoâng</t>
        </is>
      </c>
      <c r="F762" s="1" t="inlineStr">
        <is>
          <t>11-Apr-07</t>
        </is>
      </c>
      <c r="G762" s="1" t="inlineStr">
        <is>
          <t>LNH0925ND01</t>
        </is>
      </c>
      <c r="H762" s="1" t="inlineStr">
        <is>
          <t>09AV Giao tiep QT (TS)</t>
        </is>
      </c>
      <c r="I762" s="1" t="n">
        <v>1000000</v>
      </c>
      <c r="J762" s="1" t="inlineStr">
        <is>
          <t>NGUYEN TRUNG NGHIA LUU NGUYEN MINH THONG  25800400150 LNH0925ND01  0982245422 TAI VietinBank</t>
        </is>
      </c>
    </row>
    <row r="763">
      <c r="A763" s="1" t="inlineStr">
        <is>
          <t>29-Aug-25</t>
        </is>
      </c>
      <c r="B763" s="1" t="inlineStr">
        <is>
          <t>I60930</t>
        </is>
      </c>
      <c r="C763" s="1" t="inlineStr">
        <is>
          <t>25808600257</t>
        </is>
      </c>
      <c r="D763" s="1" t="inlineStr">
        <is>
          <t>Traàn Anh</t>
        </is>
      </c>
      <c r="E763" s="1" t="inlineStr">
        <is>
          <t>Khoa</t>
        </is>
      </c>
      <c r="F763" s="1" t="inlineStr">
        <is>
          <t>22-May-07</t>
        </is>
      </c>
      <c r="G763" s="1" t="inlineStr">
        <is>
          <t>LNH0925ND01</t>
        </is>
      </c>
      <c r="H763" s="1" t="inlineStr">
        <is>
          <t>09AV Giao tiep QT (TS)</t>
        </is>
      </c>
      <c r="I763" s="1" t="n">
        <v>1000000</v>
      </c>
      <c r="J763" s="1" t="inlineStr">
        <is>
          <t>NGUYEN TRUNG NGHIA TRAN ANH KHOA  25808600257  LNH0925 ND01  0929591174 TAI VietinBank</t>
        </is>
      </c>
    </row>
    <row r="764">
      <c r="A764" s="1" t="inlineStr">
        <is>
          <t>29-Aug-25</t>
        </is>
      </c>
      <c r="B764" s="1" t="inlineStr">
        <is>
          <t>I60931</t>
        </is>
      </c>
      <c r="C764" s="1" t="inlineStr">
        <is>
          <t>25801200066</t>
        </is>
      </c>
      <c r="D764" s="1" t="inlineStr">
        <is>
          <t>Leâ Nguyeãn Hoaøi</t>
        </is>
      </c>
      <c r="E764" s="1" t="inlineStr">
        <is>
          <t>Thöông</t>
        </is>
      </c>
      <c r="F764" s="1" t="inlineStr">
        <is>
          <t>30-Aug-07</t>
        </is>
      </c>
      <c r="G764" s="1" t="inlineStr">
        <is>
          <t>LNH0925ND01</t>
        </is>
      </c>
      <c r="H764" s="1" t="inlineStr">
        <is>
          <t>09AV Giao tiep QT (TS)</t>
        </is>
      </c>
      <c r="I764" s="1" t="n">
        <v>1000000</v>
      </c>
      <c r="J764" s="1" t="inlineStr">
        <is>
          <t>NGUYEN TRUNG NGHIA LE NGUYEN HOAI THUONG  2501200024 LNH0925ND01  0379206918 TAI VietinBank</t>
        </is>
      </c>
    </row>
    <row r="765">
      <c r="A765" s="1" t="inlineStr">
        <is>
          <t>29-Aug-25</t>
        </is>
      </c>
      <c r="B765" s="1" t="inlineStr">
        <is>
          <t>I60932</t>
        </is>
      </c>
      <c r="C765" s="1" t="inlineStr">
        <is>
          <t>25802800235</t>
        </is>
      </c>
      <c r="D765" s="1" t="inlineStr">
        <is>
          <t>Nguyeãn Ngoïc</t>
        </is>
      </c>
      <c r="E765" s="1" t="inlineStr">
        <is>
          <t>Thaùi</t>
        </is>
      </c>
      <c r="F765" s="1" t="inlineStr">
        <is>
          <t>20-Jun-07</t>
        </is>
      </c>
      <c r="G765" s="1" t="inlineStr">
        <is>
          <t>LNH0925ND01</t>
        </is>
      </c>
      <c r="H765" s="1" t="inlineStr">
        <is>
          <t>09AV Giao tiep QT (TS)</t>
        </is>
      </c>
      <c r="I765" s="1" t="n">
        <v>0</v>
      </c>
      <c r="J765" s="1" t="inlineStr">
        <is>
          <t>(Rut Hp)NGUYEN TRUNG NGHIA NGUYEN NGOC THAI  25802800235  LNH0 925ND01  0977032808 TAI VietinBank</t>
        </is>
      </c>
    </row>
    <row r="766">
      <c r="A766" s="1" t="inlineStr">
        <is>
          <t>29-Aug-25</t>
        </is>
      </c>
      <c r="B766" s="1" t="inlineStr">
        <is>
          <t>I60933</t>
        </is>
      </c>
      <c r="C766" s="1" t="inlineStr">
        <is>
          <t>25806800069</t>
        </is>
      </c>
      <c r="D766" s="1" t="inlineStr">
        <is>
          <t>Phaïm Thò Ñaøo</t>
        </is>
      </c>
      <c r="E766" s="1" t="inlineStr">
        <is>
          <t>Thu</t>
        </is>
      </c>
      <c r="F766" s="1" t="inlineStr">
        <is>
          <t>31-Aug-07</t>
        </is>
      </c>
      <c r="G766" s="1" t="inlineStr">
        <is>
          <t>LNH0925ND01</t>
        </is>
      </c>
      <c r="H766" s="1" t="inlineStr">
        <is>
          <t>09AV Giao tiep QT (TS)</t>
        </is>
      </c>
      <c r="I766" s="1" t="n">
        <v>1000000</v>
      </c>
      <c r="J766" s="1" t="inlineStr">
        <is>
          <t>PHAM TIEN DUNG PHAM THI DAO THU 25806800069 LNH092 5ND01 0335130538 TAI IBT TIENPHONGBANK      HANOI</t>
        </is>
      </c>
    </row>
    <row r="767">
      <c r="A767" s="1" t="inlineStr">
        <is>
          <t>29-Aug-25</t>
        </is>
      </c>
      <c r="B767" s="1" t="inlineStr">
        <is>
          <t>I60934</t>
        </is>
      </c>
      <c r="C767" s="1" t="inlineStr">
        <is>
          <t>25800400025</t>
        </is>
      </c>
      <c r="D767" s="1" t="inlineStr">
        <is>
          <t>Nguyeãn Hoaøng</t>
        </is>
      </c>
      <c r="E767" s="1" t="inlineStr">
        <is>
          <t>Duy</t>
        </is>
      </c>
      <c r="F767" s="1" t="inlineStr">
        <is>
          <t>22-Jul-07</t>
        </is>
      </c>
      <c r="G767" s="1" t="inlineStr">
        <is>
          <t>LNH0925ND01</t>
        </is>
      </c>
      <c r="H767" s="1" t="inlineStr">
        <is>
          <t>09AV Giao tiep QT (TS)</t>
        </is>
      </c>
      <c r="I767" s="1" t="n">
        <v>1000000</v>
      </c>
      <c r="J767" s="1" t="inlineStr">
        <is>
          <t>NGUYEN TRUNG NGHIA NGUYEN HOANG DUY  25800400025  LNH0 925ND01  0845580695 TAI VietinBank</t>
        </is>
      </c>
    </row>
    <row r="768">
      <c r="A768" s="1" t="inlineStr">
        <is>
          <t>29-Aug-25</t>
        </is>
      </c>
      <c r="B768" s="1" t="inlineStr">
        <is>
          <t>I60935</t>
        </is>
      </c>
      <c r="C768" s="1" t="inlineStr">
        <is>
          <t>25802800255</t>
        </is>
      </c>
      <c r="D768" s="1" t="inlineStr">
        <is>
          <t>Phaïm Nguyeãn Anh</t>
        </is>
      </c>
      <c r="E768" s="1" t="inlineStr">
        <is>
          <t>Thö</t>
        </is>
      </c>
      <c r="F768" s="1" t="inlineStr">
        <is>
          <t>22-Apr-07</t>
        </is>
      </c>
      <c r="G768" s="1" t="inlineStr">
        <is>
          <t>LNH0925ND01</t>
        </is>
      </c>
      <c r="H768" s="1" t="inlineStr">
        <is>
          <t>09AV Giao tiep QT (TS)</t>
        </is>
      </c>
      <c r="I768" s="1" t="n">
        <v>1000000</v>
      </c>
      <c r="J768" s="1" t="inlineStr">
        <is>
          <t>NGUYEN TRUNG NGHIA PHAM NGUYEN ANH THU  25802800255  L NH0925ND01  0788903930 TAI VietinBank</t>
        </is>
      </c>
    </row>
    <row r="769">
      <c r="A769" s="1" t="inlineStr">
        <is>
          <t>29-Aug-25</t>
        </is>
      </c>
      <c r="B769" s="1" t="inlineStr">
        <is>
          <t>I60936</t>
        </is>
      </c>
      <c r="C769" s="1" t="inlineStr">
        <is>
          <t>25801300005</t>
        </is>
      </c>
      <c r="D769" s="1" t="inlineStr">
        <is>
          <t>Mai Ngoïc</t>
        </is>
      </c>
      <c r="E769" s="1" t="inlineStr">
        <is>
          <t>Caån</t>
        </is>
      </c>
      <c r="F769" s="1" t="inlineStr">
        <is>
          <t>18-Jun-06</t>
        </is>
      </c>
      <c r="G769" s="1" t="inlineStr">
        <is>
          <t>LNH0925ND01</t>
        </is>
      </c>
      <c r="H769" s="1" t="inlineStr">
        <is>
          <t>09AV Giao tiep QT (TS)</t>
        </is>
      </c>
      <c r="I769" s="1" t="n">
        <v>1000000</v>
      </c>
      <c r="J769" s="1" t="inlineStr">
        <is>
          <t>NGUYEN TRUNG NGHIA MAI NGOC CAN  25801300005  LNH0925N D01  0352848429 TAI VietinBank</t>
        </is>
      </c>
    </row>
    <row r="770">
      <c r="A770" s="1" t="inlineStr">
        <is>
          <t>29-Aug-25</t>
        </is>
      </c>
      <c r="B770" s="1" t="inlineStr">
        <is>
          <t>I60937</t>
        </is>
      </c>
      <c r="C770" s="1" t="inlineStr">
        <is>
          <t>25802100067</t>
        </is>
      </c>
      <c r="D770" s="1" t="inlineStr">
        <is>
          <t>Nguyeãn Haø Haïnh</t>
        </is>
      </c>
      <c r="E770" s="1" t="inlineStr">
        <is>
          <t>Phöông</t>
        </is>
      </c>
      <c r="F770" s="1" t="inlineStr">
        <is>
          <t>11-Jul-07</t>
        </is>
      </c>
      <c r="G770" s="1" t="inlineStr">
        <is>
          <t>LNH0925ND01</t>
        </is>
      </c>
      <c r="H770" s="1" t="inlineStr">
        <is>
          <t>09AV Giao tiep QT (TS)</t>
        </is>
      </c>
      <c r="I770" s="1" t="n">
        <v>1000000</v>
      </c>
      <c r="J770" s="1" t="inlineStr">
        <is>
          <t>NGUYEN NGHIEM VU MBVCB.10720721013.666881.NGUYEN HA HANH PHUONG 25802100067 LNH0925ND01 0327520952.CT tu 0071005685659 NGU YEN NGHIEM VU toi 0521043748045 HUTECH tai ABBANK TAI Vietcombank</t>
        </is>
      </c>
    </row>
    <row r="771">
      <c r="A771" s="1" t="inlineStr">
        <is>
          <t>29-Aug-25</t>
        </is>
      </c>
      <c r="B771" s="1" t="inlineStr">
        <is>
          <t>I60938</t>
        </is>
      </c>
      <c r="C771" s="1" t="inlineStr">
        <is>
          <t>25802700103</t>
        </is>
      </c>
      <c r="D771" s="1" t="inlineStr">
        <is>
          <t>Vaên Thò Caåm</t>
        </is>
      </c>
      <c r="E771" s="1" t="inlineStr">
        <is>
          <t>Tuù</t>
        </is>
      </c>
      <c r="F771" s="1" t="inlineStr">
        <is>
          <t>02-May-07</t>
        </is>
      </c>
      <c r="G771" s="1" t="inlineStr">
        <is>
          <t>LNH0925ND01</t>
        </is>
      </c>
      <c r="H771" s="1" t="inlineStr">
        <is>
          <t>09AV Giao tiep QT (TS)</t>
        </is>
      </c>
      <c r="I771" s="1" t="n">
        <v>1000000</v>
      </c>
      <c r="J771" s="1" t="inlineStr">
        <is>
          <t>CONG TY CP DICH VU DI DONG TRUC TUY EN 99076315405 0397616529 VAN THI CAM TU mssv25802700103 LNH0925ND01 039 TAI IBT BIDV                 HANOI</t>
        </is>
      </c>
    </row>
    <row r="772">
      <c r="A772" s="1" t="inlineStr">
        <is>
          <t>29-Aug-25</t>
        </is>
      </c>
      <c r="B772" s="1" t="inlineStr">
        <is>
          <t>I60939</t>
        </is>
      </c>
      <c r="C772" s="1" t="inlineStr">
        <is>
          <t>25800400290</t>
        </is>
      </c>
      <c r="D772" s="1" t="inlineStr">
        <is>
          <t>Nguyeãn Tröôøng</t>
        </is>
      </c>
      <c r="E772" s="1" t="inlineStr">
        <is>
          <t>Tín</t>
        </is>
      </c>
      <c r="F772" s="1" t="inlineStr">
        <is>
          <t>01-Jan-07</t>
        </is>
      </c>
      <c r="G772" s="1" t="inlineStr">
        <is>
          <t>LNH0925ND01</t>
        </is>
      </c>
      <c r="H772" s="1" t="inlineStr">
        <is>
          <t>09AV Giao tiep QT (TS)</t>
        </is>
      </c>
      <c r="I772" s="1" t="n">
        <v>1000000</v>
      </c>
      <c r="J772" s="1" t="inlineStr">
        <is>
          <t>NGUYEN TRUONG TIN NGUYEN TRUONG TIN  25800400290 LNH0 925ND01  0935531007 TAI IBT-NAMABANK             HANOI</t>
        </is>
      </c>
    </row>
    <row r="773">
      <c r="A773" s="1" t="inlineStr">
        <is>
          <t>29-Aug-25</t>
        </is>
      </c>
      <c r="B773" s="1" t="inlineStr">
        <is>
          <t>I60940</t>
        </is>
      </c>
      <c r="C773" s="1" t="inlineStr">
        <is>
          <t>25808700006</t>
        </is>
      </c>
      <c r="D773" s="1" t="inlineStr">
        <is>
          <t>Leâ Chí</t>
        </is>
      </c>
      <c r="E773" s="1" t="inlineStr">
        <is>
          <t>Baûo</t>
        </is>
      </c>
      <c r="F773" s="1" t="inlineStr">
        <is>
          <t>05-Jan-07</t>
        </is>
      </c>
      <c r="G773" s="1" t="inlineStr">
        <is>
          <t>LNH0925ND01</t>
        </is>
      </c>
      <c r="H773" s="1" t="inlineStr">
        <is>
          <t>09AV Giao tiep QT (TS)</t>
        </is>
      </c>
      <c r="I773" s="1" t="n">
        <v>1000000</v>
      </c>
      <c r="J773" s="1" t="inlineStr">
        <is>
          <t>NGUYEN TRUNG NGHIA LE CHI BAO  25808700006  LNH0925ND0 1 0335192381 TAI VietinBank</t>
        </is>
      </c>
    </row>
    <row r="774">
      <c r="A774" s="1" t="inlineStr">
        <is>
          <t>29-Aug-25</t>
        </is>
      </c>
      <c r="B774" s="1" t="inlineStr">
        <is>
          <t>I60941</t>
        </is>
      </c>
      <c r="C774" s="1" t="inlineStr">
        <is>
          <t>25809300004</t>
        </is>
      </c>
      <c r="D774" s="1" t="inlineStr">
        <is>
          <t>Nguyeãn Chí</t>
        </is>
      </c>
      <c r="E774" s="1" t="inlineStr">
        <is>
          <t>Taân</t>
        </is>
      </c>
      <c r="F774" s="1" t="inlineStr">
        <is>
          <t>26-Feb-07</t>
        </is>
      </c>
      <c r="G774" s="1" t="inlineStr">
        <is>
          <t>LNH0925ND01</t>
        </is>
      </c>
      <c r="H774" s="1" t="inlineStr">
        <is>
          <t>09AV Giao tiep QT (TS)</t>
        </is>
      </c>
      <c r="I774" s="1" t="n">
        <v>0</v>
      </c>
      <c r="J774" s="1" t="inlineStr">
        <is>
          <t>(chuyen edu)NGUYEN THI KIM THOA QR - Nguyen Chi Tan 25809300004 LNH 0925ND01 0907832590 TAI VietinBank</t>
        </is>
      </c>
    </row>
    <row r="775">
      <c r="A775" s="1" t="inlineStr">
        <is>
          <t>29-Aug-25</t>
        </is>
      </c>
      <c r="B775" s="1" t="inlineStr">
        <is>
          <t>I60942</t>
        </is>
      </c>
      <c r="C775" s="1" t="inlineStr">
        <is>
          <t>25808900152</t>
        </is>
      </c>
      <c r="D775" s="1" t="inlineStr">
        <is>
          <t>Voõ Thaønh</t>
        </is>
      </c>
      <c r="E775" s="1" t="inlineStr">
        <is>
          <t>Vinh</t>
        </is>
      </c>
      <c r="F775" s="1" t="inlineStr">
        <is>
          <t>05-Jun-07</t>
        </is>
      </c>
      <c r="G775" s="1" t="inlineStr">
        <is>
          <t>LNH0925ND01</t>
        </is>
      </c>
      <c r="H775" s="1" t="inlineStr">
        <is>
          <t>09AV Giao tiep QT (TS)</t>
        </is>
      </c>
      <c r="I775" s="1" t="n">
        <v>1000000</v>
      </c>
      <c r="J775" s="1" t="inlineStr">
        <is>
          <t>NGUYEN TRUNG NGHIA VO THANH VINH  25808900152  LNH0925 ND01  0763238107 TAI VietinBank</t>
        </is>
      </c>
    </row>
    <row r="776">
      <c r="A776" s="1" t="inlineStr">
        <is>
          <t>29-Aug-25</t>
        </is>
      </c>
      <c r="B776" s="1" t="inlineStr">
        <is>
          <t>I60943</t>
        </is>
      </c>
      <c r="C776" s="1" t="inlineStr">
        <is>
          <t>25802800436</t>
        </is>
      </c>
      <c r="D776" s="1" t="inlineStr">
        <is>
          <t>Phan Minh</t>
        </is>
      </c>
      <c r="E776" s="1" t="inlineStr">
        <is>
          <t>Phaùt</t>
        </is>
      </c>
      <c r="F776" s="1" t="inlineStr">
        <is>
          <t>31-Mar-07</t>
        </is>
      </c>
      <c r="G776" s="1" t="inlineStr">
        <is>
          <t>LNH0925ND01</t>
        </is>
      </c>
      <c r="H776" s="1" t="inlineStr">
        <is>
          <t>09AV Giao tiep QT (TS)</t>
        </is>
      </c>
      <c r="I776" s="1" t="n">
        <v>1000000</v>
      </c>
      <c r="J776" s="1" t="inlineStr">
        <is>
          <t>NGUYEN TRUNG NGHIA PHAN MINH PHAT  2502800126  LNH0925 ND01  0935720518 TAI VietinBank</t>
        </is>
      </c>
    </row>
    <row r="777">
      <c r="A777" s="1" t="inlineStr">
        <is>
          <t>29-Aug-25</t>
        </is>
      </c>
      <c r="B777" s="1" t="inlineStr">
        <is>
          <t>I60944</t>
        </is>
      </c>
      <c r="C777" s="1" t="inlineStr">
        <is>
          <t>25808900050</t>
        </is>
      </c>
      <c r="D777" s="1" t="inlineStr">
        <is>
          <t>Traàn Naêng</t>
        </is>
      </c>
      <c r="E777" s="1" t="inlineStr">
        <is>
          <t>Höng</t>
        </is>
      </c>
      <c r="F777" s="1" t="inlineStr">
        <is>
          <t>16-Dec-07</t>
        </is>
      </c>
      <c r="G777" s="1" t="inlineStr">
        <is>
          <t>LNH0925ND01</t>
        </is>
      </c>
      <c r="H777" s="1" t="inlineStr">
        <is>
          <t>09AV Giao tiep QT (TS)</t>
        </is>
      </c>
      <c r="I777" s="1" t="n">
        <v>1000000</v>
      </c>
      <c r="J777" s="1" t="inlineStr">
        <is>
          <t>NGUYEN TRUNG NGHIA TRAN NANG HUNG  25808900050  LNH092 5ND01  0814181872 TAI VietinBank</t>
        </is>
      </c>
    </row>
    <row r="778">
      <c r="A778" s="1" t="inlineStr">
        <is>
          <t>29-Aug-25</t>
        </is>
      </c>
      <c r="B778" s="1" t="inlineStr">
        <is>
          <t>I60945</t>
        </is>
      </c>
      <c r="C778" s="1" t="inlineStr">
        <is>
          <t>25807500045</t>
        </is>
      </c>
      <c r="D778" s="1" t="inlineStr">
        <is>
          <t>Traàn Quang</t>
        </is>
      </c>
      <c r="E778" s="1" t="inlineStr">
        <is>
          <t>Huy</t>
        </is>
      </c>
      <c r="F778" s="1" t="inlineStr">
        <is>
          <t>27-Feb-07</t>
        </is>
      </c>
      <c r="G778" s="1" t="inlineStr">
        <is>
          <t>LNH0925ND01</t>
        </is>
      </c>
      <c r="H778" s="1" t="inlineStr">
        <is>
          <t>09AV Giao tiep QT (TS)</t>
        </is>
      </c>
      <c r="I778" s="1" t="n">
        <v>1000000</v>
      </c>
      <c r="J778" s="1" t="inlineStr">
        <is>
          <t>NGUYEN TRUNG NGHIA TRAN QUANG HUY  25807500045  LNH092 5ND01  0706423295 TAI VietinBank</t>
        </is>
      </c>
    </row>
    <row r="779">
      <c r="A779" s="1" t="inlineStr">
        <is>
          <t>29-Aug-25</t>
        </is>
      </c>
      <c r="B779" s="1" t="inlineStr">
        <is>
          <t>I60946</t>
        </is>
      </c>
      <c r="C779" s="1" t="inlineStr">
        <is>
          <t>25805900007</t>
        </is>
      </c>
      <c r="D779" s="1" t="inlineStr">
        <is>
          <t>Nguyeãn Thò Hieàn</t>
        </is>
      </c>
      <c r="E779" s="1" t="inlineStr">
        <is>
          <t>Dieäu</t>
        </is>
      </c>
      <c r="F779" s="1" t="inlineStr">
        <is>
          <t>22-Nov-07</t>
        </is>
      </c>
      <c r="G779" s="1" t="inlineStr">
        <is>
          <t>LNH0925ND01</t>
        </is>
      </c>
      <c r="H779" s="1" t="inlineStr">
        <is>
          <t>09AV Giao tiep QT (TS)</t>
        </is>
      </c>
      <c r="I779" s="1" t="n">
        <v>1000000</v>
      </c>
      <c r="J779" s="1" t="inlineStr">
        <is>
          <t>MBBANK IBFT NGUYEN THI HIEN DIEU 25805900007 LN H0925ND01 0335882718 TAI IBT-MB                   HANOI</t>
        </is>
      </c>
    </row>
    <row r="780">
      <c r="A780" s="1" t="inlineStr">
        <is>
          <t>29-Aug-25</t>
        </is>
      </c>
      <c r="B780" s="1" t="inlineStr">
        <is>
          <t>I60947</t>
        </is>
      </c>
      <c r="C780" s="1" t="inlineStr">
        <is>
          <t>25800400052</t>
        </is>
      </c>
      <c r="D780" s="1" t="inlineStr">
        <is>
          <t>Chaâu Gia</t>
        </is>
      </c>
      <c r="E780" s="1" t="inlineStr">
        <is>
          <t>Huy</t>
        </is>
      </c>
      <c r="F780" s="1" t="inlineStr">
        <is>
          <t>05-Dec-07</t>
        </is>
      </c>
      <c r="G780" s="1" t="inlineStr">
        <is>
          <t>LNH0925ND01</t>
        </is>
      </c>
      <c r="H780" s="1" t="inlineStr">
        <is>
          <t>09AV Giao tiep QT (TS)</t>
        </is>
      </c>
      <c r="I780" s="1" t="n">
        <v>1000000</v>
      </c>
      <c r="J780" s="1" t="inlineStr">
        <is>
          <t>NGUYEN TRUNG NGHIA CHAU GIA HUY  25800400052  LNH0925N D01  0901369932 TAI VietinBank</t>
        </is>
      </c>
    </row>
    <row r="781">
      <c r="A781" s="1" t="inlineStr">
        <is>
          <t>29-Aug-25</t>
        </is>
      </c>
      <c r="B781" s="1" t="inlineStr">
        <is>
          <t>I60948</t>
        </is>
      </c>
      <c r="C781" s="1" t="inlineStr">
        <is>
          <t>25800400245</t>
        </is>
      </c>
      <c r="D781" s="1" t="inlineStr">
        <is>
          <t>Chaâu Anh</t>
        </is>
      </c>
      <c r="E781" s="1" t="inlineStr">
        <is>
          <t>Kieät</t>
        </is>
      </c>
      <c r="F781" s="1" t="inlineStr">
        <is>
          <t>05-Dec-07</t>
        </is>
      </c>
      <c r="G781" s="1" t="inlineStr">
        <is>
          <t>LNH0925ND01</t>
        </is>
      </c>
      <c r="H781" s="1" t="inlineStr">
        <is>
          <t>09AV Giao tiep QT (TS)</t>
        </is>
      </c>
      <c r="I781" s="1" t="n">
        <v>1000000</v>
      </c>
      <c r="J781" s="1" t="inlineStr">
        <is>
          <t>NGUYEN TRUNG NGHIA CHAU ANH KIET  25800400245  LNH0925 ND01  0901349932 TAI VietinBank</t>
        </is>
      </c>
    </row>
    <row r="782">
      <c r="A782" s="1" t="inlineStr">
        <is>
          <t>29-Aug-25</t>
        </is>
      </c>
      <c r="B782" s="1" t="inlineStr">
        <is>
          <t>I60949</t>
        </is>
      </c>
      <c r="C782" s="1" t="inlineStr">
        <is>
          <t>25805800051</t>
        </is>
      </c>
      <c r="D782" s="1" t="inlineStr">
        <is>
          <t>Nguyeãn Thanh</t>
        </is>
      </c>
      <c r="E782" s="1" t="inlineStr">
        <is>
          <t>An</t>
        </is>
      </c>
      <c r="F782" s="1" t="inlineStr">
        <is>
          <t>17-Aug-07</t>
        </is>
      </c>
      <c r="G782" s="1" t="inlineStr">
        <is>
          <t>LNH0925ND01</t>
        </is>
      </c>
      <c r="H782" s="1" t="inlineStr">
        <is>
          <t>09AV Giao tiep QT (TS)</t>
        </is>
      </c>
      <c r="I782" s="1" t="n">
        <v>0</v>
      </c>
      <c r="J782" s="1" t="inlineStr">
        <is>
          <t>(chuyen edu)NGUYEN TRUNG NGHIA NGUYEN THANH AN  25805800051  LNH09 25ND01  0769383729 TAI VietinBank</t>
        </is>
      </c>
    </row>
    <row r="783">
      <c r="A783" s="1" t="inlineStr">
        <is>
          <t>29-Aug-25</t>
        </is>
      </c>
      <c r="B783" s="1" t="inlineStr">
        <is>
          <t>I60950</t>
        </is>
      </c>
      <c r="C783" s="1" t="inlineStr">
        <is>
          <t>25802600064</t>
        </is>
      </c>
      <c r="D783" s="1" t="inlineStr">
        <is>
          <t>Huyønh Quoác</t>
        </is>
      </c>
      <c r="E783" s="1" t="inlineStr">
        <is>
          <t>Laõm</t>
        </is>
      </c>
      <c r="F783" s="1" t="inlineStr">
        <is>
          <t>20-Dec-07</t>
        </is>
      </c>
      <c r="G783" s="1" t="inlineStr">
        <is>
          <t>LNH0925ND01</t>
        </is>
      </c>
      <c r="H783" s="1" t="inlineStr">
        <is>
          <t>09AV Giao tiep QT (TS)</t>
        </is>
      </c>
      <c r="I783" s="1" t="n">
        <v>1000000</v>
      </c>
      <c r="J783" s="1" t="inlineStr">
        <is>
          <t>MBBANK IBFT HUYNH QUOC LAM 25802600064 LNH0925N D01 0898532731 TAI IBT-MB                   HANOI</t>
        </is>
      </c>
    </row>
    <row r="784">
      <c r="A784" s="1" t="inlineStr">
        <is>
          <t>29-Aug-25</t>
        </is>
      </c>
      <c r="B784" s="1" t="inlineStr">
        <is>
          <t>I60951</t>
        </is>
      </c>
      <c r="C784" s="1" t="inlineStr">
        <is>
          <t>25802600105</t>
        </is>
      </c>
      <c r="D784" s="1" t="inlineStr">
        <is>
          <t>Vöu Thanh</t>
        </is>
      </c>
      <c r="E784" s="1" t="inlineStr">
        <is>
          <t>Sôn</t>
        </is>
      </c>
      <c r="F784" s="1" t="inlineStr">
        <is>
          <t>24-Sep-07</t>
        </is>
      </c>
      <c r="G784" s="1" t="inlineStr">
        <is>
          <t>LNH0925ND01</t>
        </is>
      </c>
      <c r="H784" s="1" t="inlineStr">
        <is>
          <t>09AV Giao tiep QT (TS)</t>
        </is>
      </c>
      <c r="I784" s="1" t="n">
        <v>1000000</v>
      </c>
      <c r="J784" s="1" t="inlineStr">
        <is>
          <t>MBBANK IBFT Vuu Thanh Son 25802600105 LNH0925ND 01 0966952971 TAI IBT-MB                   HANOI</t>
        </is>
      </c>
    </row>
    <row r="785">
      <c r="A785" s="1" t="inlineStr">
        <is>
          <t>29-Aug-25</t>
        </is>
      </c>
      <c r="B785" s="1" t="inlineStr">
        <is>
          <t>I60952</t>
        </is>
      </c>
      <c r="C785" s="1" t="inlineStr">
        <is>
          <t>25808900052</t>
        </is>
      </c>
      <c r="D785" s="1" t="inlineStr">
        <is>
          <t>Nguyeãn Baûo</t>
        </is>
      </c>
      <c r="E785" s="1" t="inlineStr">
        <is>
          <t>Khang</t>
        </is>
      </c>
      <c r="F785" s="1" t="inlineStr">
        <is>
          <t>14-Feb-07</t>
        </is>
      </c>
      <c r="G785" s="1" t="inlineStr">
        <is>
          <t>LNH0925ND01</t>
        </is>
      </c>
      <c r="H785" s="1" t="inlineStr">
        <is>
          <t>09AV Giao tiep QT (TS)</t>
        </is>
      </c>
      <c r="I785" s="1" t="n">
        <v>1000000</v>
      </c>
      <c r="J785" s="1" t="inlineStr">
        <is>
          <t>MBBANK IBFT Nguyen Bao Khang 25808900052 LNH092 5ND01 0862744871 TAI IBT-MB                   HANOI</t>
        </is>
      </c>
    </row>
    <row r="786">
      <c r="A786" s="1" t="inlineStr">
        <is>
          <t>29-Aug-25</t>
        </is>
      </c>
      <c r="B786" s="1" t="inlineStr">
        <is>
          <t>I60953</t>
        </is>
      </c>
      <c r="C786" s="1" t="inlineStr">
        <is>
          <t>25820200049</t>
        </is>
      </c>
      <c r="D786" s="1" t="inlineStr">
        <is>
          <t>Döông Vuõ</t>
        </is>
      </c>
      <c r="E786" s="1" t="inlineStr">
        <is>
          <t>Phuùc</t>
        </is>
      </c>
      <c r="F786" s="1" t="inlineStr">
        <is>
          <t>22-Sep-07</t>
        </is>
      </c>
      <c r="G786" s="1" t="inlineStr">
        <is>
          <t>LNH0925ND01</t>
        </is>
      </c>
      <c r="H786" s="1" t="inlineStr">
        <is>
          <t>09AV Giao tiep QT (TS)</t>
        </is>
      </c>
      <c r="I786" s="1" t="n">
        <v>1000000</v>
      </c>
      <c r="J786" s="1" t="inlineStr">
        <is>
          <t>NGUYEN TRUNG NGHIA DUONG VU KHUC  25820200049  LNH0925 ND01  0908323781 TAI VietinBank</t>
        </is>
      </c>
    </row>
    <row r="787">
      <c r="A787" s="1" t="inlineStr">
        <is>
          <t>29-Aug-25</t>
        </is>
      </c>
      <c r="B787" s="1" t="inlineStr">
        <is>
          <t>I60954</t>
        </is>
      </c>
      <c r="C787" s="1" t="inlineStr">
        <is>
          <t>25806400013</t>
        </is>
      </c>
      <c r="D787" s="1" t="inlineStr">
        <is>
          <t>Ñaëng Vaên</t>
        </is>
      </c>
      <c r="E787" s="1" t="inlineStr">
        <is>
          <t>Lôïi</t>
        </is>
      </c>
      <c r="F787" s="1" t="inlineStr">
        <is>
          <t>23-Jun-07</t>
        </is>
      </c>
      <c r="G787" s="1" t="inlineStr">
        <is>
          <t>LNH0925ND01</t>
        </is>
      </c>
      <c r="H787" s="1" t="inlineStr">
        <is>
          <t>09AV Giao tiep QT (TS)</t>
        </is>
      </c>
      <c r="I787" s="1" t="n">
        <v>1000000</v>
      </c>
      <c r="J787" s="1" t="inlineStr">
        <is>
          <t>MBBANK IBFT DANG VAN LOI 25806400013LNH0925ND01 0357161141 TAI IBT-MB                   HANOI</t>
        </is>
      </c>
    </row>
    <row r="788">
      <c r="A788" s="1" t="inlineStr">
        <is>
          <t>29-Aug-25</t>
        </is>
      </c>
      <c r="B788" s="1" t="inlineStr">
        <is>
          <t>I60955</t>
        </is>
      </c>
      <c r="C788" s="1" t="inlineStr">
        <is>
          <t>25820700004</t>
        </is>
      </c>
      <c r="D788" s="1" t="inlineStr">
        <is>
          <t>Traàn Quyønh</t>
        </is>
      </c>
      <c r="E788" s="1" t="inlineStr">
        <is>
          <t>Anh</t>
        </is>
      </c>
      <c r="F788" s="1" t="inlineStr">
        <is>
          <t>29-Sep-07</t>
        </is>
      </c>
      <c r="G788" s="1" t="inlineStr">
        <is>
          <t>LNH0925ND01</t>
        </is>
      </c>
      <c r="H788" s="1" t="inlineStr">
        <is>
          <t>09AV Giao tiep QT (TS)</t>
        </is>
      </c>
      <c r="I788" s="1" t="n">
        <v>1000000</v>
      </c>
      <c r="J788" s="1" t="inlineStr">
        <is>
          <t>CONG TY CP DICH VU DI DONG TRUC TUY EN 99140280579 0797068721 TRANQUYNHANH 25820700004LNH0925ND010343100729 TAI IBT BIDV                 HANOI</t>
        </is>
      </c>
    </row>
    <row r="789">
      <c r="A789" s="1" t="inlineStr">
        <is>
          <t>29-Aug-25</t>
        </is>
      </c>
      <c r="B789" s="1" t="inlineStr">
        <is>
          <t>I60956</t>
        </is>
      </c>
      <c r="C789" s="1" t="inlineStr">
        <is>
          <t>25808300027</t>
        </is>
      </c>
      <c r="D789" s="1" t="inlineStr">
        <is>
          <t>Phuøng Kim</t>
        </is>
      </c>
      <c r="E789" s="1" t="inlineStr">
        <is>
          <t>Mai</t>
        </is>
      </c>
      <c r="F789" s="1" t="inlineStr">
        <is>
          <t>01-Mar-07</t>
        </is>
      </c>
      <c r="G789" s="1" t="inlineStr">
        <is>
          <t>LNH0925ND01</t>
        </is>
      </c>
      <c r="H789" s="1" t="inlineStr">
        <is>
          <t>09AV Giao tiep QT (TS)</t>
        </is>
      </c>
      <c r="I789" s="1" t="n">
        <v>0</v>
      </c>
      <c r="J789" s="1" t="inlineStr">
        <is>
          <t>NGUYEN TRUNG NGHIA PHUNG KIM MAI  25808300027  LNH0925 ND01  0362081141 TAI VietinBank</t>
        </is>
      </c>
    </row>
    <row r="790">
      <c r="A790" s="1" t="inlineStr">
        <is>
          <t>29-Aug-25</t>
        </is>
      </c>
      <c r="B790" s="1" t="inlineStr">
        <is>
          <t>I60957</t>
        </is>
      </c>
      <c r="C790" s="1" t="inlineStr">
        <is>
          <t>25808200108</t>
        </is>
      </c>
      <c r="D790" s="1" t="inlineStr">
        <is>
          <t>Toâ Phöôùc</t>
        </is>
      </c>
      <c r="E790" s="1" t="inlineStr">
        <is>
          <t>Sang</t>
        </is>
      </c>
      <c r="F790" s="1" t="inlineStr">
        <is>
          <t>14-May-07</t>
        </is>
      </c>
      <c r="G790" s="1" t="inlineStr">
        <is>
          <t>LNH0925ND01</t>
        </is>
      </c>
      <c r="H790" s="1" t="inlineStr">
        <is>
          <t>09AV Giao tiep QT (TS)</t>
        </is>
      </c>
      <c r="I790" s="1" t="n">
        <v>2000000</v>
      </c>
      <c r="J790" s="1" t="inlineStr">
        <is>
          <t>NGUYEN TRUNG NGHIA TO PHUOC SANG  25808200108  LNH0925 ND01  0399226008 TAI VietinBank</t>
        </is>
      </c>
    </row>
    <row r="791">
      <c r="A791" s="1" t="inlineStr">
        <is>
          <t>29-Aug-25</t>
        </is>
      </c>
      <c r="B791" s="1" t="inlineStr">
        <is>
          <t>I60958</t>
        </is>
      </c>
      <c r="C791" s="1" t="inlineStr">
        <is>
          <t>25800400019</t>
        </is>
      </c>
      <c r="D791" s="1" t="inlineStr">
        <is>
          <t>Cao Quang</t>
        </is>
      </c>
      <c r="E791" s="1" t="inlineStr">
        <is>
          <t>Bieân</t>
        </is>
      </c>
      <c r="F791" s="1" t="inlineStr">
        <is>
          <t>11-Dec-07</t>
        </is>
      </c>
      <c r="G791" s="1" t="inlineStr">
        <is>
          <t>LNH0925ND01</t>
        </is>
      </c>
      <c r="H791" s="1" t="inlineStr">
        <is>
          <t>09AV Giao tiep QT (TS)</t>
        </is>
      </c>
      <c r="I791" s="1" t="n">
        <v>2100000</v>
      </c>
      <c r="J791" s="1" t="inlineStr">
        <is>
          <t>NGUYEN TRUNG NGHIA CAO QUANG BIEN  25800400019  LNH092 5ND01  0941583651 TAI VietinBank</t>
        </is>
      </c>
    </row>
    <row r="792">
      <c r="A792" s="1" t="inlineStr">
        <is>
          <t>29-Aug-25</t>
        </is>
      </c>
      <c r="B792" s="1" t="inlineStr">
        <is>
          <t>I60959</t>
        </is>
      </c>
      <c r="C792" s="1" t="inlineStr">
        <is>
          <t>25808900246</t>
        </is>
      </c>
      <c r="D792" s="1" t="inlineStr">
        <is>
          <t>Traàn Thanh</t>
        </is>
      </c>
      <c r="E792" s="1" t="inlineStr">
        <is>
          <t>An</t>
        </is>
      </c>
      <c r="F792" s="1" t="inlineStr">
        <is>
          <t>17-Feb-07</t>
        </is>
      </c>
      <c r="G792" s="1" t="inlineStr">
        <is>
          <t>LNH0925ND01</t>
        </is>
      </c>
      <c r="H792" s="1" t="inlineStr">
        <is>
          <t>09AV Giao tiep QT (TS)</t>
        </is>
      </c>
      <c r="I792" s="1" t="n">
        <v>2100000</v>
      </c>
      <c r="J792" s="1" t="inlineStr">
        <is>
          <t>NGUYEN TRUNG NGHIA TRAN THANH AN  25808900246  LNH0925 ND01  0877512241 TAI VietinBank</t>
        </is>
      </c>
    </row>
    <row r="793">
      <c r="A793" s="1" t="inlineStr">
        <is>
          <t>29-Aug-25</t>
        </is>
      </c>
      <c r="B793" s="1" t="inlineStr">
        <is>
          <t>I60960</t>
        </is>
      </c>
      <c r="C793" s="1" t="inlineStr">
        <is>
          <t>25807400006</t>
        </is>
      </c>
      <c r="D793" s="1" t="inlineStr">
        <is>
          <t>Nguyeãn Vaên</t>
        </is>
      </c>
      <c r="E793" s="1" t="inlineStr">
        <is>
          <t>Höng</t>
        </is>
      </c>
      <c r="F793" s="1" t="inlineStr">
        <is>
          <t>04-Jan-04</t>
        </is>
      </c>
      <c r="G793" s="1" t="inlineStr">
        <is>
          <t>LNH0925ND01</t>
        </is>
      </c>
      <c r="H793" s="1" t="inlineStr">
        <is>
          <t>09AV Giao tiep QT (TS)</t>
        </is>
      </c>
      <c r="I793" s="1" t="n">
        <v>2100000</v>
      </c>
      <c r="J793" s="1" t="inlineStr">
        <is>
          <t>Nguyen Van Hung Nguyen Van Hung 25807400006 LNH0925 ND01 FT25241150409347 TAI TECHCOMBANK            HANOI</t>
        </is>
      </c>
    </row>
    <row r="794">
      <c r="A794" s="1" t="inlineStr">
        <is>
          <t>29-Aug-25</t>
        </is>
      </c>
      <c r="B794" s="1" t="inlineStr">
        <is>
          <t>I60961</t>
        </is>
      </c>
      <c r="C794" s="1" t="inlineStr">
        <is>
          <t>25806800097</t>
        </is>
      </c>
      <c r="D794" s="1" t="inlineStr">
        <is>
          <t>Hoà Nguyeãn Haûi</t>
        </is>
      </c>
      <c r="E794" s="1" t="inlineStr">
        <is>
          <t>Anh</t>
        </is>
      </c>
      <c r="F794" s="1" t="inlineStr">
        <is>
          <t>17-Mar-07</t>
        </is>
      </c>
      <c r="G794" s="1" t="inlineStr">
        <is>
          <t>LNH0925ND01</t>
        </is>
      </c>
      <c r="H794" s="1" t="inlineStr">
        <is>
          <t>09AV Giao tiep QT (TS)</t>
        </is>
      </c>
      <c r="I794" s="1" t="n">
        <v>2100000</v>
      </c>
      <c r="J794" s="1" t="inlineStr">
        <is>
          <t>MBBANK IBFT HO NGUYEN HAI ANH25806800097LNH0925 ND010367357584 TAI IBT-MB                   HANOI</t>
        </is>
      </c>
    </row>
    <row r="795">
      <c r="A795" s="1" t="inlineStr">
        <is>
          <t>29-Aug-25</t>
        </is>
      </c>
      <c r="B795" s="1" t="inlineStr">
        <is>
          <t>I60962</t>
        </is>
      </c>
      <c r="C795" s="1" t="inlineStr">
        <is>
          <t>25802600109</t>
        </is>
      </c>
      <c r="D795" s="1" t="inlineStr">
        <is>
          <t>Ngoâ Taâm</t>
        </is>
      </c>
      <c r="E795" s="1" t="inlineStr">
        <is>
          <t>Thanh</t>
        </is>
      </c>
      <c r="F795" s="1" t="inlineStr">
        <is>
          <t>12-Jul-07</t>
        </is>
      </c>
      <c r="G795" s="1" t="inlineStr">
        <is>
          <t>LNH0925ND01</t>
        </is>
      </c>
      <c r="H795" s="1" t="inlineStr">
        <is>
          <t>09AV Giao tiep QT (TS)</t>
        </is>
      </c>
      <c r="I795" s="1" t="n">
        <v>3465000</v>
      </c>
      <c r="J795" s="1" t="inlineStr">
        <is>
          <t>SHBMB NgoTamThanh 25802600109 LNH0925ND01 0985837975 TAI NganhangthuongmaicpSHB HaNoiVietNam</t>
        </is>
      </c>
    </row>
    <row r="796">
      <c r="A796" s="1" t="inlineStr">
        <is>
          <t>29-Aug-25</t>
        </is>
      </c>
      <c r="B796" s="1" t="inlineStr">
        <is>
          <t>I60963</t>
        </is>
      </c>
      <c r="C796" s="1" t="inlineStr">
        <is>
          <t>25807500161</t>
        </is>
      </c>
      <c r="D796" s="1" t="inlineStr">
        <is>
          <t>Nguyeãn Phöông</t>
        </is>
      </c>
      <c r="E796" s="1" t="inlineStr">
        <is>
          <t>Uyeân</t>
        </is>
      </c>
      <c r="F796" s="1" t="inlineStr">
        <is>
          <t>23-Jul-07</t>
        </is>
      </c>
      <c r="G796" s="1" t="inlineStr">
        <is>
          <t>LNH0925ND01</t>
        </is>
      </c>
      <c r="H796" s="1" t="inlineStr">
        <is>
          <t>09AV Giao tiep QT (TS)</t>
        </is>
      </c>
      <c r="I796" s="1" t="n">
        <v>3465000</v>
      </c>
      <c r="J796" s="1" t="inlineStr">
        <is>
          <t>NGUYEN CAM LE MBVCB.10724604341.205067.NguyenPhuo ngUyen 25807500161 LNH0925ND01 0834 200776.CT tu 3832092562 NGUYEN CAM LE toi 0521043748045 HUTECH tai ABBANK TAI Vietcombank</t>
        </is>
      </c>
    </row>
    <row r="797">
      <c r="A797" s="1" t="inlineStr">
        <is>
          <t>29-Aug-25</t>
        </is>
      </c>
      <c r="B797" s="1" t="inlineStr">
        <is>
          <t>I60964</t>
        </is>
      </c>
      <c r="C797" s="1" t="inlineStr">
        <is>
          <t>25808900138</t>
        </is>
      </c>
      <c r="D797" s="1" t="inlineStr">
        <is>
          <t>Vuõ Minh</t>
        </is>
      </c>
      <c r="E797" s="1" t="inlineStr">
        <is>
          <t>Trieát</t>
        </is>
      </c>
      <c r="F797" s="1" t="inlineStr">
        <is>
          <t>01-Jan-07</t>
        </is>
      </c>
      <c r="G797" s="1" t="inlineStr">
        <is>
          <t>LNH0925ND01</t>
        </is>
      </c>
      <c r="H797" s="1" t="inlineStr">
        <is>
          <t>09AV Giao tiep QT (TS)</t>
        </is>
      </c>
      <c r="I797" s="1" t="n">
        <v>4465000</v>
      </c>
      <c r="J797" s="1" t="inlineStr">
        <is>
          <t>SACOMBANK IBFT Vu Minh Triet mssv 25808900138 LNH0925ND01 0989369989 TAI SACOMBANK              HCM</t>
        </is>
      </c>
    </row>
    <row r="798">
      <c r="A798" s="1" t="inlineStr">
        <is>
          <t>29-Aug-25</t>
        </is>
      </c>
      <c r="B798" s="1" t="inlineStr">
        <is>
          <t>I60965</t>
        </is>
      </c>
      <c r="C798" s="1" t="inlineStr">
        <is>
          <t>25802400007</t>
        </is>
      </c>
      <c r="D798" s="1" t="inlineStr">
        <is>
          <t>Leâ Gia</t>
        </is>
      </c>
      <c r="E798" s="1" t="inlineStr">
        <is>
          <t>Haân</t>
        </is>
      </c>
      <c r="F798" s="1" t="inlineStr">
        <is>
          <t>15-Apr-07</t>
        </is>
      </c>
      <c r="G798" s="1" t="inlineStr">
        <is>
          <t>LNH0925ND01</t>
        </is>
      </c>
      <c r="H798" s="1" t="inlineStr">
        <is>
          <t>09AV Giao tiep QT (TS)</t>
        </is>
      </c>
      <c r="I798" s="1" t="n">
        <v>4940000</v>
      </c>
      <c r="J798" s="1" t="inlineStr">
        <is>
          <t>TRAN THI THANH MAI QR - Le Gia Han 2580240007 LNH0925N D01 0832346007 TAI VietinBank</t>
        </is>
      </c>
    </row>
    <row r="799">
      <c r="A799" s="1" t="inlineStr">
        <is>
          <t>29-Aug-25</t>
        </is>
      </c>
      <c r="B799" s="1" t="inlineStr">
        <is>
          <t>I60966</t>
        </is>
      </c>
      <c r="C799" s="1" t="inlineStr">
        <is>
          <t>25802100002</t>
        </is>
      </c>
      <c r="D799" s="1" t="inlineStr">
        <is>
          <t>Nguyeãn Hoaøng</t>
        </is>
      </c>
      <c r="E799" s="1" t="inlineStr">
        <is>
          <t>Anh</t>
        </is>
      </c>
      <c r="F799" s="1" t="inlineStr">
        <is>
          <t>09-Apr-02</t>
        </is>
      </c>
      <c r="G799" s="1" t="inlineStr">
        <is>
          <t>LNH0925ND01</t>
        </is>
      </c>
      <c r="H799" s="1" t="inlineStr">
        <is>
          <t>09AV Giao tiep QT (TS)</t>
        </is>
      </c>
      <c r="I799" s="1" t="n">
        <v>5120000</v>
      </c>
      <c r="J799" s="1" t="inlineStr">
        <is>
          <t>MBBANK IBFT Nguyen Hoang Anh 25802100002 LNH092 5ND01 0355281276 TAI IBT-MB                   HANOI</t>
        </is>
      </c>
    </row>
    <row r="800">
      <c r="A800" s="1" t="inlineStr">
        <is>
          <t>29-Aug-25</t>
        </is>
      </c>
      <c r="B800" s="1" t="inlineStr">
        <is>
          <t>I60967</t>
        </is>
      </c>
      <c r="C800" s="1" t="inlineStr">
        <is>
          <t>25808200010</t>
        </is>
      </c>
      <c r="D800" s="1" t="inlineStr">
        <is>
          <t>Thöôïng Hoaøi</t>
        </is>
      </c>
      <c r="E800" s="1" t="inlineStr">
        <is>
          <t>AÂn</t>
        </is>
      </c>
      <c r="F800" s="1" t="inlineStr">
        <is>
          <t>02-Nov-07</t>
        </is>
      </c>
      <c r="G800" s="1" t="inlineStr">
        <is>
          <t>LNH0925ND01</t>
        </is>
      </c>
      <c r="H800" s="1" t="inlineStr">
        <is>
          <t>09AV Giao tiep QT (TS)</t>
        </is>
      </c>
      <c r="I800" s="1" t="n">
        <v>7415000</v>
      </c>
      <c r="J800" s="1" t="inlineStr">
        <is>
          <t>MBBANK IBFT THUONG HOAI AN 25808200010 LNH0925N D01 0814243228 TAI IBT-MB                   HANOI</t>
        </is>
      </c>
    </row>
    <row r="801">
      <c r="A801" s="1" t="inlineStr">
        <is>
          <t>29-Aug-25</t>
        </is>
      </c>
      <c r="B801" s="1" t="inlineStr">
        <is>
          <t>I60968</t>
        </is>
      </c>
      <c r="C801" s="1" t="inlineStr">
        <is>
          <t>25802800084</t>
        </is>
      </c>
      <c r="D801" s="1" t="inlineStr">
        <is>
          <t>Voõ</t>
        </is>
      </c>
      <c r="E801" s="1" t="inlineStr">
        <is>
          <t>Huøng</t>
        </is>
      </c>
      <c r="F801" s="1" t="inlineStr">
        <is>
          <t>11-Oct-07</t>
        </is>
      </c>
      <c r="G801" s="1" t="inlineStr">
        <is>
          <t>LNH0925ND01</t>
        </is>
      </c>
      <c r="H801" s="1" t="inlineStr">
        <is>
          <t>09AV Giao tiep QT (TS)</t>
        </is>
      </c>
      <c r="I801" s="1" t="n">
        <v>0</v>
      </c>
      <c r="J801" s="1" t="inlineStr">
        <is>
          <t>(rut Hp)NGUYEN TRUNG NGHIA VO HUNG  25802800084  LNH0925ND01 0707481110 TAI VietinBank</t>
        </is>
      </c>
    </row>
    <row r="802">
      <c r="A802" s="1" t="inlineStr">
        <is>
          <t>29-Aug-25</t>
        </is>
      </c>
      <c r="B802" s="1" t="inlineStr">
        <is>
          <t>I60969</t>
        </is>
      </c>
      <c r="C802" s="1" t="inlineStr">
        <is>
          <t>25801200018</t>
        </is>
      </c>
      <c r="D802" s="1" t="inlineStr">
        <is>
          <t>Nguyeãn Thò Hoaøng</t>
        </is>
      </c>
      <c r="E802" s="1" t="inlineStr">
        <is>
          <t>Kieàu</t>
        </is>
      </c>
      <c r="F802" s="1" t="inlineStr">
        <is>
          <t>18-Feb-07</t>
        </is>
      </c>
      <c r="G802" s="1" t="inlineStr">
        <is>
          <t>LNH0925ND01</t>
        </is>
      </c>
      <c r="H802" s="1" t="inlineStr">
        <is>
          <t>09AV Giao tiep QT (TS)</t>
        </is>
      </c>
      <c r="I802" s="1" t="n">
        <v>7415000</v>
      </c>
      <c r="J802" s="1" t="inlineStr">
        <is>
          <t>NGUYEN TRUNG NGHIA NGUYEN THI HOANG KIEU  25801200018 LNH0925ND01  0396164862 TAI VietinBank</t>
        </is>
      </c>
    </row>
    <row r="803">
      <c r="A803" s="1" t="inlineStr">
        <is>
          <t>29-Aug-25</t>
        </is>
      </c>
      <c r="B803" s="1" t="inlineStr">
        <is>
          <t>I60970</t>
        </is>
      </c>
      <c r="C803" s="1" t="inlineStr">
        <is>
          <t>25808700009</t>
        </is>
      </c>
      <c r="D803" s="1" t="inlineStr">
        <is>
          <t>Nguyeãn Ngoïc</t>
        </is>
      </c>
      <c r="E803" s="1" t="inlineStr">
        <is>
          <t>Dieäp</t>
        </is>
      </c>
      <c r="F803" s="1" t="inlineStr">
        <is>
          <t>22-Sep-07</t>
        </is>
      </c>
      <c r="G803" s="1" t="inlineStr">
        <is>
          <t>LNH0925ND01</t>
        </is>
      </c>
      <c r="H803" s="1" t="inlineStr">
        <is>
          <t>09AV Giao tiep QT (TS)</t>
        </is>
      </c>
      <c r="I803" s="1" t="n">
        <v>7415000</v>
      </c>
      <c r="J803" s="1" t="inlineStr">
        <is>
          <t>MBBANK IBFT NGUYEN NGOC DIEP 25808700009 LNH092 5ND01 0343655759 TAI IBT-MB                   HANOI</t>
        </is>
      </c>
    </row>
    <row r="804">
      <c r="A804" s="1" t="inlineStr">
        <is>
          <t>29-Aug-25</t>
        </is>
      </c>
      <c r="B804" s="1" t="inlineStr">
        <is>
          <t>I60971</t>
        </is>
      </c>
      <c r="C804" s="1" t="inlineStr">
        <is>
          <t>25808900260</t>
        </is>
      </c>
      <c r="D804" s="1" t="inlineStr">
        <is>
          <t>Ñinh Gia</t>
        </is>
      </c>
      <c r="E804" s="1" t="inlineStr">
        <is>
          <t>Baûo</t>
        </is>
      </c>
      <c r="F804" s="1" t="inlineStr">
        <is>
          <t>15-Nov-07</t>
        </is>
      </c>
      <c r="G804" s="1" t="inlineStr">
        <is>
          <t>LNH0925ND01</t>
        </is>
      </c>
      <c r="H804" s="1" t="inlineStr">
        <is>
          <t>09AV Giao tiep QT (TS)</t>
        </is>
      </c>
      <c r="I804" s="1" t="n">
        <v>7415000</v>
      </c>
      <c r="J804" s="1" t="inlineStr">
        <is>
          <t>MBBANK IBFT Dinh Gia Bao 2508900094 TAI IBT-MB                   HANOI</t>
        </is>
      </c>
    </row>
    <row r="805">
      <c r="A805" s="1" t="inlineStr">
        <is>
          <t>29-Aug-25</t>
        </is>
      </c>
      <c r="B805" s="1" t="inlineStr">
        <is>
          <t>I60972</t>
        </is>
      </c>
      <c r="C805" s="1" t="inlineStr">
        <is>
          <t>25808600083</t>
        </is>
      </c>
      <c r="D805" s="1" t="inlineStr">
        <is>
          <t>Nguyeãn Thò Khaùnh</t>
        </is>
      </c>
      <c r="E805" s="1" t="inlineStr">
        <is>
          <t>Nhi</t>
        </is>
      </c>
      <c r="F805" s="1" t="inlineStr">
        <is>
          <t>24-Apr-07</t>
        </is>
      </c>
      <c r="G805" s="1" t="inlineStr">
        <is>
          <t>LNH0925ND01</t>
        </is>
      </c>
      <c r="H805" s="1" t="inlineStr">
        <is>
          <t>09AV Giao tiep QT (TS)</t>
        </is>
      </c>
      <c r="I805" s="1" t="n">
        <v>7415000</v>
      </c>
      <c r="J805" s="1" t="inlineStr">
        <is>
          <t>NGUYEN THI HUONG ABBank 0521043748045 SV Nguyen Thi Khanh Nhi mssv 25808600083 sdt 0369 254668 MDT LNH0925ND01 TAI Agribank</t>
        </is>
      </c>
    </row>
    <row r="806">
      <c r="A806" s="1" t="inlineStr">
        <is>
          <t>29-Aug-25</t>
        </is>
      </c>
      <c r="B806" s="1" t="inlineStr">
        <is>
          <t>I60973</t>
        </is>
      </c>
      <c r="C806" s="1" t="inlineStr">
        <is>
          <t>25800500025</t>
        </is>
      </c>
      <c r="D806" s="1" t="inlineStr">
        <is>
          <t>Hoaøng Ngoïc</t>
        </is>
      </c>
      <c r="E806" s="1" t="inlineStr">
        <is>
          <t>Duy</t>
        </is>
      </c>
      <c r="F806" s="1" t="inlineStr">
        <is>
          <t>13-Jan-07</t>
        </is>
      </c>
      <c r="G806" s="1" t="inlineStr">
        <is>
          <t>LNH0925ND01</t>
        </is>
      </c>
      <c r="H806" s="1" t="inlineStr">
        <is>
          <t>09AV Giao tiep QT (TS)</t>
        </is>
      </c>
      <c r="I806" s="1" t="n">
        <v>7415000</v>
      </c>
      <c r="J806" s="1" t="inlineStr">
        <is>
          <t>HOANG NGOC TIEN HOANG NGOC DUY  25800500025 hoc phi tieng anh giao tiep TAI VietinBank</t>
        </is>
      </c>
    </row>
    <row r="807">
      <c r="A807" s="1" t="inlineStr">
        <is>
          <t>29-Aug-25</t>
        </is>
      </c>
      <c r="B807" s="1" t="inlineStr">
        <is>
          <t>I60974</t>
        </is>
      </c>
      <c r="C807" s="1" t="inlineStr">
        <is>
          <t>25807800212</t>
        </is>
      </c>
      <c r="D807" s="1" t="inlineStr">
        <is>
          <t>Nguyeãn Gia</t>
        </is>
      </c>
      <c r="E807" s="1" t="inlineStr">
        <is>
          <t>Khöông</t>
        </is>
      </c>
      <c r="F807" s="1" t="inlineStr">
        <is>
          <t>26-Feb-07</t>
        </is>
      </c>
      <c r="G807" s="1" t="inlineStr">
        <is>
          <t>LNH0925ND01</t>
        </is>
      </c>
      <c r="H807" s="1" t="inlineStr">
        <is>
          <t>09AV Giao tiep QT (TS)</t>
        </is>
      </c>
      <c r="I807" s="1" t="n">
        <v>7415000</v>
      </c>
      <c r="J807" s="1" t="inlineStr">
        <is>
          <t>MBBANK IBFT Nguyen Gia Khuong 25807800212 LNH09 25ND01 sdt 0917297533 TAI IBT-MB                   HANOI</t>
        </is>
      </c>
    </row>
    <row r="808">
      <c r="A808" s="1" t="inlineStr">
        <is>
          <t>29-Aug-25</t>
        </is>
      </c>
      <c r="B808" s="1" t="inlineStr">
        <is>
          <t>I60975</t>
        </is>
      </c>
      <c r="C808" s="1" t="inlineStr">
        <is>
          <t>25801000044</t>
        </is>
      </c>
      <c r="D808" s="1" t="inlineStr">
        <is>
          <t>Phaïm Hoaøng Trang</t>
        </is>
      </c>
      <c r="E808" s="1" t="inlineStr">
        <is>
          <t>Nguyeân</t>
        </is>
      </c>
      <c r="F808" s="1" t="inlineStr">
        <is>
          <t>15-Jan-07</t>
        </is>
      </c>
      <c r="G808" s="1" t="inlineStr">
        <is>
          <t>LNH0925ND01</t>
        </is>
      </c>
      <c r="H808" s="1" t="inlineStr">
        <is>
          <t>09AV Giao tiep QT (TS)</t>
        </is>
      </c>
      <c r="I808" s="1" t="n">
        <v>7415000</v>
      </c>
      <c r="J808" s="1" t="inlineStr">
        <is>
          <t>MBBANK IBFT PhamHoangTrangNguyen2501000019LNH09 25ND010962967369 so tien con lai  7 415 000d TAI IBT-MB                   HANOI</t>
        </is>
      </c>
    </row>
    <row r="809">
      <c r="A809" s="1" t="inlineStr">
        <is>
          <t>29-Aug-25</t>
        </is>
      </c>
      <c r="B809" s="1" t="inlineStr">
        <is>
          <t>I60976</t>
        </is>
      </c>
      <c r="C809" s="1" t="inlineStr">
        <is>
          <t>25820200060</t>
        </is>
      </c>
      <c r="D809" s="1" t="inlineStr">
        <is>
          <t>Phaïm Troïng</t>
        </is>
      </c>
      <c r="E809" s="1" t="inlineStr">
        <is>
          <t>Toaøn</t>
        </is>
      </c>
      <c r="F809" s="1" t="inlineStr">
        <is>
          <t>24-Jun-07</t>
        </is>
      </c>
      <c r="G809" s="1" t="inlineStr">
        <is>
          <t>LNH0925ND01</t>
        </is>
      </c>
      <c r="H809" s="1" t="inlineStr">
        <is>
          <t>09AV Giao tiep QT (TS)</t>
        </is>
      </c>
      <c r="I809" s="1" t="n">
        <v>8415000</v>
      </c>
      <c r="J809" s="1" t="inlineStr">
        <is>
          <t>MBBANK IBFT Pham Trong Toan mssv 25820200060sdt 0703102906 TAI IBT-MB                   HANOI</t>
        </is>
      </c>
    </row>
    <row r="810">
      <c r="A810" s="1" t="inlineStr">
        <is>
          <t>29-Aug-25</t>
        </is>
      </c>
      <c r="B810" s="1" t="inlineStr">
        <is>
          <t>I60977</t>
        </is>
      </c>
      <c r="C810" s="1" t="inlineStr">
        <is>
          <t>25805800054</t>
        </is>
      </c>
      <c r="D810" s="1" t="inlineStr">
        <is>
          <t>Leâ Hoaøng</t>
        </is>
      </c>
      <c r="E810" s="1" t="inlineStr">
        <is>
          <t>Anh</t>
        </is>
      </c>
      <c r="F810" s="1" t="inlineStr">
        <is>
          <t>02-Nov-07</t>
        </is>
      </c>
      <c r="G810" s="1" t="inlineStr">
        <is>
          <t>LNH0925ND01</t>
        </is>
      </c>
      <c r="H810" s="1" t="inlineStr">
        <is>
          <t>09AV Giao tiep QT (TS)</t>
        </is>
      </c>
      <c r="I810" s="1" t="n">
        <v>8415000</v>
      </c>
      <c r="J810" s="1" t="inlineStr">
        <is>
          <t>NGUYEN PHUC CUONG le hoang anh 25805800054 LNH0925ND0 1 0936803601 TAI IBT SMARTLINK            HANOI</t>
        </is>
      </c>
    </row>
    <row r="811">
      <c r="A811" s="1" t="inlineStr">
        <is>
          <t>29-Aug-25</t>
        </is>
      </c>
      <c r="B811" s="1" t="inlineStr">
        <is>
          <t>I60978</t>
        </is>
      </c>
      <c r="C811" s="1" t="inlineStr">
        <is>
          <t>25802700087</t>
        </is>
      </c>
      <c r="D811" s="1" t="inlineStr">
        <is>
          <t>Nguyeãn Thò Anh</t>
        </is>
      </c>
      <c r="E811" s="1" t="inlineStr">
        <is>
          <t>Thö</t>
        </is>
      </c>
      <c r="F811" s="1" t="inlineStr">
        <is>
          <t>18-Apr-07</t>
        </is>
      </c>
      <c r="G811" s="1" t="inlineStr">
        <is>
          <t>LNH0925ND01</t>
        </is>
      </c>
      <c r="H811" s="1" t="inlineStr">
        <is>
          <t>09AV Giao tiep QT (TS)</t>
        </is>
      </c>
      <c r="I811" s="1" t="n">
        <v>8415000</v>
      </c>
      <c r="J811" s="1" t="inlineStr">
        <is>
          <t>NGUYEN TAN DUY ABBank 0521043748045 Nguyen thi anh Thu 25802700087 LNH0925ND01 036341 6282 TAI Agribank</t>
        </is>
      </c>
    </row>
    <row r="812">
      <c r="A812" s="1" t="inlineStr">
        <is>
          <t>29-Aug-25</t>
        </is>
      </c>
      <c r="B812" s="1" t="inlineStr">
        <is>
          <t>I60979</t>
        </is>
      </c>
      <c r="C812" s="1" t="inlineStr">
        <is>
          <t>25802700147</t>
        </is>
      </c>
      <c r="D812" s="1" t="inlineStr">
        <is>
          <t>Vuõ Nguyeãn Thu</t>
        </is>
      </c>
      <c r="E812" s="1" t="inlineStr">
        <is>
          <t>Yeán</t>
        </is>
      </c>
      <c r="F812" s="1" t="inlineStr">
        <is>
          <t>24-Jan-07</t>
        </is>
      </c>
      <c r="G812" s="1" t="inlineStr">
        <is>
          <t>LNH0925ND01</t>
        </is>
      </c>
      <c r="H812" s="1" t="inlineStr">
        <is>
          <t>09AV Giao tiep QT (TS)</t>
        </is>
      </c>
      <c r="I812" s="1" t="n">
        <v>8415000</v>
      </c>
      <c r="J812" s="1" t="inlineStr">
        <is>
          <t>NGUYEN THI THU HUYEN MBVCB.10719133737.610184.VU NGUYEN THU YEN 25802700147LNH0925ND01 0355 215742.CT tu 1049066862 NGUYEN THI THU HUYEN toi 0521043748045 HUTECHtai ABBANK TAI Vietcombank</t>
        </is>
      </c>
    </row>
    <row r="813">
      <c r="A813" s="1" t="inlineStr">
        <is>
          <t>29-Aug-25</t>
        </is>
      </c>
      <c r="B813" s="1" t="inlineStr">
        <is>
          <t>I60980</t>
        </is>
      </c>
      <c r="C813" s="1" t="inlineStr">
        <is>
          <t>25807800067</t>
        </is>
      </c>
      <c r="D813" s="1" t="inlineStr">
        <is>
          <t>Leâ Traø Baûo</t>
        </is>
      </c>
      <c r="E813" s="1" t="inlineStr">
        <is>
          <t>Khoâi</t>
        </is>
      </c>
      <c r="F813" s="1" t="inlineStr">
        <is>
          <t>27-Nov-07</t>
        </is>
      </c>
      <c r="G813" s="1" t="inlineStr">
        <is>
          <t>LNH0925ND01</t>
        </is>
      </c>
      <c r="H813" s="1" t="inlineStr">
        <is>
          <t>09AV Giao tiep QT (TS)</t>
        </is>
      </c>
      <c r="I813" s="1" t="n">
        <v>8415000</v>
      </c>
      <c r="J813" s="1" t="inlineStr">
        <is>
          <t>LE TUAN DAT LE TRA BAO KHOI  25807800067  LNH09 25ND01  0975397647  LOP HOC TOI 2-4 .6-290825-10 04 36 633536 TAI Ngan hang a chau       IBT SMARLINK</t>
        </is>
      </c>
    </row>
    <row r="814">
      <c r="A814" s="1" t="inlineStr">
        <is>
          <t>29-Aug-25</t>
        </is>
      </c>
      <c r="B814" s="1" t="inlineStr">
        <is>
          <t>I60981</t>
        </is>
      </c>
      <c r="C814" s="1" t="inlineStr">
        <is>
          <t>25808700180</t>
        </is>
      </c>
      <c r="D814" s="1" t="inlineStr">
        <is>
          <t>Ñinh Theá</t>
        </is>
      </c>
      <c r="E814" s="1" t="inlineStr">
        <is>
          <t>Hieån</t>
        </is>
      </c>
      <c r="F814" s="1" t="inlineStr">
        <is>
          <t>12-Nov-07</t>
        </is>
      </c>
      <c r="G814" s="1" t="inlineStr">
        <is>
          <t>LNH0925ND01</t>
        </is>
      </c>
      <c r="H814" s="1" t="inlineStr">
        <is>
          <t>09AV Giao tiep QT (TS)</t>
        </is>
      </c>
      <c r="I814" s="1" t="n">
        <v>8415000</v>
      </c>
      <c r="J814" s="1" t="inlineStr">
        <is>
          <t>NGUYEN TRUNG NGHIA DINH THE HIEN  25808700180  LNH0925 ND01  0559269754 TAI VietinBank</t>
        </is>
      </c>
    </row>
    <row r="815">
      <c r="A815" s="1" t="inlineStr">
        <is>
          <t>29-Aug-25</t>
        </is>
      </c>
      <c r="B815" s="1" t="inlineStr">
        <is>
          <t>I60982</t>
        </is>
      </c>
      <c r="C815" s="1" t="inlineStr">
        <is>
          <t>25808800050</t>
        </is>
      </c>
      <c r="D815" s="1" t="inlineStr">
        <is>
          <t>Nguyeãn Huyønh Anh</t>
        </is>
      </c>
      <c r="E815" s="1" t="inlineStr">
        <is>
          <t>Thö</t>
        </is>
      </c>
      <c r="F815" s="1" t="inlineStr">
        <is>
          <t>07-Nov-07</t>
        </is>
      </c>
      <c r="G815" s="1" t="inlineStr">
        <is>
          <t>LNH0925ND01</t>
        </is>
      </c>
      <c r="H815" s="1" t="inlineStr">
        <is>
          <t>09AV Giao tiep QT (TS)</t>
        </is>
      </c>
      <c r="I815" s="1" t="n">
        <v>8415000</v>
      </c>
      <c r="J815" s="1" t="inlineStr">
        <is>
          <t>MBBANK IBFT NGUYEN HUYNH ANH THU 25808800050 LN H0925ND01 0962429244 TAI IBT-MB                   HANOI</t>
        </is>
      </c>
    </row>
    <row r="816">
      <c r="A816" s="1" t="inlineStr">
        <is>
          <t>29-Aug-25</t>
        </is>
      </c>
      <c r="B816" s="1" t="inlineStr">
        <is>
          <t>I60983</t>
        </is>
      </c>
      <c r="C816" s="1" t="inlineStr">
        <is>
          <t>25809700021</t>
        </is>
      </c>
      <c r="D816" s="1" t="inlineStr">
        <is>
          <t>Tröông Phan Ñan</t>
        </is>
      </c>
      <c r="E816" s="1" t="inlineStr">
        <is>
          <t>Nhö</t>
        </is>
      </c>
      <c r="F816" s="1" t="inlineStr">
        <is>
          <t>26-Nov-07</t>
        </is>
      </c>
      <c r="G816" s="1" t="inlineStr">
        <is>
          <t>LNH0925ND01</t>
        </is>
      </c>
      <c r="H816" s="1" t="inlineStr">
        <is>
          <t>09AV Giao tiep QT (TS)</t>
        </is>
      </c>
      <c r="I816" s="1" t="n">
        <v>0</v>
      </c>
      <c r="J816" s="1" t="inlineStr">
        <is>
          <t>(chuyen edu)SACOMBANK IBFT Truong Phan Dan Nhu .258097000 21.LNH0925ND01 .0817450650 TAI SACOMBANK              HCM</t>
        </is>
      </c>
    </row>
    <row r="817">
      <c r="A817" s="1" t="inlineStr">
        <is>
          <t>29-Aug-25</t>
        </is>
      </c>
      <c r="B817" s="1" t="inlineStr">
        <is>
          <t>I60984</t>
        </is>
      </c>
      <c r="C817" s="1" t="inlineStr">
        <is>
          <t>25807900042</t>
        </is>
      </c>
      <c r="D817" s="1" t="inlineStr">
        <is>
          <t>Traàn Nhaät</t>
        </is>
      </c>
      <c r="E817" s="1" t="inlineStr">
        <is>
          <t>Quang</t>
        </is>
      </c>
      <c r="F817" s="1" t="inlineStr">
        <is>
          <t>01-Aug-07</t>
        </is>
      </c>
      <c r="G817" s="1" t="inlineStr">
        <is>
          <t>LNH0925ND01</t>
        </is>
      </c>
      <c r="H817" s="1" t="inlineStr">
        <is>
          <t>09AV Giao tiep QT (TS)</t>
        </is>
      </c>
      <c r="I817" s="1" t="n">
        <v>8415000</v>
      </c>
      <c r="J817" s="1" t="inlineStr">
        <is>
          <t>MBBANK IBFT TRAN NHAT QUANG 25807900042 LNH0925 ND01 sdt  0792785262 lop hoc 246 TAI IBT-MB                   HANOI</t>
        </is>
      </c>
    </row>
    <row r="818">
      <c r="A818" s="1" t="inlineStr">
        <is>
          <t>29-Aug-25</t>
        </is>
      </c>
      <c r="B818" s="1" t="inlineStr">
        <is>
          <t>I60985</t>
        </is>
      </c>
      <c r="C818" s="1" t="inlineStr">
        <is>
          <t>25807500061</t>
        </is>
      </c>
      <c r="D818" s="1" t="inlineStr">
        <is>
          <t>Huyønh Hoàng</t>
        </is>
      </c>
      <c r="E818" s="1" t="inlineStr">
        <is>
          <t>Loan</t>
        </is>
      </c>
      <c r="F818" s="1" t="inlineStr">
        <is>
          <t>16-Nov-07</t>
        </is>
      </c>
      <c r="G818" s="1" t="inlineStr">
        <is>
          <t>LNH0925ND01</t>
        </is>
      </c>
      <c r="H818" s="1" t="inlineStr">
        <is>
          <t>09AV Giao tiep QT (TS)</t>
        </is>
      </c>
      <c r="I818" s="1" t="n">
        <v>8415000</v>
      </c>
      <c r="J818" s="1" t="inlineStr">
        <is>
          <t>PHAN THI NHU LINH QR - huynh hong loan  25807500061 LNH0925ND01  0889680858 TAI VietinBank</t>
        </is>
      </c>
    </row>
    <row r="819">
      <c r="A819" s="1" t="inlineStr">
        <is>
          <t>29-Aug-25</t>
        </is>
      </c>
      <c r="B819" s="1" t="inlineStr">
        <is>
          <t>I60986</t>
        </is>
      </c>
      <c r="C819" s="1" t="inlineStr">
        <is>
          <t>25801900280</t>
        </is>
      </c>
      <c r="D819" s="1" t="inlineStr">
        <is>
          <t>Traàn Nguyeãn Hoaøng</t>
        </is>
      </c>
      <c r="E819" s="1" t="inlineStr">
        <is>
          <t>Phuùc</t>
        </is>
      </c>
      <c r="F819" s="1" t="inlineStr">
        <is>
          <t>09-Dec-07</t>
        </is>
      </c>
      <c r="G819" s="1" t="inlineStr">
        <is>
          <t>LNH0925ND01</t>
        </is>
      </c>
      <c r="H819" s="1" t="inlineStr">
        <is>
          <t>09AV Giao tiep QT (TS)</t>
        </is>
      </c>
      <c r="I819" s="1" t="n">
        <v>8415000</v>
      </c>
      <c r="J819" s="1" t="inlineStr">
        <is>
          <t>TRAN NGUYEN HOANG PHUC ABBank 0521043748045 TRAN NGUYEN HO ANG PHUC. MSSV 25801900280. LNH0925 ND01. sdt 0382957854 TAI Agribank</t>
        </is>
      </c>
    </row>
    <row r="820">
      <c r="A820" s="1" t="inlineStr">
        <is>
          <t>29-Aug-25</t>
        </is>
      </c>
      <c r="B820" s="1" t="inlineStr">
        <is>
          <t>I60987</t>
        </is>
      </c>
      <c r="C820" s="1" t="inlineStr">
        <is>
          <t>25807800156</t>
        </is>
      </c>
      <c r="D820" s="1" t="inlineStr">
        <is>
          <t>Leâ Traàn Quoác</t>
        </is>
      </c>
      <c r="E820" s="1" t="inlineStr">
        <is>
          <t>Tuaán</t>
        </is>
      </c>
      <c r="F820" s="1" t="inlineStr">
        <is>
          <t>02-Jul-07</t>
        </is>
      </c>
      <c r="G820" s="1" t="inlineStr">
        <is>
          <t>LNH0925ND01</t>
        </is>
      </c>
      <c r="H820" s="1" t="inlineStr">
        <is>
          <t>09AV Giao tiep QT (TS)</t>
        </is>
      </c>
      <c r="I820" s="1" t="n">
        <v>8415000</v>
      </c>
      <c r="J820" s="1" t="inlineStr">
        <is>
          <t>LE TRAN QUOC TUAN MBVCB.10723708594.614865.LE TRAN QU OC TUAN MSSV 25807800156 LNH0925ND0 1 sdt 0818210073.CT tu 1818210073 L E TRAN QUOC TUAN toi 0521043748045HUTECH tai ABBANK TAI Vietcombank</t>
        </is>
      </c>
    </row>
    <row r="821">
      <c r="A821" s="1" t="inlineStr">
        <is>
          <t>29-Aug-25</t>
        </is>
      </c>
      <c r="B821" s="1" t="inlineStr">
        <is>
          <t>I60988</t>
        </is>
      </c>
      <c r="C821" s="1" t="inlineStr">
        <is>
          <t>25808700110</t>
        </is>
      </c>
      <c r="D821" s="1" t="inlineStr">
        <is>
          <t>Traàn Baûo</t>
        </is>
      </c>
      <c r="E821" s="1" t="inlineStr">
        <is>
          <t>Traân</t>
        </is>
      </c>
      <c r="F821" s="1" t="inlineStr">
        <is>
          <t>07-Dec-07</t>
        </is>
      </c>
      <c r="G821" s="1" t="inlineStr">
        <is>
          <t>LNH0925ND01</t>
        </is>
      </c>
      <c r="H821" s="1" t="inlineStr">
        <is>
          <t>09AV Giao tiep QT (TS)</t>
        </is>
      </c>
      <c r="I821" s="1" t="n">
        <v>8415000</v>
      </c>
      <c r="J821" s="1" t="inlineStr">
        <is>
          <t>TRAN BAO TRAN MBVCB.10724296258.002289.TRAN BAO T RAN MSSV 25808700110 ML 25DLTA1.CT tu 1039173201 TRAN BAO TRAN toi 052 1043748045 HUTECH tai ABBANK TAI Vietcombank</t>
        </is>
      </c>
    </row>
    <row r="822">
      <c r="A822" s="1" t="inlineStr">
        <is>
          <t>29-Aug-25</t>
        </is>
      </c>
      <c r="B822" s="1" t="inlineStr">
        <is>
          <t>I60989</t>
        </is>
      </c>
      <c r="C822" s="1" t="inlineStr">
        <is>
          <t>25807500037</t>
        </is>
      </c>
      <c r="D822" s="1" t="inlineStr">
        <is>
          <t>Phaïm Minh</t>
        </is>
      </c>
      <c r="E822" s="1" t="inlineStr">
        <is>
          <t>Hoaøng</t>
        </is>
      </c>
      <c r="F822" s="1" t="inlineStr">
        <is>
          <t>31-Oct-07</t>
        </is>
      </c>
      <c r="G822" s="1" t="inlineStr">
        <is>
          <t>LNH0925ND01</t>
        </is>
      </c>
      <c r="H822" s="1" t="inlineStr">
        <is>
          <t>09AV Giao tiep QT (TS)</t>
        </is>
      </c>
      <c r="I822" s="1" t="n">
        <v>8415000</v>
      </c>
      <c r="J822" s="1" t="inlineStr">
        <is>
          <t>BUI THANH LUAN pham minh hoang 25807500037 LNH0925 ND01 0792915539 TAI IBT BIDV                 HANOI</t>
        </is>
      </c>
    </row>
    <row r="823">
      <c r="A823" s="1" t="inlineStr">
        <is>
          <t>30-Aug-25</t>
        </is>
      </c>
      <c r="B823" s="1" t="inlineStr">
        <is>
          <t>I60990</t>
        </is>
      </c>
      <c r="C823" s="1" t="inlineStr">
        <is>
          <t>25820700070</t>
        </is>
      </c>
      <c r="D823" s="1" t="inlineStr">
        <is>
          <t>Buøi Thò Kim</t>
        </is>
      </c>
      <c r="E823" s="1" t="inlineStr">
        <is>
          <t>Ngaân</t>
        </is>
      </c>
      <c r="F823" s="1" t="inlineStr">
        <is>
          <t>12-Oct-07</t>
        </is>
      </c>
      <c r="G823" s="1" t="inlineStr">
        <is>
          <t>LNH0925ND01</t>
        </is>
      </c>
      <c r="H823" s="1" t="inlineStr">
        <is>
          <t>09AV Giao tiep QT (TS)</t>
        </is>
      </c>
      <c r="I823" s="1" t="n">
        <v>1000000</v>
      </c>
      <c r="J823" s="1" t="inlineStr">
        <is>
          <t>NGUYEN TRUNG NGHIA BUI THI KIM NGAN  25820700070  LNH0 925ND01  0384595473 TAI VietinBank</t>
        </is>
      </c>
    </row>
    <row r="824">
      <c r="A824" s="1" t="inlineStr">
        <is>
          <t>30-Aug-25</t>
        </is>
      </c>
      <c r="B824" s="1" t="inlineStr">
        <is>
          <t>I60991</t>
        </is>
      </c>
      <c r="C824" s="1" t="inlineStr">
        <is>
          <t>25801700078</t>
        </is>
      </c>
      <c r="D824" s="1" t="inlineStr">
        <is>
          <t>Leâ Haø Thuyù</t>
        </is>
      </c>
      <c r="E824" s="1" t="inlineStr">
        <is>
          <t>My</t>
        </is>
      </c>
      <c r="F824" s="1" t="inlineStr">
        <is>
          <t>04-Aug-06</t>
        </is>
      </c>
      <c r="G824" s="1" t="inlineStr">
        <is>
          <t>LNH0925ND01</t>
        </is>
      </c>
      <c r="H824" s="1" t="inlineStr">
        <is>
          <t>09AV Giao tiep QT (TS)</t>
        </is>
      </c>
      <c r="I824" s="1" t="n">
        <v>1000000</v>
      </c>
      <c r="J824" s="1" t="inlineStr">
        <is>
          <t>MBBANK IBFT Le Ha Thuy My25801700078LNH0925ND01 0774772630 TAI IBT-MB                   HANOI</t>
        </is>
      </c>
    </row>
    <row r="825">
      <c r="A825" s="1" t="inlineStr">
        <is>
          <t>30-Aug-25</t>
        </is>
      </c>
      <c r="B825" s="1" t="inlineStr">
        <is>
          <t>I60992</t>
        </is>
      </c>
      <c r="C825" s="1" t="inlineStr">
        <is>
          <t>25802800177</t>
        </is>
      </c>
      <c r="D825" s="1" t="inlineStr">
        <is>
          <t>Toâ Ñöùc</t>
        </is>
      </c>
      <c r="E825" s="1" t="inlineStr">
        <is>
          <t>Nguyeân</t>
        </is>
      </c>
      <c r="F825" s="1" t="inlineStr">
        <is>
          <t>21-Jan-07</t>
        </is>
      </c>
      <c r="G825" s="1" t="inlineStr">
        <is>
          <t>LNH0925ND01</t>
        </is>
      </c>
      <c r="H825" s="1" t="inlineStr">
        <is>
          <t>09AV Giao tiep QT (TS)</t>
        </is>
      </c>
      <c r="I825" s="1" t="n">
        <v>1000000</v>
      </c>
      <c r="J825" s="1" t="inlineStr">
        <is>
          <t>TO DUC NGUYEN ABBank 0521043748045 TO DUC NGUYEN 25802800177 LNH0925ND01 0822072101 TAI Agribank</t>
        </is>
      </c>
    </row>
    <row r="826">
      <c r="A826" s="1" t="inlineStr">
        <is>
          <t>30-Aug-25</t>
        </is>
      </c>
      <c r="B826" s="1" t="inlineStr">
        <is>
          <t>I60993</t>
        </is>
      </c>
      <c r="C826" s="1" t="inlineStr">
        <is>
          <t>25806000112</t>
        </is>
      </c>
      <c r="D826" s="1" t="inlineStr">
        <is>
          <t>Nguyeãn Ngoïc</t>
        </is>
      </c>
      <c r="E826" s="1" t="inlineStr">
        <is>
          <t>Traâm</t>
        </is>
      </c>
      <c r="F826" s="1" t="inlineStr">
        <is>
          <t>03-Feb-07</t>
        </is>
      </c>
      <c r="G826" s="1" t="inlineStr">
        <is>
          <t>LNH0925ND01</t>
        </is>
      </c>
      <c r="H826" s="1" t="inlineStr">
        <is>
          <t>09AV Giao tiep QT (TS)</t>
        </is>
      </c>
      <c r="I826" s="1" t="n">
        <v>1000000</v>
      </c>
      <c r="J826" s="1" t="inlineStr">
        <is>
          <t>NGUYEN TRUNG NGHIA NGUYEN NGOC TRAM  250600061  LNH092 5ND01  0943637431 TAI VietinBank</t>
        </is>
      </c>
    </row>
    <row r="827">
      <c r="A827" s="1" t="inlineStr">
        <is>
          <t>30-Aug-25</t>
        </is>
      </c>
      <c r="B827" s="1" t="inlineStr">
        <is>
          <t>I60994</t>
        </is>
      </c>
      <c r="C827" s="1" t="inlineStr">
        <is>
          <t>25802800006</t>
        </is>
      </c>
      <c r="D827" s="1" t="inlineStr">
        <is>
          <t>Leâ Hoàng</t>
        </is>
      </c>
      <c r="E827" s="1" t="inlineStr">
        <is>
          <t>Anh</t>
        </is>
      </c>
      <c r="F827" s="1" t="inlineStr">
        <is>
          <t>07-Oct-07</t>
        </is>
      </c>
      <c r="G827" s="1" t="inlineStr">
        <is>
          <t>LNH0925ND01</t>
        </is>
      </c>
      <c r="H827" s="1" t="inlineStr">
        <is>
          <t>09AV Giao tiep QT (TS)</t>
        </is>
      </c>
      <c r="I827" s="1" t="n">
        <v>1000000</v>
      </c>
      <c r="J827" s="1" t="inlineStr">
        <is>
          <t>NGUYEN TRUNG NGHIA LE HONG ANH  25802800006  LNH0925ND 01  0345931644 TAI VietinBank</t>
        </is>
      </c>
    </row>
    <row r="828">
      <c r="A828" s="1" t="inlineStr">
        <is>
          <t>30-Aug-25</t>
        </is>
      </c>
      <c r="B828" s="1" t="inlineStr">
        <is>
          <t>I60995</t>
        </is>
      </c>
      <c r="C828" s="1" t="inlineStr">
        <is>
          <t>25800400051</t>
        </is>
      </c>
      <c r="D828" s="1" t="inlineStr">
        <is>
          <t>Nguyeãn Laâm</t>
        </is>
      </c>
      <c r="E828" s="1" t="inlineStr">
        <is>
          <t>Huøng</t>
        </is>
      </c>
      <c r="F828" s="1" t="inlineStr">
        <is>
          <t>24-Oct-07</t>
        </is>
      </c>
      <c r="G828" s="1" t="inlineStr">
        <is>
          <t>LNH0925ND01</t>
        </is>
      </c>
      <c r="H828" s="1" t="inlineStr">
        <is>
          <t>09AV Giao tiep QT (TS)</t>
        </is>
      </c>
      <c r="I828" s="1" t="n">
        <v>1000000</v>
      </c>
      <c r="J828" s="1" t="inlineStr">
        <is>
          <t>NGUYEN TRUNG NGHIA NGUYEN LAM HUNG  25800400051  LNH09 25ND01  0385375376 TAI VietinBank</t>
        </is>
      </c>
    </row>
    <row r="829">
      <c r="A829" s="1" t="inlineStr">
        <is>
          <t>30-Aug-25</t>
        </is>
      </c>
      <c r="B829" s="1" t="inlineStr">
        <is>
          <t>I60996</t>
        </is>
      </c>
      <c r="C829" s="1" t="inlineStr">
        <is>
          <t>25805900063</t>
        </is>
      </c>
      <c r="D829" s="1" t="inlineStr">
        <is>
          <t>Döông Phöông</t>
        </is>
      </c>
      <c r="E829" s="1" t="inlineStr">
        <is>
          <t>Uyeân</t>
        </is>
      </c>
      <c r="F829" s="1" t="inlineStr">
        <is>
          <t>05-Dec-07</t>
        </is>
      </c>
      <c r="G829" s="1" t="inlineStr">
        <is>
          <t>LNH0925ND01</t>
        </is>
      </c>
      <c r="H829" s="1" t="inlineStr">
        <is>
          <t>09AV Giao tiep QT (TS)</t>
        </is>
      </c>
      <c r="I829" s="1" t="n">
        <v>1000000</v>
      </c>
      <c r="J829" s="1" t="inlineStr">
        <is>
          <t>DUONG PHUONG UYEN Duong Phuong Uyen 25805900063 LNH09 25ND01 0979035364 TAI IBT BIDV                 HANOI</t>
        </is>
      </c>
    </row>
    <row r="830">
      <c r="A830" s="1" t="inlineStr">
        <is>
          <t>30-Aug-25</t>
        </is>
      </c>
      <c r="B830" s="1" t="inlineStr">
        <is>
          <t>I60997</t>
        </is>
      </c>
      <c r="C830" s="1" t="inlineStr">
        <is>
          <t>25809600027</t>
        </is>
      </c>
      <c r="D830" s="1" t="inlineStr">
        <is>
          <t>Traàn Löông Gia</t>
        </is>
      </c>
      <c r="E830" s="1" t="inlineStr">
        <is>
          <t>Khieâm</t>
        </is>
      </c>
      <c r="F830" s="1" t="inlineStr">
        <is>
          <t>30-Aug-07</t>
        </is>
      </c>
      <c r="G830" s="1" t="inlineStr">
        <is>
          <t>LNH0925ND01</t>
        </is>
      </c>
      <c r="H830" s="1" t="inlineStr">
        <is>
          <t>09AV Giao tiep QT (TS)</t>
        </is>
      </c>
      <c r="I830" s="1" t="n">
        <v>1000000</v>
      </c>
      <c r="J830" s="1" t="inlineStr">
        <is>
          <t>TRAN LUONG GIA KHIEM Tran Luong Gia Khiem 25809600027 LN H0925ND01 0985185375 TAI IBT TIENPHONGBANK      HANOI</t>
        </is>
      </c>
    </row>
    <row r="831">
      <c r="A831" s="1" t="inlineStr">
        <is>
          <t>30-Aug-25</t>
        </is>
      </c>
      <c r="B831" s="1" t="inlineStr">
        <is>
          <t>I60998</t>
        </is>
      </c>
      <c r="C831" s="1" t="inlineStr">
        <is>
          <t>25800400294</t>
        </is>
      </c>
      <c r="D831" s="1" t="inlineStr">
        <is>
          <t>Ñinh Ngoïc Xuaân</t>
        </is>
      </c>
      <c r="E831" s="1" t="inlineStr">
        <is>
          <t>Giang</t>
        </is>
      </c>
      <c r="F831" s="1" t="inlineStr">
        <is>
          <t>10-Mar-07</t>
        </is>
      </c>
      <c r="G831" s="1" t="inlineStr">
        <is>
          <t>LNH0925ND01</t>
        </is>
      </c>
      <c r="H831" s="1" t="inlineStr">
        <is>
          <t>09AV Giao tiep QT (TS)</t>
        </is>
      </c>
      <c r="I831" s="1" t="n">
        <v>1000000</v>
      </c>
      <c r="J831" s="1" t="inlineStr">
        <is>
          <t>DINH XUAN THUY DINGNGOCXUANGIANG 25800400294 LNH09 25ND01 0965120376-300825-10 44 28 4 89605 TAI Ngan hang a chau       IBT SMARLINK</t>
        </is>
      </c>
    </row>
    <row r="832">
      <c r="A832" s="1" t="inlineStr">
        <is>
          <t>30-Aug-25</t>
        </is>
      </c>
      <c r="B832" s="1" t="inlineStr">
        <is>
          <t>I60999</t>
        </is>
      </c>
      <c r="C832" s="1" t="inlineStr">
        <is>
          <t>25802600218</t>
        </is>
      </c>
      <c r="D832" s="1" t="inlineStr">
        <is>
          <t>Nguyeãn Thò Vaân</t>
        </is>
      </c>
      <c r="E832" s="1" t="inlineStr">
        <is>
          <t>Anh</t>
        </is>
      </c>
      <c r="F832" s="1" t="inlineStr">
        <is>
          <t>06-Oct-07</t>
        </is>
      </c>
      <c r="G832" s="1" t="inlineStr">
        <is>
          <t>LNH0925ND01</t>
        </is>
      </c>
      <c r="H832" s="1" t="inlineStr">
        <is>
          <t>09AV Giao tiep QT (TS)</t>
        </is>
      </c>
      <c r="I832" s="1" t="n">
        <v>1000000</v>
      </c>
      <c r="J832" s="1" t="inlineStr">
        <is>
          <t>MBBANK IBFT nguyen thi van anh 2502600072 LNH09 25ND01 0383922407 TAI IBT-MB                   HANOI</t>
        </is>
      </c>
    </row>
    <row r="833">
      <c r="A833" s="1" t="inlineStr">
        <is>
          <t>30-Aug-25</t>
        </is>
      </c>
      <c r="B833" s="1" t="inlineStr">
        <is>
          <t>I61000</t>
        </is>
      </c>
      <c r="C833" s="1" t="inlineStr">
        <is>
          <t>25801000042</t>
        </is>
      </c>
      <c r="D833" s="1" t="inlineStr">
        <is>
          <t>Nguyeãn Hoaøng Anh</t>
        </is>
      </c>
      <c r="E833" s="1" t="inlineStr">
        <is>
          <t>Thö</t>
        </is>
      </c>
      <c r="F833" s="1" t="inlineStr">
        <is>
          <t>01-Jun-07</t>
        </is>
      </c>
      <c r="G833" s="1" t="inlineStr">
        <is>
          <t>LNH0925ND01</t>
        </is>
      </c>
      <c r="H833" s="1" t="inlineStr">
        <is>
          <t>09AV Giao tiep QT (TS)</t>
        </is>
      </c>
      <c r="I833" s="1" t="n">
        <v>1000000</v>
      </c>
      <c r="J833" s="1" t="inlineStr">
        <is>
          <t>NGUYEN THI YEN NHI Nguyen Hoang Anh Thu 25801000042 LN H0925ND01 0877216617 TAI IBT BIDV                 HANOI</t>
        </is>
      </c>
    </row>
    <row r="834">
      <c r="A834" s="1" t="inlineStr">
        <is>
          <t>30-Aug-25</t>
        </is>
      </c>
      <c r="B834" s="1" t="inlineStr">
        <is>
          <t>I61001</t>
        </is>
      </c>
      <c r="C834" s="1" t="inlineStr">
        <is>
          <t>25802600208</t>
        </is>
      </c>
      <c r="D834" s="1" t="inlineStr">
        <is>
          <t>Phan Anh</t>
        </is>
      </c>
      <c r="E834" s="1" t="inlineStr">
        <is>
          <t>Thö</t>
        </is>
      </c>
      <c r="F834" s="1" t="inlineStr">
        <is>
          <t>19-May-07</t>
        </is>
      </c>
      <c r="G834" s="1" t="inlineStr">
        <is>
          <t>LNH0925ND01</t>
        </is>
      </c>
      <c r="H834" s="1" t="inlineStr">
        <is>
          <t>09AV Giao tiep QT (TS)</t>
        </is>
      </c>
      <c r="I834" s="1" t="n">
        <v>1000000</v>
      </c>
      <c r="J834" s="1" t="inlineStr">
        <is>
          <t>NGUYEN TRUNG NGHIA PHAN ANH THU  25802600208  LNH0925N D01  0346632216 TAI VietinBank</t>
        </is>
      </c>
    </row>
    <row r="835">
      <c r="A835" s="1" t="inlineStr">
        <is>
          <t>30-Aug-25</t>
        </is>
      </c>
      <c r="B835" s="1" t="inlineStr">
        <is>
          <t>I61002</t>
        </is>
      </c>
      <c r="C835" s="1" t="inlineStr">
        <is>
          <t>25808600245</t>
        </is>
      </c>
      <c r="D835" s="1" t="inlineStr">
        <is>
          <t>Phan Minh</t>
        </is>
      </c>
      <c r="E835" s="1" t="inlineStr">
        <is>
          <t>Thö</t>
        </is>
      </c>
      <c r="F835" s="1" t="inlineStr">
        <is>
          <t>19-May-07</t>
        </is>
      </c>
      <c r="G835" s="1" t="inlineStr">
        <is>
          <t>LNH0925ND01</t>
        </is>
      </c>
      <c r="H835" s="1" t="inlineStr">
        <is>
          <t>09AV Giao tiep QT (TS)</t>
        </is>
      </c>
      <c r="I835" s="1" t="n">
        <v>1000000</v>
      </c>
      <c r="J835" s="1" t="inlineStr">
        <is>
          <t>NGUYEN TRUNG NGHIA PHAN MINH THU  25808600245  LNH0925 ND01  0346632216 TAI VietinBank</t>
        </is>
      </c>
    </row>
    <row r="836">
      <c r="A836" s="1" t="inlineStr">
        <is>
          <t>30-Aug-25</t>
        </is>
      </c>
      <c r="B836" s="1" t="inlineStr">
        <is>
          <t>I61003</t>
        </is>
      </c>
      <c r="C836" s="1" t="inlineStr">
        <is>
          <t>25802800015</t>
        </is>
      </c>
      <c r="D836" s="1" t="inlineStr">
        <is>
          <t>Nguyeãn Ngoïc Baûo</t>
        </is>
      </c>
      <c r="E836" s="1" t="inlineStr">
        <is>
          <t>AÂn</t>
        </is>
      </c>
      <c r="F836" s="1" t="inlineStr">
        <is>
          <t>24-Feb-07</t>
        </is>
      </c>
      <c r="G836" s="1" t="inlineStr">
        <is>
          <t>LNH0925ND01</t>
        </is>
      </c>
      <c r="H836" s="1" t="inlineStr">
        <is>
          <t>09AV Giao tiep QT (TS)</t>
        </is>
      </c>
      <c r="I836" s="1" t="n">
        <v>1000000</v>
      </c>
      <c r="J836" s="1" t="inlineStr">
        <is>
          <t>NGUYEN TRUNG NGHIA NGUYEN NGOC BAO AN  25802800015  LN H0925ND01  0792437091 TAI VietinBank</t>
        </is>
      </c>
    </row>
    <row r="837">
      <c r="A837" s="1" t="inlineStr">
        <is>
          <t>30-Aug-25</t>
        </is>
      </c>
      <c r="B837" s="1" t="inlineStr">
        <is>
          <t>I61004</t>
        </is>
      </c>
      <c r="C837" s="1" t="inlineStr">
        <is>
          <t>25803800087</t>
        </is>
      </c>
      <c r="D837" s="1" t="inlineStr">
        <is>
          <t>Cao Hoaøng</t>
        </is>
      </c>
      <c r="E837" s="1" t="inlineStr">
        <is>
          <t>Minh</t>
        </is>
      </c>
      <c r="F837" s="1" t="inlineStr">
        <is>
          <t>23-Jan-03</t>
        </is>
      </c>
      <c r="G837" s="1" t="inlineStr">
        <is>
          <t>LNH0925ND01</t>
        </is>
      </c>
      <c r="H837" s="1" t="inlineStr">
        <is>
          <t>09AV Giao tiep QT (TS)</t>
        </is>
      </c>
      <c r="I837" s="1" t="n">
        <v>1000000</v>
      </c>
      <c r="J837" s="1" t="inlineStr">
        <is>
          <t>CAO HOANG MINH MBVCB.10733211816.007806.CAO HOANG MINH  25803800087  LNH0925ND01  093 3924065.CT tu 7788993939 CAO HOANG MINH toi 0521043748045 HUTECH tai ABBANK TAI Vietcombank</t>
        </is>
      </c>
    </row>
    <row r="838">
      <c r="A838" s="1" t="inlineStr">
        <is>
          <t>30-Aug-25</t>
        </is>
      </c>
      <c r="B838" s="1" t="inlineStr">
        <is>
          <t>I61005</t>
        </is>
      </c>
      <c r="C838" s="1" t="inlineStr">
        <is>
          <t>25800400218</t>
        </is>
      </c>
      <c r="D838" s="1" t="inlineStr">
        <is>
          <t>Taï Minh</t>
        </is>
      </c>
      <c r="E838" s="1" t="inlineStr">
        <is>
          <t>Taân</t>
        </is>
      </c>
      <c r="F838" s="1" t="inlineStr">
        <is>
          <t>08-Dec-07</t>
        </is>
      </c>
      <c r="G838" s="1" t="inlineStr">
        <is>
          <t>LNH0925ND01</t>
        </is>
      </c>
      <c r="H838" s="1" t="inlineStr">
        <is>
          <t>09AV Giao tiep QT (TS)</t>
        </is>
      </c>
      <c r="I838" s="1" t="n">
        <v>1000000</v>
      </c>
      <c r="J838" s="1" t="inlineStr">
        <is>
          <t>MBBANK IBFT TA MINH TAN 25800400218 LNH0925ND01 0988939283 TAI IBT-MB                   HANOI</t>
        </is>
      </c>
    </row>
    <row r="839">
      <c r="A839" s="1" t="inlineStr">
        <is>
          <t>30-Aug-25</t>
        </is>
      </c>
      <c r="B839" s="1" t="inlineStr">
        <is>
          <t>I61006</t>
        </is>
      </c>
      <c r="C839" s="1" t="inlineStr">
        <is>
          <t>25809600031</t>
        </is>
      </c>
      <c r="D839" s="1" t="inlineStr">
        <is>
          <t>Rô Chaâm</t>
        </is>
      </c>
      <c r="E839" s="1" t="inlineStr">
        <is>
          <t>Khuyn</t>
        </is>
      </c>
      <c r="F839" s="1" t="inlineStr">
        <is>
          <t>24-Jan-06</t>
        </is>
      </c>
      <c r="G839" s="1" t="inlineStr">
        <is>
          <t>LNH0925ND01</t>
        </is>
      </c>
      <c r="H839" s="1" t="inlineStr">
        <is>
          <t>09AV Giao tiep QT (TS)</t>
        </is>
      </c>
      <c r="I839" s="1" t="n">
        <v>1000000</v>
      </c>
      <c r="J839" s="1" t="inlineStr">
        <is>
          <t>TRAN THI THANH MAI QR - Ro Cham Khuyn 25809600031 LNH0 925ND01 0338544061 TAI VietinBank</t>
        </is>
      </c>
    </row>
    <row r="840">
      <c r="A840" s="1" t="inlineStr">
        <is>
          <t>30-Aug-25</t>
        </is>
      </c>
      <c r="B840" s="1" t="inlineStr">
        <is>
          <t>I61007</t>
        </is>
      </c>
      <c r="C840" s="1" t="inlineStr">
        <is>
          <t>25801400646</t>
        </is>
      </c>
      <c r="D840" s="1" t="inlineStr">
        <is>
          <t>Nguyeãn Hoaøng</t>
        </is>
      </c>
      <c r="E840" s="1" t="inlineStr">
        <is>
          <t>Minh</t>
        </is>
      </c>
      <c r="F840" s="1" t="inlineStr">
        <is>
          <t>02-Nov-07</t>
        </is>
      </c>
      <c r="G840" s="1" t="inlineStr">
        <is>
          <t>LNH0925ND01</t>
        </is>
      </c>
      <c r="H840" s="1" t="inlineStr">
        <is>
          <t>09AV Giao tiep QT (TS)</t>
        </is>
      </c>
      <c r="I840" s="1" t="n">
        <v>1000000</v>
      </c>
      <c r="J840" s="1" t="inlineStr">
        <is>
          <t>TRAN THI THANH MAI QR - Nguyen Hoang Minh 2501400298 L NH0925ND01 0899175989 TAI VietinBank</t>
        </is>
      </c>
    </row>
    <row r="841">
      <c r="A841" s="1" t="inlineStr">
        <is>
          <t>30-Aug-25</t>
        </is>
      </c>
      <c r="B841" s="1" t="inlineStr">
        <is>
          <t>I61008</t>
        </is>
      </c>
      <c r="C841" s="1" t="inlineStr">
        <is>
          <t>25807500054</t>
        </is>
      </c>
      <c r="D841" s="1" t="inlineStr">
        <is>
          <t>Ñaëng Myõ</t>
        </is>
      </c>
      <c r="E841" s="1" t="inlineStr">
        <is>
          <t>Kieàu</t>
        </is>
      </c>
      <c r="F841" s="1" t="inlineStr">
        <is>
          <t>16-Apr-07</t>
        </is>
      </c>
      <c r="G841" s="1" t="inlineStr">
        <is>
          <t>LNH0925ND01</t>
        </is>
      </c>
      <c r="H841" s="1" t="inlineStr">
        <is>
          <t>09AV Giao tiep QT (TS)</t>
        </is>
      </c>
      <c r="I841" s="1" t="n">
        <v>1000000</v>
      </c>
      <c r="J841" s="1" t="inlineStr">
        <is>
          <t>TRAN THI THANH MAI QR - Dang My Kieu 25807500054 LNH09 25ND01 0976645475 TAI VietinBank</t>
        </is>
      </c>
    </row>
    <row r="842">
      <c r="A842" s="1" t="inlineStr">
        <is>
          <t>30-Aug-25</t>
        </is>
      </c>
      <c r="B842" s="1" t="inlineStr">
        <is>
          <t>I61009</t>
        </is>
      </c>
      <c r="C842" s="1" t="inlineStr">
        <is>
          <t>25807800024</t>
        </is>
      </c>
      <c r="D842" s="1" t="inlineStr">
        <is>
          <t>Hoà Minh</t>
        </is>
      </c>
      <c r="E842" s="1" t="inlineStr">
        <is>
          <t>Duy</t>
        </is>
      </c>
      <c r="F842" s="1" t="inlineStr">
        <is>
          <t>19-Jan-07</t>
        </is>
      </c>
      <c r="G842" s="1" t="inlineStr">
        <is>
          <t>LNH0925ND01</t>
        </is>
      </c>
      <c r="H842" s="1" t="inlineStr">
        <is>
          <t>09AV Giao tiep QT (TS)</t>
        </is>
      </c>
      <c r="I842" s="1" t="n">
        <v>1100000</v>
      </c>
      <c r="J842" s="1" t="inlineStr">
        <is>
          <t>MBBANK IBFT HO MINH DUY 25807800024 LNH0925ND01 0984946367 TAI IBT-MB                   HANOI</t>
        </is>
      </c>
    </row>
    <row r="843">
      <c r="A843" s="1" t="inlineStr">
        <is>
          <t>30-Aug-25</t>
        </is>
      </c>
      <c r="B843" s="1" t="inlineStr">
        <is>
          <t>I61010</t>
        </is>
      </c>
      <c r="C843" s="1" t="inlineStr">
        <is>
          <t>25802600219</t>
        </is>
      </c>
      <c r="D843" s="1" t="inlineStr">
        <is>
          <t>Ñoã Thò Tuyeát</t>
        </is>
      </c>
      <c r="E843" s="1" t="inlineStr">
        <is>
          <t>Mai</t>
        </is>
      </c>
      <c r="F843" s="1" t="inlineStr">
        <is>
          <t>18-Sep-07</t>
        </is>
      </c>
      <c r="G843" s="1" t="inlineStr">
        <is>
          <t>LNH0925ND01</t>
        </is>
      </c>
      <c r="H843" s="1" t="inlineStr">
        <is>
          <t>09AV Giao tiep QT (TS)</t>
        </is>
      </c>
      <c r="I843" s="1" t="n">
        <v>0</v>
      </c>
      <c r="J843" s="1" t="inlineStr">
        <is>
          <t>(rut Hp)DO TIEN THANH DAT MBVCB.10731697297.996182.DO THI TUY ET MAI 2502600071 LNH0925ND01 08488 44669.CT tu 0071001107092 DO TIEN T HANH DAT toi 0521043748045 HUTECH tai ABBANK TAI Vietcombank</t>
        </is>
      </c>
    </row>
    <row r="844">
      <c r="A844" s="1" t="inlineStr">
        <is>
          <t>30-Aug-25</t>
        </is>
      </c>
      <c r="B844" s="1" t="inlineStr">
        <is>
          <t>I61011</t>
        </is>
      </c>
      <c r="C844" s="1" t="inlineStr">
        <is>
          <t>25802800021</t>
        </is>
      </c>
      <c r="D844" s="1" t="inlineStr">
        <is>
          <t>Traàn Ngoïc</t>
        </is>
      </c>
      <c r="E844" s="1" t="inlineStr">
        <is>
          <t>Bích</t>
        </is>
      </c>
      <c r="F844" s="1" t="inlineStr">
        <is>
          <t>23-Oct-06</t>
        </is>
      </c>
      <c r="G844" s="1" t="inlineStr">
        <is>
          <t>LNH0925ND01</t>
        </is>
      </c>
      <c r="H844" s="1" t="inlineStr">
        <is>
          <t>09AV Giao tiep QT (TS)</t>
        </is>
      </c>
      <c r="I844" s="1" t="n">
        <v>4000000</v>
      </c>
      <c r="J844" s="1" t="inlineStr">
        <is>
          <t>VND-TGTT-HO ANH VAN Tran Ngoc Bich 25802800021 LNH0925N D01 0798486190 FT25242826570418 TAI TECHCOMBANK            HANOI</t>
        </is>
      </c>
    </row>
    <row r="845">
      <c r="A845" s="1" t="inlineStr">
        <is>
          <t>30-Aug-25</t>
        </is>
      </c>
      <c r="B845" s="1" t="inlineStr">
        <is>
          <t>I61012</t>
        </is>
      </c>
      <c r="C845" s="1" t="inlineStr">
        <is>
          <t>25802800167</t>
        </is>
      </c>
      <c r="D845" s="1" t="inlineStr">
        <is>
          <t>Nguyeãn Traàn Phöông</t>
        </is>
      </c>
      <c r="E845" s="1" t="inlineStr">
        <is>
          <t>Ngoïc</t>
        </is>
      </c>
      <c r="F845" s="1" t="inlineStr">
        <is>
          <t>20-Jun-07</t>
        </is>
      </c>
      <c r="G845" s="1" t="inlineStr">
        <is>
          <t>LNH0925ND01</t>
        </is>
      </c>
      <c r="H845" s="1" t="inlineStr">
        <is>
          <t>09AV Giao tiep QT (TS)</t>
        </is>
      </c>
      <c r="I845" s="1" t="n">
        <v>3940000</v>
      </c>
      <c r="J845" s="1" t="inlineStr">
        <is>
          <t>NGUYEN HA PHUONG HIEN NGUYEN TRAN PHUONG NGOC  2580280016 7  LNH0925ND01  SDT SV 0387528915-3 00825-15 38 33 996964 TAI Ngan hang a chau       IBT SMARLINK</t>
        </is>
      </c>
    </row>
    <row r="846">
      <c r="A846" s="1" t="inlineStr">
        <is>
          <t>30-Aug-25</t>
        </is>
      </c>
      <c r="B846" s="1" t="inlineStr">
        <is>
          <t>I61013</t>
        </is>
      </c>
      <c r="C846" s="1" t="inlineStr">
        <is>
          <t>25800500277</t>
        </is>
      </c>
      <c r="D846" s="1" t="inlineStr">
        <is>
          <t>Vuõ Ñöùc</t>
        </is>
      </c>
      <c r="E846" s="1" t="inlineStr">
        <is>
          <t>Hoøa</t>
        </is>
      </c>
      <c r="F846" s="1" t="inlineStr">
        <is>
          <t>23-Jan-07</t>
        </is>
      </c>
      <c r="G846" s="1" t="inlineStr">
        <is>
          <t>LNH0925ND01</t>
        </is>
      </c>
      <c r="H846" s="1" t="inlineStr">
        <is>
          <t>09AV Giao tiep QT (TS)</t>
        </is>
      </c>
      <c r="I846" s="1" t="n">
        <v>4000000</v>
      </c>
      <c r="J846" s="1" t="inlineStr">
        <is>
          <t>MBBANK IBFT Vu Duc Hoa 25800500277 LNH0925ND01 0352714128 TAI IBT-MB                   HANOI</t>
        </is>
      </c>
    </row>
    <row r="847">
      <c r="A847" s="1" t="inlineStr">
        <is>
          <t>30-Aug-25</t>
        </is>
      </c>
      <c r="B847" s="1" t="inlineStr">
        <is>
          <t>I61014</t>
        </is>
      </c>
      <c r="C847" s="1" t="inlineStr">
        <is>
          <t>25807800116</t>
        </is>
      </c>
      <c r="D847" s="1" t="inlineStr">
        <is>
          <t>Nguyeãn Traàn Minh</t>
        </is>
      </c>
      <c r="E847" s="1" t="inlineStr">
        <is>
          <t>Quaân</t>
        </is>
      </c>
      <c r="F847" s="1" t="inlineStr">
        <is>
          <t>09-Sep-07</t>
        </is>
      </c>
      <c r="G847" s="1" t="inlineStr">
        <is>
          <t>LNH0925ND01</t>
        </is>
      </c>
      <c r="H847" s="1" t="inlineStr">
        <is>
          <t>09AV Giao tiep QT (TS)</t>
        </is>
      </c>
      <c r="I847" s="1" t="n">
        <v>4465000</v>
      </c>
      <c r="J847" s="1" t="inlineStr">
        <is>
          <t>TRAN THI PHUONG MAI NGUYEN TRAN MINH QUAN 25807800116 L NH0925ND01 0337960759 TAI IBT BIDV                 HANOI</t>
        </is>
      </c>
    </row>
    <row r="848">
      <c r="A848" s="1" t="inlineStr">
        <is>
          <t>30-Aug-25</t>
        </is>
      </c>
      <c r="B848" s="1" t="inlineStr">
        <is>
          <t>I61015</t>
        </is>
      </c>
      <c r="C848" s="1" t="inlineStr">
        <is>
          <t>25808200108</t>
        </is>
      </c>
      <c r="D848" s="1" t="inlineStr">
        <is>
          <t>Toâ Phöôùc</t>
        </is>
      </c>
      <c r="E848" s="1" t="inlineStr">
        <is>
          <t>Sang</t>
        </is>
      </c>
      <c r="F848" s="1" t="inlineStr">
        <is>
          <t>14-May-07</t>
        </is>
      </c>
      <c r="G848" s="1" t="inlineStr">
        <is>
          <t>LNH0925ND01</t>
        </is>
      </c>
      <c r="H848" s="1" t="inlineStr">
        <is>
          <t>09AV Giao tiep QT (TS)</t>
        </is>
      </c>
      <c r="I848" s="1" t="n">
        <v>6415000</v>
      </c>
      <c r="J848" s="1" t="inlineStr">
        <is>
          <t>NGUYEN TRUNG NGHIA TO PHUOC SANG  25808200108  LNH0925 ND01  0399226008 TAI VietinBank</t>
        </is>
      </c>
    </row>
    <row r="849">
      <c r="A849" s="1" t="inlineStr">
        <is>
          <t>30-Aug-25</t>
        </is>
      </c>
      <c r="B849" s="1" t="inlineStr">
        <is>
          <t>I61016</t>
        </is>
      </c>
      <c r="C849" s="1" t="inlineStr">
        <is>
          <t>25800400151</t>
        </is>
      </c>
      <c r="D849" s="1" t="inlineStr">
        <is>
          <t>Phaïm Hoaøng</t>
        </is>
      </c>
      <c r="E849" s="1" t="inlineStr">
        <is>
          <t>Thoâng</t>
        </is>
      </c>
      <c r="F849" s="1" t="inlineStr">
        <is>
          <t>18-May-07</t>
        </is>
      </c>
      <c r="G849" s="1" t="inlineStr">
        <is>
          <t>LNH0925ND01</t>
        </is>
      </c>
      <c r="H849" s="1" t="inlineStr">
        <is>
          <t>09AV Giao tiep QT (TS)</t>
        </is>
      </c>
      <c r="I849" s="1" t="n">
        <v>7415000</v>
      </c>
      <c r="J849" s="1" t="inlineStr">
        <is>
          <t>VND-TGTT-PHAM HOANG THONG PHAM HOANG THONG25800400151 LNH0925 ND01 0988755718 FT25242199000679 TAI TECHCOMBANK            HANOI</t>
        </is>
      </c>
    </row>
    <row r="850">
      <c r="A850" s="1" t="inlineStr">
        <is>
          <t>30-Aug-25</t>
        </is>
      </c>
      <c r="B850" s="1" t="inlineStr">
        <is>
          <t>I61017</t>
        </is>
      </c>
      <c r="C850" s="1" t="inlineStr">
        <is>
          <t>25800400077</t>
        </is>
      </c>
      <c r="D850" s="1" t="inlineStr">
        <is>
          <t>Nguyeãn Ñaêng</t>
        </is>
      </c>
      <c r="E850" s="1" t="inlineStr">
        <is>
          <t>Khoa</t>
        </is>
      </c>
      <c r="F850" s="1" t="inlineStr">
        <is>
          <t>21-Jan-07</t>
        </is>
      </c>
      <c r="G850" s="1" t="inlineStr">
        <is>
          <t>LNH0925ND01</t>
        </is>
      </c>
      <c r="H850" s="1" t="inlineStr">
        <is>
          <t>09AV Giao tiep QT (TS)</t>
        </is>
      </c>
      <c r="I850" s="1" t="n">
        <v>7415000</v>
      </c>
      <c r="J850" s="1" t="inlineStr">
        <is>
          <t>NGUYEN THI HONG THAM ABBank 0521043748045 Nguyen Dang Kh oa 25800400077 LNH0925ND01 03435914 21 TAI Agribank</t>
        </is>
      </c>
    </row>
    <row r="851">
      <c r="A851" s="1" t="inlineStr">
        <is>
          <t>30-Aug-25</t>
        </is>
      </c>
      <c r="B851" s="1" t="inlineStr">
        <is>
          <t>I61018</t>
        </is>
      </c>
      <c r="C851" s="1" t="inlineStr">
        <is>
          <t>25808700021</t>
        </is>
      </c>
      <c r="D851" s="1" t="inlineStr">
        <is>
          <t>Nguyeãn Vaên</t>
        </is>
      </c>
      <c r="E851" s="1" t="inlineStr">
        <is>
          <t>Ñöùc</t>
        </is>
      </c>
      <c r="F851" s="1" t="inlineStr">
        <is>
          <t>22-Jan-07</t>
        </is>
      </c>
      <c r="G851" s="1" t="inlineStr">
        <is>
          <t>LNH0925ND01</t>
        </is>
      </c>
      <c r="H851" s="1" t="inlineStr">
        <is>
          <t>09AV Giao tiep QT (TS)</t>
        </is>
      </c>
      <c r="I851" s="1" t="n">
        <v>7415000</v>
      </c>
      <c r="J851" s="1" t="inlineStr">
        <is>
          <t>MBBANK IBFT NGUYEN VAN DUC 25808700021 LNH0925N D01 TAI IBT-MB                   HANOI</t>
        </is>
      </c>
    </row>
    <row r="852">
      <c r="A852" s="1" t="inlineStr">
        <is>
          <t>30-Aug-25</t>
        </is>
      </c>
      <c r="B852" s="1" t="inlineStr">
        <is>
          <t>I61019</t>
        </is>
      </c>
      <c r="C852" s="1" t="inlineStr">
        <is>
          <t>25809600015</t>
        </is>
      </c>
      <c r="D852" s="1" t="inlineStr">
        <is>
          <t>Leâ Duy Haûi</t>
        </is>
      </c>
      <c r="E852" s="1" t="inlineStr">
        <is>
          <t>Ñaêng</t>
        </is>
      </c>
      <c r="F852" s="1" t="inlineStr">
        <is>
          <t>21-Dec-06</t>
        </is>
      </c>
      <c r="G852" s="1" t="inlineStr">
        <is>
          <t>LNH0925ND01</t>
        </is>
      </c>
      <c r="H852" s="1" t="inlineStr">
        <is>
          <t>09AV Giao tiep QT (TS)</t>
        </is>
      </c>
      <c r="I852" s="1" t="n">
        <v>7415000</v>
      </c>
      <c r="J852" s="1" t="inlineStr">
        <is>
          <t>LE DUY HAI DANG LE DUY HAI DANG 25809600015 LNH0925 ND01 0903173658-300825-10 57 51 515 018 TAI Ngan hang a chau       IBT SMARLINK</t>
        </is>
      </c>
    </row>
    <row r="853">
      <c r="A853" s="1" t="inlineStr">
        <is>
          <t>30-Aug-25</t>
        </is>
      </c>
      <c r="B853" s="1" t="inlineStr">
        <is>
          <t>I61020</t>
        </is>
      </c>
      <c r="C853" s="1" t="inlineStr">
        <is>
          <t>25808900091</t>
        </is>
      </c>
      <c r="D853" s="1" t="inlineStr">
        <is>
          <t>Döông Thò Tuyeát</t>
        </is>
      </c>
      <c r="E853" s="1" t="inlineStr">
        <is>
          <t>Nhi</t>
        </is>
      </c>
      <c r="F853" s="1" t="inlineStr">
        <is>
          <t>19-Jul-07</t>
        </is>
      </c>
      <c r="G853" s="1" t="inlineStr">
        <is>
          <t>LNH0925ND01</t>
        </is>
      </c>
      <c r="H853" s="1" t="inlineStr">
        <is>
          <t>09AV Giao tiep QT (TS)</t>
        </is>
      </c>
      <c r="I853" s="1" t="n">
        <v>7415000</v>
      </c>
      <c r="J853" s="1" t="inlineStr">
        <is>
          <t>NGUYEN THI MY HANH Duong Thi Tuyet Nhi 25808900091  03 57943019 TAI VietinBank</t>
        </is>
      </c>
    </row>
    <row r="854">
      <c r="A854" s="1" t="inlineStr">
        <is>
          <t>30-Aug-25</t>
        </is>
      </c>
      <c r="B854" s="1" t="inlineStr">
        <is>
          <t>I61021</t>
        </is>
      </c>
      <c r="C854" s="1" t="inlineStr">
        <is>
          <t>25807500132</t>
        </is>
      </c>
      <c r="D854" s="1" t="inlineStr">
        <is>
          <t>Traàn Hoaøng</t>
        </is>
      </c>
      <c r="E854" s="1" t="inlineStr">
        <is>
          <t>Tieán</t>
        </is>
      </c>
      <c r="F854" s="1" t="inlineStr">
        <is>
          <t>09-Feb-07</t>
        </is>
      </c>
      <c r="G854" s="1" t="inlineStr">
        <is>
          <t>LNH0925ND01</t>
        </is>
      </c>
      <c r="H854" s="1" t="inlineStr">
        <is>
          <t>09AV Giao tiep QT (TS)</t>
        </is>
      </c>
      <c r="I854" s="1" t="n">
        <v>7415000</v>
      </c>
      <c r="J854" s="1" t="inlineStr">
        <is>
          <t>MBBANK IBFT TRAN HOANG TIEN 25807500132 LNH0925 ND01 0939136428 TAI IBT-MB                   HANOI</t>
        </is>
      </c>
    </row>
    <row r="855">
      <c r="A855" s="1" t="inlineStr">
        <is>
          <t>30-Aug-25</t>
        </is>
      </c>
      <c r="B855" s="1" t="inlineStr">
        <is>
          <t>I61022</t>
        </is>
      </c>
      <c r="C855" s="1" t="inlineStr">
        <is>
          <t>25801100007</t>
        </is>
      </c>
      <c r="D855" s="1" t="inlineStr">
        <is>
          <t>Phan Minh</t>
        </is>
      </c>
      <c r="E855" s="1" t="inlineStr">
        <is>
          <t>Chieán</t>
        </is>
      </c>
      <c r="F855" s="1" t="inlineStr">
        <is>
          <t>17-Jan-07</t>
        </is>
      </c>
      <c r="G855" s="1" t="inlineStr">
        <is>
          <t>LNH0925ND01</t>
        </is>
      </c>
      <c r="H855" s="1" t="inlineStr">
        <is>
          <t>09AV Giao tiep QT (TS)</t>
        </is>
      </c>
      <c r="I855" s="1" t="n">
        <v>7415000</v>
      </c>
      <c r="J855" s="1" t="inlineStr">
        <is>
          <t>PHAN MINH CHIEN PHAN MINH CHIEN 25801100007 LNH0925 ND01 0354633701 TAI VietinBank</t>
        </is>
      </c>
    </row>
    <row r="856">
      <c r="A856" s="1" t="inlineStr">
        <is>
          <t>30-Aug-25</t>
        </is>
      </c>
      <c r="B856" s="1" t="inlineStr">
        <is>
          <t>I61023</t>
        </is>
      </c>
      <c r="C856" s="1" t="inlineStr">
        <is>
          <t>25800500096</t>
        </is>
      </c>
      <c r="D856" s="1" t="inlineStr">
        <is>
          <t>Ñoã Chí</t>
        </is>
      </c>
      <c r="E856" s="1" t="inlineStr">
        <is>
          <t>Kieân</t>
        </is>
      </c>
      <c r="F856" s="1" t="inlineStr">
        <is>
          <t>23-Jan-07</t>
        </is>
      </c>
      <c r="G856" s="1" t="inlineStr">
        <is>
          <t>LNH0925ND01</t>
        </is>
      </c>
      <c r="H856" s="1" t="inlineStr">
        <is>
          <t>09AV Giao tiep QT (TS)</t>
        </is>
      </c>
      <c r="I856" s="1" t="n">
        <v>7415000</v>
      </c>
      <c r="J856" s="1" t="inlineStr">
        <is>
          <t>NGUYEN THI LY DO CHI KIEN 25800500096 LNH0925ND01 0389650295 TAI IBT BIDV                 HANOI</t>
        </is>
      </c>
    </row>
    <row r="857">
      <c r="A857" s="1" t="inlineStr">
        <is>
          <t>30-Aug-25</t>
        </is>
      </c>
      <c r="B857" s="1" t="inlineStr">
        <is>
          <t>I61024</t>
        </is>
      </c>
      <c r="C857" s="1" t="inlineStr">
        <is>
          <t>25800400110</t>
        </is>
      </c>
      <c r="D857" s="1" t="inlineStr">
        <is>
          <t>Leâ Trung</t>
        </is>
      </c>
      <c r="E857" s="1" t="inlineStr">
        <is>
          <t>Nguyeân</t>
        </is>
      </c>
      <c r="F857" s="1" t="inlineStr">
        <is>
          <t>12-Aug-07</t>
        </is>
      </c>
      <c r="G857" s="1" t="inlineStr">
        <is>
          <t>LNH0925ND01</t>
        </is>
      </c>
      <c r="H857" s="1" t="inlineStr">
        <is>
          <t>09AV Giao tiep QT (TS)</t>
        </is>
      </c>
      <c r="I857" s="1" t="n">
        <v>7415000</v>
      </c>
      <c r="J857" s="1" t="inlineStr">
        <is>
          <t>MBBANK IBFT LE TRUNG NGUYEN 25800400110 LNH0925 ND01 0398947751 TAI IBT-MB                   HANOI</t>
        </is>
      </c>
    </row>
    <row r="858">
      <c r="A858" s="1" t="inlineStr">
        <is>
          <t>30-Aug-25</t>
        </is>
      </c>
      <c r="B858" s="1" t="inlineStr">
        <is>
          <t>I61025</t>
        </is>
      </c>
      <c r="C858" s="1" t="inlineStr">
        <is>
          <t>25801800014</t>
        </is>
      </c>
      <c r="D858" s="1" t="inlineStr">
        <is>
          <t>Nguyeãn Thò Thu</t>
        </is>
      </c>
      <c r="E858" s="1" t="inlineStr">
        <is>
          <t>Haèng</t>
        </is>
      </c>
      <c r="F858" s="1" t="inlineStr">
        <is>
          <t>22-Nov-07</t>
        </is>
      </c>
      <c r="G858" s="1" t="inlineStr">
        <is>
          <t>LNH0925ND01</t>
        </is>
      </c>
      <c r="H858" s="1" t="inlineStr">
        <is>
          <t>09AV Giao tiep QT (TS)</t>
        </is>
      </c>
      <c r="I858" s="1" t="n">
        <v>7415000</v>
      </c>
      <c r="J858" s="1" t="inlineStr">
        <is>
          <t>DANG THI HOA DANG THI HOA Chuyen tien Nguyen Thi Thu Hang 25801800014 LNH0925ND01 s dt 0345517297 TAI VietinBank</t>
        </is>
      </c>
    </row>
    <row r="859">
      <c r="A859" s="1" t="inlineStr">
        <is>
          <t>30-Aug-25</t>
        </is>
      </c>
      <c r="B859" s="1" t="inlineStr">
        <is>
          <t>I61026</t>
        </is>
      </c>
      <c r="C859" s="1" t="inlineStr">
        <is>
          <t>25800500109</t>
        </is>
      </c>
      <c r="D859" s="1" t="inlineStr">
        <is>
          <t>Nguyeãn Huyønh Nhöït</t>
        </is>
      </c>
      <c r="E859" s="1" t="inlineStr">
        <is>
          <t>Minh</t>
        </is>
      </c>
      <c r="F859" s="1" t="inlineStr">
        <is>
          <t>30-Aug-07</t>
        </is>
      </c>
      <c r="G859" s="1" t="inlineStr">
        <is>
          <t>LNH0925ND01</t>
        </is>
      </c>
      <c r="H859" s="1" t="inlineStr">
        <is>
          <t>09AV Giao tiep QT (TS)</t>
        </is>
      </c>
      <c r="I859" s="1" t="n">
        <v>7415000</v>
      </c>
      <c r="J859" s="1" t="inlineStr">
        <is>
          <t>HUYNH THI THUY LINH Nguyen Huynh Nhut Minh Mssv 2580050 0109 nop tien lop tieng anh giao ti ep Ma dong tien LNH0925ND01 TAI SGBVNMB                TPHCMVN</t>
        </is>
      </c>
    </row>
    <row r="860">
      <c r="A860" s="1" t="inlineStr">
        <is>
          <t>30-Aug-25</t>
        </is>
      </c>
      <c r="B860" s="1" t="inlineStr">
        <is>
          <t>I61027</t>
        </is>
      </c>
      <c r="C860" s="1" t="inlineStr">
        <is>
          <t>25800400244</t>
        </is>
      </c>
      <c r="D860" s="1" t="inlineStr">
        <is>
          <t>Nguyeãn Ñaêng</t>
        </is>
      </c>
      <c r="E860" s="1" t="inlineStr">
        <is>
          <t>Khang</t>
        </is>
      </c>
      <c r="F860" s="1" t="inlineStr">
        <is>
          <t>31-Mar-07</t>
        </is>
      </c>
      <c r="G860" s="1" t="inlineStr">
        <is>
          <t>LNH0925ND01</t>
        </is>
      </c>
      <c r="H860" s="1" t="inlineStr">
        <is>
          <t>09AV Giao tiep QT (TS)</t>
        </is>
      </c>
      <c r="I860" s="1" t="n">
        <v>7415000</v>
      </c>
      <c r="J860" s="1" t="inlineStr">
        <is>
          <t>SACOMBANK IBFT NGUYEN DANG KHANG 25800400244 LNH0925ND01 0343616442 TAI SACOMBANK              HCM</t>
        </is>
      </c>
    </row>
    <row r="861">
      <c r="A861" s="1" t="inlineStr">
        <is>
          <t>30-Aug-25</t>
        </is>
      </c>
      <c r="B861" s="1" t="inlineStr">
        <is>
          <t>I61028</t>
        </is>
      </c>
      <c r="C861" s="1" t="inlineStr">
        <is>
          <t>25805800015</t>
        </is>
      </c>
      <c r="D861" s="1" t="inlineStr">
        <is>
          <t>Löông Taán</t>
        </is>
      </c>
      <c r="E861" s="1" t="inlineStr">
        <is>
          <t>Khoa</t>
        </is>
      </c>
      <c r="F861" s="1" t="inlineStr">
        <is>
          <t>27-Oct-07</t>
        </is>
      </c>
      <c r="G861" s="1" t="inlineStr">
        <is>
          <t>LNH0925ND01</t>
        </is>
      </c>
      <c r="H861" s="1" t="inlineStr">
        <is>
          <t>09AV Giao tiep QT (TS)</t>
        </is>
      </c>
      <c r="I861" s="1" t="n">
        <v>7415000</v>
      </c>
      <c r="J861" s="1" t="inlineStr">
        <is>
          <t>LUONG VAN AN LUONG  TAN  KHOA MSSV 25805800015 L NH0925ND01  SDT 0816064764 TAI IBT BIDV                 HANOI</t>
        </is>
      </c>
    </row>
    <row r="862">
      <c r="A862" s="1" t="inlineStr">
        <is>
          <t>30-Aug-25</t>
        </is>
      </c>
      <c r="B862" s="1" t="inlineStr">
        <is>
          <t>I61029</t>
        </is>
      </c>
      <c r="C862" s="1" t="inlineStr">
        <is>
          <t>25802800018</t>
        </is>
      </c>
      <c r="D862" s="1" t="inlineStr">
        <is>
          <t>Nguyeãn Duy</t>
        </is>
      </c>
      <c r="E862" s="1" t="inlineStr">
        <is>
          <t>Baûo</t>
        </is>
      </c>
      <c r="F862" s="1" t="inlineStr">
        <is>
          <t>30-Mar-07</t>
        </is>
      </c>
      <c r="G862" s="1" t="inlineStr">
        <is>
          <t>LNH0925ND01</t>
        </is>
      </c>
      <c r="H862" s="1" t="inlineStr">
        <is>
          <t>09AV Giao tiep QT (TS)</t>
        </is>
      </c>
      <c r="I862" s="1" t="n">
        <v>7540000</v>
      </c>
      <c r="J862" s="1" t="inlineStr">
        <is>
          <t>NGUYEN TRUNG NGHIA NGUYEN DUY BAO  25802800018  LNH092 5ND01  0937039329 TAI VietinBank</t>
        </is>
      </c>
    </row>
    <row r="863">
      <c r="A863" s="1" t="inlineStr">
        <is>
          <t>30-Aug-25</t>
        </is>
      </c>
      <c r="B863" s="1" t="inlineStr">
        <is>
          <t>I61030</t>
        </is>
      </c>
      <c r="C863" s="1" t="inlineStr">
        <is>
          <t>25808900231</t>
        </is>
      </c>
      <c r="D863" s="1" t="inlineStr">
        <is>
          <t>Vuõ Trung</t>
        </is>
      </c>
      <c r="E863" s="1" t="inlineStr">
        <is>
          <t>Nguyeân</t>
        </is>
      </c>
      <c r="F863" s="1" t="inlineStr">
        <is>
          <t>04-Nov-07</t>
        </is>
      </c>
      <c r="G863" s="1" t="inlineStr">
        <is>
          <t>LNH0925ND01</t>
        </is>
      </c>
      <c r="H863" s="1" t="inlineStr">
        <is>
          <t>09AV Giao tiep QT (TS)</t>
        </is>
      </c>
      <c r="I863" s="1" t="n">
        <v>8415000</v>
      </c>
      <c r="J863" s="1" t="inlineStr">
        <is>
          <t>NGUYEN TRUNG NGHIA VU TRUNG NGUYEN  25808900231  LNH09 25ND01  0979908408 TAI VietinBank</t>
        </is>
      </c>
    </row>
    <row r="864">
      <c r="A864" s="1" t="inlineStr">
        <is>
          <t>30-Aug-25</t>
        </is>
      </c>
      <c r="B864" s="1" t="inlineStr">
        <is>
          <t>I61031</t>
        </is>
      </c>
      <c r="C864" s="1" t="inlineStr">
        <is>
          <t>25801100089</t>
        </is>
      </c>
      <c r="D864" s="1" t="inlineStr">
        <is>
          <t>Traàn Thò</t>
        </is>
      </c>
      <c r="E864" s="1" t="inlineStr">
        <is>
          <t>Haø</t>
        </is>
      </c>
      <c r="F864" s="1" t="inlineStr">
        <is>
          <t>14-May-95</t>
        </is>
      </c>
      <c r="G864" s="1" t="inlineStr">
        <is>
          <t>LNH0925ND01</t>
        </is>
      </c>
      <c r="H864" s="1" t="inlineStr">
        <is>
          <t>09AV Giao tiep QT (TS)</t>
        </is>
      </c>
      <c r="I864" s="1" t="n">
        <v>8415000</v>
      </c>
      <c r="J864" s="1" t="inlineStr">
        <is>
          <t>NGUYEN TRUNG NGHIA TRAN THI HA  25801100089  LNH0925ND 01  0367311046 TAI VietinBank</t>
        </is>
      </c>
    </row>
    <row r="865">
      <c r="A865" s="1" t="inlineStr">
        <is>
          <t>30-Aug-25</t>
        </is>
      </c>
      <c r="B865" s="1" t="inlineStr">
        <is>
          <t>I61032</t>
        </is>
      </c>
      <c r="C865" s="1" t="inlineStr">
        <is>
          <t>25801100107</t>
        </is>
      </c>
      <c r="D865" s="1" t="inlineStr">
        <is>
          <t>Phan Thò Thuyù</t>
        </is>
      </c>
      <c r="E865" s="1" t="inlineStr">
        <is>
          <t>Vi</t>
        </is>
      </c>
      <c r="F865" s="1" t="inlineStr">
        <is>
          <t>15-Feb-94</t>
        </is>
      </c>
      <c r="G865" s="1" t="inlineStr">
        <is>
          <t>LNH0925ND01</t>
        </is>
      </c>
      <c r="H865" s="1" t="inlineStr">
        <is>
          <t>09AV Giao tiep QT (TS)</t>
        </is>
      </c>
      <c r="I865" s="1" t="n">
        <v>8415000</v>
      </c>
      <c r="J865" s="1" t="inlineStr">
        <is>
          <t>NGUYEN TRUNG NGHIA PHAN THI THUY VI  25801100107  LNH0 925ND01  0367311046 TAI VietinBank</t>
        </is>
      </c>
    </row>
    <row r="866">
      <c r="A866" s="1" t="inlineStr">
        <is>
          <t>30-Aug-25</t>
        </is>
      </c>
      <c r="B866" s="1" t="inlineStr">
        <is>
          <t>I61033</t>
        </is>
      </c>
      <c r="C866" s="1" t="inlineStr">
        <is>
          <t>25801300026</t>
        </is>
      </c>
      <c r="D866" s="1" t="inlineStr">
        <is>
          <t>Leâ Minh</t>
        </is>
      </c>
      <c r="E866" s="1" t="inlineStr">
        <is>
          <t>Nhaät</t>
        </is>
      </c>
      <c r="F866" s="1" t="inlineStr">
        <is>
          <t>27-Apr-07</t>
        </is>
      </c>
      <c r="G866" s="1" t="inlineStr">
        <is>
          <t>LNH0925ND01</t>
        </is>
      </c>
      <c r="H866" s="1" t="inlineStr">
        <is>
          <t>09AV Giao tiep QT (TS)</t>
        </is>
      </c>
      <c r="I866" s="1" t="n">
        <v>8415000</v>
      </c>
      <c r="J866" s="1" t="inlineStr">
        <is>
          <t>LE THANH VU LE MINH NHAT 25801300026 LNH0925ND0 1 0902931824-300825-09 15 47 330692 TAI Ngan hang a chau       IBT SMARLINK</t>
        </is>
      </c>
    </row>
    <row r="867">
      <c r="A867" s="1" t="inlineStr">
        <is>
          <t>30-Aug-25</t>
        </is>
      </c>
      <c r="B867" s="1" t="inlineStr">
        <is>
          <t>I61034</t>
        </is>
      </c>
      <c r="C867" s="1" t="inlineStr">
        <is>
          <t>25807500007</t>
        </is>
      </c>
      <c r="D867" s="1" t="inlineStr">
        <is>
          <t>Nguyen Thi Mai</t>
        </is>
      </c>
      <c r="E867" s="1" t="inlineStr">
        <is>
          <t>Anh</t>
        </is>
      </c>
      <c r="F867" s="1" t="inlineStr">
        <is>
          <t xml:space="preserve">  -   -</t>
        </is>
      </c>
      <c r="G867" s="1" t="inlineStr">
        <is>
          <t>LNH0925ND01</t>
        </is>
      </c>
      <c r="H867" s="1" t="inlineStr">
        <is>
          <t>09AV Giao tiep QT (TS)</t>
        </is>
      </c>
      <c r="I867" s="1" t="n">
        <v>8415000</v>
      </c>
      <c r="J867" s="1" t="inlineStr">
        <is>
          <t>MBBANK IBFT NGUYEN THI MAI ANH LNH0925ND01 0933 696307 TAI IBT-MB                   HANOI</t>
        </is>
      </c>
    </row>
    <row r="868">
      <c r="A868" s="1" t="inlineStr">
        <is>
          <t>30-Aug-25</t>
        </is>
      </c>
      <c r="B868" s="1" t="inlineStr">
        <is>
          <t>I61035</t>
        </is>
      </c>
      <c r="C868" s="1" t="inlineStr">
        <is>
          <t>25800600343</t>
        </is>
      </c>
      <c r="D868" s="1" t="inlineStr">
        <is>
          <t>Nguyeãn Ñaêng</t>
        </is>
      </c>
      <c r="E868" s="1" t="inlineStr">
        <is>
          <t>Khoa</t>
        </is>
      </c>
      <c r="F868" s="1" t="inlineStr">
        <is>
          <t>12-Sep-07</t>
        </is>
      </c>
      <c r="G868" s="1" t="inlineStr">
        <is>
          <t>LNH0925ND01</t>
        </is>
      </c>
      <c r="H868" s="1" t="inlineStr">
        <is>
          <t>09AV Giao tiep QT (TS)</t>
        </is>
      </c>
      <c r="I868" s="1" t="n">
        <v>8415000</v>
      </c>
      <c r="J868" s="1" t="inlineStr">
        <is>
          <t>SACOMBANK IBFT NGUYEN DANG KHOA 25800600343 L NH0925ND01 0336025320 TAI SACOMBANK              HCM</t>
        </is>
      </c>
    </row>
    <row r="869">
      <c r="A869" s="1" t="inlineStr">
        <is>
          <t>30-Aug-25</t>
        </is>
      </c>
      <c r="B869" s="1" t="inlineStr">
        <is>
          <t>I61036</t>
        </is>
      </c>
      <c r="C869" s="1" t="inlineStr">
        <is>
          <t>25800500093</t>
        </is>
      </c>
      <c r="D869" s="1" t="inlineStr">
        <is>
          <t>Nguyeãn Traàn Ñaêng</t>
        </is>
      </c>
      <c r="E869" s="1" t="inlineStr">
        <is>
          <t>Khoa</t>
        </is>
      </c>
      <c r="F869" s="1" t="inlineStr">
        <is>
          <t>21-Sep-07</t>
        </is>
      </c>
      <c r="G869" s="1" t="inlineStr">
        <is>
          <t>LNH0925ND01</t>
        </is>
      </c>
      <c r="H869" s="1" t="inlineStr">
        <is>
          <t>09AV Giao tiep QT (TS)</t>
        </is>
      </c>
      <c r="I869" s="1" t="n">
        <v>8415000</v>
      </c>
      <c r="J869" s="1" t="inlineStr">
        <is>
          <t>NGUYEN XUAN NGO MBVCB.10732397439.473546.NGUYEN TRA N DANG KHOA 25800500093  LHN 0925ND 01 0971662528.CT tu 0081000488293 N GUYEN XUAN NGO toi 0521043748045 HUTECH tai ABBANK TAI Vietcombank</t>
        </is>
      </c>
    </row>
    <row r="870">
      <c r="A870" s="1" t="inlineStr">
        <is>
          <t>30-Aug-25</t>
        </is>
      </c>
      <c r="B870" s="1" t="inlineStr">
        <is>
          <t>I61037</t>
        </is>
      </c>
      <c r="C870" s="1" t="inlineStr">
        <is>
          <t>25800400122</t>
        </is>
      </c>
      <c r="D870" s="1" t="inlineStr">
        <is>
          <t>Ñaëng Nguyeãn Hoaøng</t>
        </is>
      </c>
      <c r="E870" s="1" t="inlineStr">
        <is>
          <t>Phuù</t>
        </is>
      </c>
      <c r="F870" s="1" t="inlineStr">
        <is>
          <t>11-Apr-05</t>
        </is>
      </c>
      <c r="G870" s="1" t="inlineStr">
        <is>
          <t>LNH0925ND01</t>
        </is>
      </c>
      <c r="H870" s="1" t="inlineStr">
        <is>
          <t>09AV Giao tiep QT (TS)</t>
        </is>
      </c>
      <c r="I870" s="1" t="n">
        <v>8415000</v>
      </c>
      <c r="J870" s="1" t="inlineStr">
        <is>
          <t>DANG NGUYEN HOANG PHU QR - DANG NGUYEN HOANG PHU Mssv 258 00400122 sdt 0937141753 LNH0925ND01 TAI VietinBank</t>
        </is>
      </c>
    </row>
    <row r="871">
      <c r="A871" s="1" t="inlineStr">
        <is>
          <t>30-Aug-25</t>
        </is>
      </c>
      <c r="B871" s="1" t="inlineStr">
        <is>
          <t>I61038</t>
        </is>
      </c>
      <c r="C871" s="1" t="inlineStr">
        <is>
          <t>25801800089</t>
        </is>
      </c>
      <c r="D871" s="1" t="inlineStr">
        <is>
          <t>Nguyeãn Ngoïc Nhö</t>
        </is>
      </c>
      <c r="E871" s="1" t="inlineStr">
        <is>
          <t>YÙ</t>
        </is>
      </c>
      <c r="F871" s="1" t="inlineStr">
        <is>
          <t>29-Jan-07</t>
        </is>
      </c>
      <c r="G871" s="1" t="inlineStr">
        <is>
          <t>LNH0925ND01</t>
        </is>
      </c>
      <c r="H871" s="1" t="inlineStr">
        <is>
          <t>09AV Giao tiep QT (TS)</t>
        </is>
      </c>
      <c r="I871" s="1" t="n">
        <v>8415000</v>
      </c>
      <c r="J871" s="1" t="inlineStr">
        <is>
          <t>TRAN THI NGOC DIEM MBVCB.10732545885.565111.Nguyen Ngo c Nhu Y 25801800089 LNH0925ND01 070 3476890.CT tu 0121001316783 TRAN TH I NGOC DIEM toi 0521043748045 HUTECH tai ABBANK TAI Vietcombank</t>
        </is>
      </c>
    </row>
    <row r="872">
      <c r="A872" s="1" t="inlineStr">
        <is>
          <t>30-Aug-25</t>
        </is>
      </c>
      <c r="B872" s="1" t="inlineStr">
        <is>
          <t>I61039</t>
        </is>
      </c>
      <c r="C872" s="1" t="inlineStr">
        <is>
          <t>25802700016</t>
        </is>
      </c>
      <c r="D872" s="1" t="inlineStr">
        <is>
          <t>Nguyeãn Quoác</t>
        </is>
      </c>
      <c r="E872" s="1" t="inlineStr">
        <is>
          <t>Ñaït</t>
        </is>
      </c>
      <c r="F872" s="1" t="inlineStr">
        <is>
          <t>10-May-07</t>
        </is>
      </c>
      <c r="G872" s="1" t="inlineStr">
        <is>
          <t>LNH0925ND01</t>
        </is>
      </c>
      <c r="H872" s="1" t="inlineStr">
        <is>
          <t>09AV Giao tiep QT (TS)</t>
        </is>
      </c>
      <c r="I872" s="1" t="n">
        <v>8415000</v>
      </c>
      <c r="J872" s="1" t="inlineStr">
        <is>
          <t>SACOMBANK IBFT nguyen quoc dat 25802700016 LN H0925ND01 0392754316 TAI SACOMBANK              HCM</t>
        </is>
      </c>
    </row>
    <row r="873">
      <c r="A873" s="1" t="inlineStr">
        <is>
          <t>30-Aug-25</t>
        </is>
      </c>
      <c r="B873" s="1" t="inlineStr">
        <is>
          <t>I61040</t>
        </is>
      </c>
      <c r="C873" s="1" t="inlineStr">
        <is>
          <t>25803800058</t>
        </is>
      </c>
      <c r="D873" s="1" t="inlineStr">
        <is>
          <t>Giang Quoác</t>
        </is>
      </c>
      <c r="E873" s="1" t="inlineStr">
        <is>
          <t>Thònh</t>
        </is>
      </c>
      <c r="F873" s="1" t="inlineStr">
        <is>
          <t>18-Jun-07</t>
        </is>
      </c>
      <c r="G873" s="1" t="inlineStr">
        <is>
          <t>LNH0925ND01</t>
        </is>
      </c>
      <c r="H873" s="1" t="inlineStr">
        <is>
          <t>09AV Giao tiep QT (TS)</t>
        </is>
      </c>
      <c r="I873" s="1" t="n">
        <v>8415000</v>
      </c>
      <c r="J873" s="1" t="inlineStr">
        <is>
          <t>TRAN THI NGOC DIEM Giang Quoc Thinh   25803800058 LNH0 925ND01  0707144206 TAI Maritime Bank          IBanking</t>
        </is>
      </c>
    </row>
    <row r="874">
      <c r="A874" s="1" t="inlineStr">
        <is>
          <t>30-Aug-25</t>
        </is>
      </c>
      <c r="B874" s="1" t="inlineStr">
        <is>
          <t>I61041</t>
        </is>
      </c>
      <c r="C874" s="1" t="inlineStr">
        <is>
          <t>25807900120</t>
        </is>
      </c>
      <c r="D874" s="1" t="inlineStr">
        <is>
          <t>Traàn Ñöùc</t>
        </is>
      </c>
      <c r="E874" s="1" t="inlineStr">
        <is>
          <t>Phaùt</t>
        </is>
      </c>
      <c r="F874" s="1" t="inlineStr">
        <is>
          <t>12-Mar-07</t>
        </is>
      </c>
      <c r="G874" s="1" t="inlineStr">
        <is>
          <t>LNH0925ND01</t>
        </is>
      </c>
      <c r="H874" s="1" t="inlineStr">
        <is>
          <t>09AV Giao tiep QT (TS)</t>
        </is>
      </c>
      <c r="I874" s="1" t="n">
        <v>8415000</v>
      </c>
      <c r="J874" s="1" t="inlineStr">
        <is>
          <t>TRAN THI LUC TRAN DUC PHAT  2507900053 LNH0925ND 01 0769533617 TAI IBT BIDV                 HANOI</t>
        </is>
      </c>
    </row>
    <row r="875">
      <c r="A875" s="1" t="inlineStr">
        <is>
          <t>30-Aug-25</t>
        </is>
      </c>
      <c r="B875" s="1" t="inlineStr">
        <is>
          <t>I61042</t>
        </is>
      </c>
      <c r="C875" s="1" t="inlineStr">
        <is>
          <t>25809400036</t>
        </is>
      </c>
      <c r="D875" s="1" t="inlineStr">
        <is>
          <t>Leâ Thanh</t>
        </is>
      </c>
      <c r="E875" s="1" t="inlineStr">
        <is>
          <t>Bình</t>
        </is>
      </c>
      <c r="F875" s="1" t="inlineStr">
        <is>
          <t>04-Jun-07</t>
        </is>
      </c>
      <c r="G875" s="1" t="inlineStr">
        <is>
          <t>LNH0925ND01</t>
        </is>
      </c>
      <c r="H875" s="1" t="inlineStr">
        <is>
          <t>09AV Giao tiep QT (TS)</t>
        </is>
      </c>
      <c r="I875" s="1" t="n">
        <v>8415000</v>
      </c>
      <c r="J875" s="1" t="inlineStr">
        <is>
          <t>MBBANK IBFT LE THANH BINH25809400036LNH0925ND01 0867901184 TAI IBT-MB                   HANOI</t>
        </is>
      </c>
    </row>
    <row r="876">
      <c r="A876" s="1" t="inlineStr">
        <is>
          <t>30-Aug-25</t>
        </is>
      </c>
      <c r="B876" s="1" t="inlineStr">
        <is>
          <t>I61043</t>
        </is>
      </c>
      <c r="C876" s="1" t="inlineStr">
        <is>
          <t>25801200058</t>
        </is>
      </c>
      <c r="D876" s="1" t="inlineStr">
        <is>
          <t>Nguyeãn Phöông</t>
        </is>
      </c>
      <c r="E876" s="1" t="inlineStr">
        <is>
          <t>Vónh</t>
        </is>
      </c>
      <c r="F876" s="1" t="inlineStr">
        <is>
          <t>28-Mar-06</t>
        </is>
      </c>
      <c r="G876" s="1" t="inlineStr">
        <is>
          <t>LNH0925ND01</t>
        </is>
      </c>
      <c r="H876" s="1" t="inlineStr">
        <is>
          <t>09AV Giao tiep QT (TS)</t>
        </is>
      </c>
      <c r="I876" s="1" t="n">
        <v>8415000</v>
      </c>
      <c r="J876" s="1" t="inlineStr">
        <is>
          <t>NGUYEN PHUONG VINH ABBank 0521043748045 Nguyen Phuong Vinh MSV25801200058 LNH0925ND01 SDT 0372611917 TAI Agribank</t>
        </is>
      </c>
    </row>
    <row r="877">
      <c r="A877" s="1" t="inlineStr">
        <is>
          <t>30-Aug-25</t>
        </is>
      </c>
      <c r="B877" s="1" t="inlineStr">
        <is>
          <t>I61044</t>
        </is>
      </c>
      <c r="C877" s="1" t="inlineStr">
        <is>
          <t>25820300056</t>
        </is>
      </c>
      <c r="D877" s="1" t="inlineStr">
        <is>
          <t>Voõ Duy</t>
        </is>
      </c>
      <c r="E877" s="1" t="inlineStr">
        <is>
          <t>Thaønh</t>
        </is>
      </c>
      <c r="F877" s="1" t="inlineStr">
        <is>
          <t>11-Jul-07</t>
        </is>
      </c>
      <c r="G877" s="1" t="inlineStr">
        <is>
          <t>LNH0925ND01</t>
        </is>
      </c>
      <c r="H877" s="1" t="inlineStr">
        <is>
          <t>09AV Giao tiep QT (TS)</t>
        </is>
      </c>
      <c r="I877" s="1" t="n">
        <v>8415000</v>
      </c>
      <c r="J877" s="1" t="inlineStr">
        <is>
          <t>VO DUY THANH ABBank 0521043748045 VO DUY THANH 2 5820300056 LNH0925ND01 0868649455 TAI Agribank</t>
        </is>
      </c>
    </row>
    <row r="878">
      <c r="A878" s="1" t="inlineStr">
        <is>
          <t>03-Sep-25</t>
        </is>
      </c>
      <c r="B878" s="1" t="inlineStr">
        <is>
          <t>I61455</t>
        </is>
      </c>
      <c r="C878" s="1" t="inlineStr">
        <is>
          <t>25802800249</t>
        </is>
      </c>
      <c r="D878" s="1" t="inlineStr">
        <is>
          <t>Traàn Hoàng Hoaøng</t>
        </is>
      </c>
      <c r="E878" s="1" t="inlineStr">
        <is>
          <t>Thònh</t>
        </is>
      </c>
      <c r="F878" s="1" t="inlineStr">
        <is>
          <t>23-Jun-07</t>
        </is>
      </c>
      <c r="G878" s="1" t="inlineStr">
        <is>
          <t>LNH0925ND01</t>
        </is>
      </c>
      <c r="H878" s="1" t="inlineStr">
        <is>
          <t>09AV Giao tiep QT (TS)</t>
        </is>
      </c>
      <c r="I878" s="1" t="n">
        <v>1000000</v>
      </c>
      <c r="J878" s="1" t="inlineStr">
        <is>
          <t>DINH THI THE PHUONG TRAN HONG HOANG THINH 25802800249 L NH0925ND01 0383324982 TAI VietinBank</t>
        </is>
      </c>
    </row>
    <row r="879">
      <c r="A879" s="1" t="inlineStr">
        <is>
          <t>03-Sep-25</t>
        </is>
      </c>
      <c r="B879" s="1" t="inlineStr">
        <is>
          <t>I61456</t>
        </is>
      </c>
      <c r="C879" s="1" t="inlineStr">
        <is>
          <t>25802700203</t>
        </is>
      </c>
      <c r="D879" s="1" t="inlineStr">
        <is>
          <t>Ñoã Nguyeãn Thu</t>
        </is>
      </c>
      <c r="E879" s="1" t="inlineStr">
        <is>
          <t>Nguyeät</t>
        </is>
      </c>
      <c r="F879" s="1" t="inlineStr">
        <is>
          <t>09-Oct-07</t>
        </is>
      </c>
      <c r="G879" s="1" t="inlineStr">
        <is>
          <t>LNH0925ND01</t>
        </is>
      </c>
      <c r="H879" s="1" t="inlineStr">
        <is>
          <t>09AV Giao tiep QT (TS)</t>
        </is>
      </c>
      <c r="I879" s="1" t="n">
        <v>1000000</v>
      </c>
      <c r="J879" s="1" t="inlineStr">
        <is>
          <t>NGUYEN TRUNG NGHIA DO NGUYEN THU NGUYET  25802700203 LNH0925ND01  0348195155 TAI VietinBank</t>
        </is>
      </c>
    </row>
    <row r="880">
      <c r="A880" s="1" t="inlineStr">
        <is>
          <t>03-Sep-25</t>
        </is>
      </c>
      <c r="B880" s="1" t="inlineStr">
        <is>
          <t>I61457</t>
        </is>
      </c>
      <c r="C880" s="1" t="inlineStr">
        <is>
          <t>25808700221</t>
        </is>
      </c>
      <c r="D880" s="1" t="inlineStr">
        <is>
          <t>Huyønh Phuùc</t>
        </is>
      </c>
      <c r="E880" s="1" t="inlineStr">
        <is>
          <t>Chieán</t>
        </is>
      </c>
      <c r="F880" s="1" t="inlineStr">
        <is>
          <t>05-Jul-07</t>
        </is>
      </c>
      <c r="G880" s="1" t="inlineStr">
        <is>
          <t>LNH0925ND01</t>
        </is>
      </c>
      <c r="H880" s="1" t="inlineStr">
        <is>
          <t>09AV Giao tiep QT (TS)</t>
        </is>
      </c>
      <c r="I880" s="1" t="n">
        <v>1000000</v>
      </c>
      <c r="J880" s="1" t="inlineStr">
        <is>
          <t>MBBANK IBFT Huynh Phuc Chien 2508700095 LNH0925 ND010333184218 TAI IBT-MB                   HANOI</t>
        </is>
      </c>
    </row>
    <row r="881">
      <c r="A881" s="1" t="inlineStr">
        <is>
          <t>03-Sep-25</t>
        </is>
      </c>
      <c r="B881" s="1" t="inlineStr">
        <is>
          <t>I61458</t>
        </is>
      </c>
      <c r="C881" s="1" t="inlineStr">
        <is>
          <t>25807400009</t>
        </is>
      </c>
      <c r="D881" s="1" t="inlineStr">
        <is>
          <t>Traàn Thanh</t>
        </is>
      </c>
      <c r="E881" s="1" t="inlineStr">
        <is>
          <t>Nhaøn</t>
        </is>
      </c>
      <c r="F881" s="1" t="inlineStr">
        <is>
          <t>24-Aug-07</t>
        </is>
      </c>
      <c r="G881" s="1" t="inlineStr">
        <is>
          <t>LNH0925ND01</t>
        </is>
      </c>
      <c r="H881" s="1" t="inlineStr">
        <is>
          <t>09AV Giao tiep QT (TS)</t>
        </is>
      </c>
      <c r="I881" s="1" t="n">
        <v>1100000</v>
      </c>
      <c r="J881" s="1" t="inlineStr">
        <is>
          <t>MBBANK IBFT Tran Thanh Nhan 25807400009 LNH0925 ND01 0376931324 TAI IBT-MB                   HANOI</t>
        </is>
      </c>
    </row>
    <row r="882">
      <c r="A882" s="1" t="inlineStr">
        <is>
          <t>03-Sep-25</t>
        </is>
      </c>
      <c r="B882" s="1" t="inlineStr">
        <is>
          <t>I61459</t>
        </is>
      </c>
      <c r="C882" s="1" t="inlineStr">
        <is>
          <t>25808600067</t>
        </is>
      </c>
      <c r="D882" s="1" t="inlineStr">
        <is>
          <t>Voõ Leâ Thaûo</t>
        </is>
      </c>
      <c r="E882" s="1" t="inlineStr">
        <is>
          <t>My</t>
        </is>
      </c>
      <c r="F882" s="1" t="inlineStr">
        <is>
          <t>12-Oct-07</t>
        </is>
      </c>
      <c r="G882" s="1" t="inlineStr">
        <is>
          <t>LNH0925ND01</t>
        </is>
      </c>
      <c r="H882" s="1" t="inlineStr">
        <is>
          <t>09AV Giao tiep QT (TS)</t>
        </is>
      </c>
      <c r="I882" s="1" t="n">
        <v>3465000</v>
      </c>
      <c r="J882" s="1" t="inlineStr">
        <is>
          <t>SACOMBANK IBFT VO LE THAO MY 25808600067 LNH0 925ND01 0376098019 TAI SACOMBANK              HCM</t>
        </is>
      </c>
    </row>
    <row r="883">
      <c r="A883" s="1" t="inlineStr">
        <is>
          <t>03-Sep-25</t>
        </is>
      </c>
      <c r="B883" s="1" t="inlineStr">
        <is>
          <t>I61460</t>
        </is>
      </c>
      <c r="C883" s="1" t="inlineStr">
        <is>
          <t>25802600209</t>
        </is>
      </c>
      <c r="D883" s="1" t="inlineStr">
        <is>
          <t>Baïch Ñoan</t>
        </is>
      </c>
      <c r="E883" s="1" t="inlineStr">
        <is>
          <t>Linh</t>
        </is>
      </c>
      <c r="F883" s="1" t="inlineStr">
        <is>
          <t>03-Aug-07</t>
        </is>
      </c>
      <c r="G883" s="1" t="inlineStr">
        <is>
          <t>LNH0925ND01</t>
        </is>
      </c>
      <c r="H883" s="1" t="inlineStr">
        <is>
          <t>09AV Giao tiep QT (TS)</t>
        </is>
      </c>
      <c r="I883" s="1" t="n">
        <v>3465000</v>
      </c>
      <c r="J883" s="1" t="inlineStr">
        <is>
          <t>BACH THI LUONG LE MBVCB.10782855177.673025.Bach Doan Linh 25802600209 LNH0925ND01 086546 3297.CT tu 0531002561742 BACH THI L UONG LE toi 0521043748045 HUTECH tai ABBANK TAI Vietcombank</t>
        </is>
      </c>
    </row>
    <row r="884">
      <c r="A884" s="1" t="inlineStr">
        <is>
          <t>03-Sep-25</t>
        </is>
      </c>
      <c r="B884" s="1" t="inlineStr">
        <is>
          <t>I61461</t>
        </is>
      </c>
      <c r="C884" s="1" t="inlineStr">
        <is>
          <t>25802800245</t>
        </is>
      </c>
      <c r="D884" s="1" t="inlineStr">
        <is>
          <t>Traàn Anh</t>
        </is>
      </c>
      <c r="E884" s="1" t="inlineStr">
        <is>
          <t>Thi</t>
        </is>
      </c>
      <c r="F884" s="1" t="inlineStr">
        <is>
          <t>05-Sep-07</t>
        </is>
      </c>
      <c r="G884" s="1" t="inlineStr">
        <is>
          <t>LNH0925ND01</t>
        </is>
      </c>
      <c r="H884" s="1" t="inlineStr">
        <is>
          <t>09AV Giao tiep QT (TS)</t>
        </is>
      </c>
      <c r="I884" s="1" t="n">
        <v>7415000</v>
      </c>
      <c r="J884" s="1" t="inlineStr">
        <is>
          <t>NGUYEN DINH KIM PHUONG TRAN ANH THI  25802800245  LNH0925N D01  0961330407 TAI IBT SMARTLINK            HANOI</t>
        </is>
      </c>
    </row>
    <row r="885">
      <c r="A885" s="1" t="inlineStr">
        <is>
          <t>03-Sep-25</t>
        </is>
      </c>
      <c r="B885" s="1" t="inlineStr">
        <is>
          <t>I61462</t>
        </is>
      </c>
      <c r="C885" s="1" t="inlineStr">
        <is>
          <t>25820700021</t>
        </is>
      </c>
      <c r="D885" s="1" t="inlineStr">
        <is>
          <t>Ngoâ Thò Baûo</t>
        </is>
      </c>
      <c r="E885" s="1" t="inlineStr">
        <is>
          <t>Ngoïc</t>
        </is>
      </c>
      <c r="F885" s="1" t="inlineStr">
        <is>
          <t>29-Nov-07</t>
        </is>
      </c>
      <c r="G885" s="1" t="inlineStr">
        <is>
          <t>LNH0925ND01</t>
        </is>
      </c>
      <c r="H885" s="1" t="inlineStr">
        <is>
          <t>09AV Giao tiep QT (TS)</t>
        </is>
      </c>
      <c r="I885" s="1" t="n">
        <v>7415000</v>
      </c>
      <c r="J885" s="1" t="inlineStr">
        <is>
          <t>SACOMBANK IBFT Ngo Thi Bao Ngoc 25820700021 L NH0925ND01  0932098412 Lop hoc toi 2-4-6 TAI SACOMBANK              HCM</t>
        </is>
      </c>
    </row>
    <row r="886">
      <c r="A886" s="1" t="inlineStr">
        <is>
          <t>03-Sep-25</t>
        </is>
      </c>
      <c r="B886" s="1" t="inlineStr">
        <is>
          <t>I61463</t>
        </is>
      </c>
      <c r="C886" s="1" t="inlineStr">
        <is>
          <t>25808600087</t>
        </is>
      </c>
      <c r="D886" s="1" t="inlineStr">
        <is>
          <t>Voõ Thò Tuyeát</t>
        </is>
      </c>
      <c r="E886" s="1" t="inlineStr">
        <is>
          <t>Nhö</t>
        </is>
      </c>
      <c r="F886" s="1" t="inlineStr">
        <is>
          <t>15-Nov-07</t>
        </is>
      </c>
      <c r="G886" s="1" t="inlineStr">
        <is>
          <t>LNH0925ND01</t>
        </is>
      </c>
      <c r="H886" s="1" t="inlineStr">
        <is>
          <t>09AV Giao tiep QT (TS)</t>
        </is>
      </c>
      <c r="I886" s="1" t="n">
        <v>7415000</v>
      </c>
      <c r="J886" s="1" t="inlineStr">
        <is>
          <t>VO VAN TAI vo thi tuyet nhu mssv25808600087 LN H0925ND01 0337630237 TAI IBT BIDV                 HANOI</t>
        </is>
      </c>
    </row>
    <row r="887">
      <c r="A887" s="1" t="inlineStr">
        <is>
          <t>03-Sep-25</t>
        </is>
      </c>
      <c r="B887" s="1" t="inlineStr">
        <is>
          <t>I61464</t>
        </is>
      </c>
      <c r="C887" s="1" t="inlineStr">
        <is>
          <t>25808200002</t>
        </is>
      </c>
      <c r="D887" s="1" t="inlineStr">
        <is>
          <t>Nguyeãn Tröôøng</t>
        </is>
      </c>
      <c r="E887" s="1" t="inlineStr">
        <is>
          <t>An</t>
        </is>
      </c>
      <c r="F887" s="1" t="inlineStr">
        <is>
          <t>11-Feb-07</t>
        </is>
      </c>
      <c r="G887" s="1" t="inlineStr">
        <is>
          <t>LNH0925ND01</t>
        </is>
      </c>
      <c r="H887" s="1" t="inlineStr">
        <is>
          <t>09AV Giao tiep QT (TS)</t>
        </is>
      </c>
      <c r="I887" s="1" t="n">
        <v>7415000</v>
      </c>
      <c r="J887" s="1" t="inlineStr">
        <is>
          <t>NGUYEN TRUONG AN MBVCB.10750062283.544421.NGUYEN TRU ONG AN 25808200002. LNH0925ND01. 03 98177237.CT tu 9398177237 NGUYEN TR UONG AN toi 0521043748045 HUTECH tai ABBANK TAI Vietcombank</t>
        </is>
      </c>
    </row>
    <row r="888">
      <c r="A888" s="1" t="inlineStr">
        <is>
          <t>03-Sep-25</t>
        </is>
      </c>
      <c r="B888" s="1" t="inlineStr">
        <is>
          <t>I61465</t>
        </is>
      </c>
      <c r="C888" s="1" t="inlineStr">
        <is>
          <t>25802800160</t>
        </is>
      </c>
      <c r="D888" s="1" t="inlineStr">
        <is>
          <t>Cao Nguyeãn Yeán</t>
        </is>
      </c>
      <c r="E888" s="1" t="inlineStr">
        <is>
          <t>Ngoïc</t>
        </is>
      </c>
      <c r="F888" s="1" t="inlineStr">
        <is>
          <t>05-Jan-07</t>
        </is>
      </c>
      <c r="G888" s="1" t="inlineStr">
        <is>
          <t>LNH0925ND01</t>
        </is>
      </c>
      <c r="H888" s="1" t="inlineStr">
        <is>
          <t>09AV Giao tiep QT (TS)</t>
        </is>
      </c>
      <c r="I888" s="1" t="n">
        <v>7415000</v>
      </c>
      <c r="J888" s="1" t="inlineStr">
        <is>
          <t>MBBANK IBFT CAO NGUYEN YEN NGOC MA SV2580280016 0 LNH0925ND01 SDT 0707525858lop hoc 246 TAI IBT-MB                   HANOI</t>
        </is>
      </c>
    </row>
    <row r="889">
      <c r="A889" s="1" t="inlineStr">
        <is>
          <t>03-Sep-25</t>
        </is>
      </c>
      <c r="B889" s="1" t="inlineStr">
        <is>
          <t>I61466</t>
        </is>
      </c>
      <c r="C889" s="39" t="inlineStr">
        <is>
          <t>25807500177</t>
        </is>
      </c>
      <c r="D889" s="1" t="inlineStr">
        <is>
          <t>Nguyeãn Huyønh Nhö</t>
        </is>
      </c>
      <c r="E889" s="1" t="inlineStr">
        <is>
          <t>YÙ</t>
        </is>
      </c>
      <c r="F889" s="1" t="inlineStr">
        <is>
          <t>25-Jun-07</t>
        </is>
      </c>
      <c r="G889" s="1" t="inlineStr">
        <is>
          <t>LNH0925ND01</t>
        </is>
      </c>
      <c r="H889" s="1" t="inlineStr">
        <is>
          <t>09AV Giao tiep QT (TS)</t>
        </is>
      </c>
      <c r="I889" s="1" t="n">
        <v>7415000</v>
      </c>
      <c r="J889" s="1" t="inlineStr">
        <is>
          <t>MBBANK IBFT Nguyen Huynh Nhu Y 25807500177 LNH0 925ND010818630807 TAI IBT-MB                   HANOI</t>
        </is>
      </c>
    </row>
    <row r="890">
      <c r="A890" s="1" t="inlineStr">
        <is>
          <t>03-Sep-25</t>
        </is>
      </c>
      <c r="B890" s="1" t="inlineStr">
        <is>
          <t>I61467</t>
        </is>
      </c>
      <c r="C890" s="1" t="inlineStr">
        <is>
          <t>25808300040</t>
        </is>
      </c>
      <c r="D890" s="1" t="inlineStr">
        <is>
          <t>Cao Chung Thaùi</t>
        </is>
      </c>
      <c r="E890" s="1" t="inlineStr">
        <is>
          <t>Sôn</t>
        </is>
      </c>
      <c r="F890" s="1" t="inlineStr">
        <is>
          <t>01-Jan-03</t>
        </is>
      </c>
      <c r="G890" s="1" t="inlineStr">
        <is>
          <t>LNH0925ND01</t>
        </is>
      </c>
      <c r="H890" s="1" t="inlineStr">
        <is>
          <t>09AV Giao tiep QT (TS)</t>
        </is>
      </c>
      <c r="I890" s="1" t="n">
        <v>7415000</v>
      </c>
      <c r="J890" s="1" t="inlineStr">
        <is>
          <t>CHUNG THI THUY HA MBVCB.10756901206.249526.CAO CHUNG THAI SON 25808300040 LNH0925ND01 09 14221889.CT tu 0431000215889 CHUNG THI THUY HA toi 0521043748045 HUTECH tai ABBANK TAI Vietcombank</t>
        </is>
      </c>
    </row>
    <row r="891">
      <c r="A891" s="1" t="inlineStr">
        <is>
          <t>03-Sep-25</t>
        </is>
      </c>
      <c r="B891" s="1" t="inlineStr">
        <is>
          <t>I61468</t>
        </is>
      </c>
      <c r="C891" s="1" t="inlineStr">
        <is>
          <t>25801800021</t>
        </is>
      </c>
      <c r="D891" s="1" t="inlineStr">
        <is>
          <t>Voõ Thaûo</t>
        </is>
      </c>
      <c r="E891" s="1" t="inlineStr">
        <is>
          <t>Huyeàn</t>
        </is>
      </c>
      <c r="F891" s="1" t="inlineStr">
        <is>
          <t>03-Dec-05</t>
        </is>
      </c>
      <c r="G891" s="1" t="inlineStr">
        <is>
          <t>LNH0925ND01</t>
        </is>
      </c>
      <c r="H891" s="1" t="inlineStr">
        <is>
          <t>09AV Giao tiep QT (TS)</t>
        </is>
      </c>
      <c r="I891" s="1" t="n">
        <v>7415000</v>
      </c>
      <c r="J891" s="1" t="inlineStr">
        <is>
          <t>VO THANH LONG ABBank 0521043748045 VO THAO HUYEN CHUYEN TIEN KHOA HOC TIENG ANH  258 01800021 TAI Agribank</t>
        </is>
      </c>
    </row>
    <row r="892">
      <c r="A892" s="1" t="inlineStr">
        <is>
          <t>03-Sep-25</t>
        </is>
      </c>
      <c r="B892" s="1" t="inlineStr">
        <is>
          <t>I61469</t>
        </is>
      </c>
      <c r="C892" s="1" t="inlineStr">
        <is>
          <t>25807800050</t>
        </is>
      </c>
      <c r="D892" s="1" t="inlineStr">
        <is>
          <t>Voõ Löông Nhaät</t>
        </is>
      </c>
      <c r="E892" s="1" t="inlineStr">
        <is>
          <t>Hoaøng</t>
        </is>
      </c>
      <c r="F892" s="1" t="inlineStr">
        <is>
          <t>25-Jun-07</t>
        </is>
      </c>
      <c r="G892" s="1" t="inlineStr">
        <is>
          <t>LNH0925ND01</t>
        </is>
      </c>
      <c r="H892" s="1" t="inlineStr">
        <is>
          <t>09AV Giao tiep QT (TS)</t>
        </is>
      </c>
      <c r="I892" s="1" t="n">
        <v>7415000</v>
      </c>
      <c r="J892" s="1" t="inlineStr">
        <is>
          <t>MBBANK IBFT Vo Luong Nhat Hoang mssv 2580780005 0 sdt 0377272539 ma dong tien LNH09 25ND01 lop 246 TAI IBT-MB                   HANOI</t>
        </is>
      </c>
    </row>
    <row r="893">
      <c r="A893" s="1" t="inlineStr">
        <is>
          <t>03-Sep-25</t>
        </is>
      </c>
      <c r="B893" s="1" t="inlineStr">
        <is>
          <t>I61470</t>
        </is>
      </c>
      <c r="C893" s="1" t="inlineStr">
        <is>
          <t>25802800300</t>
        </is>
      </c>
      <c r="D893" s="1" t="inlineStr">
        <is>
          <t>Traàn Nguyeãn Phöông</t>
        </is>
      </c>
      <c r="E893" s="1" t="inlineStr">
        <is>
          <t>Vy</t>
        </is>
      </c>
      <c r="F893" s="1" t="inlineStr">
        <is>
          <t>24-May-07</t>
        </is>
      </c>
      <c r="G893" s="1" t="inlineStr">
        <is>
          <t>LNH0925ND01</t>
        </is>
      </c>
      <c r="H893" s="1" t="inlineStr">
        <is>
          <t>09AV Giao tiep QT (TS)</t>
        </is>
      </c>
      <c r="I893" s="1" t="n">
        <v>7415000</v>
      </c>
      <c r="J893" s="1" t="inlineStr">
        <is>
          <t>NGUYEN THI MAI PHUONG Tran Nguyen Phuong Vy  25802800300 LNH0925ND01  0396782405 TAI VietinBank</t>
        </is>
      </c>
    </row>
    <row r="894">
      <c r="A894" s="1" t="inlineStr">
        <is>
          <t>03-Sep-25</t>
        </is>
      </c>
      <c r="B894" s="1" t="inlineStr">
        <is>
          <t>I61471</t>
        </is>
      </c>
      <c r="C894" s="1" t="inlineStr">
        <is>
          <t>25807500001</t>
        </is>
      </c>
      <c r="D894" s="1" t="inlineStr">
        <is>
          <t>Ñoaøn Ngoïc Hoaøi</t>
        </is>
      </c>
      <c r="E894" s="1" t="inlineStr">
        <is>
          <t>An</t>
        </is>
      </c>
      <c r="F894" s="1" t="inlineStr">
        <is>
          <t>14-Oct-07</t>
        </is>
      </c>
      <c r="G894" s="1" t="inlineStr">
        <is>
          <t>LNH0925ND01</t>
        </is>
      </c>
      <c r="H894" s="1" t="inlineStr">
        <is>
          <t>09AV Giao tiep QT (TS)</t>
        </is>
      </c>
      <c r="I894" s="1" t="n">
        <v>7415000</v>
      </c>
      <c r="J894" s="1" t="inlineStr">
        <is>
          <t>DUONG THI THIN ABBank 0521043748045 Doan ngoc hoai an ma sinh vien 25807500001 TAI Agribank</t>
        </is>
      </c>
    </row>
    <row r="895">
      <c r="A895" s="1" t="inlineStr">
        <is>
          <t>03-Sep-25</t>
        </is>
      </c>
      <c r="B895" s="1" t="inlineStr">
        <is>
          <t>I61472</t>
        </is>
      </c>
      <c r="C895" s="1" t="inlineStr">
        <is>
          <t>25803000304</t>
        </is>
      </c>
      <c r="D895" s="1" t="inlineStr">
        <is>
          <t>Nguyeãn Thò Thuøy</t>
        </is>
      </c>
      <c r="E895" s="1" t="inlineStr">
        <is>
          <t>Linh</t>
        </is>
      </c>
      <c r="F895" s="1" t="inlineStr">
        <is>
          <t>09-Mar-07</t>
        </is>
      </c>
      <c r="G895" s="1" t="inlineStr">
        <is>
          <t>LNH0925ND01</t>
        </is>
      </c>
      <c r="H895" s="1" t="inlineStr">
        <is>
          <t>09AV Giao tiep QT (TS)</t>
        </is>
      </c>
      <c r="I895" s="1" t="n">
        <v>7415000</v>
      </c>
      <c r="J895" s="1" t="inlineStr">
        <is>
          <t>MBBANK IBFT Nguyen Thi Thuy Linh 25803000304  L NH0925ND01 sdt 0339317030bo sung ti en lop av con thieu TAI IBT-MB                   HANOI</t>
        </is>
      </c>
    </row>
    <row r="896">
      <c r="A896" s="1" t="inlineStr">
        <is>
          <t>03-Sep-25</t>
        </is>
      </c>
      <c r="B896" s="1" t="inlineStr">
        <is>
          <t>I61473</t>
        </is>
      </c>
      <c r="C896" s="1" t="inlineStr">
        <is>
          <t>25808200147</t>
        </is>
      </c>
      <c r="D896" s="1" t="inlineStr">
        <is>
          <t>Nguyeãn Anh</t>
        </is>
      </c>
      <c r="E896" s="1" t="inlineStr">
        <is>
          <t>Vuõ</t>
        </is>
      </c>
      <c r="F896" s="1" t="inlineStr">
        <is>
          <t>22-Nov-07</t>
        </is>
      </c>
      <c r="G896" s="1" t="inlineStr">
        <is>
          <t>LNH0925ND01</t>
        </is>
      </c>
      <c r="H896" s="1" t="inlineStr">
        <is>
          <t>09AV Giao tiep QT (TS)</t>
        </is>
      </c>
      <c r="I896" s="1" t="n">
        <v>7415000</v>
      </c>
      <c r="J896" s="1" t="inlineStr">
        <is>
          <t>NGUYEN ANH VU QR - NGUYEN ANH VU 25808200147 LNH0 925ND01 0908775521 TAI VietinBank</t>
        </is>
      </c>
    </row>
    <row r="897">
      <c r="A897" s="1" t="inlineStr">
        <is>
          <t>03-Sep-25</t>
        </is>
      </c>
      <c r="B897" s="1" t="inlineStr">
        <is>
          <t>I61474</t>
        </is>
      </c>
      <c r="C897" s="1" t="inlineStr">
        <is>
          <t>25807900049</t>
        </is>
      </c>
      <c r="D897" s="1" t="inlineStr">
        <is>
          <t>Traàn Höõu</t>
        </is>
      </c>
      <c r="E897" s="1" t="inlineStr">
        <is>
          <t>Thaønh</t>
        </is>
      </c>
      <c r="F897" s="1" t="inlineStr">
        <is>
          <t>21-Feb-07</t>
        </is>
      </c>
      <c r="G897" s="1" t="inlineStr">
        <is>
          <t>LNH0925ND01</t>
        </is>
      </c>
      <c r="H897" s="1" t="inlineStr">
        <is>
          <t>09AV Giao tiep QT (TS)</t>
        </is>
      </c>
      <c r="I897" s="1" t="n">
        <v>7415000</v>
      </c>
      <c r="J897" s="1" t="inlineStr">
        <is>
          <t>MBBANK IBFT Tran Huu Thanh25807900049LNH0925ND0 10919941905 TAI IBT-MB                   HANOI</t>
        </is>
      </c>
    </row>
    <row r="898">
      <c r="A898" s="1" t="inlineStr">
        <is>
          <t>03-Sep-25</t>
        </is>
      </c>
      <c r="B898" s="1" t="inlineStr">
        <is>
          <t>I61475</t>
        </is>
      </c>
      <c r="C898" s="1" t="inlineStr">
        <is>
          <t>25808700161</t>
        </is>
      </c>
      <c r="D898" s="1" t="inlineStr">
        <is>
          <t>An Trang Vaøng</t>
        </is>
      </c>
      <c r="E898" s="1" t="inlineStr">
        <is>
          <t>Anh</t>
        </is>
      </c>
      <c r="F898" s="1" t="inlineStr">
        <is>
          <t>15-Nov-07</t>
        </is>
      </c>
      <c r="G898" s="1" t="inlineStr">
        <is>
          <t>LNH0925ND01</t>
        </is>
      </c>
      <c r="H898" s="1" t="inlineStr">
        <is>
          <t>09AV Giao tiep QT (TS)</t>
        </is>
      </c>
      <c r="I898" s="1" t="n">
        <v>7415000</v>
      </c>
      <c r="J898" s="1" t="inlineStr">
        <is>
          <t>AN THI KIM LIEN ABBank 0521043748045 An Trang Vang Anh  25808700161  LNH0925ND01 03373 74820 TAI Agribank</t>
        </is>
      </c>
    </row>
    <row r="899">
      <c r="A899" s="1" t="inlineStr">
        <is>
          <t>03-Sep-25</t>
        </is>
      </c>
      <c r="B899" s="1" t="inlineStr">
        <is>
          <t>I61476</t>
        </is>
      </c>
      <c r="C899" s="1" t="inlineStr">
        <is>
          <t>25820500001</t>
        </is>
      </c>
      <c r="D899" s="1" t="inlineStr">
        <is>
          <t>Buøi Duy</t>
        </is>
      </c>
      <c r="E899" s="1" t="inlineStr">
        <is>
          <t>Baûo</t>
        </is>
      </c>
      <c r="F899" s="1" t="inlineStr">
        <is>
          <t>28-Jul-07</t>
        </is>
      </c>
      <c r="G899" s="1" t="inlineStr">
        <is>
          <t>LNH0925ND01</t>
        </is>
      </c>
      <c r="H899" s="1" t="inlineStr">
        <is>
          <t>09AV Giao tiep QT (TS)</t>
        </is>
      </c>
      <c r="I899" s="1" t="n">
        <v>7415000</v>
      </c>
      <c r="J899" s="1" t="inlineStr">
        <is>
          <t>MBBANK IBFT Bui Duy Bao 25820500001 LNH0925ND01 0857296421 TAI IBT-MB                   HANOI</t>
        </is>
      </c>
    </row>
    <row r="900">
      <c r="A900" s="1" t="inlineStr">
        <is>
          <t>03-Sep-25</t>
        </is>
      </c>
      <c r="B900" s="1" t="inlineStr">
        <is>
          <t>I61477</t>
        </is>
      </c>
      <c r="C900" s="1" t="inlineStr">
        <is>
          <t>25820300020</t>
        </is>
      </c>
      <c r="D900" s="1" t="inlineStr">
        <is>
          <t>Nguyeãn</t>
        </is>
      </c>
      <c r="E900" s="1" t="inlineStr">
        <is>
          <t>Huyønh</t>
        </is>
      </c>
      <c r="F900" s="1" t="inlineStr">
        <is>
          <t>14-May-07</t>
        </is>
      </c>
      <c r="G900" s="1" t="inlineStr">
        <is>
          <t>LNH0925ND01</t>
        </is>
      </c>
      <c r="H900" s="1" t="inlineStr">
        <is>
          <t>09AV Giao tiep QT (TS)</t>
        </is>
      </c>
      <c r="I900" s="1" t="n">
        <v>7415000</v>
      </c>
      <c r="J900" s="1" t="inlineStr">
        <is>
          <t>NGUYEN VAN PHUC NGUYEN HUYNH  25820300020  LNH0925N D01  0819826775 TAI IBT BIDV                 HANOI</t>
        </is>
      </c>
    </row>
    <row r="901">
      <c r="A901" s="1" t="inlineStr">
        <is>
          <t>03-Sep-25</t>
        </is>
      </c>
      <c r="B901" s="1" t="inlineStr">
        <is>
          <t>I61478</t>
        </is>
      </c>
      <c r="C901" s="1" t="inlineStr">
        <is>
          <t>25808500024</t>
        </is>
      </c>
      <c r="D901" s="1" t="inlineStr">
        <is>
          <t>Ñinh Nguyeãn Gia</t>
        </is>
      </c>
      <c r="E901" s="1" t="inlineStr">
        <is>
          <t>Baûo</t>
        </is>
      </c>
      <c r="F901" s="1" t="inlineStr">
        <is>
          <t>07-Dec-06</t>
        </is>
      </c>
      <c r="G901" s="1" t="inlineStr">
        <is>
          <t>LNH0925ND01</t>
        </is>
      </c>
      <c r="H901" s="1" t="inlineStr">
        <is>
          <t>09AV Giao tiep QT (TS)</t>
        </is>
      </c>
      <c r="I901" s="1" t="n">
        <v>7415000</v>
      </c>
      <c r="J901" s="1" t="inlineStr">
        <is>
          <t>NGUYEN TRUNG NGHIA DINH NGUYEN GIA BAO  25808500024  L NH0925ND01  0795794789 TAI VietinBank</t>
        </is>
      </c>
    </row>
    <row r="902">
      <c r="A902" s="1" t="inlineStr">
        <is>
          <t>03-Sep-25</t>
        </is>
      </c>
      <c r="B902" s="1" t="inlineStr">
        <is>
          <t>I61479</t>
        </is>
      </c>
      <c r="C902" s="1" t="inlineStr">
        <is>
          <t>25808900053</t>
        </is>
      </c>
      <c r="D902" s="1" t="inlineStr">
        <is>
          <t>Nguyeãn Tuaán</t>
        </is>
      </c>
      <c r="E902" s="1" t="inlineStr">
        <is>
          <t>Khang</t>
        </is>
      </c>
      <c r="F902" s="1" t="inlineStr">
        <is>
          <t>25-Jun-07</t>
        </is>
      </c>
      <c r="G902" s="1" t="inlineStr">
        <is>
          <t>LNH0925ND01</t>
        </is>
      </c>
      <c r="H902" s="1" t="inlineStr">
        <is>
          <t>09AV Giao tiep QT (TS)</t>
        </is>
      </c>
      <c r="I902" s="1" t="n">
        <v>7415000</v>
      </c>
      <c r="J902" s="1" t="inlineStr">
        <is>
          <t>MBBANK IBFT NGUYEN TUAN KHANG25808900053LNH0925 ND010773055011 TAI IBT-MB                   HANOI</t>
        </is>
      </c>
    </row>
    <row r="903">
      <c r="A903" s="1" t="inlineStr">
        <is>
          <t>03-Sep-25</t>
        </is>
      </c>
      <c r="B903" s="1" t="inlineStr">
        <is>
          <t>I61480</t>
        </is>
      </c>
      <c r="C903" s="1" t="inlineStr">
        <is>
          <t>25802800133</t>
        </is>
      </c>
      <c r="D903" s="1" t="inlineStr">
        <is>
          <t>Ñoã Leâ Thanh</t>
        </is>
      </c>
      <c r="E903" s="1" t="inlineStr">
        <is>
          <t>Loan</t>
        </is>
      </c>
      <c r="F903" s="1" t="inlineStr">
        <is>
          <t>30-Mar-07</t>
        </is>
      </c>
      <c r="G903" s="1" t="inlineStr">
        <is>
          <t>LNH0925ND01</t>
        </is>
      </c>
      <c r="H903" s="1" t="inlineStr">
        <is>
          <t>09AV Giao tiep QT (TS)</t>
        </is>
      </c>
      <c r="I903" s="1" t="n">
        <v>7415000</v>
      </c>
      <c r="J903" s="1" t="inlineStr">
        <is>
          <t>DO THI THANH VY Do Le Thanh Loan-25802800133-LNH092 5ND01-0585807947 TAI IBT VPB EBANKING         HANOI</t>
        </is>
      </c>
    </row>
    <row r="904">
      <c r="A904" s="1" t="inlineStr">
        <is>
          <t>03-Sep-25</t>
        </is>
      </c>
      <c r="B904" s="1" t="inlineStr">
        <is>
          <t>I61481</t>
        </is>
      </c>
      <c r="C904" s="1" t="inlineStr">
        <is>
          <t>25820200008</t>
        </is>
      </c>
      <c r="D904" s="1" t="inlineStr">
        <is>
          <t>Huyønh Phuù</t>
        </is>
      </c>
      <c r="E904" s="1" t="inlineStr">
        <is>
          <t>Cöôøng</t>
        </is>
      </c>
      <c r="F904" s="1" t="inlineStr">
        <is>
          <t>06-Dec-07</t>
        </is>
      </c>
      <c r="G904" s="1" t="inlineStr">
        <is>
          <t>LNH0925ND01</t>
        </is>
      </c>
      <c r="H904" s="1" t="inlineStr">
        <is>
          <t>09AV Giao tiep QT (TS)</t>
        </is>
      </c>
      <c r="I904" s="1" t="n">
        <v>7415000</v>
      </c>
      <c r="J904" s="1" t="inlineStr">
        <is>
          <t>TRAN THI THANH MAI QR - Huynh Phu Cuong 25820200008 LN H0925ND01 0358727571 TAI VietinBank</t>
        </is>
      </c>
    </row>
    <row r="905">
      <c r="A905" s="1" t="inlineStr">
        <is>
          <t>03-Sep-25</t>
        </is>
      </c>
      <c r="B905" s="1" t="inlineStr">
        <is>
          <t>I61482</t>
        </is>
      </c>
      <c r="C905" s="1" t="inlineStr">
        <is>
          <t>25808600065</t>
        </is>
      </c>
      <c r="D905" s="1" t="inlineStr">
        <is>
          <t>Nguyeãn Traø</t>
        </is>
      </c>
      <c r="E905" s="1" t="inlineStr">
        <is>
          <t>My</t>
        </is>
      </c>
      <c r="F905" s="1" t="inlineStr">
        <is>
          <t>13-May-07</t>
        </is>
      </c>
      <c r="G905" s="1" t="inlineStr">
        <is>
          <t>LNH0925ND01</t>
        </is>
      </c>
      <c r="H905" s="1" t="inlineStr">
        <is>
          <t>09AV Giao tiep QT (TS)</t>
        </is>
      </c>
      <c r="I905" s="1" t="n">
        <v>7415000</v>
      </c>
      <c r="J905" s="1" t="inlineStr">
        <is>
          <t>NGUYEN THE HAI ABBank 0521043748045 NGUYEN THE HAI chuyen tien Nguyen Tra My 25808600 065  25DTQA1  0344692585 TAI Agribank</t>
        </is>
      </c>
    </row>
    <row r="906">
      <c r="A906" s="1" t="inlineStr">
        <is>
          <t>03-Sep-25</t>
        </is>
      </c>
      <c r="B906" s="1" t="inlineStr">
        <is>
          <t>I61483</t>
        </is>
      </c>
      <c r="C906" s="1" t="inlineStr">
        <is>
          <t>25802800055</t>
        </is>
      </c>
      <c r="D906" s="1" t="inlineStr">
        <is>
          <t>Nguyeãn Xuaân Hoaøng</t>
        </is>
      </c>
      <c r="E906" s="1" t="inlineStr">
        <is>
          <t>Haø</t>
        </is>
      </c>
      <c r="F906" s="1" t="inlineStr">
        <is>
          <t>04-Jun-07</t>
        </is>
      </c>
      <c r="G906" s="1" t="inlineStr">
        <is>
          <t>LNH0925ND01</t>
        </is>
      </c>
      <c r="H906" s="1" t="inlineStr">
        <is>
          <t>09AV Giao tiep QT (TS)</t>
        </is>
      </c>
      <c r="I906" s="1" t="n">
        <v>7415000</v>
      </c>
      <c r="J906" s="1" t="inlineStr">
        <is>
          <t>HOANG THI NGUYET MBVCB.10779865662.677763.Nguyen Xua n Hoang Ha  25802800055  LNH0925ND0 1  0362840507.CT tu 0071004421748 H OANG THI NGUYET toi 0521043748045 HUTECH tai ABBANK TAI Vietcombank</t>
        </is>
      </c>
    </row>
    <row r="907">
      <c r="A907" s="1" t="inlineStr">
        <is>
          <t>03-Sep-25</t>
        </is>
      </c>
      <c r="B907" s="1" t="inlineStr">
        <is>
          <t>I61484</t>
        </is>
      </c>
      <c r="C907" s="1" t="inlineStr">
        <is>
          <t>25807500151</t>
        </is>
      </c>
      <c r="D907" s="1" t="inlineStr">
        <is>
          <t>Nguyeãn Phaïm Hoaøng</t>
        </is>
      </c>
      <c r="E907" s="1" t="inlineStr">
        <is>
          <t>Trung</t>
        </is>
      </c>
      <c r="F907" s="1" t="inlineStr">
        <is>
          <t>22-Jan-07</t>
        </is>
      </c>
      <c r="G907" s="1" t="inlineStr">
        <is>
          <t>LNH0925ND01</t>
        </is>
      </c>
      <c r="H907" s="1" t="inlineStr">
        <is>
          <t>09AV Giao tiep QT (TS)</t>
        </is>
      </c>
      <c r="I907" s="1" t="n">
        <v>7415000</v>
      </c>
      <c r="J907" s="1" t="inlineStr">
        <is>
          <t>NGUYEN PHAM HOANG TRUNG MBVCB.10780000504.770287.NGUYEN PHA M HOANG TRUNG 25807500151 LNH0925ND 01.CT tu 1054599326 NGUYEN PHAM HOA NG TRUNG toi 0521043748045 HUTECH tai ABBANK TAI Vietcombank</t>
        </is>
      </c>
    </row>
    <row r="908">
      <c r="A908" s="1" t="inlineStr">
        <is>
          <t>03-Sep-25</t>
        </is>
      </c>
      <c r="B908" s="1" t="inlineStr">
        <is>
          <t>I61485</t>
        </is>
      </c>
      <c r="C908" s="1" t="inlineStr">
        <is>
          <t>25807500079</t>
        </is>
      </c>
      <c r="D908" s="1" t="inlineStr">
        <is>
          <t>Leâ Thaûo Haïnh</t>
        </is>
      </c>
      <c r="E908" s="1" t="inlineStr">
        <is>
          <t>Nguyeân</t>
        </is>
      </c>
      <c r="F908" s="1" t="inlineStr">
        <is>
          <t>23-Dec-07</t>
        </is>
      </c>
      <c r="G908" s="1" t="inlineStr">
        <is>
          <t>LNH0925ND01</t>
        </is>
      </c>
      <c r="H908" s="1" t="inlineStr">
        <is>
          <t>09AV Giao tiep QT (TS)</t>
        </is>
      </c>
      <c r="I908" s="1" t="n">
        <v>7415000</v>
      </c>
      <c r="J908" s="1" t="inlineStr">
        <is>
          <t>MBBANK IBFT Le Thao Hanh Nguyen 25807500079 LNH 0925ND01 0823161178 TAI IBT-MB                   HANOI</t>
        </is>
      </c>
    </row>
    <row r="909">
      <c r="A909" s="1" t="inlineStr">
        <is>
          <t>03-Sep-25</t>
        </is>
      </c>
      <c r="B909" s="1" t="inlineStr">
        <is>
          <t>I61486</t>
        </is>
      </c>
      <c r="C909" s="1" t="inlineStr">
        <is>
          <t>25820200064</t>
        </is>
      </c>
      <c r="D909" s="1" t="inlineStr">
        <is>
          <t>Ngoâ Maïnh</t>
        </is>
      </c>
      <c r="E909" s="1" t="inlineStr">
        <is>
          <t>Tuaán</t>
        </is>
      </c>
      <c r="F909" s="1" t="inlineStr">
        <is>
          <t>17-Jan-07</t>
        </is>
      </c>
      <c r="G909" s="1" t="inlineStr">
        <is>
          <t>LNH0925ND01</t>
        </is>
      </c>
      <c r="H909" s="1" t="inlineStr">
        <is>
          <t>09AV Giao tiep QT (TS)</t>
        </is>
      </c>
      <c r="I909" s="1" t="n">
        <v>7415000</v>
      </c>
      <c r="J909" s="1" t="inlineStr">
        <is>
          <t>NGO MANH TUAN NGO MANH TUAN 25820200064 LNH0925ND 01 0913123103 TAI Timo                   412 NTMK</t>
        </is>
      </c>
    </row>
    <row r="910">
      <c r="A910" s="1" t="inlineStr">
        <is>
          <t>03-Sep-25</t>
        </is>
      </c>
      <c r="B910" s="1" t="inlineStr">
        <is>
          <t>I61487</t>
        </is>
      </c>
      <c r="C910" s="1" t="inlineStr">
        <is>
          <t>25802800177</t>
        </is>
      </c>
      <c r="D910" s="1" t="inlineStr">
        <is>
          <t>Toâ Ñöùc</t>
        </is>
      </c>
      <c r="E910" s="1" t="inlineStr">
        <is>
          <t>Nguyeân</t>
        </is>
      </c>
      <c r="F910" s="1" t="inlineStr">
        <is>
          <t>21-Jan-07</t>
        </is>
      </c>
      <c r="G910" s="1" t="inlineStr">
        <is>
          <t>LNH0925ND01</t>
        </is>
      </c>
      <c r="H910" s="1" t="inlineStr">
        <is>
          <t>09AV Giao tiep QT (TS)</t>
        </is>
      </c>
      <c r="I910" s="1" t="n">
        <v>7415000</v>
      </c>
      <c r="J910" s="1" t="inlineStr">
        <is>
          <t>TO DUC NGUYEN ABBank 0521043748045 TO DUC NGUYEN 25802800177 LNH0925ND01 0822072101 TAI Agribank</t>
        </is>
      </c>
    </row>
    <row r="911">
      <c r="A911" s="1" t="inlineStr">
        <is>
          <t>03-Sep-25</t>
        </is>
      </c>
      <c r="B911" s="1" t="inlineStr">
        <is>
          <t>I61488</t>
        </is>
      </c>
      <c r="C911" s="1" t="inlineStr">
        <is>
          <t>25808900060</t>
        </is>
      </c>
      <c r="D911" s="1" t="inlineStr">
        <is>
          <t>Vuõ Minh</t>
        </is>
      </c>
      <c r="E911" s="1" t="inlineStr">
        <is>
          <t>Khoâi</t>
        </is>
      </c>
      <c r="F911" s="1" t="inlineStr">
        <is>
          <t>20-Mar-07</t>
        </is>
      </c>
      <c r="G911" s="1" t="inlineStr">
        <is>
          <t>LNH0925ND01</t>
        </is>
      </c>
      <c r="H911" s="1" t="inlineStr">
        <is>
          <t>09AV Giao tiep QT (TS)</t>
        </is>
      </c>
      <c r="I911" s="1" t="n">
        <v>7415000</v>
      </c>
      <c r="J911" s="1" t="inlineStr">
        <is>
          <t>MBBANK IBFT Vu Minh Khoi25808900060 LNH0925ND01 0767025334 TAI IBT-MB                   HANOI</t>
        </is>
      </c>
    </row>
    <row r="912">
      <c r="A912" s="1" t="inlineStr">
        <is>
          <t>03-Sep-25</t>
        </is>
      </c>
      <c r="B912" s="1" t="inlineStr">
        <is>
          <t>I61489</t>
        </is>
      </c>
      <c r="C912" s="1" t="inlineStr">
        <is>
          <t>25820200133</t>
        </is>
      </c>
      <c r="D912" s="1" t="inlineStr">
        <is>
          <t>Nguyeãn Quang</t>
        </is>
      </c>
      <c r="E912" s="1" t="inlineStr">
        <is>
          <t>Ñaïi</t>
        </is>
      </c>
      <c r="F912" s="1" t="inlineStr">
        <is>
          <t>17-Apr-07</t>
        </is>
      </c>
      <c r="G912" s="1" t="inlineStr">
        <is>
          <t>LNH0925ND01</t>
        </is>
      </c>
      <c r="H912" s="1" t="inlineStr">
        <is>
          <t>09AV Giao tiep QT (TS)</t>
        </is>
      </c>
      <c r="I912" s="1" t="n">
        <v>7415000</v>
      </c>
      <c r="J912" s="1" t="inlineStr">
        <is>
          <t>NGUYEN QUANG DAI MBVCB.10783239762.934130.NGUYEN QUA NG DAI 25820200133 LNH0925ND01 0339 652519.CT tu 1042104441 NGUYEN QUAN G DAI toi 0521043748045 HUTECH taiABBANK TAI Vietcombank</t>
        </is>
      </c>
    </row>
    <row r="913">
      <c r="A913" s="1" t="inlineStr">
        <is>
          <t>03-Sep-25</t>
        </is>
      </c>
      <c r="B913" s="1" t="inlineStr">
        <is>
          <t>I61490</t>
        </is>
      </c>
      <c r="C913" s="1" t="inlineStr">
        <is>
          <t>25800500075</t>
        </is>
      </c>
      <c r="D913" s="1" t="inlineStr">
        <is>
          <t>Leâ Troïng</t>
        </is>
      </c>
      <c r="E913" s="1" t="inlineStr">
        <is>
          <t>Kha</t>
        </is>
      </c>
      <c r="F913" s="1" t="inlineStr">
        <is>
          <t>23-Jun-07</t>
        </is>
      </c>
      <c r="G913" s="1" t="inlineStr">
        <is>
          <t>LNH0925ND01</t>
        </is>
      </c>
      <c r="H913" s="1" t="inlineStr">
        <is>
          <t>09AV Giao tiep QT (TS)</t>
        </is>
      </c>
      <c r="I913" s="1" t="n">
        <v>7415000</v>
      </c>
      <c r="J913" s="1" t="inlineStr">
        <is>
          <t>LE TRONG KHA LE TRONG KHA  25800500075 TAI IBT BIDV                 HANOI</t>
        </is>
      </c>
    </row>
    <row r="914">
      <c r="A914" s="1" t="inlineStr">
        <is>
          <t>03-Sep-25</t>
        </is>
      </c>
      <c r="B914" s="1" t="inlineStr">
        <is>
          <t>I61491</t>
        </is>
      </c>
      <c r="C914" s="1" t="inlineStr">
        <is>
          <t>25802300384</t>
        </is>
      </c>
      <c r="D914" s="1" t="inlineStr">
        <is>
          <t>Mai Thieân</t>
        </is>
      </c>
      <c r="E914" s="1" t="inlineStr">
        <is>
          <t>Taán</t>
        </is>
      </c>
      <c r="F914" s="1" t="inlineStr">
        <is>
          <t>22-Oct-07</t>
        </is>
      </c>
      <c r="G914" s="1" t="inlineStr">
        <is>
          <t>LNH0925ND01</t>
        </is>
      </c>
      <c r="H914" s="1" t="inlineStr">
        <is>
          <t>09AV Giao tiep QT (TS)</t>
        </is>
      </c>
      <c r="I914" s="1" t="n">
        <v>7415000</v>
      </c>
      <c r="J914" s="1" t="inlineStr">
        <is>
          <t>MBBANK IBFT Mai Thien Tan25802300384LNH0925ND01 0366632135 TAI IBT-MB                   HANOI_x0002_</t>
        </is>
      </c>
    </row>
    <row r="915">
      <c r="A915" s="1" t="inlineStr">
        <is>
          <t>03-Sep-25</t>
        </is>
      </c>
      <c r="B915" s="1" t="inlineStr">
        <is>
          <t>I61492</t>
        </is>
      </c>
      <c r="C915" s="1" t="inlineStr">
        <is>
          <t>25808300103</t>
        </is>
      </c>
      <c r="D915" s="1" t="inlineStr">
        <is>
          <t>Leâ Thò Thuyø</t>
        </is>
      </c>
      <c r="E915" s="1" t="inlineStr">
        <is>
          <t>Dòu</t>
        </is>
      </c>
      <c r="F915" s="1" t="inlineStr">
        <is>
          <t>25-Nov-07</t>
        </is>
      </c>
      <c r="G915" s="1" t="inlineStr">
        <is>
          <t>LNH0925ND01</t>
        </is>
      </c>
      <c r="H915" s="1" t="inlineStr">
        <is>
          <t>09AV Giao tiep QT (TS)</t>
        </is>
      </c>
      <c r="I915" s="1" t="n">
        <v>7415000</v>
      </c>
      <c r="J915" s="1" t="inlineStr">
        <is>
          <t>MBBANK IBFT Le Thi Thuy Diumssv 25808300103LNH0 925ND01sdt 0358468453 TAI IBT-MB                   HANOI</t>
        </is>
      </c>
    </row>
    <row r="916">
      <c r="A916" s="1" t="inlineStr">
        <is>
          <t>03-Sep-25</t>
        </is>
      </c>
      <c r="B916" s="1" t="inlineStr">
        <is>
          <t>I61493</t>
        </is>
      </c>
      <c r="C916" s="1" t="inlineStr">
        <is>
          <t>25801200066</t>
        </is>
      </c>
      <c r="D916" s="1" t="inlineStr">
        <is>
          <t>Leâ Nguyeãn Hoaøi</t>
        </is>
      </c>
      <c r="E916" s="1" t="inlineStr">
        <is>
          <t>Thöông</t>
        </is>
      </c>
      <c r="F916" s="1" t="inlineStr">
        <is>
          <t>30-Aug-07</t>
        </is>
      </c>
      <c r="G916" s="1" t="inlineStr">
        <is>
          <t>LNH0925ND01</t>
        </is>
      </c>
      <c r="H916" s="1" t="inlineStr">
        <is>
          <t>09AV Giao tiep QT (TS)</t>
        </is>
      </c>
      <c r="I916" s="1" t="n">
        <v>7415000</v>
      </c>
      <c r="J916" s="1" t="inlineStr">
        <is>
          <t>MBBANK IBFT LE NGUYEN HOAI THUONG  2501200024 LNH0925ND01  0379206918 TAI IBT-MB                   HANOI</t>
        </is>
      </c>
    </row>
    <row r="917">
      <c r="A917" s="1" t="inlineStr">
        <is>
          <t>03-Sep-25</t>
        </is>
      </c>
      <c r="B917" s="1" t="inlineStr">
        <is>
          <t>I61494</t>
        </is>
      </c>
      <c r="C917" s="1" t="inlineStr">
        <is>
          <t>25808600027</t>
        </is>
      </c>
      <c r="D917" s="1" t="inlineStr">
        <is>
          <t>Leâ Thu Haûi</t>
        </is>
      </c>
      <c r="E917" s="1" t="inlineStr">
        <is>
          <t>Haø</t>
        </is>
      </c>
      <c r="F917" s="1" t="inlineStr">
        <is>
          <t>06-Oct-07</t>
        </is>
      </c>
      <c r="G917" s="1" t="inlineStr">
        <is>
          <t>LNH0925ND01</t>
        </is>
      </c>
      <c r="H917" s="1" t="inlineStr">
        <is>
          <t>09AV Giao tiep QT (TS)</t>
        </is>
      </c>
      <c r="I917" s="1" t="n">
        <v>7540000</v>
      </c>
      <c r="J917" s="1" t="inlineStr">
        <is>
          <t>LE HAI HUY LE THU HAI HA 25808600027 LNH0925ND 01 0906515002 TAI IBT BIDV                 HANOI</t>
        </is>
      </c>
    </row>
    <row r="918">
      <c r="A918" s="1" t="inlineStr">
        <is>
          <t>03-Sep-25</t>
        </is>
      </c>
      <c r="B918" s="1" t="inlineStr">
        <is>
          <t>I61495</t>
        </is>
      </c>
      <c r="C918" s="1" t="inlineStr">
        <is>
          <t>25800600765</t>
        </is>
      </c>
      <c r="D918" s="1" t="inlineStr">
        <is>
          <t>Phan Anh</t>
        </is>
      </c>
      <c r="E918" s="1" t="inlineStr">
        <is>
          <t>Tuaán</t>
        </is>
      </c>
      <c r="F918" s="1" t="inlineStr">
        <is>
          <t>29-Aug-07</t>
        </is>
      </c>
      <c r="G918" s="1" t="inlineStr">
        <is>
          <t>LNH0925ND01</t>
        </is>
      </c>
      <c r="H918" s="1" t="inlineStr">
        <is>
          <t>09AV Giao tiep QT (TS)</t>
        </is>
      </c>
      <c r="I918" s="1" t="n">
        <v>8415000</v>
      </c>
      <c r="J918" s="1" t="inlineStr">
        <is>
          <t>VO KIM HOAI PHAN ANH TUAN 25800600765 LNH0925ND 01 0344066501-310825-08 56 11 04432 8 TAI Ngan hang a chau       IBT SMARLINK</t>
        </is>
      </c>
    </row>
    <row r="919">
      <c r="A919" s="1" t="inlineStr">
        <is>
          <t>03-Sep-25</t>
        </is>
      </c>
      <c r="B919" s="1" t="inlineStr">
        <is>
          <t>I61496</t>
        </is>
      </c>
      <c r="C919" s="1" t="inlineStr">
        <is>
          <t>25808100045</t>
        </is>
      </c>
      <c r="D919" s="1" t="inlineStr">
        <is>
          <t>Nguyeãn Hoaøng</t>
        </is>
      </c>
      <c r="E919" s="1" t="inlineStr">
        <is>
          <t>Quaân</t>
        </is>
      </c>
      <c r="F919" s="1" t="inlineStr">
        <is>
          <t>26-Sep-07</t>
        </is>
      </c>
      <c r="G919" s="1" t="inlineStr">
        <is>
          <t>LNH0925ND01</t>
        </is>
      </c>
      <c r="H919" s="1" t="inlineStr">
        <is>
          <t>09AV Giao tiep QT (TS)</t>
        </is>
      </c>
      <c r="I919" s="1" t="n">
        <v>8415000</v>
      </c>
      <c r="J919" s="1" t="inlineStr">
        <is>
          <t>NGUYEN HOANG QUAN NGUYEN HOANG QUAN  25808100045  LNH 0925ND01  0838032389-310825-11 00 2 9 241187 TAI Ngan hang a chau       IBT SMARLINK</t>
        </is>
      </c>
    </row>
    <row r="920">
      <c r="A920" s="1" t="inlineStr">
        <is>
          <t>03-Sep-25</t>
        </is>
      </c>
      <c r="B920" s="1" t="inlineStr">
        <is>
          <t>I61497</t>
        </is>
      </c>
      <c r="C920" s="1" t="inlineStr">
        <is>
          <t>25808900243</t>
        </is>
      </c>
      <c r="D920" s="1" t="inlineStr">
        <is>
          <t>Ñoã Ngoïc</t>
        </is>
      </c>
      <c r="E920" s="1" t="inlineStr">
        <is>
          <t>An</t>
        </is>
      </c>
      <c r="F920" s="1" t="inlineStr">
        <is>
          <t>06-Nov-07</t>
        </is>
      </c>
      <c r="G920" s="1" t="inlineStr">
        <is>
          <t>LNH0925ND01</t>
        </is>
      </c>
      <c r="H920" s="1" t="inlineStr">
        <is>
          <t>09AV Giao tiep QT (TS)</t>
        </is>
      </c>
      <c r="I920" s="1" t="n">
        <v>8415000</v>
      </c>
      <c r="J920" s="1" t="inlineStr">
        <is>
          <t>MBBANK IBFT Do Ngoc An 25808900243 LNH0925ND01 0972534283 TAI IBT-MB                   HANOI</t>
        </is>
      </c>
    </row>
    <row r="921">
      <c r="A921" s="1" t="inlineStr">
        <is>
          <t>03-Sep-25</t>
        </is>
      </c>
      <c r="B921" s="1" t="inlineStr">
        <is>
          <t>I61498</t>
        </is>
      </c>
      <c r="C921" s="1" t="inlineStr">
        <is>
          <t>25808600014</t>
        </is>
      </c>
      <c r="D921" s="1" t="inlineStr">
        <is>
          <t>Chen Chien</t>
        </is>
      </c>
      <c r="E921" s="1" t="inlineStr">
        <is>
          <t>Chih</t>
        </is>
      </c>
      <c r="F921" s="1" t="inlineStr">
        <is>
          <t>17-May-05</t>
        </is>
      </c>
      <c r="G921" s="1" t="inlineStr">
        <is>
          <t>LNH0925ND01</t>
        </is>
      </c>
      <c r="H921" s="1" t="inlineStr">
        <is>
          <t>09AV Giao tiep QT (TS)</t>
        </is>
      </c>
      <c r="I921" s="1" t="n">
        <v>8415000</v>
      </c>
      <c r="J921" s="1" t="inlineStr">
        <is>
          <t>CHEN CHIEN CHIH QR - CHEN CHIEN CHIH 25808600014 LN H0925ND01 0387229517 TAI VietinBank</t>
        </is>
      </c>
    </row>
    <row r="922">
      <c r="A922" s="1" t="inlineStr">
        <is>
          <t>03-Sep-25</t>
        </is>
      </c>
      <c r="B922" s="1" t="inlineStr">
        <is>
          <t>I61499</t>
        </is>
      </c>
      <c r="C922" s="1" t="inlineStr">
        <is>
          <t>25802800020</t>
        </is>
      </c>
      <c r="D922" s="1" t="inlineStr">
        <is>
          <t>Tröông Nguyeãn Gia</t>
        </is>
      </c>
      <c r="E922" s="1" t="inlineStr">
        <is>
          <t>Baûo</t>
        </is>
      </c>
      <c r="F922" s="1" t="inlineStr">
        <is>
          <t>13-Aug-07</t>
        </is>
      </c>
      <c r="G922" s="1" t="inlineStr">
        <is>
          <t>LNH0925ND01</t>
        </is>
      </c>
      <c r="H922" s="1" t="inlineStr">
        <is>
          <t>09AV Giao tiep QT (TS)</t>
        </is>
      </c>
      <c r="I922" s="1" t="n">
        <v>8415000</v>
      </c>
      <c r="J922" s="1" t="inlineStr">
        <is>
          <t>NGUYEN THI NGOC CHI TRUONG NGUYEN GIA BAO 25802800020 L NH0925ND01 0765658922 2-4-6 TAI IBT SMARTLINK            HANOI</t>
        </is>
      </c>
    </row>
    <row r="923">
      <c r="A923" s="1" t="inlineStr">
        <is>
          <t>04-Sep-25</t>
        </is>
      </c>
      <c r="B923" s="1" t="inlineStr">
        <is>
          <t>I61632</t>
        </is>
      </c>
      <c r="C923" s="1" t="inlineStr">
        <is>
          <t>25800500278</t>
        </is>
      </c>
      <c r="D923" s="1" t="inlineStr">
        <is>
          <t>Phaïm Theá</t>
        </is>
      </c>
      <c r="E923" s="1" t="inlineStr">
        <is>
          <t>Laân</t>
        </is>
      </c>
      <c r="F923" s="1" t="inlineStr">
        <is>
          <t>30-Oct-07</t>
        </is>
      </c>
      <c r="G923" s="1" t="inlineStr">
        <is>
          <t>LNH0925ND01</t>
        </is>
      </c>
      <c r="H923" s="1" t="inlineStr">
        <is>
          <t>09AV Giao tiep QT (TS)</t>
        </is>
      </c>
      <c r="I923" s="1" t="n">
        <v>7915000</v>
      </c>
      <c r="J923" s="1" t="inlineStr">
        <is>
          <t>NGUYEN THI YEN LY MBVCB.10789347438.967101.Pham the l an MSSV 2500500069 Sdt:0769176153.C T tu 0281000242208 NGUYEN THI YEN L Y toi 0521043748045 HUTECH tai ABBANK TAI Vietcombank</t>
        </is>
      </c>
    </row>
    <row r="924">
      <c r="A924" s="1" t="inlineStr">
        <is>
          <t>04-Sep-25</t>
        </is>
      </c>
      <c r="B924" s="1" t="inlineStr">
        <is>
          <t>I61677</t>
        </is>
      </c>
      <c r="C924" s="1" t="inlineStr">
        <is>
          <t>25801800063</t>
        </is>
      </c>
      <c r="D924" s="1" t="inlineStr">
        <is>
          <t>Nguyeãn Thanh</t>
        </is>
      </c>
      <c r="E924" s="1" t="inlineStr">
        <is>
          <t>Thaûo</t>
        </is>
      </c>
      <c r="F924" s="1" t="inlineStr">
        <is>
          <t>16-Apr-07</t>
        </is>
      </c>
      <c r="G924" s="1" t="inlineStr">
        <is>
          <t>LNH0925ND01</t>
        </is>
      </c>
      <c r="H924" s="1" t="inlineStr">
        <is>
          <t>09AV Giao tiep QT (TS)</t>
        </is>
      </c>
      <c r="I924" s="1" t="n">
        <v>3465000</v>
      </c>
      <c r="J924" s="1" t="inlineStr">
        <is>
          <t>NGUYEN THANH THAO NGUYEN THANH THAO 25801800063 LNH09 25ND01 0977637311-040925-10 05 51 2 68268 TAI Ngan hang a chau       IBT SMARLINK</t>
        </is>
      </c>
    </row>
    <row r="925">
      <c r="A925" s="1" t="inlineStr">
        <is>
          <t>04-Sep-25</t>
        </is>
      </c>
      <c r="B925" s="1" t="inlineStr">
        <is>
          <t>I61678</t>
        </is>
      </c>
      <c r="C925" s="1" t="inlineStr">
        <is>
          <t>25802700094</t>
        </is>
      </c>
      <c r="D925" s="1" t="inlineStr">
        <is>
          <t>Buøi Thò Ngoïc</t>
        </is>
      </c>
      <c r="E925" s="1" t="inlineStr">
        <is>
          <t>Traâm</t>
        </is>
      </c>
      <c r="F925" s="1" t="inlineStr">
        <is>
          <t>19-Dec-07</t>
        </is>
      </c>
      <c r="G925" s="1" t="inlineStr">
        <is>
          <t>LNH0925ND01</t>
        </is>
      </c>
      <c r="H925" s="1" t="inlineStr">
        <is>
          <t>09AV Giao tiep QT (TS)</t>
        </is>
      </c>
      <c r="I925" s="1" t="n">
        <v>3465000</v>
      </c>
      <c r="J925" s="1" t="inlineStr">
        <is>
          <t>TRAN THI DIEN MBVCB.10789949769.367222.Bui Thi Ng oc Tram 25802700094 LNH0925ND01 035 3259907.CT tu 1024075298 TRAN THI D IEN toi 0521043748045 HUTECH tai ABBANK TAI Vietcombank</t>
        </is>
      </c>
    </row>
    <row r="926">
      <c r="A926" s="1" t="inlineStr">
        <is>
          <t>04-Sep-25</t>
        </is>
      </c>
      <c r="B926" s="1" t="inlineStr">
        <is>
          <t>I61679</t>
        </is>
      </c>
      <c r="C926" s="1" t="inlineStr">
        <is>
          <t>25802800250</t>
        </is>
      </c>
      <c r="D926" s="1" t="inlineStr">
        <is>
          <t>Mai Thanh</t>
        </is>
      </c>
      <c r="E926" s="1" t="inlineStr">
        <is>
          <t>Thuùy</t>
        </is>
      </c>
      <c r="F926" s="1" t="inlineStr">
        <is>
          <t>15-Jun-07</t>
        </is>
      </c>
      <c r="G926" s="1" t="inlineStr">
        <is>
          <t>LNH0925ND01</t>
        </is>
      </c>
      <c r="H926" s="1" t="inlineStr">
        <is>
          <t>09AV Giao tiep QT (TS)</t>
        </is>
      </c>
      <c r="I926" s="1" t="n">
        <v>4415000</v>
      </c>
      <c r="J926" s="1" t="inlineStr">
        <is>
          <t>TRAN THI NGOC THANH MAI THANH THUY-25802800250-LNH0925N D01-0766826127-040925-19 49 43 3041 05 TAI Ngan hang a chau       IBT SMARLINK</t>
        </is>
      </c>
    </row>
    <row r="927">
      <c r="A927" s="1" t="inlineStr">
        <is>
          <t>04-Sep-25</t>
        </is>
      </c>
      <c r="B927" s="1" t="inlineStr">
        <is>
          <t>I61680</t>
        </is>
      </c>
      <c r="C927" s="1" t="inlineStr">
        <is>
          <t>25808200269</t>
        </is>
      </c>
      <c r="D927" s="1" t="inlineStr">
        <is>
          <t>Nguyeãn Thaønh</t>
        </is>
      </c>
      <c r="E927" s="1" t="inlineStr">
        <is>
          <t>Tieán</t>
        </is>
      </c>
      <c r="F927" s="1" t="inlineStr">
        <is>
          <t>04-Sep-07</t>
        </is>
      </c>
      <c r="G927" s="1" t="inlineStr">
        <is>
          <t>LNH0925ND01</t>
        </is>
      </c>
      <c r="H927" s="1" t="inlineStr">
        <is>
          <t>09AV Giao tiep QT (TS)</t>
        </is>
      </c>
      <c r="I927" s="1" t="n">
        <v>7415000</v>
      </c>
      <c r="J927" s="1" t="inlineStr">
        <is>
          <t>NGUYEN THANH TIEN Nguyen Thanh Tien  25808200269  LNH 0925ND01  0944258815 TAI IBT BIDV                 HANOI</t>
        </is>
      </c>
    </row>
    <row r="928">
      <c r="A928" s="1" t="inlineStr">
        <is>
          <t>04-Sep-25</t>
        </is>
      </c>
      <c r="B928" s="1" t="inlineStr">
        <is>
          <t>I61681</t>
        </is>
      </c>
      <c r="C928" s="1" t="inlineStr">
        <is>
          <t>25801100042</t>
        </is>
      </c>
      <c r="D928" s="1" t="inlineStr">
        <is>
          <t>Nguyeãn Troïng</t>
        </is>
      </c>
      <c r="E928" s="1" t="inlineStr">
        <is>
          <t>Nguyeãn</t>
        </is>
      </c>
      <c r="F928" s="1" t="inlineStr">
        <is>
          <t>29-Dec-07</t>
        </is>
      </c>
      <c r="G928" s="1" t="inlineStr">
        <is>
          <t>LNH0925ND01</t>
        </is>
      </c>
      <c r="H928" s="1" t="inlineStr">
        <is>
          <t>09AV Giao tiep QT (TS)</t>
        </is>
      </c>
      <c r="I928" s="1" t="n">
        <v>7415000</v>
      </c>
      <c r="J928" s="1" t="inlineStr">
        <is>
          <t>NGUYEN VAN HUNG ABBank 0521043748045 nguyen trong n guyen 25801100042 LNH0925ND01 07837 19178 TAI Agribank</t>
        </is>
      </c>
    </row>
    <row r="929">
      <c r="A929" s="1" t="inlineStr">
        <is>
          <t>04-Sep-25</t>
        </is>
      </c>
      <c r="B929" s="1" t="inlineStr">
        <is>
          <t>I61682</t>
        </is>
      </c>
      <c r="C929" s="1" t="inlineStr">
        <is>
          <t>25808600137</t>
        </is>
      </c>
      <c r="D929" s="1" t="inlineStr">
        <is>
          <t>Löông Thò Tuyeát</t>
        </is>
      </c>
      <c r="E929" s="1" t="inlineStr">
        <is>
          <t>Trinh</t>
        </is>
      </c>
      <c r="F929" s="1" t="inlineStr">
        <is>
          <t>04-Jul-07</t>
        </is>
      </c>
      <c r="G929" s="1" t="inlineStr">
        <is>
          <t>LNH0925ND01</t>
        </is>
      </c>
      <c r="H929" s="1" t="inlineStr">
        <is>
          <t>09AV Giao tiep QT (TS)</t>
        </is>
      </c>
      <c r="I929" s="1" t="n">
        <v>7415000</v>
      </c>
      <c r="J929" s="1" t="inlineStr">
        <is>
          <t>MBBANK IBFT Luong Thi Tuyet Trinh 25808600137 L NH0925ND01 0868464610 TAI IBT-MB                   HANOI</t>
        </is>
      </c>
    </row>
    <row r="930">
      <c r="A930" s="1" t="inlineStr">
        <is>
          <t>04-Sep-25</t>
        </is>
      </c>
      <c r="B930" s="1" t="inlineStr">
        <is>
          <t>I61683</t>
        </is>
      </c>
      <c r="C930" s="1" t="inlineStr">
        <is>
          <t>25803800098</t>
        </is>
      </c>
      <c r="D930" s="1" t="inlineStr">
        <is>
          <t>Höùa Myõ</t>
        </is>
      </c>
      <c r="E930" s="1" t="inlineStr">
        <is>
          <t>Linh</t>
        </is>
      </c>
      <c r="F930" s="1" t="inlineStr">
        <is>
          <t>04-Nov-07</t>
        </is>
      </c>
      <c r="G930" s="1" t="inlineStr">
        <is>
          <t>LNH0925ND01</t>
        </is>
      </c>
      <c r="H930" s="1" t="inlineStr">
        <is>
          <t>09AV Giao tiep QT (TS)</t>
        </is>
      </c>
      <c r="I930" s="1" t="n">
        <v>7415000</v>
      </c>
      <c r="J930" s="1" t="inlineStr">
        <is>
          <t>MBBANK IBFT Hua My Linh 25803800098 LNH0925ND01 0336150253 TAI IBT-MB                   HANOI</t>
        </is>
      </c>
    </row>
    <row r="931">
      <c r="A931" s="1" t="inlineStr">
        <is>
          <t>04-Sep-25</t>
        </is>
      </c>
      <c r="B931" s="1" t="inlineStr">
        <is>
          <t>I61684</t>
        </is>
      </c>
      <c r="C931" s="1" t="inlineStr">
        <is>
          <t>25803800080</t>
        </is>
      </c>
      <c r="D931" s="1" t="inlineStr">
        <is>
          <t>AÂu Vaên</t>
        </is>
      </c>
      <c r="E931" s="1" t="inlineStr">
        <is>
          <t>Duy</t>
        </is>
      </c>
      <c r="F931" s="1" t="inlineStr">
        <is>
          <t>14-Jun-07</t>
        </is>
      </c>
      <c r="G931" s="1" t="inlineStr">
        <is>
          <t>LNH0925ND01</t>
        </is>
      </c>
      <c r="H931" s="1" t="inlineStr">
        <is>
          <t>09AV Giao tiep QT (TS)</t>
        </is>
      </c>
      <c r="I931" s="1" t="n">
        <v>0</v>
      </c>
      <c r="J931" s="1" t="inlineStr">
        <is>
          <t>(Rut Hp)NGUYEN TRUNG NGHIA AU VAN DUY  25803800080  LNH0925ND0 1  0368178619 TAI VietinBank</t>
        </is>
      </c>
    </row>
    <row r="932">
      <c r="A932" s="1" t="inlineStr">
        <is>
          <t>04-Sep-25</t>
        </is>
      </c>
      <c r="B932" s="1" t="inlineStr">
        <is>
          <t>I61685</t>
        </is>
      </c>
      <c r="C932" s="1" t="inlineStr">
        <is>
          <t>25802600208</t>
        </is>
      </c>
      <c r="D932" s="1" t="inlineStr">
        <is>
          <t>Phan Anh</t>
        </is>
      </c>
      <c r="E932" s="1" t="inlineStr">
        <is>
          <t>Thö</t>
        </is>
      </c>
      <c r="F932" s="1" t="inlineStr">
        <is>
          <t>19-May-07</t>
        </is>
      </c>
      <c r="G932" s="1" t="inlineStr">
        <is>
          <t>LNH0925ND01</t>
        </is>
      </c>
      <c r="H932" s="1" t="inlineStr">
        <is>
          <t>09AV Giao tiep QT (TS)</t>
        </is>
      </c>
      <c r="I932" s="1" t="n">
        <v>7415000</v>
      </c>
      <c r="J932" s="1" t="inlineStr">
        <is>
          <t>PHAN ANH THU PHAN ANH THU 25802600208  LNH0925ND 01  0352084474 TAI VietinBank</t>
        </is>
      </c>
    </row>
    <row r="933">
      <c r="A933" s="1" t="inlineStr">
        <is>
          <t>04-Sep-25</t>
        </is>
      </c>
      <c r="B933" s="1" t="inlineStr">
        <is>
          <t>I61686</t>
        </is>
      </c>
      <c r="C933" s="1" t="inlineStr">
        <is>
          <t>25808600245</t>
        </is>
      </c>
      <c r="D933" s="1" t="inlineStr">
        <is>
          <t>Phan Minh</t>
        </is>
      </c>
      <c r="E933" s="1" t="inlineStr">
        <is>
          <t>Thö</t>
        </is>
      </c>
      <c r="F933" s="1" t="inlineStr">
        <is>
          <t>19-May-07</t>
        </is>
      </c>
      <c r="G933" s="1" t="inlineStr">
        <is>
          <t>LNH0925ND01</t>
        </is>
      </c>
      <c r="H933" s="1" t="inlineStr">
        <is>
          <t>09AV Giao tiep QT (TS)</t>
        </is>
      </c>
      <c r="I933" s="1" t="n">
        <v>7415000</v>
      </c>
      <c r="J933" s="1" t="inlineStr">
        <is>
          <t>PHAN MINH THU PHAN MINH THU   25808600245   LNH09 25ND01  0346632216 TAI VietinBank</t>
        </is>
      </c>
    </row>
    <row r="934">
      <c r="A934" s="1" t="inlineStr">
        <is>
          <t>04-Sep-25</t>
        </is>
      </c>
      <c r="B934" s="1" t="inlineStr">
        <is>
          <t>I61687</t>
        </is>
      </c>
      <c r="C934" s="1" t="inlineStr">
        <is>
          <t>25807000021</t>
        </is>
      </c>
      <c r="D934" s="1" t="inlineStr">
        <is>
          <t>Buøi Tieán</t>
        </is>
      </c>
      <c r="E934" s="1" t="inlineStr">
        <is>
          <t>Phaùt</t>
        </is>
      </c>
      <c r="F934" s="1" t="inlineStr">
        <is>
          <t>06-Feb-07</t>
        </is>
      </c>
      <c r="G934" s="1" t="inlineStr">
        <is>
          <t>LNH0925ND01</t>
        </is>
      </c>
      <c r="H934" s="1" t="inlineStr">
        <is>
          <t>09AV Giao tiep QT (TS)</t>
        </is>
      </c>
      <c r="I934" s="1" t="n">
        <v>7415000</v>
      </c>
      <c r="J934" s="1" t="inlineStr">
        <is>
          <t>BUI TIEN PHAT ABBank 0521043748045 BUI TIEN PHAT- 25807000021-LNH0925ND01-0898125138 TAI Agribank</t>
        </is>
      </c>
    </row>
    <row r="935">
      <c r="A935" s="1" t="inlineStr">
        <is>
          <t>04-Sep-25</t>
        </is>
      </c>
      <c r="B935" s="1" t="inlineStr">
        <is>
          <t>I61688</t>
        </is>
      </c>
      <c r="C935" s="1" t="inlineStr">
        <is>
          <t>25803800060</t>
        </is>
      </c>
      <c r="D935" s="1" t="inlineStr">
        <is>
          <t>Nguyeãn Thuøy</t>
        </is>
      </c>
      <c r="E935" s="1" t="inlineStr">
        <is>
          <t>Trang</t>
        </is>
      </c>
      <c r="F935" s="1" t="inlineStr">
        <is>
          <t>12-Sep-07</t>
        </is>
      </c>
      <c r="G935" s="1" t="inlineStr">
        <is>
          <t>LNH0925ND01</t>
        </is>
      </c>
      <c r="H935" s="1" t="inlineStr">
        <is>
          <t>09AV Giao tiep QT (TS)</t>
        </is>
      </c>
      <c r="I935" s="1" t="n">
        <v>7415000</v>
      </c>
      <c r="J935" s="1" t="inlineStr">
        <is>
          <t>NGUYEN THUY TRANG Nguyen Thuy Trang MSSV 25803800060 LNH0925ND01  SDT 0362362477 TAI VietinBank</t>
        </is>
      </c>
    </row>
    <row r="936">
      <c r="A936" s="1" t="inlineStr">
        <is>
          <t>04-Sep-25</t>
        </is>
      </c>
      <c r="B936" s="1" t="inlineStr">
        <is>
          <t>I61689</t>
        </is>
      </c>
      <c r="C936" s="1" t="inlineStr">
        <is>
          <t>25808900092</t>
        </is>
      </c>
      <c r="D936" s="1" t="inlineStr">
        <is>
          <t>Traàn Yeán</t>
        </is>
      </c>
      <c r="E936" s="1" t="inlineStr">
        <is>
          <t>Nhi</t>
        </is>
      </c>
      <c r="F936" s="1" t="inlineStr">
        <is>
          <t>14-Nov-07</t>
        </is>
      </c>
      <c r="G936" s="1" t="inlineStr">
        <is>
          <t>LNH0925ND01</t>
        </is>
      </c>
      <c r="H936" s="1" t="inlineStr">
        <is>
          <t>09AV Giao tiep QT (TS)</t>
        </is>
      </c>
      <c r="I936" s="1" t="n">
        <v>7415000</v>
      </c>
      <c r="J936" s="1" t="inlineStr">
        <is>
          <t>TRAN THI YEN MBVCB.10790962797.033735.TRAN YEN N HI 25808900092 LNH0925ND01 03491179 23.CT tu 0121000809360 TRAN THI YEN toi 0521043748045 HUTECH tai ABBAN TAI Vietcombank</t>
        </is>
      </c>
    </row>
    <row r="937">
      <c r="A937" s="1" t="inlineStr">
        <is>
          <t>04-Sep-25</t>
        </is>
      </c>
      <c r="B937" s="1" t="inlineStr">
        <is>
          <t>I61690</t>
        </is>
      </c>
      <c r="C937" s="1" t="inlineStr">
        <is>
          <t>25807000040</t>
        </is>
      </c>
      <c r="D937" s="1" t="inlineStr">
        <is>
          <t>Huyønh Trí</t>
        </is>
      </c>
      <c r="E937" s="1" t="inlineStr">
        <is>
          <t>Thònh</t>
        </is>
      </c>
      <c r="F937" s="1" t="inlineStr">
        <is>
          <t>29-Apr-07</t>
        </is>
      </c>
      <c r="G937" s="1" t="inlineStr">
        <is>
          <t>LNH0925ND01</t>
        </is>
      </c>
      <c r="H937" s="1" t="inlineStr">
        <is>
          <t>09AV Giao tiep QT (TS)</t>
        </is>
      </c>
      <c r="I937" s="1" t="n">
        <v>0</v>
      </c>
      <c r="J937" s="1" t="inlineStr">
        <is>
          <t>(rut Hp)MBBANK IBFT Huynh Tri Thinh  mssv25807000040 sd t 0985713931 LNH0925ND01 TAI IBT-MB                   HANOI</t>
        </is>
      </c>
    </row>
    <row r="938">
      <c r="A938" s="1" t="inlineStr">
        <is>
          <t>04-Sep-25</t>
        </is>
      </c>
      <c r="B938" s="1" t="inlineStr">
        <is>
          <t>I61691</t>
        </is>
      </c>
      <c r="C938" s="1" t="inlineStr">
        <is>
          <t>25808200247</t>
        </is>
      </c>
      <c r="D938" s="1" t="inlineStr">
        <is>
          <t>Leâ Quang</t>
        </is>
      </c>
      <c r="E938" s="1" t="inlineStr">
        <is>
          <t>Huy</t>
        </is>
      </c>
      <c r="F938" s="1" t="inlineStr">
        <is>
          <t>06-Jan-07</t>
        </is>
      </c>
      <c r="G938" s="1" t="inlineStr">
        <is>
          <t>LNH0925ND01</t>
        </is>
      </c>
      <c r="H938" s="1" t="inlineStr">
        <is>
          <t>09AV Giao tiep QT (TS)</t>
        </is>
      </c>
      <c r="I938" s="1" t="n">
        <v>7415000</v>
      </c>
      <c r="J938" s="1" t="inlineStr">
        <is>
          <t>LE QUANG HUY Le Quang Huy 25808200247 LND0925ND0 1 0357015085 TAI VietinBank</t>
        </is>
      </c>
    </row>
    <row r="939">
      <c r="A939" s="1" t="inlineStr">
        <is>
          <t>04-Sep-25</t>
        </is>
      </c>
      <c r="B939" s="1" t="inlineStr">
        <is>
          <t>I61692</t>
        </is>
      </c>
      <c r="C939" s="1" t="inlineStr">
        <is>
          <t>25808300049</t>
        </is>
      </c>
      <c r="D939" s="1" t="inlineStr">
        <is>
          <t>Nguyeãn Thò Anh</t>
        </is>
      </c>
      <c r="E939" s="1" t="inlineStr">
        <is>
          <t>Thö</t>
        </is>
      </c>
      <c r="F939" s="1" t="inlineStr">
        <is>
          <t>26-Oct-06</t>
        </is>
      </c>
      <c r="G939" s="1" t="inlineStr">
        <is>
          <t>LNH0925ND01</t>
        </is>
      </c>
      <c r="H939" s="1" t="inlineStr">
        <is>
          <t>09AV Giao tiep QT (TS)</t>
        </is>
      </c>
      <c r="I939" s="1" t="n">
        <v>7415000</v>
      </c>
      <c r="J939" s="1" t="inlineStr">
        <is>
          <t>NGUYEN THI ANH THU ABBank 0521043748045 NGUYEN THI ANH THU - 25808300049 -  LNH0925ND01 - 0966923833 TAI Agribank</t>
        </is>
      </c>
    </row>
    <row r="940">
      <c r="A940" s="1" t="inlineStr">
        <is>
          <t>04-Sep-25</t>
        </is>
      </c>
      <c r="B940" s="1" t="inlineStr">
        <is>
          <t>I61693</t>
        </is>
      </c>
      <c r="C940" s="1" t="inlineStr">
        <is>
          <t>25808600073</t>
        </is>
      </c>
      <c r="D940" s="1" t="inlineStr">
        <is>
          <t>Huyønh Thò Hoàng</t>
        </is>
      </c>
      <c r="E940" s="1" t="inlineStr">
        <is>
          <t>Ngoïc</t>
        </is>
      </c>
      <c r="F940" s="1" t="inlineStr">
        <is>
          <t>11-Feb-07</t>
        </is>
      </c>
      <c r="G940" s="1" t="inlineStr">
        <is>
          <t>LNH0925ND01</t>
        </is>
      </c>
      <c r="H940" s="1" t="inlineStr">
        <is>
          <t>09AV Giao tiep QT (TS)</t>
        </is>
      </c>
      <c r="I940" s="1" t="n">
        <v>7415000</v>
      </c>
      <c r="J940" s="1" t="inlineStr">
        <is>
          <t>PHAN THI PHUNG MBVCB.10795660918.168699.Huynh thi hong ngoc 25808600073 LNH0925ND01 0 899629008.CT tu 1058205354 PHAN THI PHUNG toi 0521043748045 HUTECH taiABBANK TAI Vietcombank</t>
        </is>
      </c>
    </row>
    <row r="941">
      <c r="A941" s="1" t="inlineStr">
        <is>
          <t>04-Sep-25</t>
        </is>
      </c>
      <c r="B941" s="1" t="inlineStr">
        <is>
          <t>I61694</t>
        </is>
      </c>
      <c r="C941" s="1" t="inlineStr">
        <is>
          <t>25807500011</t>
        </is>
      </c>
      <c r="D941" s="1" t="inlineStr">
        <is>
          <t>Buøi Gia</t>
        </is>
      </c>
      <c r="E941" s="1" t="inlineStr">
        <is>
          <t>Baûo</t>
        </is>
      </c>
      <c r="F941" s="1" t="inlineStr">
        <is>
          <t>16-Mar-07</t>
        </is>
      </c>
      <c r="G941" s="1" t="inlineStr">
        <is>
          <t>LNH0925ND01</t>
        </is>
      </c>
      <c r="H941" s="1" t="inlineStr">
        <is>
          <t>09AV Giao tiep QT (TS)</t>
        </is>
      </c>
      <c r="I941" s="1" t="n">
        <v>7415000</v>
      </c>
      <c r="J941" s="1" t="inlineStr">
        <is>
          <t>MBBANK IBFT Bui Gia Bao25807500011 LNH0925ND01 0793481512 TAI IBT-MB                   HANOI</t>
        </is>
      </c>
    </row>
    <row r="942">
      <c r="A942" s="1" t="inlineStr">
        <is>
          <t>04-Sep-25</t>
        </is>
      </c>
      <c r="B942" s="1" t="inlineStr">
        <is>
          <t>I61695</t>
        </is>
      </c>
      <c r="C942" s="1" t="inlineStr">
        <is>
          <t>25808200100</t>
        </is>
      </c>
      <c r="D942" s="1" t="inlineStr">
        <is>
          <t>Phaïm Taán</t>
        </is>
      </c>
      <c r="E942" s="1" t="inlineStr">
        <is>
          <t>Phaùt</t>
        </is>
      </c>
      <c r="F942" s="1" t="inlineStr">
        <is>
          <t>07-Oct-07</t>
        </is>
      </c>
      <c r="G942" s="1" t="inlineStr">
        <is>
          <t>LNH0925ND01</t>
        </is>
      </c>
      <c r="H942" s="1" t="inlineStr">
        <is>
          <t>09AV Giao tiep QT (TS)</t>
        </is>
      </c>
      <c r="I942" s="1" t="n">
        <v>7415000</v>
      </c>
      <c r="J942" s="1" t="inlineStr">
        <is>
          <t>NGUYEN THI NGOC TAM PHAM TAN PHAT  25808200100  LNH0925 ND01  0385747301-040925-20 10 43 33 9499 TAI Ngan hang a chau       IBT SMARLINK</t>
        </is>
      </c>
    </row>
    <row r="943">
      <c r="A943" s="1" t="inlineStr">
        <is>
          <t>05-Sep-25</t>
        </is>
      </c>
      <c r="B943" s="1" t="inlineStr">
        <is>
          <t>I61978</t>
        </is>
      </c>
      <c r="C943" s="1" t="inlineStr">
        <is>
          <t>25807500069</t>
        </is>
      </c>
      <c r="D943" s="1" t="inlineStr">
        <is>
          <t>Ly Hue</t>
        </is>
      </c>
      <c r="E943" s="1" t="inlineStr">
        <is>
          <t>Man</t>
        </is>
      </c>
      <c r="F943" s="1" t="inlineStr">
        <is>
          <t xml:space="preserve">  -   -</t>
        </is>
      </c>
      <c r="G943" s="1" t="inlineStr">
        <is>
          <t>LNH0925ND01</t>
        </is>
      </c>
      <c r="H943" s="1" t="inlineStr">
        <is>
          <t>09AV Giao tiep QT (TS)</t>
        </is>
      </c>
      <c r="I943" s="1" t="n">
        <v>1000000</v>
      </c>
      <c r="J943" s="1" t="inlineStr">
        <is>
          <t>DANG THI KIEU DIEM ABBank 0521043748045 LNH0925ND01 TAI Agribank</t>
        </is>
      </c>
    </row>
    <row r="944">
      <c r="A944" s="1" t="inlineStr">
        <is>
          <t>05-Sep-25</t>
        </is>
      </c>
      <c r="B944" s="1" t="inlineStr">
        <is>
          <t>I61979</t>
        </is>
      </c>
      <c r="C944" s="1" t="inlineStr">
        <is>
          <t>25807500108</t>
        </is>
      </c>
      <c r="D944" s="1" t="inlineStr">
        <is>
          <t>Phan Nhö Ngoïc</t>
        </is>
      </c>
      <c r="E944" s="1" t="inlineStr">
        <is>
          <t>Thanh</t>
        </is>
      </c>
      <c r="F944" s="1" t="inlineStr">
        <is>
          <t>18-May-07</t>
        </is>
      </c>
      <c r="G944" s="1" t="inlineStr">
        <is>
          <t>LNH0925ND01</t>
        </is>
      </c>
      <c r="H944" s="1" t="inlineStr">
        <is>
          <t>09AV Giao tiep QT (TS)</t>
        </is>
      </c>
      <c r="I944" s="1" t="n">
        <v>1000000</v>
      </c>
      <c r="J944" s="1" t="inlineStr">
        <is>
          <t>PHAN NHU NGOC THANH Phan Nhu Ngoc Thanh - 25807500108 - LNH0925ND01 - 0931870816-050925-18 44 53 973030 TAI Ngan hang a chau       IBT SMARLINK</t>
        </is>
      </c>
    </row>
    <row r="945">
      <c r="A945" s="1" t="inlineStr">
        <is>
          <t>05-Sep-25</t>
        </is>
      </c>
      <c r="B945" s="1" t="inlineStr">
        <is>
          <t>I61980</t>
        </is>
      </c>
      <c r="C945" s="1" t="inlineStr">
        <is>
          <t>25808200027</t>
        </is>
      </c>
      <c r="D945" s="1" t="inlineStr">
        <is>
          <t>Haø Haûi</t>
        </is>
      </c>
      <c r="E945" s="1" t="inlineStr">
        <is>
          <t>Döông</t>
        </is>
      </c>
      <c r="F945" s="1" t="inlineStr">
        <is>
          <t>24-Nov-07</t>
        </is>
      </c>
      <c r="G945" s="1" t="inlineStr">
        <is>
          <t>LNH0925ND01</t>
        </is>
      </c>
      <c r="H945" s="1" t="inlineStr">
        <is>
          <t>09AV Giao tiep QT (TS)</t>
        </is>
      </c>
      <c r="I945" s="1" t="n">
        <v>3415000</v>
      </c>
      <c r="J945" s="1" t="inlineStr">
        <is>
          <t>MBBANK IBFT HA HAI DUONG 25808200027 LNH0925ND0 1 0328528471 TAI IBT-MB                   HANOI</t>
        </is>
      </c>
    </row>
    <row r="946">
      <c r="A946" s="1" t="inlineStr">
        <is>
          <t>05-Sep-25</t>
        </is>
      </c>
      <c r="B946" s="1" t="inlineStr">
        <is>
          <t>I61981</t>
        </is>
      </c>
      <c r="C946" s="1" t="inlineStr">
        <is>
          <t>25803800063</t>
        </is>
      </c>
      <c r="D946" s="1" t="inlineStr">
        <is>
          <t>Nguyeãn Hoaøng Nhöït</t>
        </is>
      </c>
      <c r="E946" s="1" t="inlineStr">
        <is>
          <t>Trí</t>
        </is>
      </c>
      <c r="F946" s="1" t="inlineStr">
        <is>
          <t>17-Oct-07</t>
        </is>
      </c>
      <c r="G946" s="1" t="inlineStr">
        <is>
          <t>LNH0925ND01</t>
        </is>
      </c>
      <c r="H946" s="1" t="inlineStr">
        <is>
          <t>09AV Giao tiep QT (TS)</t>
        </is>
      </c>
      <c r="I946" s="1" t="n">
        <v>3465000</v>
      </c>
      <c r="J946" s="1" t="inlineStr">
        <is>
          <t>NGUYEN HONG HAI PHUONG QR - Nguyen Hoang Nhut Tri- MSSV 25 803800063 - DTSV 0326301325 - LNH 0 925ND01 TAI VietinBank</t>
        </is>
      </c>
    </row>
    <row r="947">
      <c r="A947" s="1" t="inlineStr">
        <is>
          <t>05-Sep-25</t>
        </is>
      </c>
      <c r="B947" s="1" t="inlineStr">
        <is>
          <t>I61982</t>
        </is>
      </c>
      <c r="C947" s="1" t="inlineStr">
        <is>
          <t>25808300027</t>
        </is>
      </c>
      <c r="D947" s="1" t="inlineStr">
        <is>
          <t>Phuøng Kim</t>
        </is>
      </c>
      <c r="E947" s="1" t="inlineStr">
        <is>
          <t>Mai</t>
        </is>
      </c>
      <c r="F947" s="1" t="inlineStr">
        <is>
          <t>01-Mar-07</t>
        </is>
      </c>
      <c r="G947" s="1" t="inlineStr">
        <is>
          <t>LNH0925ND01</t>
        </is>
      </c>
      <c r="H947" s="1" t="inlineStr">
        <is>
          <t>09AV Giao tiep QT (TS)</t>
        </is>
      </c>
      <c r="I947" s="1" t="n">
        <v>0</v>
      </c>
      <c r="J947" s="1" t="inlineStr">
        <is>
          <t>PHUNG KIM MAI ABBank 0521043748045 PHUNG KIM MAI 25808300027 LNH0925ND01   sdt 0362 081141 TAI Agribank</t>
        </is>
      </c>
    </row>
    <row r="948">
      <c r="A948" s="1" t="inlineStr">
        <is>
          <t>05-Sep-25</t>
        </is>
      </c>
      <c r="B948" s="1" t="inlineStr">
        <is>
          <t>I61983</t>
        </is>
      </c>
      <c r="C948" s="1" t="inlineStr">
        <is>
          <t>25807500237</t>
        </is>
      </c>
      <c r="D948" s="1" t="inlineStr">
        <is>
          <t>Nguyeãn Thaønh</t>
        </is>
      </c>
      <c r="E948" s="1" t="inlineStr">
        <is>
          <t>Luaân</t>
        </is>
      </c>
      <c r="F948" s="1" t="inlineStr">
        <is>
          <t>04-Apr-07</t>
        </is>
      </c>
      <c r="G948" s="1" t="inlineStr">
        <is>
          <t>LNH0925ND01</t>
        </is>
      </c>
      <c r="H948" s="1" t="inlineStr">
        <is>
          <t>09AV Giao tiep QT (TS)</t>
        </is>
      </c>
      <c r="I948" s="1" t="n">
        <v>7415000</v>
      </c>
      <c r="J948" s="1" t="inlineStr">
        <is>
          <t>MBBANK IBFT NGUYEN THANH LUAN 25807500237 LNH09 25ND01 0786825126 TAI IBT-MB                   HANOI</t>
        </is>
      </c>
    </row>
    <row r="949">
      <c r="A949" s="1" t="inlineStr">
        <is>
          <t>05-Sep-25</t>
        </is>
      </c>
      <c r="B949" s="1" t="inlineStr">
        <is>
          <t>I61984</t>
        </is>
      </c>
      <c r="C949" s="1" t="inlineStr">
        <is>
          <t>25808600150</t>
        </is>
      </c>
      <c r="D949" s="1" t="inlineStr">
        <is>
          <t>Nguyeãn Thò Ngoïc</t>
        </is>
      </c>
      <c r="E949" s="1" t="inlineStr">
        <is>
          <t>Vi</t>
        </is>
      </c>
      <c r="F949" s="1" t="inlineStr">
        <is>
          <t>31-Jul-07</t>
        </is>
      </c>
      <c r="G949" s="1" t="inlineStr">
        <is>
          <t>LNH0925ND01</t>
        </is>
      </c>
      <c r="H949" s="1" t="inlineStr">
        <is>
          <t>09AV Giao tiep QT (TS)</t>
        </is>
      </c>
      <c r="I949" s="1" t="n">
        <v>7415000</v>
      </c>
      <c r="J949" s="1" t="inlineStr">
        <is>
          <t>MBBANK IBFT NGUYEN THI NGOC VI25808600150 LNH09 25ND01 0965555169 TAI IBT-MB                   HANOI</t>
        </is>
      </c>
    </row>
    <row r="950">
      <c r="A950" s="1" t="inlineStr">
        <is>
          <t>05-Sep-25</t>
        </is>
      </c>
      <c r="B950" s="1" t="inlineStr">
        <is>
          <t>I61985</t>
        </is>
      </c>
      <c r="C950" s="1" t="inlineStr">
        <is>
          <t>25807700087</t>
        </is>
      </c>
      <c r="D950" s="1" t="inlineStr">
        <is>
          <t>Leâ Thaønh</t>
        </is>
      </c>
      <c r="E950" s="1" t="inlineStr">
        <is>
          <t>Ñaït</t>
        </is>
      </c>
      <c r="F950" s="1" t="inlineStr">
        <is>
          <t>01-Oct-07</t>
        </is>
      </c>
      <c r="G950" s="1" t="inlineStr">
        <is>
          <t>LNH0925ND01</t>
        </is>
      </c>
      <c r="H950" s="1" t="inlineStr">
        <is>
          <t>09AV Giao tiep QT (TS)</t>
        </is>
      </c>
      <c r="I950" s="1" t="n">
        <v>7415000</v>
      </c>
      <c r="J950" s="1" t="inlineStr">
        <is>
          <t>NGUYEN THI THANH SEN MBVCB.10799658764.871975.NGUYEN THI THANH SEN chuyen tien LE THANH DAT 25807700087 LNH095ND01 0986272312. CT tu 9948881729 NGUYEN THI THANH SEN toi 0521043748045 HUTECH tai ABBANK TAI Vietcombank</t>
        </is>
      </c>
    </row>
    <row r="951">
      <c r="A951" s="1" t="inlineStr">
        <is>
          <t>05-Sep-25</t>
        </is>
      </c>
      <c r="B951" s="1" t="inlineStr">
        <is>
          <t>I61986</t>
        </is>
      </c>
      <c r="C951" s="1" t="inlineStr">
        <is>
          <t>25806800069</t>
        </is>
      </c>
      <c r="D951" s="1" t="inlineStr">
        <is>
          <t>Phaïm Thò Ñaøo</t>
        </is>
      </c>
      <c r="E951" s="1" t="inlineStr">
        <is>
          <t>Thu</t>
        </is>
      </c>
      <c r="F951" s="1" t="inlineStr">
        <is>
          <t>31-Aug-07</t>
        </is>
      </c>
      <c r="G951" s="1" t="inlineStr">
        <is>
          <t>LNH0925ND01</t>
        </is>
      </c>
      <c r="H951" s="1" t="inlineStr">
        <is>
          <t>09AV Giao tiep QT (TS)</t>
        </is>
      </c>
      <c r="I951" s="1" t="n">
        <v>7415000</v>
      </c>
      <c r="J951" s="1" t="inlineStr">
        <is>
          <t>PHAM THI DAO THU MBVCB.10800590225.489986.PHAM THI D AO THU  25806800069  LNH0925ND01  0 335130538.CT tu 1046945349 PHAM THI DAO THU toi 0521043748045 HUTECH tai ABBANK TAI Vietcombank</t>
        </is>
      </c>
    </row>
    <row r="952">
      <c r="A952" s="1" t="inlineStr">
        <is>
          <t>05-Sep-25</t>
        </is>
      </c>
      <c r="B952" s="1" t="inlineStr">
        <is>
          <t>I61987</t>
        </is>
      </c>
      <c r="C952" s="1" t="inlineStr">
        <is>
          <t>25802700006</t>
        </is>
      </c>
      <c r="D952" s="1" t="inlineStr">
        <is>
          <t>Leâ Quoác</t>
        </is>
      </c>
      <c r="E952" s="1" t="inlineStr">
        <is>
          <t>Anh</t>
        </is>
      </c>
      <c r="F952" s="1" t="inlineStr">
        <is>
          <t>28-Sep-07</t>
        </is>
      </c>
      <c r="G952" s="1" t="inlineStr">
        <is>
          <t>LNH0925ND01</t>
        </is>
      </c>
      <c r="H952" s="1" t="inlineStr">
        <is>
          <t>09AV Giao tiep QT (TS)</t>
        </is>
      </c>
      <c r="I952" s="1" t="n">
        <v>7415000</v>
      </c>
      <c r="J952" s="1" t="inlineStr">
        <is>
          <t>MBBANK IBFT Le Quoc Anh25802700006LNH0925ND0103 87689430 TAI IBT-MB                   HANOI</t>
        </is>
      </c>
    </row>
    <row r="953">
      <c r="A953" s="1" t="inlineStr">
        <is>
          <t>05-Sep-25</t>
        </is>
      </c>
      <c r="B953" s="1" t="inlineStr">
        <is>
          <t>I61988</t>
        </is>
      </c>
      <c r="C953" s="1" t="inlineStr">
        <is>
          <t>25806500007</t>
        </is>
      </c>
      <c r="D953" s="1" t="inlineStr">
        <is>
          <t>Quaùch Thò Xuaân</t>
        </is>
      </c>
      <c r="E953" s="1" t="inlineStr">
        <is>
          <t>Mai</t>
        </is>
      </c>
      <c r="F953" s="1" t="inlineStr">
        <is>
          <t>28-Jul-07</t>
        </is>
      </c>
      <c r="G953" s="1" t="inlineStr">
        <is>
          <t>LNH0925ND01</t>
        </is>
      </c>
      <c r="H953" s="1" t="inlineStr">
        <is>
          <t>09AV Giao tiep QT (TS)</t>
        </is>
      </c>
      <c r="I953" s="1" t="n">
        <v>0</v>
      </c>
      <c r="J953" s="1" t="inlineStr">
        <is>
          <t>NGUYEN THI BICH DAO QUACH THI XUAN MAI  25806500007  LN H0925ND01  0364505320 TAI VietinBank</t>
        </is>
      </c>
    </row>
    <row r="954">
      <c r="A954" s="1" t="inlineStr">
        <is>
          <t>05-Sep-25</t>
        </is>
      </c>
      <c r="B954" s="1" t="inlineStr">
        <is>
          <t>I61989</t>
        </is>
      </c>
      <c r="C954" s="1" t="inlineStr">
        <is>
          <t>25800500248</t>
        </is>
      </c>
      <c r="D954" s="1" t="inlineStr">
        <is>
          <t>Vuõ Minh</t>
        </is>
      </c>
      <c r="E954" s="1" t="inlineStr">
        <is>
          <t>Hieáu</t>
        </is>
      </c>
      <c r="F954" s="1" t="inlineStr">
        <is>
          <t>09-Jul-07</t>
        </is>
      </c>
      <c r="G954" s="1" t="inlineStr">
        <is>
          <t>LNH0925ND01</t>
        </is>
      </c>
      <c r="H954" s="1" t="inlineStr">
        <is>
          <t>09AV Giao tiep QT (TS)</t>
        </is>
      </c>
      <c r="I954" s="1" t="n">
        <v>7415000</v>
      </c>
      <c r="J954" s="1" t="inlineStr">
        <is>
          <t>VU MINH HIEU VU MINH HIEU 25800500248 LNH0925ND0 1 0364143073 TAI IBT BIDV                 HANOI</t>
        </is>
      </c>
    </row>
    <row r="955">
      <c r="A955" s="1" t="inlineStr">
        <is>
          <t>05-Sep-25</t>
        </is>
      </c>
      <c r="B955" s="1" t="inlineStr">
        <is>
          <t>I61990</t>
        </is>
      </c>
      <c r="C955" s="1" t="inlineStr">
        <is>
          <t>25801200039</t>
        </is>
      </c>
      <c r="D955" s="1" t="inlineStr">
        <is>
          <t>Huyønh Traàn Thaûo</t>
        </is>
      </c>
      <c r="E955" s="1" t="inlineStr">
        <is>
          <t>Vy</t>
        </is>
      </c>
      <c r="F955" s="1" t="inlineStr">
        <is>
          <t>28-Mar-07</t>
        </is>
      </c>
      <c r="G955" s="1" t="inlineStr">
        <is>
          <t>LNH0925ND01</t>
        </is>
      </c>
      <c r="H955" s="1" t="inlineStr">
        <is>
          <t>09AV Giao tiep QT (TS)</t>
        </is>
      </c>
      <c r="I955" s="1" t="n">
        <v>7415000</v>
      </c>
      <c r="J955" s="1" t="inlineStr">
        <is>
          <t>HUYNH TRAN THAO VY MBVCB.10804932876.299748.HUYNH TRAN THAO VY  25801200039  LNH0925ND01 0989207340.CT tu 1047565679 HUYNH TRAN THAO VY toi 0521043748045 HUTECH tai ABBANK TAI Vietcombank</t>
        </is>
      </c>
    </row>
    <row r="956">
      <c r="A956" s="1" t="inlineStr">
        <is>
          <t>05-Sep-25</t>
        </is>
      </c>
      <c r="B956" s="1" t="inlineStr">
        <is>
          <t>I61991</t>
        </is>
      </c>
      <c r="C956" s="1" t="inlineStr">
        <is>
          <t>25820100017</t>
        </is>
      </c>
      <c r="D956" s="1" t="inlineStr">
        <is>
          <t>Traàn Huyønh Quang</t>
        </is>
      </c>
      <c r="E956" s="1" t="inlineStr">
        <is>
          <t>Huy</t>
        </is>
      </c>
      <c r="F956" s="1" t="inlineStr">
        <is>
          <t>13-Oct-07</t>
        </is>
      </c>
      <c r="G956" s="1" t="inlineStr">
        <is>
          <t>LNH0925ND01</t>
        </is>
      </c>
      <c r="H956" s="1" t="inlineStr">
        <is>
          <t>09AV Giao tiep QT (TS)</t>
        </is>
      </c>
      <c r="I956" s="1" t="n">
        <v>7415000</v>
      </c>
      <c r="J956" s="1" t="inlineStr">
        <is>
          <t>TRAN HUYNH QUANG HUY TRAN HUYNH QUANG HUY 25820100017 LN H0925ND01  0932973317-050925-16 12 58 635024 TAI Ngan hang a chau       IBT SMARLINK</t>
        </is>
      </c>
    </row>
    <row r="957">
      <c r="A957" s="1" t="inlineStr">
        <is>
          <t>05-Sep-25</t>
        </is>
      </c>
      <c r="B957" s="1" t="inlineStr">
        <is>
          <t>I61992</t>
        </is>
      </c>
      <c r="C957" s="1" t="inlineStr">
        <is>
          <t>25806000007</t>
        </is>
      </c>
      <c r="D957" s="1" t="inlineStr">
        <is>
          <t>Nguyeãn Quoác</t>
        </is>
      </c>
      <c r="E957" s="1" t="inlineStr">
        <is>
          <t>Duy</t>
        </is>
      </c>
      <c r="F957" s="1" t="inlineStr">
        <is>
          <t>27-Dec-07</t>
        </is>
      </c>
      <c r="G957" s="1" t="inlineStr">
        <is>
          <t>LNH0925ND01</t>
        </is>
      </c>
      <c r="H957" s="1" t="inlineStr">
        <is>
          <t>09AV Giao tiep QT (TS)</t>
        </is>
      </c>
      <c r="I957" s="1" t="n">
        <v>7415000</v>
      </c>
      <c r="J957" s="1" t="inlineStr">
        <is>
          <t>MBBANK IBFT Nguyen Quoc Duy 25806000007 LNH0925 ND01 0876902063 TAI IBT-MB                   HANOI</t>
        </is>
      </c>
    </row>
    <row r="958">
      <c r="A958" s="1" t="inlineStr">
        <is>
          <t>05-Sep-25</t>
        </is>
      </c>
      <c r="B958" s="1" t="inlineStr">
        <is>
          <t>I61993</t>
        </is>
      </c>
      <c r="C958" s="1" t="inlineStr">
        <is>
          <t>25800400142</t>
        </is>
      </c>
      <c r="D958" s="1" t="inlineStr">
        <is>
          <t>Ñoã Xuaân</t>
        </is>
      </c>
      <c r="E958" s="1" t="inlineStr">
        <is>
          <t>Thaønh</t>
        </is>
      </c>
      <c r="F958" s="1" t="inlineStr">
        <is>
          <t>07-Jun-07</t>
        </is>
      </c>
      <c r="G958" s="1" t="inlineStr">
        <is>
          <t>LNH0925ND01</t>
        </is>
      </c>
      <c r="H958" s="1" t="inlineStr">
        <is>
          <t>09AV Giao tiep QT (TS)</t>
        </is>
      </c>
      <c r="I958" s="1" t="n">
        <v>7415000</v>
      </c>
      <c r="J958" s="1" t="inlineStr">
        <is>
          <t>DO XUAN THANH DO XUAN THANH   25800400142  LNH092 5ND01  0963029727 TAI IBT BIDV                 HANOI</t>
        </is>
      </c>
    </row>
    <row r="959">
      <c r="A959" s="1" t="inlineStr">
        <is>
          <t>05-Sep-25</t>
        </is>
      </c>
      <c r="B959" s="1" t="inlineStr">
        <is>
          <t>I61994</t>
        </is>
      </c>
      <c r="C959" s="1" t="inlineStr">
        <is>
          <t>25808600180</t>
        </is>
      </c>
      <c r="D959" s="1" t="inlineStr">
        <is>
          <t>Nguyeãn Noâng Khaùnh</t>
        </is>
      </c>
      <c r="E959" s="1" t="inlineStr">
        <is>
          <t>Linh</t>
        </is>
      </c>
      <c r="F959" s="1" t="inlineStr">
        <is>
          <t>21-Aug-07</t>
        </is>
      </c>
      <c r="G959" s="1" t="inlineStr">
        <is>
          <t>LNH0925ND01</t>
        </is>
      </c>
      <c r="H959" s="1" t="inlineStr">
        <is>
          <t>09AV Giao tiep QT (TS)</t>
        </is>
      </c>
      <c r="I959" s="1" t="n">
        <v>7415000</v>
      </c>
      <c r="J959" s="1" t="inlineStr">
        <is>
          <t>LE THI LUONG ABBank 0521043748045 Nguyen Nong Kh anh Linh 25808600180 LNH0925ND010 0 385099538 TAI Agribank</t>
        </is>
      </c>
    </row>
    <row r="960">
      <c r="A960" s="1" t="inlineStr">
        <is>
          <t>05-Sep-25</t>
        </is>
      </c>
      <c r="B960" s="1" t="inlineStr">
        <is>
          <t>I61995</t>
        </is>
      </c>
      <c r="C960" s="1" t="inlineStr">
        <is>
          <t>25802600004</t>
        </is>
      </c>
      <c r="D960" s="1" t="inlineStr">
        <is>
          <t>Nguyeãn Chaâu</t>
        </is>
      </c>
      <c r="E960" s="1" t="inlineStr">
        <is>
          <t>Anh</t>
        </is>
      </c>
      <c r="F960" s="1" t="inlineStr">
        <is>
          <t>24-May-06</t>
        </is>
      </c>
      <c r="G960" s="1" t="inlineStr">
        <is>
          <t>LNH0925ND01</t>
        </is>
      </c>
      <c r="H960" s="1" t="inlineStr">
        <is>
          <t>09AV Giao tiep QT (TS)</t>
        </is>
      </c>
      <c r="I960" s="1" t="n">
        <v>7415000</v>
      </c>
      <c r="J960" s="1" t="inlineStr">
        <is>
          <t>MBBANK IBFT Nguyen Chau Anh 25802600004 LNH0925 ND01 0961238705 TAI IBT-MB                   HANOI</t>
        </is>
      </c>
    </row>
    <row r="961">
      <c r="A961" s="1" t="inlineStr">
        <is>
          <t>05-Sep-25</t>
        </is>
      </c>
      <c r="B961" s="1" t="inlineStr">
        <is>
          <t>I61996</t>
        </is>
      </c>
      <c r="C961" s="1" t="inlineStr">
        <is>
          <t>25802800144</t>
        </is>
      </c>
      <c r="D961" s="1" t="inlineStr">
        <is>
          <t>Phaïm Nguyeãn Ngoïc</t>
        </is>
      </c>
      <c r="E961" s="1" t="inlineStr">
        <is>
          <t>Mai</t>
        </is>
      </c>
      <c r="F961" s="1" t="inlineStr">
        <is>
          <t>13-Jul-07</t>
        </is>
      </c>
      <c r="G961" s="1" t="inlineStr">
        <is>
          <t>LNH0925ND01</t>
        </is>
      </c>
      <c r="H961" s="1" t="inlineStr">
        <is>
          <t>09AV Giao tiep QT (TS)</t>
        </is>
      </c>
      <c r="I961" s="1" t="n">
        <v>7415000</v>
      </c>
      <c r="J961" s="1" t="inlineStr">
        <is>
          <t>NGUYEN THI XUAN QUYNH 25802800144  LNH0925ND01  098767175 9 TAI IBT TIENPHONGBANK      HANOI</t>
        </is>
      </c>
    </row>
    <row r="962">
      <c r="A962" s="1" t="inlineStr">
        <is>
          <t>05-Sep-25</t>
        </is>
      </c>
      <c r="B962" s="1" t="inlineStr">
        <is>
          <t>I61997</t>
        </is>
      </c>
      <c r="C962" s="1" t="inlineStr">
        <is>
          <t>25807800153</t>
        </is>
      </c>
      <c r="D962" s="1" t="inlineStr">
        <is>
          <t>Hoaøng Vaên</t>
        </is>
      </c>
      <c r="E962" s="1" t="inlineStr">
        <is>
          <t>Tröôøng</t>
        </is>
      </c>
      <c r="F962" s="1" t="inlineStr">
        <is>
          <t>11-Apr-07</t>
        </is>
      </c>
      <c r="G962" s="1" t="inlineStr">
        <is>
          <t>LNH0925ND01</t>
        </is>
      </c>
      <c r="H962" s="1" t="inlineStr">
        <is>
          <t>09AV Giao tiep QT (TS)</t>
        </is>
      </c>
      <c r="I962" s="1" t="n">
        <v>7415000</v>
      </c>
      <c r="J962" s="1" t="inlineStr">
        <is>
          <t>MBBANK IBFT HOANG VAN TRUONG 25807800153 LNH092 5ND01 0349893124 TAI IBT-MB                   HANOI</t>
        </is>
      </c>
    </row>
    <row r="963">
      <c r="A963" s="1" t="inlineStr">
        <is>
          <t>06-Sep-25</t>
        </is>
      </c>
      <c r="B963" s="1" t="inlineStr">
        <is>
          <t>I62004</t>
        </is>
      </c>
      <c r="C963" s="1" t="inlineStr">
        <is>
          <t>25801200005</t>
        </is>
      </c>
      <c r="D963" s="1" t="inlineStr">
        <is>
          <t>Nguyeãn Theá</t>
        </is>
      </c>
      <c r="E963" s="1" t="inlineStr">
        <is>
          <t>Baûo</t>
        </is>
      </c>
      <c r="F963" s="1" t="inlineStr">
        <is>
          <t>10-Apr-07</t>
        </is>
      </c>
      <c r="G963" s="1" t="inlineStr">
        <is>
          <t>LNH0925ND01</t>
        </is>
      </c>
      <c r="H963" s="1" t="inlineStr">
        <is>
          <t>09AV Giao tiep QT (TS)</t>
        </is>
      </c>
      <c r="I963" s="1" t="n">
        <v>1100000</v>
      </c>
      <c r="J963" s="1" t="inlineStr">
        <is>
          <t>NGUYEN THE BAO NGUYEN THE BAO   25801200005    LNH 0925ND01   0395950474 TAI IBT BIDV                 HANOI</t>
        </is>
      </c>
    </row>
    <row r="964">
      <c r="A964" s="1" t="inlineStr">
        <is>
          <t>06-Sep-25</t>
        </is>
      </c>
      <c r="B964" s="1" t="inlineStr">
        <is>
          <t>I62005</t>
        </is>
      </c>
      <c r="C964" s="1" t="inlineStr">
        <is>
          <t>25802100007</t>
        </is>
      </c>
      <c r="D964" s="1" t="inlineStr">
        <is>
          <t>Voõ Thaønh</t>
        </is>
      </c>
      <c r="E964" s="1" t="inlineStr">
        <is>
          <t>Ñaït</t>
        </is>
      </c>
      <c r="F964" s="1" t="inlineStr">
        <is>
          <t>14-Apr-07</t>
        </is>
      </c>
      <c r="G964" s="1" t="inlineStr">
        <is>
          <t>LNH0925ND01</t>
        </is>
      </c>
      <c r="H964" s="1" t="inlineStr">
        <is>
          <t>09AV Giao tiep QT (TS)</t>
        </is>
      </c>
      <c r="I964" s="1" t="n">
        <v>3465000</v>
      </c>
      <c r="J964" s="1" t="inlineStr">
        <is>
          <t>MBBANK IBFT VO THANH DAT 25802100007 LNH0925ND0 1 0898764453 TAI IBT-MB                   HANOI</t>
        </is>
      </c>
    </row>
    <row r="965">
      <c r="A965" s="1" t="inlineStr">
        <is>
          <t>06-Sep-25</t>
        </is>
      </c>
      <c r="B965" s="1" t="inlineStr">
        <is>
          <t>I62006</t>
        </is>
      </c>
      <c r="C965" s="1" t="inlineStr">
        <is>
          <t>25800500113</t>
        </is>
      </c>
      <c r="D965" s="1" t="inlineStr">
        <is>
          <t>Nguyeãn Chí</t>
        </is>
      </c>
      <c r="E965" s="1" t="inlineStr">
        <is>
          <t>Nam</t>
        </is>
      </c>
      <c r="F965" s="1" t="inlineStr">
        <is>
          <t>24-Sep-07</t>
        </is>
      </c>
      <c r="G965" s="1" t="inlineStr">
        <is>
          <t>LNH0925ND01</t>
        </is>
      </c>
      <c r="H965" s="1" t="inlineStr">
        <is>
          <t>09AV Giao tiep QT (TS)</t>
        </is>
      </c>
      <c r="I965" s="1" t="n">
        <v>3465000</v>
      </c>
      <c r="J965" s="1" t="inlineStr">
        <is>
          <t>MBBANK IBFT Nguyen Chi Nam 25800500113 LNH0925N D01 0984417724 TAI IBT-MB                   HANOI</t>
        </is>
      </c>
    </row>
    <row r="966">
      <c r="A966" s="1" t="inlineStr">
        <is>
          <t>06-Sep-25</t>
        </is>
      </c>
      <c r="B966" s="1" t="inlineStr">
        <is>
          <t>I62007</t>
        </is>
      </c>
      <c r="C966" s="1" t="inlineStr">
        <is>
          <t>25802400010</t>
        </is>
      </c>
      <c r="D966" s="1" t="inlineStr">
        <is>
          <t>Nguyeãn Thò Thaûo</t>
        </is>
      </c>
      <c r="E966" s="1" t="inlineStr">
        <is>
          <t>Linh</t>
        </is>
      </c>
      <c r="F966" s="1" t="inlineStr">
        <is>
          <t>22-Jan-07</t>
        </is>
      </c>
      <c r="G966" s="1" t="inlineStr">
        <is>
          <t>LNH0925ND01</t>
        </is>
      </c>
      <c r="H966" s="1" t="inlineStr">
        <is>
          <t>09AV Giao tiep QT (TS)</t>
        </is>
      </c>
      <c r="I966" s="1" t="n">
        <v>3940000</v>
      </c>
      <c r="J966" s="1" t="inlineStr">
        <is>
          <t>MBBANK IBFT Nguyen Thi Thao Linh MSSV2580240001 0 LNH0925ND01 SDT0375223958 TAI IBT-MB                   HANOI</t>
        </is>
      </c>
    </row>
    <row r="967">
      <c r="A967" s="1" t="inlineStr">
        <is>
          <t>06-Sep-25</t>
        </is>
      </c>
      <c r="B967" s="1" t="inlineStr">
        <is>
          <t>I62008</t>
        </is>
      </c>
      <c r="C967" s="1" t="inlineStr">
        <is>
          <t>25800500007</t>
        </is>
      </c>
      <c r="D967" s="1" t="inlineStr">
        <is>
          <t>Nguyeãn Huy</t>
        </is>
      </c>
      <c r="E967" s="1" t="inlineStr">
        <is>
          <t>Anh</t>
        </is>
      </c>
      <c r="F967" s="1" t="inlineStr">
        <is>
          <t>13-Dec-07</t>
        </is>
      </c>
      <c r="G967" s="1" t="inlineStr">
        <is>
          <t>LNH0925ND01</t>
        </is>
      </c>
      <c r="H967" s="1" t="inlineStr">
        <is>
          <t>09AV Giao tiep QT (TS)</t>
        </is>
      </c>
      <c r="I967" s="1" t="n">
        <v>7415000</v>
      </c>
      <c r="J967" s="1" t="inlineStr">
        <is>
          <t>NGUYEN KIM LAN nguyen huy anh mssv 25800500007 LNH 0925ND01 sdt ph 0902424765 TAI VietinBank</t>
        </is>
      </c>
    </row>
    <row r="968">
      <c r="A968" s="1" t="inlineStr">
        <is>
          <t>06-Sep-25</t>
        </is>
      </c>
      <c r="B968" s="1" t="inlineStr">
        <is>
          <t>I62009</t>
        </is>
      </c>
      <c r="C968" s="1" t="inlineStr">
        <is>
          <t>25806000071</t>
        </is>
      </c>
      <c r="D968" s="1" t="inlineStr">
        <is>
          <t>Traàn Gia</t>
        </is>
      </c>
      <c r="E968" s="1" t="inlineStr">
        <is>
          <t>Nghi</t>
        </is>
      </c>
      <c r="F968" s="1" t="inlineStr">
        <is>
          <t>12-Jun-07</t>
        </is>
      </c>
      <c r="G968" s="1" t="inlineStr">
        <is>
          <t>LNH0925ND01</t>
        </is>
      </c>
      <c r="H968" s="1" t="inlineStr">
        <is>
          <t>09AV Giao tiep QT (TS)</t>
        </is>
      </c>
      <c r="I968" s="1" t="n">
        <v>7415000</v>
      </c>
      <c r="J968" s="1" t="inlineStr">
        <is>
          <t>TRAN GIA NGHI MBVCB.10813621608.211351.TRAN GIA N GHI  25806000071  LNH0925ND01  0347 941391.CT tu 1059523082 TRAN GIA NG HI toi 0521043748045 HUTECH tai ABBANK TAI Vietcombank</t>
        </is>
      </c>
    </row>
    <row r="969">
      <c r="A969" s="1" t="inlineStr">
        <is>
          <t>06-Sep-25</t>
        </is>
      </c>
      <c r="B969" s="1" t="inlineStr">
        <is>
          <t>I62010</t>
        </is>
      </c>
      <c r="C969" s="1" t="inlineStr">
        <is>
          <t>25805800021</t>
        </is>
      </c>
      <c r="D969" s="1" t="inlineStr">
        <is>
          <t>Ñinh Ngoïc Phöông</t>
        </is>
      </c>
      <c r="E969" s="1" t="inlineStr">
        <is>
          <t>Ngaân</t>
        </is>
      </c>
      <c r="F969" s="1" t="inlineStr">
        <is>
          <t>21-Nov-07</t>
        </is>
      </c>
      <c r="G969" s="1" t="inlineStr">
        <is>
          <t>LNH0925ND01</t>
        </is>
      </c>
      <c r="H969" s="1" t="inlineStr">
        <is>
          <t>09AV Giao tiep QT (TS)</t>
        </is>
      </c>
      <c r="I969" s="1" t="n">
        <v>7415000</v>
      </c>
      <c r="J969" s="1" t="inlineStr">
        <is>
          <t>DINH DAI PHAT DINH NGOC PHUONG NGAN 25805800021 L NH0925ND01 0779040488-060925-11 05 22 902850 TAI Ngan hang a chau       IBT SMARLINK</t>
        </is>
      </c>
    </row>
    <row r="970">
      <c r="A970" s="1" t="inlineStr">
        <is>
          <t>06-Sep-25</t>
        </is>
      </c>
      <c r="B970" s="1" t="inlineStr">
        <is>
          <t>I62011</t>
        </is>
      </c>
      <c r="C970" s="1" t="inlineStr">
        <is>
          <t>25808700079</t>
        </is>
      </c>
      <c r="D970" s="1" t="inlineStr">
        <is>
          <t>Ñaëng Hieåu</t>
        </is>
      </c>
      <c r="E970" s="1" t="inlineStr">
        <is>
          <t>Phuùc</t>
        </is>
      </c>
      <c r="F970" s="1" t="inlineStr">
        <is>
          <t>30-Jan-07</t>
        </is>
      </c>
      <c r="G970" s="1" t="inlineStr">
        <is>
          <t>LNH0925ND01</t>
        </is>
      </c>
      <c r="H970" s="1" t="inlineStr">
        <is>
          <t>09AV Giao tiep QT (TS)</t>
        </is>
      </c>
      <c r="I970" s="1" t="n">
        <v>7415000</v>
      </c>
      <c r="J970" s="1" t="inlineStr">
        <is>
          <t>DANG HIEU PHUC MBVCB.10815262709.309570.Dang HIEU PHUC  MSSV:25808700079  LNH0925ND01 sdtsv 0915384944.CT tu 1058212399 DANG HIEU PHUC toi 0521043748045 HUTECH tai ABBANK TAI Vietcombank</t>
        </is>
      </c>
    </row>
    <row r="971">
      <c r="A971" s="1" t="inlineStr">
        <is>
          <t>06-Sep-25</t>
        </is>
      </c>
      <c r="B971" s="1" t="inlineStr">
        <is>
          <t>I62012</t>
        </is>
      </c>
      <c r="C971" s="1" t="inlineStr">
        <is>
          <t>25802800289</t>
        </is>
      </c>
      <c r="D971" s="1" t="inlineStr">
        <is>
          <t>Nguyeãn Thò Lan</t>
        </is>
      </c>
      <c r="E971" s="1" t="inlineStr">
        <is>
          <t>Töôøng</t>
        </is>
      </c>
      <c r="F971" s="1" t="inlineStr">
        <is>
          <t>19-Mar-07</t>
        </is>
      </c>
      <c r="G971" s="1" t="inlineStr">
        <is>
          <t>LNH0925ND01</t>
        </is>
      </c>
      <c r="H971" s="1" t="inlineStr">
        <is>
          <t>09AV Giao tiep QT (TS)</t>
        </is>
      </c>
      <c r="I971" s="1" t="n">
        <v>7415000</v>
      </c>
      <c r="J971" s="1" t="inlineStr">
        <is>
          <t>SACOMBANK IBFT NGUYEN THI LAN TUONG 258028002 89 LNH0925ND01 0348955616 TAI SACOMBANK              HCM</t>
        </is>
      </c>
    </row>
    <row r="972">
      <c r="A972" s="1" t="inlineStr">
        <is>
          <t>06-Sep-25</t>
        </is>
      </c>
      <c r="B972" s="1" t="inlineStr">
        <is>
          <t>I62013</t>
        </is>
      </c>
      <c r="C972" s="1" t="inlineStr">
        <is>
          <t>25807800110</t>
        </is>
      </c>
      <c r="D972" s="1" t="inlineStr">
        <is>
          <t>Nguyeãn Duyeân Hoaøn</t>
        </is>
      </c>
      <c r="E972" s="1" t="inlineStr">
        <is>
          <t>Phuùc</t>
        </is>
      </c>
      <c r="F972" s="1" t="inlineStr">
        <is>
          <t>13-Dec-07</t>
        </is>
      </c>
      <c r="G972" s="1" t="inlineStr">
        <is>
          <t>LNH0925ND01</t>
        </is>
      </c>
      <c r="H972" s="1" t="inlineStr">
        <is>
          <t>09AV Giao tiep QT (TS)</t>
        </is>
      </c>
      <c r="I972" s="1" t="n">
        <v>7415000</v>
      </c>
      <c r="J972" s="1" t="inlineStr">
        <is>
          <t>MBBANK IBFT NGUYEN DUYEN HOANG PHUC 25807800110 LNH0925ND01 0774631154 TAI IBT-MB                   HANOI</t>
        </is>
      </c>
    </row>
    <row r="973">
      <c r="A973" s="1" t="inlineStr">
        <is>
          <t>06-Sep-25</t>
        </is>
      </c>
      <c r="B973" s="1" t="inlineStr">
        <is>
          <t>I62014</t>
        </is>
      </c>
      <c r="C973" s="1" t="inlineStr">
        <is>
          <t>25801100076</t>
        </is>
      </c>
      <c r="D973" s="1" t="inlineStr">
        <is>
          <t>Traàn Huyønh Vaïn</t>
        </is>
      </c>
      <c r="E973" s="1" t="inlineStr">
        <is>
          <t>Trí</t>
        </is>
      </c>
      <c r="F973" s="1" t="inlineStr">
        <is>
          <t>10-Oct-07</t>
        </is>
      </c>
      <c r="G973" s="1" t="inlineStr">
        <is>
          <t>LNH0925ND01</t>
        </is>
      </c>
      <c r="H973" s="1" t="inlineStr">
        <is>
          <t>09AV Giao tiep QT (TS)</t>
        </is>
      </c>
      <c r="I973" s="1" t="n">
        <v>7415000</v>
      </c>
      <c r="J973" s="1" t="inlineStr">
        <is>
          <t>HUYNH PHAN THUY DUONG MBVCB.10819013040.841860.TRAN HUYNH VAN TRI-25801100076-LNH0925ND01-03 69672162.CT tu 1049155053 HUYNH PHA N THUY DUONG toi 0521043748045 HUTECH tai ABBANK TAI Vietcombank</t>
        </is>
      </c>
    </row>
    <row r="974">
      <c r="A974" s="1" t="inlineStr">
        <is>
          <t>06-Sep-25</t>
        </is>
      </c>
      <c r="B974" s="1" t="inlineStr">
        <is>
          <t>I62015</t>
        </is>
      </c>
      <c r="C974" s="1" t="inlineStr">
        <is>
          <t>25802700081</t>
        </is>
      </c>
      <c r="D974" s="1" t="inlineStr">
        <is>
          <t>Döông Nguyeãn Ngoïc</t>
        </is>
      </c>
      <c r="E974" s="1" t="inlineStr">
        <is>
          <t>Thaéng</t>
        </is>
      </c>
      <c r="F974" s="1" t="inlineStr">
        <is>
          <t>21-May-07</t>
        </is>
      </c>
      <c r="G974" s="1" t="inlineStr">
        <is>
          <t>LNH0925ND01</t>
        </is>
      </c>
      <c r="H974" s="1" t="inlineStr">
        <is>
          <t>09AV Giao tiep QT (TS)</t>
        </is>
      </c>
      <c r="I974" s="1" t="n">
        <v>7415000</v>
      </c>
      <c r="J974" s="1" t="inlineStr">
        <is>
          <t>MBBANK IBFT DUONG NGUYEN NGOC THANG25802700081L NH0925ND010825542042 TAI IBT-MB                   HANOI</t>
        </is>
      </c>
    </row>
    <row r="975">
      <c r="A975" s="1" t="inlineStr">
        <is>
          <t>06-Sep-25</t>
        </is>
      </c>
      <c r="B975" s="1" t="inlineStr">
        <is>
          <t>I62016</t>
        </is>
      </c>
      <c r="C975" s="1" t="inlineStr">
        <is>
          <t>25801200012</t>
        </is>
      </c>
      <c r="D975" s="1" t="inlineStr">
        <is>
          <t>Höùa Nguyeãn Gia</t>
        </is>
      </c>
      <c r="E975" s="1" t="inlineStr">
        <is>
          <t>Haân</t>
        </is>
      </c>
      <c r="F975" s="1" t="inlineStr">
        <is>
          <t>08-Jan-07</t>
        </is>
      </c>
      <c r="G975" s="1" t="inlineStr">
        <is>
          <t>LNH0925ND01</t>
        </is>
      </c>
      <c r="H975" s="1" t="inlineStr">
        <is>
          <t>09AV Giao tiep QT (TS)</t>
        </is>
      </c>
      <c r="I975" s="1" t="n">
        <v>7415000</v>
      </c>
      <c r="J975" s="1" t="inlineStr">
        <is>
          <t>MBBANK IBFT HUA NGUYEN GIA HAN 25801200012 LNH0 925ND01 0943284343 TAI IBT-MB                   HANOI</t>
        </is>
      </c>
    </row>
    <row r="976">
      <c r="A976" s="1" t="inlineStr">
        <is>
          <t>08-Sep-25</t>
        </is>
      </c>
      <c r="B976" s="1" t="inlineStr">
        <is>
          <t>I62371</t>
        </is>
      </c>
      <c r="C976" s="1" t="inlineStr">
        <is>
          <t>25802300057</t>
        </is>
      </c>
      <c r="D976" s="1" t="inlineStr">
        <is>
          <t>Nguyeãn Vaên</t>
        </is>
      </c>
      <c r="E976" s="1" t="inlineStr">
        <is>
          <t>Ñònh</t>
        </is>
      </c>
      <c r="F976" s="1" t="inlineStr">
        <is>
          <t>08-Apr-07</t>
        </is>
      </c>
      <c r="G976" s="1" t="inlineStr">
        <is>
          <t>LNH0925ND01</t>
        </is>
      </c>
      <c r="H976" s="1" t="inlineStr">
        <is>
          <t>09AV Giao tiep QT (TS)</t>
        </is>
      </c>
      <c r="I976" s="1" t="n">
        <v>1100000</v>
      </c>
      <c r="J976" s="1" t="inlineStr">
        <is>
          <t>NGUYEN VAN DINH NGUYEN VAN DINH 25802300057 LNH0925 ND01 SDT0362584509 TAI IBT BIDV                 HANOI</t>
        </is>
      </c>
    </row>
    <row r="977">
      <c r="A977" s="1" t="inlineStr">
        <is>
          <t>08-Sep-25</t>
        </is>
      </c>
      <c r="B977" s="1" t="inlineStr">
        <is>
          <t>I62372</t>
        </is>
      </c>
      <c r="C977" s="1" t="inlineStr">
        <is>
          <t>25809600002</t>
        </is>
      </c>
      <c r="D977" s="1" t="inlineStr">
        <is>
          <t>Nguyeãn Traàn Tuaán</t>
        </is>
      </c>
      <c r="E977" s="1" t="inlineStr">
        <is>
          <t>Anh</t>
        </is>
      </c>
      <c r="F977" s="1" t="inlineStr">
        <is>
          <t>14-Jun-06</t>
        </is>
      </c>
      <c r="G977" s="1" t="inlineStr">
        <is>
          <t>LNH0925ND01</t>
        </is>
      </c>
      <c r="H977" s="1" t="inlineStr">
        <is>
          <t>09AV Giao tiep QT (TS)</t>
        </is>
      </c>
      <c r="I977" s="1" t="n">
        <v>1100000</v>
      </c>
      <c r="J977" s="1" t="inlineStr">
        <is>
          <t>MBBANK IBFT Nguyen Tran Tuan Anh  25809600002 L NH0925ND01  0329455788 TAI IBT-MB                   HANOI</t>
        </is>
      </c>
    </row>
    <row r="978">
      <c r="A978" s="1" t="inlineStr">
        <is>
          <t>08-Sep-25</t>
        </is>
      </c>
      <c r="B978" s="1" t="inlineStr">
        <is>
          <t>I62373</t>
        </is>
      </c>
      <c r="C978" s="1" t="inlineStr">
        <is>
          <t>25808300060</t>
        </is>
      </c>
      <c r="D978" s="1" t="inlineStr">
        <is>
          <t>Ñaëng Ngoïc Tuù</t>
        </is>
      </c>
      <c r="E978" s="1" t="inlineStr">
        <is>
          <t>Uyeân</t>
        </is>
      </c>
      <c r="F978" s="1" t="inlineStr">
        <is>
          <t>25-Aug-06</t>
        </is>
      </c>
      <c r="G978" s="1" t="inlineStr">
        <is>
          <t>LNH0925ND01</t>
        </is>
      </c>
      <c r="H978" s="1" t="inlineStr">
        <is>
          <t>09AV Giao tiep QT (TS)</t>
        </is>
      </c>
      <c r="I978" s="1" t="n">
        <v>1100000</v>
      </c>
      <c r="J978" s="1" t="inlineStr">
        <is>
          <t>MBBANK IBFT Dang Ngoc Tu Uyen 25808300060 LNH09 25ND01 0981541065 TAI IBT-MB                   HANOI</t>
        </is>
      </c>
    </row>
    <row r="979">
      <c r="A979" s="1" t="inlineStr">
        <is>
          <t>08-Sep-25</t>
        </is>
      </c>
      <c r="B979" s="1" t="inlineStr">
        <is>
          <t>I62374</t>
        </is>
      </c>
      <c r="C979" s="1" t="inlineStr">
        <is>
          <t>25808500274</t>
        </is>
      </c>
      <c r="D979" s="1" t="inlineStr">
        <is>
          <t>Nguyeãn Troïng</t>
        </is>
      </c>
      <c r="E979" s="1" t="inlineStr">
        <is>
          <t>Phaùt</t>
        </is>
      </c>
      <c r="F979" s="1" t="inlineStr">
        <is>
          <t>22-Dec-07</t>
        </is>
      </c>
      <c r="G979" s="1" t="inlineStr">
        <is>
          <t>LNH0925ND01</t>
        </is>
      </c>
      <c r="H979" s="1" t="inlineStr">
        <is>
          <t>09AV Giao tiep QT (TS)</t>
        </is>
      </c>
      <c r="I979" s="1" t="n">
        <v>2100000</v>
      </c>
      <c r="J979" s="1" t="inlineStr">
        <is>
          <t>SACOMBANK IBFT Nguyen Trong Phat mssv 2580850 0274 TAI SACOMBANK              HCM</t>
        </is>
      </c>
    </row>
    <row r="980">
      <c r="A980" s="1" t="inlineStr">
        <is>
          <t>08-Sep-25</t>
        </is>
      </c>
      <c r="B980" s="1" t="inlineStr">
        <is>
          <t>I62375</t>
        </is>
      </c>
      <c r="C980" s="1" t="inlineStr">
        <is>
          <t>25800400273</t>
        </is>
      </c>
      <c r="D980" s="1" t="inlineStr">
        <is>
          <t>Nguyeãn Duy</t>
        </is>
      </c>
      <c r="E980" s="1" t="inlineStr">
        <is>
          <t>An</t>
        </is>
      </c>
      <c r="F980" s="1" t="inlineStr">
        <is>
          <t>22-Mar-07</t>
        </is>
      </c>
      <c r="G980" s="1" t="inlineStr">
        <is>
          <t>LNH0925ND01</t>
        </is>
      </c>
      <c r="H980" s="1" t="inlineStr">
        <is>
          <t>09AV Giao tiep QT (TS)</t>
        </is>
      </c>
      <c r="I980" s="1" t="n">
        <v>3465000</v>
      </c>
      <c r="J980" s="1" t="inlineStr">
        <is>
          <t>MBBANK IBFT Nguyen Duy An MSSV  25800400273 LNH 0925ND01 sdt  0347019985 TAI IBT-MB                   HANOI</t>
        </is>
      </c>
    </row>
    <row r="981">
      <c r="A981" s="1" t="inlineStr">
        <is>
          <t>08-Sep-25</t>
        </is>
      </c>
      <c r="B981" s="1" t="inlineStr">
        <is>
          <t>I62376</t>
        </is>
      </c>
      <c r="C981" s="1" t="inlineStr">
        <is>
          <t>25800600195</t>
        </is>
      </c>
      <c r="D981" s="1" t="inlineStr">
        <is>
          <t>Nguyeãn Thanh</t>
        </is>
      </c>
      <c r="E981" s="1" t="inlineStr">
        <is>
          <t>Hieàn</t>
        </is>
      </c>
      <c r="F981" s="1" t="inlineStr">
        <is>
          <t>09-Aug-07</t>
        </is>
      </c>
      <c r="G981" s="1" t="inlineStr">
        <is>
          <t>LNH0925ND01</t>
        </is>
      </c>
      <c r="H981" s="1" t="inlineStr">
        <is>
          <t>09AV Giao tiep QT (TS)</t>
        </is>
      </c>
      <c r="I981" s="1" t="n">
        <v>3465000</v>
      </c>
      <c r="J981" s="1" t="inlineStr">
        <is>
          <t>MBBANK IBFT Nguyen Thanh Hien 25800600195 LNH09 25ND01 0354019177 TAI IBT-MB                   HANOI</t>
        </is>
      </c>
    </row>
    <row r="982">
      <c r="A982" s="1" t="inlineStr">
        <is>
          <t>08-Sep-25</t>
        </is>
      </c>
      <c r="B982" s="1" t="inlineStr">
        <is>
          <t>I62377</t>
        </is>
      </c>
      <c r="C982" s="1" t="inlineStr">
        <is>
          <t>25807500093</t>
        </is>
      </c>
      <c r="D982" s="1" t="inlineStr">
        <is>
          <t>Voõ Thaønh</t>
        </is>
      </c>
      <c r="E982" s="1" t="inlineStr">
        <is>
          <t>Phaùt</t>
        </is>
      </c>
      <c r="F982" s="1" t="inlineStr">
        <is>
          <t>09-Aug-07</t>
        </is>
      </c>
      <c r="G982" s="1" t="inlineStr">
        <is>
          <t>LNH0925ND01</t>
        </is>
      </c>
      <c r="H982" s="1" t="inlineStr">
        <is>
          <t>09AV Giao tiep QT (TS)</t>
        </is>
      </c>
      <c r="I982" s="1" t="n">
        <v>3465000</v>
      </c>
      <c r="J982" s="1" t="inlineStr">
        <is>
          <t>MBBANK IBFT VO THANH PHAT 25807500093 LNH0925ND 01 0852230997 TAI IBT-MB                   HANOI</t>
        </is>
      </c>
    </row>
    <row r="983">
      <c r="A983" s="1" t="inlineStr">
        <is>
          <t>08-Sep-25</t>
        </is>
      </c>
      <c r="B983" s="1" t="inlineStr">
        <is>
          <t>I62378</t>
        </is>
      </c>
      <c r="C983" s="1" t="inlineStr">
        <is>
          <t>25807500124</t>
        </is>
      </c>
      <c r="D983" s="1" t="inlineStr">
        <is>
          <t>Nguyeãn Anh</t>
        </is>
      </c>
      <c r="E983" s="1" t="inlineStr">
        <is>
          <t>Thö</t>
        </is>
      </c>
      <c r="F983" s="1" t="inlineStr">
        <is>
          <t>26-Oct-07</t>
        </is>
      </c>
      <c r="G983" s="1" t="inlineStr">
        <is>
          <t>LNH0925ND01</t>
        </is>
      </c>
      <c r="H983" s="1" t="inlineStr">
        <is>
          <t>09AV Giao tiep QT (TS)</t>
        </is>
      </c>
      <c r="I983" s="1" t="n">
        <v>6000000</v>
      </c>
      <c r="J983" s="1" t="inlineStr">
        <is>
          <t>MBBANK IBFT NGUYEN ANH THU 25807500124LNH0925ND 010919213735 TAI IBT-MB                   HANOI</t>
        </is>
      </c>
    </row>
    <row r="984">
      <c r="A984" s="1" t="inlineStr">
        <is>
          <t>08-Sep-25</t>
        </is>
      </c>
      <c r="B984" s="1" t="inlineStr">
        <is>
          <t>I62379</t>
        </is>
      </c>
      <c r="C984" s="1" t="inlineStr">
        <is>
          <t>25820200068</t>
        </is>
      </c>
      <c r="D984" s="1" t="inlineStr">
        <is>
          <t>Nguyeãn Minh Nhö</t>
        </is>
      </c>
      <c r="E984" s="1" t="inlineStr">
        <is>
          <t>YÙ</t>
        </is>
      </c>
      <c r="F984" s="1" t="inlineStr">
        <is>
          <t>05-Nov-07</t>
        </is>
      </c>
      <c r="G984" s="1" t="inlineStr">
        <is>
          <t>LNH0925ND01</t>
        </is>
      </c>
      <c r="H984" s="1" t="inlineStr">
        <is>
          <t>09AV Giao tiep QT (TS)</t>
        </is>
      </c>
      <c r="I984" s="1" t="n">
        <v>7415000</v>
      </c>
      <c r="J984" s="1" t="inlineStr">
        <is>
          <t>MBBANK IBFT Nguyen Minh Nhu Y 25820200068 LNH09 25ND01 0858743397 TAI IBT-MB                   HANOI</t>
        </is>
      </c>
    </row>
    <row r="985">
      <c r="A985" s="1" t="inlineStr">
        <is>
          <t>08-Sep-25</t>
        </is>
      </c>
      <c r="B985" s="1" t="inlineStr">
        <is>
          <t>I62380</t>
        </is>
      </c>
      <c r="C985" s="1" t="inlineStr">
        <is>
          <t>25808600090</t>
        </is>
      </c>
      <c r="D985" s="1" t="inlineStr">
        <is>
          <t>Ñoã Thò Minh</t>
        </is>
      </c>
      <c r="E985" s="1" t="inlineStr">
        <is>
          <t>Phöông</t>
        </is>
      </c>
      <c r="F985" s="1" t="inlineStr">
        <is>
          <t>13-May-07</t>
        </is>
      </c>
      <c r="G985" s="1" t="inlineStr">
        <is>
          <t>LNH0925ND01</t>
        </is>
      </c>
      <c r="H985" s="1" t="inlineStr">
        <is>
          <t>09AV Giao tiep QT (TS)</t>
        </is>
      </c>
      <c r="I985" s="1" t="n">
        <v>7415000</v>
      </c>
      <c r="J985" s="1" t="inlineStr">
        <is>
          <t>MBBANK IBFT DO THI MINH PHUONG 25808600090 LNH0 925ND01 0862174890 TAI IBT-MB                   HANOI</t>
        </is>
      </c>
    </row>
    <row r="986">
      <c r="A986" s="1" t="inlineStr">
        <is>
          <t>08-Sep-25</t>
        </is>
      </c>
      <c r="B986" s="1" t="inlineStr">
        <is>
          <t>I62381</t>
        </is>
      </c>
      <c r="C986" s="1" t="inlineStr">
        <is>
          <t>25808900152</t>
        </is>
      </c>
      <c r="D986" s="1" t="inlineStr">
        <is>
          <t>Voõ Thaønh</t>
        </is>
      </c>
      <c r="E986" s="1" t="inlineStr">
        <is>
          <t>Vinh</t>
        </is>
      </c>
      <c r="F986" s="1" t="inlineStr">
        <is>
          <t>05-Jun-07</t>
        </is>
      </c>
      <c r="G986" s="1" t="inlineStr">
        <is>
          <t>LNH0925ND01</t>
        </is>
      </c>
      <c r="H986" s="1" t="inlineStr">
        <is>
          <t>09AV Giao tiep QT (TS)</t>
        </is>
      </c>
      <c r="I986" s="1" t="n">
        <v>7415000</v>
      </c>
      <c r="J986" s="1" t="inlineStr">
        <is>
          <t>VO NGOC THANH MBVCB.10830111504.471498.VO THANH V INH  25808900152  LNH0925ND01  0763 238107.CT tu 9903983124 VO NGOC THA NH toi 0521043748045 HUTECH tai ABBANK TAI Vietcombank</t>
        </is>
      </c>
    </row>
    <row r="987">
      <c r="A987" s="1" t="inlineStr">
        <is>
          <t>08-Sep-25</t>
        </is>
      </c>
      <c r="B987" s="1" t="inlineStr">
        <is>
          <t>I62382</t>
        </is>
      </c>
      <c r="C987" s="1" t="inlineStr">
        <is>
          <t>25802800035</t>
        </is>
      </c>
      <c r="D987" s="1" t="inlineStr">
        <is>
          <t>Nguyeãn Chuùc</t>
        </is>
      </c>
      <c r="E987" s="1" t="inlineStr">
        <is>
          <t>Duyeân</t>
        </is>
      </c>
      <c r="F987" s="1" t="inlineStr">
        <is>
          <t>27-Aug-07</t>
        </is>
      </c>
      <c r="G987" s="1" t="inlineStr">
        <is>
          <t>LNH0925ND01</t>
        </is>
      </c>
      <c r="H987" s="1" t="inlineStr">
        <is>
          <t>09AV Giao tiep QT (TS)</t>
        </is>
      </c>
      <c r="I987" s="1" t="n">
        <v>0</v>
      </c>
      <c r="J987" s="1" t="inlineStr">
        <is>
          <t>MBBANK IBFT NGUYEN CHUC DUYEN 25802800035 LNH09 25ND01 0353475174 TAI IBT-MB                   HANOI</t>
        </is>
      </c>
    </row>
    <row r="988">
      <c r="A988" s="1" t="inlineStr">
        <is>
          <t>08-Sep-25</t>
        </is>
      </c>
      <c r="B988" s="1" t="inlineStr">
        <is>
          <t>I62383</t>
        </is>
      </c>
      <c r="C988" s="1" t="inlineStr">
        <is>
          <t>25800400150</t>
        </is>
      </c>
      <c r="D988" s="1" t="inlineStr">
        <is>
          <t>Löu Nguyeãn Minh</t>
        </is>
      </c>
      <c r="E988" s="1" t="inlineStr">
        <is>
          <t>Thoâng</t>
        </is>
      </c>
      <c r="F988" s="1" t="inlineStr">
        <is>
          <t>11-Apr-07</t>
        </is>
      </c>
      <c r="G988" s="1" t="inlineStr">
        <is>
          <t>LNH0925ND01</t>
        </is>
      </c>
      <c r="H988" s="1" t="inlineStr">
        <is>
          <t>09AV Giao tiep QT (TS)</t>
        </is>
      </c>
      <c r="I988" s="1" t="n">
        <v>7415000</v>
      </c>
      <c r="J988" s="1" t="inlineStr">
        <is>
          <t>LUU THANH TUNG Luu Nguyen Minh Thong MSSV 25800400 150 sdt 0909445227 lop 3 5 7 TAI HSBC                   VIETNAM</t>
        </is>
      </c>
    </row>
    <row r="989">
      <c r="A989" s="1" t="inlineStr">
        <is>
          <t>08-Sep-25</t>
        </is>
      </c>
      <c r="B989" s="1" t="inlineStr">
        <is>
          <t>I62384</t>
        </is>
      </c>
      <c r="C989" s="1" t="inlineStr">
        <is>
          <t>25802800006</t>
        </is>
      </c>
      <c r="D989" s="1" t="inlineStr">
        <is>
          <t>Leâ Hoàng</t>
        </is>
      </c>
      <c r="E989" s="1" t="inlineStr">
        <is>
          <t>Anh</t>
        </is>
      </c>
      <c r="F989" s="1" t="inlineStr">
        <is>
          <t>07-Oct-07</t>
        </is>
      </c>
      <c r="G989" s="1" t="inlineStr">
        <is>
          <t>LNH0925ND01</t>
        </is>
      </c>
      <c r="H989" s="1" t="inlineStr">
        <is>
          <t>09AV Giao tiep QT (TS)</t>
        </is>
      </c>
      <c r="I989" s="1" t="n">
        <v>7415000</v>
      </c>
      <c r="J989" s="1" t="inlineStr">
        <is>
          <t>LE DUC ANH Le Hong Anh  25802800006  LNH0925ND 01  0345931644 TAI IBT TIENPHONGBANK      HANOI</t>
        </is>
      </c>
    </row>
    <row r="990">
      <c r="A990" s="1" t="inlineStr">
        <is>
          <t>08-Sep-25</t>
        </is>
      </c>
      <c r="B990" s="1" t="inlineStr">
        <is>
          <t>I62385</t>
        </is>
      </c>
      <c r="C990" s="1" t="inlineStr">
        <is>
          <t>25808100019</t>
        </is>
      </c>
      <c r="D990" s="1" t="inlineStr">
        <is>
          <t>Traàn Gia</t>
        </is>
      </c>
      <c r="E990" s="1" t="inlineStr">
        <is>
          <t>Huy</t>
        </is>
      </c>
      <c r="F990" s="1" t="inlineStr">
        <is>
          <t>19-Oct-07</t>
        </is>
      </c>
      <c r="G990" s="1" t="inlineStr">
        <is>
          <t>LNH0925ND01</t>
        </is>
      </c>
      <c r="H990" s="1" t="inlineStr">
        <is>
          <t>09AV Giao tiep QT (TS)</t>
        </is>
      </c>
      <c r="I990" s="1" t="n">
        <v>7415000</v>
      </c>
      <c r="J990" s="1" t="inlineStr">
        <is>
          <t>TRAN VAN TAC ABBank 0521043748045 Tran Gia Huy m ssv25808100019 LNH0925ND01 -dt 0522 462203 TAI Agribank</t>
        </is>
      </c>
    </row>
    <row r="991">
      <c r="A991" s="1" t="inlineStr">
        <is>
          <t>08-Sep-25</t>
        </is>
      </c>
      <c r="B991" s="1" t="inlineStr">
        <is>
          <t>I62386</t>
        </is>
      </c>
      <c r="C991" s="1" t="inlineStr">
        <is>
          <t>25802800351</t>
        </is>
      </c>
      <c r="D991" s="1" t="inlineStr">
        <is>
          <t>Nguyeãn Duy</t>
        </is>
      </c>
      <c r="E991" s="1" t="inlineStr">
        <is>
          <t>Thaéng</t>
        </is>
      </c>
      <c r="F991" s="1" t="inlineStr">
        <is>
          <t>19-Aug-07</t>
        </is>
      </c>
      <c r="G991" s="1" t="inlineStr">
        <is>
          <t>LNH0925ND01</t>
        </is>
      </c>
      <c r="H991" s="1" t="inlineStr">
        <is>
          <t>09AV Giao tiep QT (TS)</t>
        </is>
      </c>
      <c r="I991" s="1" t="n">
        <v>7415000</v>
      </c>
      <c r="J991" s="1" t="inlineStr">
        <is>
          <t>MBBANK IBFT NGUYEN DUY THANG 25802800351 LNH092 5ND01 0344592702 TAI IBT-MB                   HANOI</t>
        </is>
      </c>
    </row>
    <row r="992">
      <c r="A992" s="1" t="inlineStr">
        <is>
          <t>08-Sep-25</t>
        </is>
      </c>
      <c r="B992" s="1" t="inlineStr">
        <is>
          <t>I62387</t>
        </is>
      </c>
      <c r="C992" s="1" t="inlineStr">
        <is>
          <t>25807000017</t>
        </is>
      </c>
      <c r="D992" s="1" t="inlineStr">
        <is>
          <t>Nguyeãn Thanh</t>
        </is>
      </c>
      <c r="E992" s="1" t="inlineStr">
        <is>
          <t>Ngaân</t>
        </is>
      </c>
      <c r="F992" s="1" t="inlineStr">
        <is>
          <t>31-Oct-06</t>
        </is>
      </c>
      <c r="G992" s="1" t="inlineStr">
        <is>
          <t>LNH0925ND01</t>
        </is>
      </c>
      <c r="H992" s="1" t="inlineStr">
        <is>
          <t>09AV Giao tiep QT (TS)</t>
        </is>
      </c>
      <c r="I992" s="1" t="n">
        <v>7415000</v>
      </c>
      <c r="J992" s="1" t="inlineStr">
        <is>
          <t>MBBANK IBFT Nguyen Thanh Ngan25807000017LNH0925 ND010338998541 TAI IBT-MB                   HANOI</t>
        </is>
      </c>
    </row>
    <row r="993">
      <c r="A993" s="1" t="inlineStr">
        <is>
          <t>08-Sep-25</t>
        </is>
      </c>
      <c r="B993" s="1" t="inlineStr">
        <is>
          <t>I62388</t>
        </is>
      </c>
      <c r="C993" s="1" t="inlineStr">
        <is>
          <t>25807600039</t>
        </is>
      </c>
      <c r="D993" s="1" t="inlineStr">
        <is>
          <t>Buøi Hoaøng Yeán</t>
        </is>
      </c>
      <c r="E993" s="1" t="inlineStr">
        <is>
          <t>Nhi</t>
        </is>
      </c>
      <c r="F993" s="1" t="inlineStr">
        <is>
          <t>17-Mar-07</t>
        </is>
      </c>
      <c r="G993" s="1" t="inlineStr">
        <is>
          <t>LNH0925ND01</t>
        </is>
      </c>
      <c r="H993" s="1" t="inlineStr">
        <is>
          <t>09AV Giao tiep QT (TS)</t>
        </is>
      </c>
      <c r="I993" s="1" t="n">
        <v>7415000</v>
      </c>
      <c r="J993" s="1" t="inlineStr">
        <is>
          <t>MBBANK IBFT HOANG THI DIEP chuyen tien BUI HOAN G YEN NHI MSSV 25807600039 LNH0925N D01 0984527397 TAI IBT-MB                   HANOI</t>
        </is>
      </c>
    </row>
    <row r="994">
      <c r="A994" s="1" t="inlineStr">
        <is>
          <t>08-Sep-25</t>
        </is>
      </c>
      <c r="B994" s="1" t="inlineStr">
        <is>
          <t>I62389</t>
        </is>
      </c>
      <c r="C994" s="1" t="inlineStr">
        <is>
          <t>25800400162</t>
        </is>
      </c>
      <c r="D994" s="1" t="inlineStr">
        <is>
          <t>Nguyeãn Vaên</t>
        </is>
      </c>
      <c r="E994" s="1" t="inlineStr">
        <is>
          <t>Truyeàn</t>
        </is>
      </c>
      <c r="F994" s="1" t="inlineStr">
        <is>
          <t>01-Sep-07</t>
        </is>
      </c>
      <c r="G994" s="1" t="inlineStr">
        <is>
          <t>LNH0925ND01</t>
        </is>
      </c>
      <c r="H994" s="1" t="inlineStr">
        <is>
          <t>09AV Giao tiep QT (TS)</t>
        </is>
      </c>
      <c r="I994" s="1" t="n">
        <v>7415000</v>
      </c>
      <c r="J994" s="1" t="inlineStr">
        <is>
          <t>MBBANK IBFT Nguyen Van Truyen  25800400162LNH09 25ND010359453100 TAI IBT-MB                   HANOI</t>
        </is>
      </c>
    </row>
    <row r="995">
      <c r="A995" s="1" t="inlineStr">
        <is>
          <t>08-Sep-25</t>
        </is>
      </c>
      <c r="B995" s="1" t="inlineStr">
        <is>
          <t>I62390</t>
        </is>
      </c>
      <c r="C995" s="1" t="inlineStr">
        <is>
          <t>25806000112</t>
        </is>
      </c>
      <c r="D995" s="1" t="inlineStr">
        <is>
          <t>Nguyeãn Ngoïc</t>
        </is>
      </c>
      <c r="E995" s="1" t="inlineStr">
        <is>
          <t>Traâm</t>
        </is>
      </c>
      <c r="F995" s="1" t="inlineStr">
        <is>
          <t>03-Feb-07</t>
        </is>
      </c>
      <c r="G995" s="1" t="inlineStr">
        <is>
          <t>LNH0925ND01</t>
        </is>
      </c>
      <c r="H995" s="1" t="inlineStr">
        <is>
          <t>09AV Giao tiep QT (TS)</t>
        </is>
      </c>
      <c r="I995" s="1" t="n">
        <v>7415000</v>
      </c>
      <c r="J995" s="1" t="inlineStr">
        <is>
          <t>TRAN THI THANH MAI QR - Nguyen Ngoc Tram 250600061 LNH 0925ND01 0943637431 TAI VietinBank</t>
        </is>
      </c>
    </row>
    <row r="996">
      <c r="A996" s="1" t="inlineStr">
        <is>
          <t>08-Sep-25</t>
        </is>
      </c>
      <c r="B996" s="1" t="inlineStr">
        <is>
          <t>I62391</t>
        </is>
      </c>
      <c r="C996" s="1" t="inlineStr">
        <is>
          <t>25802600056</t>
        </is>
      </c>
      <c r="D996" s="1" t="inlineStr">
        <is>
          <t>Nguyeãn Duy</t>
        </is>
      </c>
      <c r="E996" s="1" t="inlineStr">
        <is>
          <t>Khang</t>
        </is>
      </c>
      <c r="F996" s="1" t="inlineStr">
        <is>
          <t>23-Mar-07</t>
        </is>
      </c>
      <c r="G996" s="1" t="inlineStr">
        <is>
          <t>LNH0925ND01</t>
        </is>
      </c>
      <c r="H996" s="1" t="inlineStr">
        <is>
          <t>09AV Giao tiep QT (TS)</t>
        </is>
      </c>
      <c r="I996" s="1" t="n">
        <v>7415000</v>
      </c>
      <c r="J996" s="1" t="inlineStr">
        <is>
          <t>TRAN THI THANH MAI QR - Nguyen Duy Khang 025802600056 LNH0925ND01 0346841692 TAI VietinBank</t>
        </is>
      </c>
    </row>
    <row r="997">
      <c r="A997" s="1" t="inlineStr">
        <is>
          <t>08-Sep-25</t>
        </is>
      </c>
      <c r="B997" s="1" t="inlineStr">
        <is>
          <t>I62392</t>
        </is>
      </c>
      <c r="C997" s="1" t="inlineStr">
        <is>
          <t>25808600120</t>
        </is>
      </c>
      <c r="D997" s="1" t="inlineStr">
        <is>
          <t>Traàn Nguyeãn Anh</t>
        </is>
      </c>
      <c r="E997" s="1" t="inlineStr">
        <is>
          <t>Thö</t>
        </is>
      </c>
      <c r="F997" s="1" t="inlineStr">
        <is>
          <t>27-May-07</t>
        </is>
      </c>
      <c r="G997" s="1" t="inlineStr">
        <is>
          <t>LNH0925ND01</t>
        </is>
      </c>
      <c r="H997" s="1" t="inlineStr">
        <is>
          <t>09AV Giao tiep QT (TS)</t>
        </is>
      </c>
      <c r="I997" s="1" t="n">
        <v>7415000</v>
      </c>
      <c r="J997" s="1" t="inlineStr">
        <is>
          <t>TRAN THI THANH MAI QR - Tran Nguyen Anh Thu 2580860012 0 LNH0925ND01 0971806574 TAI VietinBank</t>
        </is>
      </c>
    </row>
    <row r="998">
      <c r="A998" s="1" t="inlineStr">
        <is>
          <t>08-Sep-25</t>
        </is>
      </c>
      <c r="B998" s="1" t="inlineStr">
        <is>
          <t>I62393</t>
        </is>
      </c>
      <c r="C998" s="1" t="inlineStr">
        <is>
          <t>25808200228</t>
        </is>
      </c>
      <c r="D998" s="1" t="inlineStr">
        <is>
          <t>Tröông Gia</t>
        </is>
      </c>
      <c r="E998" s="1" t="inlineStr">
        <is>
          <t>Baûo</t>
        </is>
      </c>
      <c r="F998" s="1" t="inlineStr">
        <is>
          <t>22-Dec-07</t>
        </is>
      </c>
      <c r="G998" s="1" t="inlineStr">
        <is>
          <t>LNH0925ND01</t>
        </is>
      </c>
      <c r="H998" s="1" t="inlineStr">
        <is>
          <t>09AV Giao tiep QT (TS)</t>
        </is>
      </c>
      <c r="I998" s="1" t="n">
        <v>7415000</v>
      </c>
      <c r="J998" s="1" t="inlineStr">
        <is>
          <t>MBBANK IBFT Truong Gia Bao 25808200228 LNH0925N D01 0388122426 TAI IBT-MB                   HANOI</t>
        </is>
      </c>
    </row>
    <row r="999">
      <c r="A999" s="1" t="inlineStr">
        <is>
          <t>08-Sep-25</t>
        </is>
      </c>
      <c r="B999" s="1" t="inlineStr">
        <is>
          <t>I62394</t>
        </is>
      </c>
      <c r="C999" s="1" t="inlineStr">
        <is>
          <t>25805900005</t>
        </is>
      </c>
      <c r="D999" s="1" t="inlineStr">
        <is>
          <t>Nguyeãn Chí</t>
        </is>
      </c>
      <c r="E999" s="1" t="inlineStr">
        <is>
          <t>Beàn</t>
        </is>
      </c>
      <c r="F999" s="1" t="inlineStr">
        <is>
          <t>29-Oct-07</t>
        </is>
      </c>
      <c r="G999" s="1" t="inlineStr">
        <is>
          <t>LNH0925ND01</t>
        </is>
      </c>
      <c r="H999" s="1" t="inlineStr">
        <is>
          <t>09AV Giao tiep QT (TS)</t>
        </is>
      </c>
      <c r="I999" s="1" t="n">
        <v>7415000</v>
      </c>
      <c r="J999" s="1" t="inlineStr">
        <is>
          <t>TRAN THI THANH MAI QR - Nguyen Chi Ben 25805900005 LNH 0925ND01 0837878271 TAI VietinBank</t>
        </is>
      </c>
    </row>
    <row r="1000">
      <c r="A1000" s="1" t="inlineStr">
        <is>
          <t>08-Sep-25</t>
        </is>
      </c>
      <c r="B1000" s="1" t="inlineStr">
        <is>
          <t>I62395</t>
        </is>
      </c>
      <c r="C1000" s="1" t="inlineStr">
        <is>
          <t>25802800114</t>
        </is>
      </c>
      <c r="D1000" s="1" t="inlineStr">
        <is>
          <t>Vuõ Buøi Ñaêng</t>
        </is>
      </c>
      <c r="E1000" s="1" t="inlineStr">
        <is>
          <t>Khoa</t>
        </is>
      </c>
      <c r="F1000" s="1" t="inlineStr">
        <is>
          <t>28-Apr-07</t>
        </is>
      </c>
      <c r="G1000" s="1" t="inlineStr">
        <is>
          <t>LNH0925ND01</t>
        </is>
      </c>
      <c r="H1000" s="1" t="inlineStr">
        <is>
          <t>09AV Giao tiep QT (TS)</t>
        </is>
      </c>
      <c r="I1000" s="1" t="n">
        <v>7415000</v>
      </c>
      <c r="J1000" s="1" t="inlineStr">
        <is>
          <t>BUI THI NHU THUY VU BUI DANG KHOA MSSV 25802800114 D TSV 0764452804</t>
        </is>
      </c>
    </row>
    <row r="1001">
      <c r="A1001" s="1" t="inlineStr">
        <is>
          <t>08-Sep-25</t>
        </is>
      </c>
      <c r="B1001" s="1" t="inlineStr">
        <is>
          <t>I62396</t>
        </is>
      </c>
      <c r="C1001" s="1" t="inlineStr">
        <is>
          <t>25802600064</t>
        </is>
      </c>
      <c r="D1001" s="1" t="inlineStr">
        <is>
          <t>Huyønh Quoác</t>
        </is>
      </c>
      <c r="E1001" s="1" t="inlineStr">
        <is>
          <t>Laõm</t>
        </is>
      </c>
      <c r="F1001" s="1" t="inlineStr">
        <is>
          <t>20-Dec-07</t>
        </is>
      </c>
      <c r="G1001" s="1" t="inlineStr">
        <is>
          <t>LNH0925ND01</t>
        </is>
      </c>
      <c r="H1001" s="1" t="inlineStr">
        <is>
          <t>09AV Giao tiep QT (TS)</t>
        </is>
      </c>
      <c r="I1001" s="1" t="n">
        <v>7415000</v>
      </c>
      <c r="J1001" s="1" t="inlineStr">
        <is>
          <t>MBBANK IBFT Huynh Quoc Lam 25802600064 LNH0925N D01 0898532731 TAI IBT-MB                   HANOI</t>
        </is>
      </c>
    </row>
    <row r="1002">
      <c r="A1002" s="1" t="inlineStr">
        <is>
          <t>08-Sep-25</t>
        </is>
      </c>
      <c r="B1002" s="1" t="inlineStr">
        <is>
          <t>I62397</t>
        </is>
      </c>
      <c r="C1002" s="1" t="inlineStr">
        <is>
          <t>25800400218</t>
        </is>
      </c>
      <c r="D1002" s="1" t="inlineStr">
        <is>
          <t>Taï Minh</t>
        </is>
      </c>
      <c r="E1002" s="1" t="inlineStr">
        <is>
          <t>Taân</t>
        </is>
      </c>
      <c r="F1002" s="1" t="inlineStr">
        <is>
          <t>08-Dec-07</t>
        </is>
      </c>
      <c r="G1002" s="1" t="inlineStr">
        <is>
          <t>LNH0925ND01</t>
        </is>
      </c>
      <c r="H1002" s="1" t="inlineStr">
        <is>
          <t>09AV Giao tiep QT (TS)</t>
        </is>
      </c>
      <c r="I1002" s="1" t="n">
        <v>7415000</v>
      </c>
      <c r="J1002" s="1" t="inlineStr">
        <is>
          <t>MBBANK IBFT TA MINH TAN 25800400218 LNH0925ND01 0988939283 TAI IBT-MB                   HANOI</t>
        </is>
      </c>
    </row>
    <row r="1003">
      <c r="A1003" s="1" t="inlineStr">
        <is>
          <t>08-Sep-25</t>
        </is>
      </c>
      <c r="B1003" s="1" t="inlineStr">
        <is>
          <t>I62398</t>
        </is>
      </c>
      <c r="C1003" s="1" t="inlineStr">
        <is>
          <t>25808600135</t>
        </is>
      </c>
      <c r="D1003" s="1" t="inlineStr">
        <is>
          <t>Traàn Thò Huyeàn</t>
        </is>
      </c>
      <c r="E1003" s="1" t="inlineStr">
        <is>
          <t>Traân</t>
        </is>
      </c>
      <c r="F1003" s="1" t="inlineStr">
        <is>
          <t>25-Feb-07</t>
        </is>
      </c>
      <c r="G1003" s="1" t="inlineStr">
        <is>
          <t>LNH0925ND01</t>
        </is>
      </c>
      <c r="H1003" s="1" t="inlineStr">
        <is>
          <t>09AV Giao tiep QT (TS)</t>
        </is>
      </c>
      <c r="I1003" s="1" t="n">
        <v>7415000</v>
      </c>
      <c r="J1003" s="1" t="inlineStr">
        <is>
          <t>MBBANK IBFT Ten  TRAN THI HUYEN TRAN mssv 25808 600135 LNH0925ND01 SDT 0814466523 TAI IBT-MB                   HANOI</t>
        </is>
      </c>
    </row>
    <row r="1004">
      <c r="A1004" s="1" t="inlineStr">
        <is>
          <t>08-Sep-25</t>
        </is>
      </c>
      <c r="B1004" s="1" t="inlineStr">
        <is>
          <t>I62399</t>
        </is>
      </c>
      <c r="C1004" s="1" t="inlineStr">
        <is>
          <t>25802700022</t>
        </is>
      </c>
      <c r="D1004" s="1" t="inlineStr">
        <is>
          <t>Nguyeãn Phaïm Ngoïc</t>
        </is>
      </c>
      <c r="E1004" s="1" t="inlineStr">
        <is>
          <t>Haân</t>
        </is>
      </c>
      <c r="F1004" s="1" t="inlineStr">
        <is>
          <t>24-Dec-06</t>
        </is>
      </c>
      <c r="G1004" s="1" t="inlineStr">
        <is>
          <t>LNH0925ND01</t>
        </is>
      </c>
      <c r="H1004" s="1" t="inlineStr">
        <is>
          <t>09AV Giao tiep QT (TS)</t>
        </is>
      </c>
      <c r="I1004" s="1" t="n">
        <v>7415000</v>
      </c>
      <c r="J1004" s="1" t="inlineStr">
        <is>
          <t>NGUYEN PHAM NGOC HAN NGUYEN PHAM NGOC HAN  25802700022 L NH0925ND01  0366213505-080925-20 04 13 030824 TAI Ngan hang a chau       IBT SMARLINK</t>
        </is>
      </c>
    </row>
    <row r="1005">
      <c r="A1005" s="1" t="inlineStr">
        <is>
          <t>08-Sep-25</t>
        </is>
      </c>
      <c r="B1005" s="1" t="inlineStr">
        <is>
          <t>I62400</t>
        </is>
      </c>
      <c r="C1005" s="1" t="inlineStr">
        <is>
          <t>25802800134</t>
        </is>
      </c>
      <c r="D1005" s="1" t="inlineStr">
        <is>
          <t>Traàn Vaên Ñaëng</t>
        </is>
      </c>
      <c r="E1005" s="1" t="inlineStr">
        <is>
          <t>Long</t>
        </is>
      </c>
      <c r="F1005" s="1" t="inlineStr">
        <is>
          <t>24-Oct-07</t>
        </is>
      </c>
      <c r="G1005" s="1" t="inlineStr">
        <is>
          <t>LNH0925ND01</t>
        </is>
      </c>
      <c r="H1005" s="1" t="inlineStr">
        <is>
          <t>09AV Giao tiep QT (TS)</t>
        </is>
      </c>
      <c r="I1005" s="1" t="n">
        <v>7415000</v>
      </c>
      <c r="J1005" s="1" t="inlineStr">
        <is>
          <t>MBBANK IBFT TRAN VAN DANG LONG 25802800134 LNH0 925ND01 0345475073 TAI IBT-MB                   HANOI</t>
        </is>
      </c>
    </row>
    <row r="1006">
      <c r="A1006" s="1" t="inlineStr">
        <is>
          <t>08-Sep-25</t>
        </is>
      </c>
      <c r="B1006" s="1" t="inlineStr">
        <is>
          <t>I62401</t>
        </is>
      </c>
      <c r="C1006" s="1" t="inlineStr">
        <is>
          <t>25808200122</t>
        </is>
      </c>
      <c r="D1006" s="1" t="inlineStr">
        <is>
          <t>Voõ Nhaát</t>
        </is>
      </c>
      <c r="E1006" s="1" t="inlineStr">
        <is>
          <t>Thieân</t>
        </is>
      </c>
      <c r="F1006" s="1" t="inlineStr">
        <is>
          <t>06-Jan-07</t>
        </is>
      </c>
      <c r="G1006" s="1" t="inlineStr">
        <is>
          <t>LNH0925ND01</t>
        </is>
      </c>
      <c r="H1006" s="1" t="inlineStr">
        <is>
          <t>09AV Giao tiep QT (TS)</t>
        </is>
      </c>
      <c r="I1006" s="1" t="n">
        <v>7415000</v>
      </c>
      <c r="J1006" s="1" t="inlineStr">
        <is>
          <t>MBBANK IBFT VO NHAT THIEN 25808200122 LNH0925ND 01 0337178341 TAI IBT-MB                   HANOI</t>
        </is>
      </c>
    </row>
    <row r="1007">
      <c r="A1007" s="1" t="inlineStr">
        <is>
          <t>08-Sep-25</t>
        </is>
      </c>
      <c r="B1007" s="1" t="inlineStr">
        <is>
          <t>I62402</t>
        </is>
      </c>
      <c r="C1007" s="1" t="inlineStr">
        <is>
          <t>25805800027</t>
        </is>
      </c>
      <c r="D1007" s="1" t="inlineStr">
        <is>
          <t>Leâ Hieàn Thaûo</t>
        </is>
      </c>
      <c r="E1007" s="1" t="inlineStr">
        <is>
          <t>Quyeân</t>
        </is>
      </c>
      <c r="F1007" s="1" t="inlineStr">
        <is>
          <t>24-Sep-07</t>
        </is>
      </c>
      <c r="G1007" s="1" t="inlineStr">
        <is>
          <t>LNH0925ND01</t>
        </is>
      </c>
      <c r="H1007" s="1" t="inlineStr">
        <is>
          <t>09AV Giao tiep QT (TS)</t>
        </is>
      </c>
      <c r="I1007" s="1" t="n">
        <v>7415000</v>
      </c>
      <c r="J1007" s="1" t="inlineStr">
        <is>
          <t>TRAN TRANG HIEN THAO MBVCB.10844269952.040693.LE HIEN TH AO QUYEN .MSSV25805800027 LNH0925ND 01.SDT0787907265.CT tu 015100009162 7 TRAN TRANG HIEN THAO toi 0521043748045 HUTECH tai ABBANK TAI Vietcombank</t>
        </is>
      </c>
    </row>
    <row r="1008">
      <c r="A1008" s="1" t="inlineStr">
        <is>
          <t>08-Sep-25</t>
        </is>
      </c>
      <c r="B1008" s="1" t="inlineStr">
        <is>
          <t>I62412</t>
        </is>
      </c>
      <c r="C1008" s="1" t="inlineStr">
        <is>
          <t>25806300031</t>
        </is>
      </c>
      <c r="D1008" s="1" t="inlineStr">
        <is>
          <t>Nguyeãn Minh</t>
        </is>
      </c>
      <c r="E1008" s="1" t="inlineStr">
        <is>
          <t>Nhaät</t>
        </is>
      </c>
      <c r="F1008" s="1" t="inlineStr">
        <is>
          <t>31-Jul-07</t>
        </is>
      </c>
      <c r="G1008" s="1" t="inlineStr">
        <is>
          <t>LNH0925ND01</t>
        </is>
      </c>
      <c r="H1008" s="1" t="inlineStr">
        <is>
          <t>09AV Giao tiep QT (TS)</t>
        </is>
      </c>
      <c r="I1008" s="1" t="n">
        <v>7450000</v>
      </c>
      <c r="J1008" s="1" t="inlineStr">
        <is>
          <t>NGUYEN THI BE SAU Nguyen Minh Nhat 25806300031 LNH092 5ND01 0908019203 TAI VIKKIBANK       Ebanking</t>
        </is>
      </c>
    </row>
    <row r="1009">
      <c r="A1009" s="1" t="inlineStr">
        <is>
          <t>08-Sep-25</t>
        </is>
      </c>
      <c r="B1009" s="1" t="inlineStr">
        <is>
          <t>I62413</t>
        </is>
      </c>
      <c r="C1009" s="1" t="inlineStr">
        <is>
          <t>25807800075</t>
        </is>
      </c>
      <c r="D1009" s="1" t="inlineStr">
        <is>
          <t>Leâ Troïng</t>
        </is>
      </c>
      <c r="E1009" s="1" t="inlineStr">
        <is>
          <t>Long</t>
        </is>
      </c>
      <c r="F1009" s="1" t="inlineStr">
        <is>
          <t>26-Nov-07</t>
        </is>
      </c>
      <c r="G1009" s="1" t="inlineStr">
        <is>
          <t>LNH0925ND01</t>
        </is>
      </c>
      <c r="H1009" s="1" t="inlineStr">
        <is>
          <t>09AV Giao tiep QT (TS)</t>
        </is>
      </c>
      <c r="I1009" s="1" t="n">
        <v>8415000</v>
      </c>
      <c r="J1009" s="1" t="inlineStr">
        <is>
          <t>VND-TGTT-NGUYEN HONG HAI LETRONGLONG25807800075LNH0925ND0100 377356511 FT25251130401207 TAI TECHCOMBANK            HANOI</t>
        </is>
      </c>
    </row>
    <row r="1010">
      <c r="A1010" s="1" t="inlineStr">
        <is>
          <t>09-Sep-25</t>
        </is>
      </c>
      <c r="B1010" s="1" t="inlineStr">
        <is>
          <t>I62623</t>
        </is>
      </c>
      <c r="C1010" s="1" t="inlineStr">
        <is>
          <t>25807500115</t>
        </is>
      </c>
      <c r="D1010" s="1" t="inlineStr">
        <is>
          <t>Huyønh</t>
        </is>
      </c>
      <c r="E1010" s="1" t="inlineStr">
        <is>
          <t>Thaân</t>
        </is>
      </c>
      <c r="F1010" s="1" t="inlineStr">
        <is>
          <t>20-Jun-07</t>
        </is>
      </c>
      <c r="G1010" s="1" t="inlineStr">
        <is>
          <t>LNH0925ND01</t>
        </is>
      </c>
      <c r="H1010" s="1" t="inlineStr">
        <is>
          <t>09AV Giao tiep QT (TS)</t>
        </is>
      </c>
      <c r="I1010" s="1" t="n">
        <v>415000</v>
      </c>
      <c r="J1010" s="1" t="inlineStr">
        <is>
          <t>HUYNH THI HA MY MBVCB.10856803837.466462.Huynh Than 25807500115  LNH0925ND01  034313 6411.CT tu 0841000079430 HUYNH THI HA MY toi 0521043748045 HUTECH taiABBANK TAI Vietcombank</t>
        </is>
      </c>
    </row>
    <row r="1011">
      <c r="A1011" s="1" t="inlineStr">
        <is>
          <t>09-Sep-25</t>
        </is>
      </c>
      <c r="B1011" s="1" t="inlineStr">
        <is>
          <t>I62624</t>
        </is>
      </c>
      <c r="C1011" s="1" t="inlineStr">
        <is>
          <t>25808600190</t>
        </is>
      </c>
      <c r="D1011" s="1" t="inlineStr">
        <is>
          <t>Ñinh Vieát</t>
        </is>
      </c>
      <c r="E1011" s="1" t="inlineStr">
        <is>
          <t>Nguyeân</t>
        </is>
      </c>
      <c r="F1011" s="1" t="inlineStr">
        <is>
          <t>14-Mar-07</t>
        </is>
      </c>
      <c r="G1011" s="1" t="inlineStr">
        <is>
          <t>LNH0925ND01</t>
        </is>
      </c>
      <c r="H1011" s="1" t="inlineStr">
        <is>
          <t>09AV Giao tiep QT (TS)</t>
        </is>
      </c>
      <c r="I1011" s="1" t="n">
        <v>3465000</v>
      </c>
      <c r="J1011" s="1" t="inlineStr">
        <is>
          <t>MBBANK IBFT Dinh Viet Nguyen  25808600190 LNH09 25ND01  0325657561 TAI IBT-MB                   HANOI</t>
        </is>
      </c>
    </row>
    <row r="1012">
      <c r="A1012" s="1" t="inlineStr">
        <is>
          <t>09-Sep-25</t>
        </is>
      </c>
      <c r="B1012" s="1" t="inlineStr">
        <is>
          <t>I62625</t>
        </is>
      </c>
      <c r="C1012" s="1" t="inlineStr">
        <is>
          <t>25806800057</t>
        </is>
      </c>
      <c r="D1012" s="1" t="inlineStr">
        <is>
          <t>Leâ Taâm</t>
        </is>
      </c>
      <c r="E1012" s="1" t="inlineStr">
        <is>
          <t>Nhö</t>
        </is>
      </c>
      <c r="F1012" s="1" t="inlineStr">
        <is>
          <t>01-Feb-07</t>
        </is>
      </c>
      <c r="G1012" s="1" t="inlineStr">
        <is>
          <t>LNH0925ND01</t>
        </is>
      </c>
      <c r="H1012" s="1" t="inlineStr">
        <is>
          <t>09AV Giao tiep QT (TS)</t>
        </is>
      </c>
      <c r="I1012" s="1" t="n">
        <v>3465000</v>
      </c>
      <c r="J1012" s="1" t="inlineStr">
        <is>
          <t>TRAN THI THANH MAI Le Tam Nhu 25806800057 LNH0925ND01 0382436130 TAI VietinBank</t>
        </is>
      </c>
    </row>
    <row r="1013">
      <c r="A1013" s="1" t="inlineStr">
        <is>
          <t>09-Sep-25</t>
        </is>
      </c>
      <c r="B1013" s="1" t="inlineStr">
        <is>
          <t>I62626</t>
        </is>
      </c>
      <c r="C1013" s="1" t="inlineStr">
        <is>
          <t>25801900288</t>
        </is>
      </c>
      <c r="D1013" s="1" t="inlineStr">
        <is>
          <t>Buøi Anh</t>
        </is>
      </c>
      <c r="E1013" s="1" t="inlineStr">
        <is>
          <t>Thö</t>
        </is>
      </c>
      <c r="F1013" s="1" t="inlineStr">
        <is>
          <t>09-Jan-07</t>
        </is>
      </c>
      <c r="G1013" s="1" t="inlineStr">
        <is>
          <t>LNH0925ND01</t>
        </is>
      </c>
      <c r="H1013" s="1" t="inlineStr">
        <is>
          <t>09AV Giao tiep QT (TS)</t>
        </is>
      </c>
      <c r="I1013" s="1" t="n">
        <v>4415000</v>
      </c>
      <c r="J1013" s="1" t="inlineStr">
        <is>
          <t>MBBANK IBFT Bui Anh Thu 25801900288 0902709313 TAI IBT-MB                   HANOI</t>
        </is>
      </c>
    </row>
    <row r="1014">
      <c r="A1014" s="1" t="inlineStr">
        <is>
          <t>09-Sep-25</t>
        </is>
      </c>
      <c r="B1014" s="1" t="inlineStr">
        <is>
          <t>I62627</t>
        </is>
      </c>
      <c r="C1014" s="1" t="inlineStr">
        <is>
          <t>25807500115</t>
        </is>
      </c>
      <c r="D1014" s="1" t="inlineStr">
        <is>
          <t>Huyønh</t>
        </is>
      </c>
      <c r="E1014" s="1" t="inlineStr">
        <is>
          <t>Thaân</t>
        </is>
      </c>
      <c r="F1014" s="1" t="inlineStr">
        <is>
          <t>20-Jun-07</t>
        </is>
      </c>
      <c r="G1014" s="1" t="inlineStr">
        <is>
          <t>LNH0925ND01</t>
        </is>
      </c>
      <c r="H1014" s="1" t="inlineStr">
        <is>
          <t>09AV Giao tiep QT (TS)</t>
        </is>
      </c>
      <c r="I1014" s="1" t="n">
        <v>7000000</v>
      </c>
      <c r="J1014" s="1" t="inlineStr">
        <is>
          <t>HUYNH THI HA MY MBVCB.10853597791.279338.Huynh Than 25807500115   LNH0925ND01   03431 36411.CT tu 0841000079430 HUYNH THI HA MY toi 0521043748045 HUTECH taiABBANK TAI Vietcombank</t>
        </is>
      </c>
    </row>
    <row r="1015">
      <c r="A1015" s="1" t="inlineStr">
        <is>
          <t>09-Sep-25</t>
        </is>
      </c>
      <c r="B1015" s="1" t="inlineStr">
        <is>
          <t>I62628</t>
        </is>
      </c>
      <c r="C1015" s="1" t="inlineStr">
        <is>
          <t>25807500215</t>
        </is>
      </c>
      <c r="D1015" s="1" t="inlineStr">
        <is>
          <t>Tröông Ngoïc Nhaõ</t>
        </is>
      </c>
      <c r="E1015" s="1" t="inlineStr">
        <is>
          <t>Ñoan</t>
        </is>
      </c>
      <c r="F1015" s="1" t="inlineStr">
        <is>
          <t>06-Dec-07</t>
        </is>
      </c>
      <c r="G1015" s="1" t="inlineStr">
        <is>
          <t>LNH0925ND01</t>
        </is>
      </c>
      <c r="H1015" s="1" t="inlineStr">
        <is>
          <t>09AV Giao tiep QT (TS)</t>
        </is>
      </c>
      <c r="I1015" s="1" t="n">
        <v>7145000</v>
      </c>
      <c r="J1015" s="1" t="inlineStr">
        <is>
          <t>SACOMBANK IBFT Truong Ngoc Nha Doan mssv 2580 7500215 LNH0925ND01 sdt 0829259942 TAI SACOMBANK              HCM</t>
        </is>
      </c>
    </row>
    <row r="1016">
      <c r="A1016" s="1" t="inlineStr">
        <is>
          <t>09-Sep-25</t>
        </is>
      </c>
      <c r="B1016" s="1" t="inlineStr">
        <is>
          <t>I62629</t>
        </is>
      </c>
      <c r="C1016" s="1" t="inlineStr">
        <is>
          <t>25808600109</t>
        </is>
      </c>
      <c r="D1016" s="1" t="inlineStr">
        <is>
          <t>Vaên Coâng</t>
        </is>
      </c>
      <c r="E1016" s="1" t="inlineStr">
        <is>
          <t>Thaønh</t>
        </is>
      </c>
      <c r="F1016" s="1" t="inlineStr">
        <is>
          <t>22-Dec-07</t>
        </is>
      </c>
      <c r="G1016" s="1" t="inlineStr">
        <is>
          <t>LNH0925ND01</t>
        </is>
      </c>
      <c r="H1016" s="1" t="inlineStr">
        <is>
          <t>09AV Giao tiep QT (TS)</t>
        </is>
      </c>
      <c r="I1016" s="1" t="n">
        <v>7415000</v>
      </c>
      <c r="J1016" s="1" t="inlineStr">
        <is>
          <t>MBBANK IBFT VAN CONG THANH25808600109LNH0925ND0 10941246080 TAI IBT-MB                   HANOI</t>
        </is>
      </c>
    </row>
    <row r="1017">
      <c r="A1017" s="1" t="inlineStr">
        <is>
          <t>09-Sep-25</t>
        </is>
      </c>
      <c r="B1017" s="1" t="inlineStr">
        <is>
          <t>I62630</t>
        </is>
      </c>
      <c r="C1017" s="1" t="inlineStr">
        <is>
          <t>25800500311</t>
        </is>
      </c>
      <c r="D1017" s="1" t="inlineStr">
        <is>
          <t>Trieäu Gia</t>
        </is>
      </c>
      <c r="E1017" s="1" t="inlineStr">
        <is>
          <t>Khang</t>
        </is>
      </c>
      <c r="F1017" s="1" t="inlineStr">
        <is>
          <t>22-Feb-07</t>
        </is>
      </c>
      <c r="G1017" s="1" t="inlineStr">
        <is>
          <t>LNH0925ND01</t>
        </is>
      </c>
      <c r="H1017" s="1" t="inlineStr">
        <is>
          <t>09AV Giao tiep QT (TS)</t>
        </is>
      </c>
      <c r="I1017" s="1" t="n">
        <v>7415000</v>
      </c>
      <c r="J1017" s="1" t="inlineStr">
        <is>
          <t>HUYNH KIM THANH TRIEU GIA KHANG 25800500311 LNH 092 5ND01 0843220207 TAI IBT TIENPHONGBANK      HANOI</t>
        </is>
      </c>
    </row>
    <row r="1018">
      <c r="A1018" s="1" t="inlineStr">
        <is>
          <t>09-Sep-25</t>
        </is>
      </c>
      <c r="B1018" s="1" t="inlineStr">
        <is>
          <t>I62631</t>
        </is>
      </c>
      <c r="C1018" s="1" t="inlineStr">
        <is>
          <t>25802600097</t>
        </is>
      </c>
      <c r="D1018" s="1" t="inlineStr">
        <is>
          <t>Phaïm Cao Thaùi An</t>
        </is>
      </c>
      <c r="E1018" s="1" t="inlineStr">
        <is>
          <t>Nhieân</t>
        </is>
      </c>
      <c r="F1018" s="1" t="inlineStr">
        <is>
          <t>15-Apr-07</t>
        </is>
      </c>
      <c r="G1018" s="1" t="inlineStr">
        <is>
          <t>LNH0925ND01</t>
        </is>
      </c>
      <c r="H1018" s="1" t="inlineStr">
        <is>
          <t>09AV Giao tiep QT (TS)</t>
        </is>
      </c>
      <c r="I1018" s="1" t="n">
        <v>7415000</v>
      </c>
      <c r="J1018" s="1" t="inlineStr">
        <is>
          <t>PHAM CAO THAI AN NHIEN Pham cao thai an nhien 25802600097 LNH0925ND01 0369126681 TAI IBT BIDV                 HANOI</t>
        </is>
      </c>
    </row>
    <row r="1019">
      <c r="A1019" s="1" t="inlineStr">
        <is>
          <t>09-Sep-25</t>
        </is>
      </c>
      <c r="B1019" s="1" t="inlineStr">
        <is>
          <t>I62632</t>
        </is>
      </c>
      <c r="C1019" s="1" t="inlineStr">
        <is>
          <t>25808200137</t>
        </is>
      </c>
      <c r="D1019" s="1" t="inlineStr">
        <is>
          <t>Traàn Minh</t>
        </is>
      </c>
      <c r="E1019" s="1" t="inlineStr">
        <is>
          <t>Tuù</t>
        </is>
      </c>
      <c r="F1019" s="1" t="inlineStr">
        <is>
          <t>30-Apr-07</t>
        </is>
      </c>
      <c r="G1019" s="1" t="inlineStr">
        <is>
          <t>LNH0925ND01</t>
        </is>
      </c>
      <c r="H1019" s="1" t="inlineStr">
        <is>
          <t>09AV Giao tiep QT (TS)</t>
        </is>
      </c>
      <c r="I1019" s="1" t="n">
        <v>7415000</v>
      </c>
      <c r="J1019" s="1" t="inlineStr">
        <is>
          <t>TRAN MINH TU TRAN MINH TU 25808200137 LNH0925ND0 1 0964164155 FT25252030427509 TAI TECHCOMBANK            HANOI</t>
        </is>
      </c>
    </row>
    <row r="1020">
      <c r="A1020" s="1" t="inlineStr">
        <is>
          <t>09-Sep-25</t>
        </is>
      </c>
      <c r="B1020" s="1" t="inlineStr">
        <is>
          <t>I62633</t>
        </is>
      </c>
      <c r="C1020" s="1" t="inlineStr">
        <is>
          <t>25807900054</t>
        </is>
      </c>
      <c r="D1020" s="1" t="inlineStr">
        <is>
          <t>Mai Thanh</t>
        </is>
      </c>
      <c r="E1020" s="1" t="inlineStr">
        <is>
          <t>Thôm</t>
        </is>
      </c>
      <c r="F1020" s="1" t="inlineStr">
        <is>
          <t>02-Apr-07</t>
        </is>
      </c>
      <c r="G1020" s="1" t="inlineStr">
        <is>
          <t>LNH0925ND01</t>
        </is>
      </c>
      <c r="H1020" s="1" t="inlineStr">
        <is>
          <t>09AV Giao tiep QT (TS)</t>
        </is>
      </c>
      <c r="I1020" s="1" t="n">
        <v>7415000</v>
      </c>
      <c r="J1020" s="1" t="inlineStr">
        <is>
          <t>NGUYEN NGOC HA MBVCB.10852162435.320945.mai thanh thom  25807900054 LNH0925ND01  0326 084318.CT tu 1030975974 NGUYEN NGOC HA toi 0521043748045 HUTECH tai ABBANK TAI Vietcombank</t>
        </is>
      </c>
    </row>
    <row r="1021">
      <c r="A1021" s="1" t="inlineStr">
        <is>
          <t>09-Sep-25</t>
        </is>
      </c>
      <c r="B1021" s="1" t="inlineStr">
        <is>
          <t>I62634</t>
        </is>
      </c>
      <c r="C1021" s="1" t="inlineStr">
        <is>
          <t>25808700006</t>
        </is>
      </c>
      <c r="D1021" s="1" t="inlineStr">
        <is>
          <t>Leâ Chí</t>
        </is>
      </c>
      <c r="E1021" s="1" t="inlineStr">
        <is>
          <t>Baûo</t>
        </is>
      </c>
      <c r="F1021" s="1" t="inlineStr">
        <is>
          <t>05-Jan-07</t>
        </is>
      </c>
      <c r="G1021" s="1" t="inlineStr">
        <is>
          <t>LNH0925ND01</t>
        </is>
      </c>
      <c r="H1021" s="1" t="inlineStr">
        <is>
          <t>09AV Giao tiep QT (TS)</t>
        </is>
      </c>
      <c r="I1021" s="1" t="n">
        <v>7415000</v>
      </c>
      <c r="J1021" s="1" t="inlineStr">
        <is>
          <t>SACOMBANK IBFT LE CHI BAO MSSV 25808700006 LN H0925ND01 SDT 0967939547 TAI SACOMBANK              HCM</t>
        </is>
      </c>
    </row>
    <row r="1022">
      <c r="A1022" s="1" t="inlineStr">
        <is>
          <t>09-Sep-25</t>
        </is>
      </c>
      <c r="B1022" s="1" t="inlineStr">
        <is>
          <t>I62635</t>
        </is>
      </c>
      <c r="C1022" s="1" t="inlineStr">
        <is>
          <t>25802800155</t>
        </is>
      </c>
      <c r="D1022" s="1" t="inlineStr">
        <is>
          <t>Nguyeãn Huyønh Ñình</t>
        </is>
      </c>
      <c r="E1022" s="1" t="inlineStr">
        <is>
          <t>Nghi</t>
        </is>
      </c>
      <c r="F1022" s="1" t="inlineStr">
        <is>
          <t>21-Oct-07</t>
        </is>
      </c>
      <c r="G1022" s="1" t="inlineStr">
        <is>
          <t>LNH0925ND01</t>
        </is>
      </c>
      <c r="H1022" s="1" t="inlineStr">
        <is>
          <t>09AV Giao tiep QT (TS)</t>
        </is>
      </c>
      <c r="I1022" s="1" t="n">
        <v>7415000</v>
      </c>
      <c r="J1022" s="1" t="inlineStr">
        <is>
          <t>NGUYEN HUYNH DINH NGHI MBVCB.10852845136.766874.NGUYEN HUY NH DINH NGHI   25802800155  LNH0925 ND01  0777400973.CT tu 1059931257 N GUYEN HUYNH DINH NGHI toi 0521043748045 HUTECH tai ABBANK TAI Vietcombank</t>
        </is>
      </c>
    </row>
    <row r="1023">
      <c r="A1023" s="1" t="inlineStr">
        <is>
          <t>09-Sep-25</t>
        </is>
      </c>
      <c r="B1023" s="1" t="inlineStr">
        <is>
          <t>I62636</t>
        </is>
      </c>
      <c r="C1023" s="1" t="inlineStr">
        <is>
          <t>25808300013</t>
        </is>
      </c>
      <c r="D1023" s="1" t="inlineStr">
        <is>
          <t>Vi Thò Tuù</t>
        </is>
      </c>
      <c r="E1023" s="1" t="inlineStr">
        <is>
          <t>Haûo</t>
        </is>
      </c>
      <c r="F1023" s="1" t="inlineStr">
        <is>
          <t>02-Nov-07</t>
        </is>
      </c>
      <c r="G1023" s="1" t="inlineStr">
        <is>
          <t>LNH0925ND01</t>
        </is>
      </c>
      <c r="H1023" s="1" t="inlineStr">
        <is>
          <t>09AV Giao tiep QT (TS)</t>
        </is>
      </c>
      <c r="I1023" s="1" t="n">
        <v>7415000</v>
      </c>
      <c r="J1023" s="1" t="inlineStr">
        <is>
          <t>MBBANK IBFT 100306949607 VI THI TU HAO 25808300 013 LNH0925ND01 0376888969 CHUYEN T IEN OQCH0001pVZ1 MOMO100306949607MO MO TAI IBT-MB                   HANOI</t>
        </is>
      </c>
    </row>
    <row r="1024">
      <c r="A1024" s="1" t="inlineStr">
        <is>
          <t>09-Sep-25</t>
        </is>
      </c>
      <c r="B1024" s="1" t="inlineStr">
        <is>
          <t>I62637</t>
        </is>
      </c>
      <c r="C1024" s="1" t="inlineStr">
        <is>
          <t>25820700004</t>
        </is>
      </c>
      <c r="D1024" s="1" t="inlineStr">
        <is>
          <t>Traàn Quyønh</t>
        </is>
      </c>
      <c r="E1024" s="1" t="inlineStr">
        <is>
          <t>Anh</t>
        </is>
      </c>
      <c r="F1024" s="1" t="inlineStr">
        <is>
          <t>29-Sep-07</t>
        </is>
      </c>
      <c r="G1024" s="1" t="inlineStr">
        <is>
          <t>LNH0925ND01</t>
        </is>
      </c>
      <c r="H1024" s="1" t="inlineStr">
        <is>
          <t>09AV Giao tiep QT (TS)</t>
        </is>
      </c>
      <c r="I1024" s="1" t="n">
        <v>7415000</v>
      </c>
      <c r="J1024" s="1" t="inlineStr">
        <is>
          <t>MBBANK IBFT 100316250121 TRANQUYNHANH2582070000 4LNH0925ND010343100729 CHUYEN TIEN OQCH0001pgum MOMO100316250121MOMO TAI IBT-MB                   HANOI</t>
        </is>
      </c>
    </row>
    <row r="1025">
      <c r="A1025" s="1" t="inlineStr">
        <is>
          <t>09-Sep-25</t>
        </is>
      </c>
      <c r="B1025" s="1" t="inlineStr">
        <is>
          <t>I62638</t>
        </is>
      </c>
      <c r="C1025" s="1" t="inlineStr">
        <is>
          <t>25801800110</t>
        </is>
      </c>
      <c r="D1025" s="1" t="inlineStr">
        <is>
          <t>Leâ Thò</t>
        </is>
      </c>
      <c r="E1025" s="1" t="inlineStr">
        <is>
          <t>Nguyeân</t>
        </is>
      </c>
      <c r="F1025" s="1" t="inlineStr">
        <is>
          <t>14-Dec-07</t>
        </is>
      </c>
      <c r="G1025" s="1" t="inlineStr">
        <is>
          <t>LNH0925ND01</t>
        </is>
      </c>
      <c r="H1025" s="1" t="inlineStr">
        <is>
          <t>09AV Giao tiep QT (TS)</t>
        </is>
      </c>
      <c r="I1025" s="1" t="n">
        <v>7415000</v>
      </c>
      <c r="J1025" s="1" t="inlineStr">
        <is>
          <t>MBBANK IBFT LE THI NGUYEN25801800110LNH0925ND01 0327574118 TAI IBT-MB                   HANOI</t>
        </is>
      </c>
    </row>
    <row r="1026">
      <c r="A1026" s="1" t="inlineStr">
        <is>
          <t>09-Sep-25</t>
        </is>
      </c>
      <c r="B1026" s="1" t="inlineStr">
        <is>
          <t>I62639</t>
        </is>
      </c>
      <c r="C1026" s="1" t="inlineStr">
        <is>
          <t>25808200009</t>
        </is>
      </c>
      <c r="D1026" s="1" t="inlineStr">
        <is>
          <t>Phan Huyønh Thieân</t>
        </is>
      </c>
      <c r="E1026" s="1" t="inlineStr">
        <is>
          <t>AÂn</t>
        </is>
      </c>
      <c r="F1026" s="1" t="inlineStr">
        <is>
          <t>11-Nov-07</t>
        </is>
      </c>
      <c r="G1026" s="1" t="inlineStr">
        <is>
          <t>LNH0925ND01</t>
        </is>
      </c>
      <c r="H1026" s="1" t="inlineStr">
        <is>
          <t>09AV Giao tiep QT (TS)</t>
        </is>
      </c>
      <c r="I1026" s="1" t="n">
        <v>7415000</v>
      </c>
      <c r="J1026" s="1" t="inlineStr">
        <is>
          <t>PHAN HUYNH THIEN AN MBVCB.10856560789.306901.Ten: PHAN HUYNH THIEN AN mssv: 25808200009 LN H0925ND01  sdt: 0348122855.CT tu 10 39015070 PHAN HUYNH THIEN AN toi 0521043748045 HUTECH tai ABBANK TAI Vietcombank</t>
        </is>
      </c>
    </row>
    <row r="1027">
      <c r="A1027" s="1" t="inlineStr">
        <is>
          <t>09-Sep-25</t>
        </is>
      </c>
      <c r="B1027" s="1" t="inlineStr">
        <is>
          <t>I62640</t>
        </is>
      </c>
      <c r="C1027" s="1" t="inlineStr">
        <is>
          <t>25820300011</t>
        </is>
      </c>
      <c r="D1027" s="1" t="inlineStr">
        <is>
          <t>Buøi Nguyeãn Thanh</t>
        </is>
      </c>
      <c r="E1027" s="1" t="inlineStr">
        <is>
          <t>Haèng</t>
        </is>
      </c>
      <c r="F1027" s="1" t="inlineStr">
        <is>
          <t>25-May-07</t>
        </is>
      </c>
      <c r="G1027" s="1" t="inlineStr">
        <is>
          <t>LNH0925ND01</t>
        </is>
      </c>
      <c r="H1027" s="1" t="inlineStr">
        <is>
          <t>09AV Giao tiep QT (TS)</t>
        </is>
      </c>
      <c r="I1027" s="1" t="n">
        <v>7415000</v>
      </c>
      <c r="J1027" s="1" t="inlineStr">
        <is>
          <t>MBBANK IBFT BUI NGUYEN THANH HANG25820300011LNH 0925ND010834956781 TAI IBT-MB                   HANOI</t>
        </is>
      </c>
    </row>
    <row r="1028">
      <c r="A1028" s="1" t="inlineStr">
        <is>
          <t>09-Sep-25</t>
        </is>
      </c>
      <c r="B1028" s="1" t="inlineStr">
        <is>
          <t>I62641</t>
        </is>
      </c>
      <c r="C1028" s="1" t="inlineStr">
        <is>
          <t>25807000014</t>
        </is>
      </c>
      <c r="D1028" s="1" t="inlineStr">
        <is>
          <t>Huyønh Taán</t>
        </is>
      </c>
      <c r="E1028" s="1" t="inlineStr">
        <is>
          <t>Loäc</t>
        </is>
      </c>
      <c r="F1028" s="1" t="inlineStr">
        <is>
          <t>08-Jul-07</t>
        </is>
      </c>
      <c r="G1028" s="1" t="inlineStr">
        <is>
          <t>LNH0925ND01</t>
        </is>
      </c>
      <c r="H1028" s="1" t="inlineStr">
        <is>
          <t>09AV Giao tiep QT (TS)</t>
        </is>
      </c>
      <c r="I1028" s="1" t="n">
        <v>7415000</v>
      </c>
      <c r="J1028" s="1" t="inlineStr">
        <is>
          <t>MBBANK IBFT 100332592438 Huynh Tan Loc 25807000 014 LNH0925ND010798969407 CHUYEN TI EN OQCH0001q13h MOMO100332592438MOM O TAI IBT-MB                   HANOI</t>
        </is>
      </c>
    </row>
    <row r="1029">
      <c r="A1029" s="1" t="inlineStr">
        <is>
          <t>09-Sep-25</t>
        </is>
      </c>
      <c r="B1029" s="1" t="inlineStr">
        <is>
          <t>I62642</t>
        </is>
      </c>
      <c r="C1029" s="1" t="inlineStr">
        <is>
          <t>25808600105</t>
        </is>
      </c>
      <c r="D1029" s="1" t="inlineStr">
        <is>
          <t>Leâ Minh</t>
        </is>
      </c>
      <c r="E1029" s="1" t="inlineStr">
        <is>
          <t>Taâm</t>
        </is>
      </c>
      <c r="F1029" s="1" t="inlineStr">
        <is>
          <t>23-Oct-07</t>
        </is>
      </c>
      <c r="G1029" s="1" t="inlineStr">
        <is>
          <t>LNH0925ND01</t>
        </is>
      </c>
      <c r="H1029" s="1" t="inlineStr">
        <is>
          <t>09AV Giao tiep QT (TS)</t>
        </is>
      </c>
      <c r="I1029" s="1" t="n">
        <v>8415000</v>
      </c>
      <c r="J1029" s="1" t="inlineStr">
        <is>
          <t>MBBANK IBFT Le Minh Tam 25808600105 LNH0925ND01 0345042648 TAI IBT-MB                   HANOI</t>
        </is>
      </c>
    </row>
    <row r="1030">
      <c r="A1030" s="1" t="inlineStr">
        <is>
          <t>09-Sep-25</t>
        </is>
      </c>
      <c r="B1030" s="1" t="inlineStr">
        <is>
          <t>I62643</t>
        </is>
      </c>
      <c r="C1030" s="1" t="inlineStr">
        <is>
          <t>25807700110</t>
        </is>
      </c>
      <c r="D1030" s="1" t="inlineStr">
        <is>
          <t>Nguyeãn Minh</t>
        </is>
      </c>
      <c r="E1030" s="1" t="inlineStr">
        <is>
          <t>Thuaän</t>
        </is>
      </c>
      <c r="F1030" s="1" t="inlineStr">
        <is>
          <t>08-Dec-04</t>
        </is>
      </c>
      <c r="G1030" s="1" t="inlineStr">
        <is>
          <t>LNH0925ND01</t>
        </is>
      </c>
      <c r="H1030" s="1" t="inlineStr">
        <is>
          <t>09AV Giao tiep QT (TS)</t>
        </is>
      </c>
      <c r="I1030" s="1" t="n">
        <v>8415000</v>
      </c>
      <c r="J1030" s="1" t="inlineStr">
        <is>
          <t>NGUYEN MINH THUAN NGUYEN MINH THUAN  MSSV25807700110 LNH0925ND01  SDT 0968343029-090925 .19 15 52 585447 TAI Ngan hang a chau       IBT SMARLINK</t>
        </is>
      </c>
    </row>
    <row r="1031">
      <c r="A1031" s="1" t="inlineStr">
        <is>
          <t>10-Sep-25</t>
        </is>
      </c>
      <c r="B1031" s="1" t="inlineStr">
        <is>
          <t>I62774</t>
        </is>
      </c>
      <c r="C1031" s="1" t="inlineStr">
        <is>
          <t>25808700221</t>
        </is>
      </c>
      <c r="D1031" s="1" t="inlineStr">
        <is>
          <t>Huyønh Phuùc</t>
        </is>
      </c>
      <c r="E1031" s="1" t="inlineStr">
        <is>
          <t>Chieán</t>
        </is>
      </c>
      <c r="F1031" s="1" t="inlineStr">
        <is>
          <t>05-Jul-07</t>
        </is>
      </c>
      <c r="G1031" s="1" t="inlineStr">
        <is>
          <t>LNH0925ND01</t>
        </is>
      </c>
      <c r="H1031" s="1" t="inlineStr">
        <is>
          <t>09AV Giao tiep QT (TS)</t>
        </is>
      </c>
      <c r="I1031" s="1" t="n">
        <v>7415000</v>
      </c>
      <c r="J1031" s="1" t="inlineStr">
        <is>
          <t>MBBANK IBFT Huynh Phuc Chien 2508700095LNH0925N D010333184218 TAI IBT-MB                   HANOI</t>
        </is>
      </c>
    </row>
    <row r="1032">
      <c r="A1032" s="1" t="inlineStr">
        <is>
          <t>10-Sep-25</t>
        </is>
      </c>
      <c r="B1032" s="1" t="inlineStr">
        <is>
          <t>I62861</t>
        </is>
      </c>
      <c r="C1032" s="1" t="inlineStr">
        <is>
          <t>25806300027</t>
        </is>
      </c>
      <c r="D1032" s="1" t="inlineStr">
        <is>
          <t>Phaïm Ngoïc Phöông</t>
        </is>
      </c>
      <c r="E1032" s="1" t="inlineStr">
        <is>
          <t>Nam</t>
        </is>
      </c>
      <c r="F1032" s="1" t="inlineStr">
        <is>
          <t>13-Oct-07</t>
        </is>
      </c>
      <c r="G1032" s="1" t="inlineStr">
        <is>
          <t>LNH0925ND01</t>
        </is>
      </c>
      <c r="H1032" s="1" t="inlineStr">
        <is>
          <t>09AV Giao tiep QT (TS)</t>
        </is>
      </c>
      <c r="I1032" s="1" t="n">
        <v>1000000</v>
      </c>
      <c r="J1032" s="1" t="inlineStr">
        <is>
          <t>CONG TY CP DICH VU DI DONG TRUC TUY EN 100344891154 0939981537 Pham Ngoc P huong Nam 25806300027 LNH0925ND01 TAI IBT BIDV                 HANOI</t>
        </is>
      </c>
    </row>
    <row r="1033">
      <c r="A1033" s="1" t="inlineStr">
        <is>
          <t>10-Sep-25</t>
        </is>
      </c>
      <c r="B1033" s="1" t="inlineStr">
        <is>
          <t>I62862</t>
        </is>
      </c>
      <c r="C1033" s="1" t="inlineStr">
        <is>
          <t>25820200119</t>
        </is>
      </c>
      <c r="D1033" s="1" t="inlineStr">
        <is>
          <t>Nguyeãn Minh</t>
        </is>
      </c>
      <c r="E1033" s="1" t="inlineStr">
        <is>
          <t>Hieáu</t>
        </is>
      </c>
      <c r="F1033" s="1" t="inlineStr">
        <is>
          <t>27-Nov-07</t>
        </is>
      </c>
      <c r="G1033" s="1" t="inlineStr">
        <is>
          <t>LNH0925ND01</t>
        </is>
      </c>
      <c r="H1033" s="1" t="inlineStr">
        <is>
          <t>09AV Giao tiep QT (TS)</t>
        </is>
      </c>
      <c r="I1033" s="1" t="n">
        <v>4465000</v>
      </c>
      <c r="J1033" s="1" t="inlineStr">
        <is>
          <t>TRUONG THI TUYET MINH MBVCB.10870555081.424167.Nguyen Min h Hieu 25820200119 LNH0925ND01 0902 623638.CT tu 0071003382920 TRUONG T HI TUYET MINH toi 0521043748045 HUTECH tai ABBANK TAI Vietcombank</t>
        </is>
      </c>
    </row>
    <row r="1034">
      <c r="A1034" s="1" t="inlineStr">
        <is>
          <t>10-Sep-25</t>
        </is>
      </c>
      <c r="B1034" s="1" t="inlineStr">
        <is>
          <t>I62864</t>
        </is>
      </c>
      <c r="C1034" s="1" t="inlineStr">
        <is>
          <t>25801300024</t>
        </is>
      </c>
      <c r="D1034" s="1" t="inlineStr">
        <is>
          <t>Leâ Huyønh Khaùnh</t>
        </is>
      </c>
      <c r="E1034" s="1" t="inlineStr">
        <is>
          <t>Nguyeân</t>
        </is>
      </c>
      <c r="F1034" s="1" t="inlineStr">
        <is>
          <t>10-Jul-07</t>
        </is>
      </c>
      <c r="G1034" s="1" t="inlineStr">
        <is>
          <t>LNH0925ND01</t>
        </is>
      </c>
      <c r="H1034" s="1" t="inlineStr">
        <is>
          <t>09AV Giao tiep QT (TS)</t>
        </is>
      </c>
      <c r="I1034" s="1" t="n">
        <v>7415000</v>
      </c>
      <c r="J1034" s="1" t="inlineStr">
        <is>
          <t>HUYNH THANH TRUC ABBank 0521043748045 LE HUYNH KHANH NGUYEN  25801300024 LNHO 925ND01 0 907059629 TAI Agribank</t>
        </is>
      </c>
    </row>
    <row r="1035">
      <c r="A1035" s="1" t="inlineStr">
        <is>
          <t>10-Sep-25</t>
        </is>
      </c>
      <c r="B1035" s="1" t="inlineStr">
        <is>
          <t>I62865</t>
        </is>
      </c>
      <c r="C1035" s="1" t="inlineStr">
        <is>
          <t>25801300045</t>
        </is>
      </c>
      <c r="D1035" s="1" t="inlineStr">
        <is>
          <t>Voõ Quoác</t>
        </is>
      </c>
      <c r="E1035" s="1" t="inlineStr">
        <is>
          <t>Vinh</t>
        </is>
      </c>
      <c r="F1035" s="1" t="inlineStr">
        <is>
          <t>20-Dec-07</t>
        </is>
      </c>
      <c r="G1035" s="1" t="inlineStr">
        <is>
          <t>LNH0925ND01</t>
        </is>
      </c>
      <c r="H1035" s="1" t="inlineStr">
        <is>
          <t>09AV Giao tiep QT (TS)</t>
        </is>
      </c>
      <c r="I1035" s="1" t="n">
        <v>7415000</v>
      </c>
      <c r="J1035" s="1" t="inlineStr">
        <is>
          <t>MBBANK IBFT 100383645460 VO QUOC VINH Mssv 2580 1300045LNH0925ND01sdt 0393535524 CH UYEN TIEN OQCH0001qpF0 MOMO10038364 5460MOMO TAI IBT-MB                   HANOI</t>
        </is>
      </c>
    </row>
    <row r="1036">
      <c r="A1036" s="1" t="inlineStr">
        <is>
          <t>10-Sep-25</t>
        </is>
      </c>
      <c r="B1036" s="1" t="inlineStr">
        <is>
          <t>I62866</t>
        </is>
      </c>
      <c r="C1036" s="1" t="inlineStr">
        <is>
          <t>25802700192</t>
        </is>
      </c>
      <c r="D1036" s="1" t="inlineStr">
        <is>
          <t>Nguyeãn Taán</t>
        </is>
      </c>
      <c r="E1036" s="1" t="inlineStr">
        <is>
          <t>Phaùt</t>
        </is>
      </c>
      <c r="F1036" s="1" t="inlineStr">
        <is>
          <t>01-Oct-07</t>
        </is>
      </c>
      <c r="G1036" s="1" t="inlineStr">
        <is>
          <t>LNH0925ND01</t>
        </is>
      </c>
      <c r="H1036" s="1" t="inlineStr">
        <is>
          <t>09AV Giao tiep QT (TS)</t>
        </is>
      </c>
      <c r="I1036" s="1" t="n">
        <v>7415000</v>
      </c>
      <c r="J1036" s="1" t="inlineStr">
        <is>
          <t>DIEP THANH AN nguyen tan phat 25802700192 LNH0925 ND01 TAI VietinBank</t>
        </is>
      </c>
    </row>
    <row r="1037">
      <c r="A1037" s="1" t="inlineStr">
        <is>
          <t>10-Sep-25</t>
        </is>
      </c>
      <c r="B1037" s="1" t="inlineStr">
        <is>
          <t>I62867</t>
        </is>
      </c>
      <c r="C1037" s="1" t="inlineStr">
        <is>
          <t>25807500152</t>
        </is>
      </c>
      <c r="D1037" s="1" t="inlineStr">
        <is>
          <t>Ñaëng Minh</t>
        </is>
      </c>
      <c r="E1037" s="1" t="inlineStr">
        <is>
          <t>Tröôøng</t>
        </is>
      </c>
      <c r="F1037" s="1" t="inlineStr">
        <is>
          <t>03-Dec-07</t>
        </is>
      </c>
      <c r="G1037" s="1" t="inlineStr">
        <is>
          <t>LNH0925ND01</t>
        </is>
      </c>
      <c r="H1037" s="1" t="inlineStr">
        <is>
          <t>09AV Giao tiep QT (TS)</t>
        </is>
      </c>
      <c r="I1037" s="1" t="n">
        <v>7415000</v>
      </c>
      <c r="J1037" s="1" t="inlineStr">
        <is>
          <t>MBBANK IBFT Dang Minh Truong25807500152 LNH0925 ND01 0359314457 TAI IBT-MB                   HANOI</t>
        </is>
      </c>
    </row>
    <row r="1038">
      <c r="A1038" s="1" t="inlineStr">
        <is>
          <t>10-Sep-25</t>
        </is>
      </c>
      <c r="B1038" s="1" t="inlineStr">
        <is>
          <t>I62868</t>
        </is>
      </c>
      <c r="C1038" s="1" t="inlineStr">
        <is>
          <t>25807800073</t>
        </is>
      </c>
      <c r="D1038" s="1" t="inlineStr">
        <is>
          <t>Voõ Thanh</t>
        </is>
      </c>
      <c r="E1038" s="1" t="inlineStr">
        <is>
          <t>Lieâm</t>
        </is>
      </c>
      <c r="F1038" s="1" t="inlineStr">
        <is>
          <t>19-Nov-07</t>
        </is>
      </c>
      <c r="G1038" s="1" t="inlineStr">
        <is>
          <t>LNH0925ND01</t>
        </is>
      </c>
      <c r="H1038" s="1" t="inlineStr">
        <is>
          <t>09AV Giao tiep QT (TS)</t>
        </is>
      </c>
      <c r="I1038" s="1" t="n">
        <v>7415000</v>
      </c>
      <c r="J1038" s="1" t="inlineStr">
        <is>
          <t>MBBANK IBFT VO THANH LIEM  25807800073 LNH0925N D01 0343346587 TAI IBT-MB                   HANOI</t>
        </is>
      </c>
    </row>
    <row r="1039">
      <c r="A1039" s="1" t="inlineStr">
        <is>
          <t>10-Sep-25</t>
        </is>
      </c>
      <c r="B1039" s="1" t="inlineStr">
        <is>
          <t>I62869</t>
        </is>
      </c>
      <c r="C1039" s="1" t="inlineStr">
        <is>
          <t>25802800199</t>
        </is>
      </c>
      <c r="D1039" s="1" t="inlineStr">
        <is>
          <t>Traàn Xuaân</t>
        </is>
      </c>
      <c r="E1039" s="1" t="inlineStr">
        <is>
          <t>Phaùt</t>
        </is>
      </c>
      <c r="F1039" s="1" t="inlineStr">
        <is>
          <t>01-Nov-07</t>
        </is>
      </c>
      <c r="G1039" s="1" t="inlineStr">
        <is>
          <t>LNH0925ND01</t>
        </is>
      </c>
      <c r="H1039" s="1" t="inlineStr">
        <is>
          <t>09AV Giao tiep QT (TS)</t>
        </is>
      </c>
      <c r="I1039" s="1" t="n">
        <v>7415000</v>
      </c>
      <c r="J1039" s="1" t="inlineStr">
        <is>
          <t>TRAN THI NGOC DIEP QR - tran xuan phat 25802800199 LNH 0925ND01 0398148215 Lop hoc 2-4-6 TAI VietinBank</t>
        </is>
      </c>
    </row>
    <row r="1040">
      <c r="A1040" s="1" t="inlineStr">
        <is>
          <t>10-Sep-25</t>
        </is>
      </c>
      <c r="B1040" s="1" t="inlineStr">
        <is>
          <t>I62870</t>
        </is>
      </c>
      <c r="C1040" s="1" t="inlineStr">
        <is>
          <t>25808200214</t>
        </is>
      </c>
      <c r="D1040" s="1" t="inlineStr">
        <is>
          <t>Ñoã Thanh Quang</t>
        </is>
      </c>
      <c r="E1040" s="1" t="inlineStr">
        <is>
          <t>Trieát</t>
        </is>
      </c>
      <c r="F1040" s="1" t="inlineStr">
        <is>
          <t>12-May-07</t>
        </is>
      </c>
      <c r="G1040" s="1" t="inlineStr">
        <is>
          <t>LNH0925ND01</t>
        </is>
      </c>
      <c r="H1040" s="1" t="inlineStr">
        <is>
          <t>09AV Giao tiep QT (TS)</t>
        </is>
      </c>
      <c r="I1040" s="1" t="n">
        <v>0</v>
      </c>
      <c r="J1040" s="1" t="inlineStr">
        <is>
          <t>(rut Hp)MBBANK IBFT Do Thanh Quang Triet mssv 258082002 14 LNH0925ND01 sdt 0327915749 TAI IBT-MB                   HANOI</t>
        </is>
      </c>
    </row>
    <row r="1041">
      <c r="A1041" s="1" t="inlineStr">
        <is>
          <t>10-Sep-25</t>
        </is>
      </c>
      <c r="B1041" s="1" t="inlineStr">
        <is>
          <t>I62871</t>
        </is>
      </c>
      <c r="C1041" s="1" t="inlineStr">
        <is>
          <t>25808200123</t>
        </is>
      </c>
      <c r="D1041" s="1" t="inlineStr">
        <is>
          <t>Leâ Ngoïc</t>
        </is>
      </c>
      <c r="E1041" s="1" t="inlineStr">
        <is>
          <t>Thieän</t>
        </is>
      </c>
      <c r="F1041" s="1" t="inlineStr">
        <is>
          <t>01-Aug-07</t>
        </is>
      </c>
      <c r="G1041" s="1" t="inlineStr">
        <is>
          <t>LNH0925ND01</t>
        </is>
      </c>
      <c r="H1041" s="1" t="inlineStr">
        <is>
          <t>09AV Giao tiep QT (TS)</t>
        </is>
      </c>
      <c r="I1041" s="1" t="n">
        <v>8415000</v>
      </c>
      <c r="J1041" s="1" t="inlineStr">
        <is>
          <t>NGUYEN TUAN TAI MBVCB.10871124799.796501.Le Ngoc Th ien msv 25808200123 sdt 0352238527. CT tu 0121000836314 NGUYEN TUAN TAI toi 0521043748045 HUTECH tai ABBAN TAI Vietcombank</t>
        </is>
      </c>
    </row>
    <row r="1042">
      <c r="A1042" s="1" t="inlineStr">
        <is>
          <t>11-Sep-25</t>
        </is>
      </c>
      <c r="B1042" s="1" t="inlineStr">
        <is>
          <t>I63158</t>
        </is>
      </c>
      <c r="C1042" s="1" t="inlineStr">
        <is>
          <t>25802800258</t>
        </is>
      </c>
      <c r="D1042" s="1" t="inlineStr">
        <is>
          <t>Nguyeãn Coâng</t>
        </is>
      </c>
      <c r="E1042" s="1" t="inlineStr">
        <is>
          <t>Thöôøng</t>
        </is>
      </c>
      <c r="F1042" s="1" t="inlineStr">
        <is>
          <t>15-Jan-07</t>
        </is>
      </c>
      <c r="G1042" s="1" t="inlineStr">
        <is>
          <t>LNH0925ND01</t>
        </is>
      </c>
      <c r="H1042" s="1" t="inlineStr">
        <is>
          <t>09AV Giao tiep QT (TS)</t>
        </is>
      </c>
      <c r="I1042" s="1" t="n">
        <v>7415000</v>
      </c>
      <c r="J1042" s="1" t="inlineStr">
        <is>
          <t>NGUYEN CONG THUONG NGUYEN CONG THUONG  25802800258  LN H0925ND01 0388199170 TAI VietinBank</t>
        </is>
      </c>
    </row>
    <row r="1043">
      <c r="A1043" s="1" t="inlineStr">
        <is>
          <t>11-Sep-25</t>
        </is>
      </c>
      <c r="B1043" s="1" t="inlineStr">
        <is>
          <t>I63159</t>
        </is>
      </c>
      <c r="C1043" s="1" t="inlineStr">
        <is>
          <t>25807700031</t>
        </is>
      </c>
      <c r="D1043" s="1" t="inlineStr">
        <is>
          <t>Nguyeãn Vaên</t>
        </is>
      </c>
      <c r="E1043" s="1" t="inlineStr">
        <is>
          <t>Hoaøng</t>
        </is>
      </c>
      <c r="F1043" s="1" t="inlineStr">
        <is>
          <t>03-Dec-05</t>
        </is>
      </c>
      <c r="G1043" s="1" t="inlineStr">
        <is>
          <t>LNH0925ND01</t>
        </is>
      </c>
      <c r="H1043" s="1" t="inlineStr">
        <is>
          <t>09AV Giao tiep QT (TS)</t>
        </is>
      </c>
      <c r="I1043" s="1" t="n">
        <v>3465000</v>
      </c>
      <c r="J1043" s="1" t="inlineStr">
        <is>
          <t>MBBANK IBFT 100489711949 Nguyen Van Hoang 25807 700031 LNH0925ND01 0869449530 CHUYE N TIEN OQCH0001sTJJ MOMO10048971194 9MOMO TAI IBT-MB                   HANOI</t>
        </is>
      </c>
    </row>
    <row r="1044">
      <c r="A1044" s="1" t="inlineStr">
        <is>
          <t>11-Sep-25</t>
        </is>
      </c>
      <c r="B1044" s="1" t="inlineStr">
        <is>
          <t>I63160</t>
        </is>
      </c>
      <c r="C1044" s="1" t="inlineStr">
        <is>
          <t>25806300034</t>
        </is>
      </c>
      <c r="D1044" s="1" t="inlineStr">
        <is>
          <t>Phaïm Minh</t>
        </is>
      </c>
      <c r="E1044" s="1" t="inlineStr">
        <is>
          <t>Sang</t>
        </is>
      </c>
      <c r="F1044" s="1" t="inlineStr">
        <is>
          <t>02-Nov-06</t>
        </is>
      </c>
      <c r="G1044" s="1" t="inlineStr">
        <is>
          <t>LNH0925ND01</t>
        </is>
      </c>
      <c r="H1044" s="1" t="inlineStr">
        <is>
          <t>09AV Giao tiep QT (TS)</t>
        </is>
      </c>
      <c r="I1044" s="1" t="n">
        <v>2100000</v>
      </c>
      <c r="J1044" s="1" t="inlineStr">
        <is>
          <t>PHAM MINH SANG MBVCB.10878160404.439864.em dong lv 1 . pham minh sang   MSSV 258063003 4  LNH0925ND01 sdd 0396787645.CT tu 1032608613 PHAM MINH SANG toi 0521043748045 HUTECH tai ABBANK TAI Vietcombank</t>
        </is>
      </c>
    </row>
    <row r="1045">
      <c r="A1045" s="1" t="inlineStr">
        <is>
          <t>11-Sep-25</t>
        </is>
      </c>
      <c r="B1045" s="1" t="inlineStr">
        <is>
          <t>I63161</t>
        </is>
      </c>
      <c r="C1045" s="1" t="inlineStr">
        <is>
          <t>25802800198</t>
        </is>
      </c>
      <c r="D1045" s="1" t="inlineStr">
        <is>
          <t>Phaïm Hoaøng</t>
        </is>
      </c>
      <c r="E1045" s="1" t="inlineStr">
        <is>
          <t>Phaùt</t>
        </is>
      </c>
      <c r="F1045" s="1" t="inlineStr">
        <is>
          <t>05-Sep-07</t>
        </is>
      </c>
      <c r="G1045" s="1" t="inlineStr">
        <is>
          <t>LNH0925ND01</t>
        </is>
      </c>
      <c r="H1045" s="1" t="inlineStr">
        <is>
          <t>09AV Giao tiep QT (TS)</t>
        </is>
      </c>
      <c r="I1045" s="1" t="n">
        <v>7415000</v>
      </c>
      <c r="J1045" s="1" t="inlineStr">
        <is>
          <t>PHAM HOANG LONG MBVCB.10878163923.443409.PHAM HOANG PHAT-25802800198-LNH0925ND01-+84 8 66 153 876.CT tu 1014950135 PHAM HO ANG LONG toi 0521043748045 HUTECH tai ABBANK TAI Vietcombank</t>
        </is>
      </c>
    </row>
    <row r="1046">
      <c r="A1046" s="1" t="inlineStr">
        <is>
          <t>11-Sep-25</t>
        </is>
      </c>
      <c r="B1046" s="1" t="inlineStr">
        <is>
          <t>I63162</t>
        </is>
      </c>
      <c r="C1046" s="1" t="inlineStr">
        <is>
          <t>25808600269</t>
        </is>
      </c>
      <c r="D1046" s="1" t="inlineStr">
        <is>
          <t>Traàn Nguyeãn Thaùi</t>
        </is>
      </c>
      <c r="E1046" s="1" t="inlineStr">
        <is>
          <t>Linh</t>
        </is>
      </c>
      <c r="F1046" s="1" t="inlineStr">
        <is>
          <t>31-Mar-07</t>
        </is>
      </c>
      <c r="G1046" s="1" t="inlineStr">
        <is>
          <t>LNH0925ND01</t>
        </is>
      </c>
      <c r="H1046" s="1" t="inlineStr">
        <is>
          <t>09AV Giao tiep QT (TS)</t>
        </is>
      </c>
      <c r="I1046" s="1" t="n">
        <v>8415000</v>
      </c>
      <c r="J1046" s="1" t="inlineStr">
        <is>
          <t>TRAN THI THANH MAI Tran Nguyen Thai Thuy Linh 25808600 269 0346253836 TAI VietinBank</t>
        </is>
      </c>
    </row>
    <row r="1047">
      <c r="A1047" s="1" t="inlineStr">
        <is>
          <t>11-Sep-25</t>
        </is>
      </c>
      <c r="B1047" s="1" t="inlineStr">
        <is>
          <t>I63163</t>
        </is>
      </c>
      <c r="C1047" s="1" t="inlineStr">
        <is>
          <t>25801300028</t>
        </is>
      </c>
      <c r="D1047" s="1" t="inlineStr">
        <is>
          <t>Nguyeãn Thò Yeán</t>
        </is>
      </c>
      <c r="E1047" s="1" t="inlineStr">
        <is>
          <t>Nhi</t>
        </is>
      </c>
      <c r="F1047" s="1" t="inlineStr">
        <is>
          <t>30-Dec-07</t>
        </is>
      </c>
      <c r="G1047" s="1" t="inlineStr">
        <is>
          <t>LNH0925ND01</t>
        </is>
      </c>
      <c r="H1047" s="1" t="inlineStr">
        <is>
          <t>09AV Giao tiep QT (TS)</t>
        </is>
      </c>
      <c r="I1047" s="1" t="n">
        <v>7415000</v>
      </c>
      <c r="J1047" s="1" t="inlineStr">
        <is>
          <t>MBBANK IBFT NGUYEN THI YEN NHI 25801300028 LNH0 925ND01 sdt  0936021280 TAI IBT-MB                   HANOI</t>
        </is>
      </c>
    </row>
    <row r="1048">
      <c r="A1048" s="1" t="inlineStr">
        <is>
          <t>11-Sep-25</t>
        </is>
      </c>
      <c r="B1048" s="1" t="inlineStr">
        <is>
          <t>I63164</t>
        </is>
      </c>
      <c r="C1048" s="1" t="inlineStr">
        <is>
          <t>25800500288</t>
        </is>
      </c>
      <c r="D1048" s="1" t="inlineStr">
        <is>
          <t>Nguyeãn Trung</t>
        </is>
      </c>
      <c r="E1048" s="1" t="inlineStr">
        <is>
          <t>Hieáu</t>
        </is>
      </c>
      <c r="F1048" s="1" t="inlineStr">
        <is>
          <t>02-Dec-07</t>
        </is>
      </c>
      <c r="G1048" s="1" t="inlineStr">
        <is>
          <t>LNH0925ND01</t>
        </is>
      </c>
      <c r="H1048" s="1" t="inlineStr">
        <is>
          <t>09AV Giao tiep QT (TS)</t>
        </is>
      </c>
      <c r="I1048" s="1" t="n">
        <v>7415000</v>
      </c>
      <c r="J1048" s="1" t="inlineStr">
        <is>
          <t>MBBANK IBFT NGUYEN TRUNG HIEU 25800500288 LNH09 25ND01 0329741900 TAI IBT-MB                   HANOI</t>
        </is>
      </c>
    </row>
    <row r="1049">
      <c r="A1049" s="1" t="inlineStr">
        <is>
          <t>11-Sep-25</t>
        </is>
      </c>
      <c r="B1049" s="1" t="inlineStr">
        <is>
          <t>I63165</t>
        </is>
      </c>
      <c r="C1049" s="1" t="inlineStr">
        <is>
          <t>25807700074</t>
        </is>
      </c>
      <c r="D1049" s="1" t="inlineStr">
        <is>
          <t>Phaïm Löông</t>
        </is>
      </c>
      <c r="E1049" s="1" t="inlineStr">
        <is>
          <t>Toaøn</t>
        </is>
      </c>
      <c r="F1049" s="1" t="inlineStr">
        <is>
          <t>06-Oct-07</t>
        </is>
      </c>
      <c r="G1049" s="1" t="inlineStr">
        <is>
          <t>LNH0925ND01</t>
        </is>
      </c>
      <c r="H1049" s="1" t="inlineStr">
        <is>
          <t>09AV Giao tiep QT (TS)</t>
        </is>
      </c>
      <c r="I1049" s="1" t="n">
        <v>8415000</v>
      </c>
      <c r="J1049" s="1" t="inlineStr">
        <is>
          <t>MBBANK IBFT Pham Luong ToanMSSV  25807700074LNH 0925ND01 Sdt 0397679891 TAI IBT-MB                   HANOI</t>
        </is>
      </c>
    </row>
    <row r="1050">
      <c r="A1050" s="1" t="inlineStr">
        <is>
          <t>11-Sep-25</t>
        </is>
      </c>
      <c r="B1050" s="1" t="inlineStr">
        <is>
          <t>I63166</t>
        </is>
      </c>
      <c r="C1050" s="1" t="inlineStr">
        <is>
          <t>25807500054</t>
        </is>
      </c>
      <c r="D1050" s="1" t="inlineStr">
        <is>
          <t>Ñaëng Myõ</t>
        </is>
      </c>
      <c r="E1050" s="1" t="inlineStr">
        <is>
          <t>Kieàu</t>
        </is>
      </c>
      <c r="F1050" s="1" t="inlineStr">
        <is>
          <t>16-Apr-07</t>
        </is>
      </c>
      <c r="G1050" s="1" t="inlineStr">
        <is>
          <t>LNH0925ND01</t>
        </is>
      </c>
      <c r="H1050" s="1" t="inlineStr">
        <is>
          <t>09AV Giao tiep QT (TS)</t>
        </is>
      </c>
      <c r="I1050" s="1" t="n">
        <v>7415000</v>
      </c>
      <c r="J1050" s="1" t="inlineStr">
        <is>
          <t>DANG MY KIEU MBVCB.10881087703.364691.DANG MY KI EU chuyen tien  mssv 25807500054 LNH0925ND01   sdt 0976645475.CT tu 3326813545 DANG MY KIEU toi 0521043748045 HUTECH tai ABBANK TAI Vietcombank</t>
        </is>
      </c>
    </row>
    <row r="1051">
      <c r="A1051" s="1" t="inlineStr">
        <is>
          <t>11-Sep-25</t>
        </is>
      </c>
      <c r="B1051" s="1" t="inlineStr">
        <is>
          <t>I63167</t>
        </is>
      </c>
      <c r="C1051" s="1" t="inlineStr">
        <is>
          <t>25806300003</t>
        </is>
      </c>
      <c r="D1051" s="1" t="inlineStr">
        <is>
          <t>Mai Khaùnh</t>
        </is>
      </c>
      <c r="E1051" s="1" t="inlineStr">
        <is>
          <t>Duy</t>
        </is>
      </c>
      <c r="F1051" s="1" t="inlineStr">
        <is>
          <t>18-Nov-07</t>
        </is>
      </c>
      <c r="G1051" s="1" t="inlineStr">
        <is>
          <t>LNH0925ND01</t>
        </is>
      </c>
      <c r="H1051" s="1" t="inlineStr">
        <is>
          <t>09AV Giao tiep QT (TS)</t>
        </is>
      </c>
      <c r="I1051" s="1" t="n">
        <v>535000</v>
      </c>
      <c r="J1051" s="1" t="inlineStr">
        <is>
          <t>TRANSFER Mai Khanh Duy  MSSV 25806300003  SD T 0367689045  LNH0925ND01  ma GD 10 0000009981335 TAI LienVietPostBank       Ha Noi</t>
        </is>
      </c>
    </row>
    <row r="1052">
      <c r="A1052" s="1" t="inlineStr">
        <is>
          <t>11-Sep-25</t>
        </is>
      </c>
      <c r="B1052" s="1" t="inlineStr">
        <is>
          <t>I63168</t>
        </is>
      </c>
      <c r="C1052" s="1" t="inlineStr">
        <is>
          <t>25802800113</t>
        </is>
      </c>
      <c r="D1052" s="1" t="inlineStr">
        <is>
          <t>Huyønh Phaïm Ñaêng</t>
        </is>
      </c>
      <c r="E1052" s="1" t="inlineStr">
        <is>
          <t>Khoa</t>
        </is>
      </c>
      <c r="F1052" s="1" t="inlineStr">
        <is>
          <t>29-Dec-07</t>
        </is>
      </c>
      <c r="G1052" s="1" t="inlineStr">
        <is>
          <t>LNH0925ND01</t>
        </is>
      </c>
      <c r="H1052" s="1" t="inlineStr">
        <is>
          <t>09AV Giao tiep QT (TS)</t>
        </is>
      </c>
      <c r="I1052" s="1" t="n">
        <v>4000000</v>
      </c>
      <c r="J1052" s="1" t="inlineStr">
        <is>
          <t>PHAM ANH TUYET MBVCB.10881641950.739368.huynh pham dang khoa mssv 25802800113 dt 0903 864518.CT tu 0181003322932 PHAM ANH TUYET toi 0521043748045 HUTECH taiABBANK TAI Vietcombank</t>
        </is>
      </c>
    </row>
    <row r="1053">
      <c r="A1053" s="1" t="inlineStr">
        <is>
          <t>12-Sep-25</t>
        </is>
      </c>
      <c r="B1053" s="1" t="inlineStr">
        <is>
          <t>I63491</t>
        </is>
      </c>
      <c r="C1053" s="1" t="inlineStr">
        <is>
          <t>25800400102</t>
        </is>
      </c>
      <c r="D1053" s="1" t="inlineStr">
        <is>
          <t>Leâ Gia</t>
        </is>
      </c>
      <c r="E1053" s="1" t="inlineStr">
        <is>
          <t>Nam</t>
        </is>
      </c>
      <c r="F1053" s="1" t="inlineStr">
        <is>
          <t>19-Feb-07</t>
        </is>
      </c>
      <c r="G1053" s="1" t="inlineStr">
        <is>
          <t>LNH0925ND01</t>
        </is>
      </c>
      <c r="H1053" s="1" t="inlineStr">
        <is>
          <t>09AV Giao tiep QT (TS)</t>
        </is>
      </c>
      <c r="I1053" s="1" t="n">
        <v>7945000</v>
      </c>
      <c r="J1053" s="1" t="inlineStr">
        <is>
          <t>LE GIA NAM MBVCB.10888503952.363337.LE GIA NAM 25800400102 LNH0925ND01 0365219727 .CT tu 1055012166 LE GIA NAM toi 05 21043748045 HUTECH tai ABBANK TAI Vietcombank</t>
        </is>
      </c>
    </row>
    <row r="1054">
      <c r="A1054" s="1" t="inlineStr">
        <is>
          <t>12-Sep-25</t>
        </is>
      </c>
      <c r="B1054" s="1" t="inlineStr">
        <is>
          <t>I63492</t>
        </is>
      </c>
      <c r="C1054" s="1" t="inlineStr">
        <is>
          <t>25820100086</t>
        </is>
      </c>
      <c r="D1054" s="1" t="inlineStr">
        <is>
          <t>Nguyeãn Tuaán</t>
        </is>
      </c>
      <c r="E1054" s="1" t="inlineStr">
        <is>
          <t>Anh</t>
        </is>
      </c>
      <c r="F1054" s="1" t="inlineStr">
        <is>
          <t>10-Apr-07</t>
        </is>
      </c>
      <c r="G1054" s="1" t="inlineStr">
        <is>
          <t>LNH0925ND01</t>
        </is>
      </c>
      <c r="H1054" s="1" t="inlineStr">
        <is>
          <t>09AV Giao tiep QT (TS)</t>
        </is>
      </c>
      <c r="I1054" s="1" t="n">
        <v>3465000</v>
      </c>
      <c r="J1054" s="1" t="inlineStr">
        <is>
          <t>NGUYEN TUAN ANH NGUYEN TUAN ANH 25820100086 LNH0925 ND01 0355965707 TAI IBT BIDV                 HANOI</t>
        </is>
      </c>
    </row>
    <row r="1055">
      <c r="A1055" s="1" t="inlineStr">
        <is>
          <t>12-Sep-25</t>
        </is>
      </c>
      <c r="B1055" s="1" t="inlineStr">
        <is>
          <t>I63493</t>
        </is>
      </c>
      <c r="C1055" s="1" t="inlineStr">
        <is>
          <t>25802300142</t>
        </is>
      </c>
      <c r="D1055" s="1" t="inlineStr">
        <is>
          <t>Ñaëng Thò Khaùnh</t>
        </is>
      </c>
      <c r="E1055" s="1" t="inlineStr">
        <is>
          <t>Ly</t>
        </is>
      </c>
      <c r="F1055" s="1" t="inlineStr">
        <is>
          <t>22-Jun-07</t>
        </is>
      </c>
      <c r="G1055" s="1" t="inlineStr">
        <is>
          <t>LNH0925ND01</t>
        </is>
      </c>
      <c r="H1055" s="1" t="inlineStr">
        <is>
          <t>09AV Giao tiep QT (TS)</t>
        </is>
      </c>
      <c r="I1055" s="1" t="n">
        <v>3465000</v>
      </c>
      <c r="J1055" s="1" t="inlineStr">
        <is>
          <t>MBBANK IBFT Dang Thi Khanh Ly 25802300142 LNH09 25ND01 0966624670 TAI IBT-MB                   HANOI</t>
        </is>
      </c>
    </row>
    <row r="1056">
      <c r="A1056" s="1" t="inlineStr">
        <is>
          <t>12-Sep-25</t>
        </is>
      </c>
      <c r="B1056" s="1" t="inlineStr">
        <is>
          <t>I63494</t>
        </is>
      </c>
      <c r="C1056" s="1" t="inlineStr">
        <is>
          <t>25802800103</t>
        </is>
      </c>
      <c r="D1056" s="1" t="inlineStr">
        <is>
          <t>Nguyeãn Hoàng</t>
        </is>
      </c>
      <c r="E1056" s="1" t="inlineStr">
        <is>
          <t>Khang</t>
        </is>
      </c>
      <c r="F1056" s="1" t="inlineStr">
        <is>
          <t>30-Apr-07</t>
        </is>
      </c>
      <c r="G1056" s="1" t="inlineStr">
        <is>
          <t>LNH0925ND01</t>
        </is>
      </c>
      <c r="H1056" s="1" t="inlineStr">
        <is>
          <t>09AV Giao tiep QT (TS)</t>
        </is>
      </c>
      <c r="I1056" s="1" t="n">
        <v>7415000</v>
      </c>
      <c r="J1056" s="1" t="inlineStr">
        <is>
          <t>MBBANK IBFT Nguyen Hong Khang 25802800103 LNH09 25ND01 0393879091 TAI IBT-MB                   HANOI</t>
        </is>
      </c>
    </row>
    <row r="1057">
      <c r="A1057" s="1" t="inlineStr">
        <is>
          <t>12-Sep-25</t>
        </is>
      </c>
      <c r="B1057" s="1" t="inlineStr">
        <is>
          <t>I63495</t>
        </is>
      </c>
      <c r="C1057" s="1" t="inlineStr">
        <is>
          <t>25807800151</t>
        </is>
      </c>
      <c r="D1057" s="1" t="inlineStr">
        <is>
          <t>Nguyeãn Phöôùc</t>
        </is>
      </c>
      <c r="E1057" s="1" t="inlineStr">
        <is>
          <t>Trung</t>
        </is>
      </c>
      <c r="F1057" s="1" t="inlineStr">
        <is>
          <t>04-Dec-07</t>
        </is>
      </c>
      <c r="G1057" s="1" t="inlineStr">
        <is>
          <t>LNH0925ND01</t>
        </is>
      </c>
      <c r="H1057" s="1" t="inlineStr">
        <is>
          <t>09AV Giao tiep QT (TS)</t>
        </is>
      </c>
      <c r="I1057" s="1" t="n">
        <v>7415000</v>
      </c>
      <c r="J1057" s="1" t="inlineStr">
        <is>
          <t>TRAN THI THANH MAI Nguyen Phuoc Trung 25807800151 LNH0 925ND01 0898311867 TAI VietinBank</t>
        </is>
      </c>
    </row>
    <row r="1058">
      <c r="A1058" s="1" t="inlineStr">
        <is>
          <t>12-Sep-25</t>
        </is>
      </c>
      <c r="B1058" s="1" t="inlineStr">
        <is>
          <t>I63496</t>
        </is>
      </c>
      <c r="C1058" s="1" t="inlineStr">
        <is>
          <t>25806800034</t>
        </is>
      </c>
      <c r="D1058" s="1" t="inlineStr">
        <is>
          <t>Nguyeãn Huyønh Gia</t>
        </is>
      </c>
      <c r="E1058" s="1" t="inlineStr">
        <is>
          <t>Linh</t>
        </is>
      </c>
      <c r="F1058" s="1" t="inlineStr">
        <is>
          <t>03-Dec-07</t>
        </is>
      </c>
      <c r="G1058" s="1" t="inlineStr">
        <is>
          <t>LNH0925ND01</t>
        </is>
      </c>
      <c r="H1058" s="1" t="inlineStr">
        <is>
          <t>09AV Giao tiep QT (TS)</t>
        </is>
      </c>
      <c r="I1058" s="1" t="n">
        <v>7415000</v>
      </c>
      <c r="J1058" s="1" t="inlineStr">
        <is>
          <t>MBBANK IBFT Nguyen Huynh Gia Linh 25806800034 L NH0925ND01 0839031207 TAI IBT-MB                   HANOI</t>
        </is>
      </c>
    </row>
    <row r="1059">
      <c r="A1059" s="1" t="inlineStr">
        <is>
          <t>12-Sep-25</t>
        </is>
      </c>
      <c r="B1059" s="1" t="inlineStr">
        <is>
          <t>I63497</t>
        </is>
      </c>
      <c r="C1059" s="1" t="inlineStr">
        <is>
          <t>25805900007</t>
        </is>
      </c>
      <c r="D1059" s="1" t="inlineStr">
        <is>
          <t>Nguyeãn Thò Hieàn</t>
        </is>
      </c>
      <c r="E1059" s="1" t="inlineStr">
        <is>
          <t>Dieäu</t>
        </is>
      </c>
      <c r="F1059" s="1" t="inlineStr">
        <is>
          <t>22-Nov-07</t>
        </is>
      </c>
      <c r="G1059" s="1" t="inlineStr">
        <is>
          <t>LNH0925ND01</t>
        </is>
      </c>
      <c r="H1059" s="1" t="inlineStr">
        <is>
          <t>09AV Giao tiep QT (TS)</t>
        </is>
      </c>
      <c r="I1059" s="1" t="n">
        <v>7415000</v>
      </c>
      <c r="J1059" s="1" t="inlineStr">
        <is>
          <t>MBBANK IBFT NGUYEN THI HIEN DIEU 25805900007 LN H0925ND01 0335882718 TAI IBT-MB                   HANOI</t>
        </is>
      </c>
    </row>
    <row r="1060">
      <c r="A1060" s="1" t="inlineStr">
        <is>
          <t>12-Sep-25</t>
        </is>
      </c>
      <c r="B1060" s="1" t="inlineStr">
        <is>
          <t>I63498</t>
        </is>
      </c>
      <c r="C1060" s="1" t="inlineStr">
        <is>
          <t>25808900077</t>
        </is>
      </c>
      <c r="D1060" s="1" t="inlineStr">
        <is>
          <t>Laâm Hoaøng</t>
        </is>
      </c>
      <c r="E1060" s="1" t="inlineStr">
        <is>
          <t>Maïnh</t>
        </is>
      </c>
      <c r="F1060" s="1" t="inlineStr">
        <is>
          <t>29-Mar-06</t>
        </is>
      </c>
      <c r="G1060" s="1" t="inlineStr">
        <is>
          <t>LNH0925ND01</t>
        </is>
      </c>
      <c r="H1060" s="1" t="inlineStr">
        <is>
          <t>09AV Giao tiep QT (TS)</t>
        </is>
      </c>
      <c r="I1060" s="1" t="n">
        <v>7415000</v>
      </c>
      <c r="J1060" s="1" t="inlineStr">
        <is>
          <t>LAM HOANG MANH MBVCB.10891641908.429567.LAM HOANG MANH  25808900077 LNH0925ND01 03748 45502.CT tu 1041196954 LAM HOANG MA NH toi 0521043748045 HUTECH tai ABBANK TAI Vietcombank</t>
        </is>
      </c>
    </row>
    <row r="1061">
      <c r="A1061" s="1" t="inlineStr">
        <is>
          <t>12-Sep-25</t>
        </is>
      </c>
      <c r="B1061" s="1" t="inlineStr">
        <is>
          <t>I63499</t>
        </is>
      </c>
      <c r="C1061" s="1" t="inlineStr">
        <is>
          <t>25808700047</t>
        </is>
      </c>
      <c r="D1061" s="1" t="inlineStr">
        <is>
          <t>Nguyen Mai Nhat</t>
        </is>
      </c>
      <c r="E1061" s="1" t="inlineStr">
        <is>
          <t>Linh</t>
        </is>
      </c>
      <c r="F1061" s="1" t="inlineStr">
        <is>
          <t>11-May-07</t>
        </is>
      </c>
      <c r="G1061" s="1" t="inlineStr">
        <is>
          <t>LNH0925ND01</t>
        </is>
      </c>
      <c r="H1061" s="1" t="inlineStr">
        <is>
          <t>09AV Giao tiep QT (TS)</t>
        </is>
      </c>
      <c r="I1061" s="1" t="n">
        <v>8415000</v>
      </c>
      <c r="J1061" s="1" t="inlineStr">
        <is>
          <t>MBBANK IBFT Nguyen Mai Nhat Linh 258087000047 L NH0925ND01 0828774774 TAI IBT-MB                   HANOI</t>
        </is>
      </c>
    </row>
    <row r="1062">
      <c r="A1062" s="1" t="inlineStr">
        <is>
          <t>13-Sep-25</t>
        </is>
      </c>
      <c r="B1062" s="1" t="inlineStr">
        <is>
          <t>I63534</t>
        </is>
      </c>
      <c r="C1062" s="1" t="inlineStr">
        <is>
          <t>25807700079</t>
        </is>
      </c>
      <c r="D1062" s="1" t="inlineStr">
        <is>
          <t>Leâ Thanh</t>
        </is>
      </c>
      <c r="E1062" s="1" t="inlineStr">
        <is>
          <t>Töôøng</t>
        </is>
      </c>
      <c r="F1062" s="1" t="inlineStr">
        <is>
          <t>02-Dec-07</t>
        </is>
      </c>
      <c r="G1062" s="1" t="inlineStr">
        <is>
          <t>LNH0925ND01</t>
        </is>
      </c>
      <c r="H1062" s="1" t="inlineStr">
        <is>
          <t>09AV Giao tiep QT (TS)</t>
        </is>
      </c>
      <c r="I1062" s="1" t="n">
        <v>1100000</v>
      </c>
      <c r="J1062" s="1" t="inlineStr">
        <is>
          <t>LE THANH TUONG QR - le thanh tuong mssv 2580770007 9 TAI VietinBank</t>
        </is>
      </c>
    </row>
    <row r="1063">
      <c r="A1063" s="1" t="inlineStr">
        <is>
          <t>13-Sep-25</t>
        </is>
      </c>
      <c r="B1063" s="1" t="inlineStr">
        <is>
          <t>I63535</t>
        </is>
      </c>
      <c r="C1063" s="1" t="inlineStr">
        <is>
          <t>25802800041</t>
        </is>
      </c>
      <c r="D1063" s="1" t="inlineStr">
        <is>
          <t>Nguyeãn Quoác</t>
        </is>
      </c>
      <c r="E1063" s="1" t="inlineStr">
        <is>
          <t>Ñaït</t>
        </is>
      </c>
      <c r="F1063" s="1" t="inlineStr">
        <is>
          <t>02-Feb-06</t>
        </is>
      </c>
      <c r="G1063" s="1" t="inlineStr">
        <is>
          <t>LNH0925ND01</t>
        </is>
      </c>
      <c r="H1063" s="1" t="inlineStr">
        <is>
          <t>09AV Giao tiep QT (TS)</t>
        </is>
      </c>
      <c r="I1063" s="1" t="n">
        <v>3475000</v>
      </c>
      <c r="J1063" s="1" t="inlineStr">
        <is>
          <t>NGUYEN QUOC DAT ABBank 0521043748045 NGUYEN QUOC DA T 25802800041 LNH0925ND01 093122879 TAI Agribank</t>
        </is>
      </c>
    </row>
    <row r="1064">
      <c r="A1064" s="1" t="inlineStr">
        <is>
          <t>13-Sep-25</t>
        </is>
      </c>
      <c r="B1064" s="1" t="inlineStr">
        <is>
          <t>I63536</t>
        </is>
      </c>
      <c r="C1064" s="1" t="inlineStr">
        <is>
          <t>25802700083</t>
        </is>
      </c>
      <c r="D1064" s="1" t="inlineStr">
        <is>
          <t>Traàn Trieäu</t>
        </is>
      </c>
      <c r="E1064" s="1" t="inlineStr">
        <is>
          <t>Thieän</t>
        </is>
      </c>
      <c r="F1064" s="1" t="inlineStr">
        <is>
          <t>12-Feb-07</t>
        </is>
      </c>
      <c r="G1064" s="1" t="inlineStr">
        <is>
          <t>LNH0925ND01</t>
        </is>
      </c>
      <c r="H1064" s="1" t="inlineStr">
        <is>
          <t>09AV Giao tiep QT (TS)</t>
        </is>
      </c>
      <c r="I1064" s="1" t="n">
        <v>7415000</v>
      </c>
      <c r="J1064" s="1" t="inlineStr">
        <is>
          <t>TRAN TRIEU THIEN MBVCB.10903406618.318121.TRAN TRIEU THIEN  mssv:25802700083  LNH0925ND 01  0347606689.CT tu 1047542748 TRA N TRIEU THIEN toi 0521043748045 HUTECH tai ABBANK TAI Vietcombank</t>
        </is>
      </c>
    </row>
    <row r="1065">
      <c r="A1065" s="1" t="inlineStr">
        <is>
          <t>13-Sep-25</t>
        </is>
      </c>
      <c r="B1065" s="1" t="inlineStr">
        <is>
          <t>I63537</t>
        </is>
      </c>
      <c r="C1065" s="1" t="inlineStr">
        <is>
          <t>25802800015</t>
        </is>
      </c>
      <c r="D1065" s="1" t="inlineStr">
        <is>
          <t>Nguyeãn Ngoïc Baûo</t>
        </is>
      </c>
      <c r="E1065" s="1" t="inlineStr">
        <is>
          <t>AÂn</t>
        </is>
      </c>
      <c r="F1065" s="1" t="inlineStr">
        <is>
          <t>24-Feb-07</t>
        </is>
      </c>
      <c r="G1065" s="1" t="inlineStr">
        <is>
          <t>LNH0925ND01</t>
        </is>
      </c>
      <c r="H1065" s="1" t="inlineStr">
        <is>
          <t>09AV Giao tiep QT (TS)</t>
        </is>
      </c>
      <c r="I1065" s="1" t="n">
        <v>7415000</v>
      </c>
      <c r="J1065" s="1" t="inlineStr">
        <is>
          <t>NGUYEN NGOC BAO AN MBVCB.10903701695.520969.Nguyen Ngo c Bao An  25802800015  LNH0925ND01 0792437091.CT tu 1048169855 NGUYEN NGOC BAO AN toi 0521043748045 HUTECH tai ABBANK TAI Vietcombank</t>
        </is>
      </c>
    </row>
    <row r="1066">
      <c r="A1066" s="1" t="inlineStr">
        <is>
          <t>13-Sep-25</t>
        </is>
      </c>
      <c r="B1066" s="1" t="inlineStr">
        <is>
          <t>I63538</t>
        </is>
      </c>
      <c r="C1066" s="1" t="inlineStr">
        <is>
          <t>25808900122</t>
        </is>
      </c>
      <c r="D1066" s="1" t="inlineStr">
        <is>
          <t>Nguyeãn Ngoïc</t>
        </is>
      </c>
      <c r="E1066" s="1" t="inlineStr">
        <is>
          <t>Thuaän</t>
        </is>
      </c>
      <c r="F1066" s="1" t="inlineStr">
        <is>
          <t>19-Aug-07</t>
        </is>
      </c>
      <c r="G1066" s="1" t="inlineStr">
        <is>
          <t>LNH0925ND01</t>
        </is>
      </c>
      <c r="H1066" s="1" t="inlineStr">
        <is>
          <t>09AV Giao tiep QT (TS)</t>
        </is>
      </c>
      <c r="I1066" s="1" t="n">
        <v>7415000</v>
      </c>
      <c r="J1066" s="1" t="inlineStr">
        <is>
          <t>MBBANK IBFT NGUYEN NGOC THUAN 25808900122 LNH09 25ND01 0865601547 TAI IBT-MB                   HANOI</t>
        </is>
      </c>
    </row>
    <row r="1067">
      <c r="A1067" s="1" t="inlineStr">
        <is>
          <t>13-Sep-25</t>
        </is>
      </c>
      <c r="B1067" s="1" t="inlineStr">
        <is>
          <t>I63539</t>
        </is>
      </c>
      <c r="C1067" s="1" t="inlineStr">
        <is>
          <t>25808900099</t>
        </is>
      </c>
      <c r="D1067" s="1" t="inlineStr">
        <is>
          <t>Traàn Vaên</t>
        </is>
      </c>
      <c r="E1067" s="1" t="inlineStr">
        <is>
          <t>Phuùc</t>
        </is>
      </c>
      <c r="F1067" s="1" t="inlineStr">
        <is>
          <t>07-Mar-07</t>
        </is>
      </c>
      <c r="G1067" s="1" t="inlineStr">
        <is>
          <t>LNH0925ND01</t>
        </is>
      </c>
      <c r="H1067" s="1" t="inlineStr">
        <is>
          <t>09AV Giao tiep QT (TS)</t>
        </is>
      </c>
      <c r="I1067" s="1" t="n">
        <v>3465000</v>
      </c>
      <c r="J1067" s="1" t="inlineStr">
        <is>
          <t>MBBANK IBFT 100686430778 TRAN VAN PHUC 25808900 099 LMH0925ND01 0783729473 CHUYEN T IEN OQCH0001w2JD MOMO100686430778MO MO TAI IBT-MB                   HANOI</t>
        </is>
      </c>
    </row>
    <row r="1068">
      <c r="A1068" s="1" t="inlineStr">
        <is>
          <t>13-Sep-25</t>
        </is>
      </c>
      <c r="B1068" s="1" t="inlineStr">
        <is>
          <t>I63540</t>
        </is>
      </c>
      <c r="C1068" s="1" t="inlineStr">
        <is>
          <t>25807700035</t>
        </is>
      </c>
      <c r="D1068" s="1" t="inlineStr">
        <is>
          <t>Chung Long</t>
        </is>
      </c>
      <c r="E1068" s="1" t="inlineStr">
        <is>
          <t>Khang</t>
        </is>
      </c>
      <c r="F1068" s="1" t="inlineStr">
        <is>
          <t>30-Nov-07</t>
        </is>
      </c>
      <c r="G1068" s="1" t="inlineStr">
        <is>
          <t>LNH0925ND01</t>
        </is>
      </c>
      <c r="H1068" s="1" t="inlineStr">
        <is>
          <t>09AV Giao tiep QT (TS)</t>
        </is>
      </c>
      <c r="I1068" s="1" t="n">
        <v>7415000</v>
      </c>
      <c r="J1068" s="1" t="inlineStr">
        <is>
          <t>SACOMBANK IBFT CHUNG LONG KHANG MSSV258077000 35 LNH0925ND01 SDT 0962269943 TAI SACOMBANK              HCM</t>
        </is>
      </c>
    </row>
    <row r="1069">
      <c r="A1069" s="1" t="inlineStr">
        <is>
          <t>13-Sep-25</t>
        </is>
      </c>
      <c r="B1069" s="1" t="inlineStr">
        <is>
          <t>I63541</t>
        </is>
      </c>
      <c r="C1069" s="1" t="inlineStr">
        <is>
          <t>25808700015</t>
        </is>
      </c>
      <c r="D1069" s="1" t="inlineStr">
        <is>
          <t>Döông Höõu Khaùnh</t>
        </is>
      </c>
      <c r="E1069" s="1" t="inlineStr">
        <is>
          <t>Ñaït</t>
        </is>
      </c>
      <c r="F1069" s="1" t="inlineStr">
        <is>
          <t>02-Feb-07</t>
        </is>
      </c>
      <c r="G1069" s="1" t="inlineStr">
        <is>
          <t>LNH0925ND01</t>
        </is>
      </c>
      <c r="H1069" s="1" t="inlineStr">
        <is>
          <t>09AV Giao tiep QT (TS)</t>
        </is>
      </c>
      <c r="I1069" s="1" t="n">
        <v>8415000</v>
      </c>
      <c r="J1069" s="1" t="inlineStr">
        <is>
          <t>PHAN THI NGOC THANH MBVCB.10908427489.709090.Duong Huu Khanh Dat 26808700015 LNH0925ND01 0 788672539.CT tu 9907400456 PHAN THI NGOC THANH toi 0521043748045 HUTECH tai ABBANK TAI Vietcombank</t>
        </is>
      </c>
    </row>
    <row r="1070">
      <c r="A1070" s="1" t="inlineStr">
        <is>
          <t>13-Sep-25</t>
        </is>
      </c>
      <c r="B1070" s="1" t="inlineStr">
        <is>
          <t>I63552</t>
        </is>
      </c>
      <c r="C1070" s="1" t="inlineStr">
        <is>
          <t>25807500017</t>
        </is>
      </c>
      <c r="D1070" s="1" t="inlineStr">
        <is>
          <t>Ñoã Tieán</t>
        </is>
      </c>
      <c r="E1070" s="1" t="inlineStr">
        <is>
          <t>Döông</t>
        </is>
      </c>
      <c r="F1070" s="1" t="inlineStr">
        <is>
          <t>20-Jul-07</t>
        </is>
      </c>
      <c r="G1070" s="1" t="inlineStr">
        <is>
          <t>LNH0925ND01</t>
        </is>
      </c>
      <c r="H1070" s="1" t="inlineStr">
        <is>
          <t>09AV Giao tiep QT (TS)</t>
        </is>
      </c>
      <c r="I1070" s="1" t="n">
        <v>7415000</v>
      </c>
      <c r="J1070" s="1" t="inlineStr">
        <is>
          <t>DUONG THI THOM DUONG THI THOM   hvt do tien duong mssv25807500017 lhn0925nd 01sdtsv 0 962990712 bo xung them tien hoc the m tieng anh TAI IBT BIDV                 HANOI</t>
        </is>
      </c>
    </row>
    <row r="1071">
      <c r="A1071" s="1" t="inlineStr">
        <is>
          <t>15-Sep-25</t>
        </is>
      </c>
      <c r="B1071" s="1" t="inlineStr">
        <is>
          <t>I64091</t>
        </is>
      </c>
      <c r="C1071" s="1" t="inlineStr">
        <is>
          <t>25801900115</t>
        </is>
      </c>
      <c r="D1071" s="1" t="inlineStr">
        <is>
          <t>Le Phu</t>
        </is>
      </c>
      <c r="E1071" s="1" t="inlineStr">
        <is>
          <t>Phuc</t>
        </is>
      </c>
      <c r="F1071" s="1" t="inlineStr">
        <is>
          <t xml:space="preserve">  -   -</t>
        </is>
      </c>
      <c r="G1071" s="1" t="inlineStr">
        <is>
          <t>LNH0925ND01</t>
        </is>
      </c>
      <c r="H1071" s="1" t="inlineStr">
        <is>
          <t>09AV Giao tiep QT (TS)</t>
        </is>
      </c>
      <c r="I1071" s="1" t="n">
        <v>7415000</v>
      </c>
      <c r="J1071" s="1" t="inlineStr">
        <is>
          <t>MBBANK IBFT 100844363052 LE PHU PHUC chuyen tie n qua MoMo CHUYEN TIEN OQCH0001zD1K MOMO100844363052MOMO TAI IBT-MB                   HANOI</t>
        </is>
      </c>
    </row>
    <row r="1072">
      <c r="A1072" s="1" t="inlineStr">
        <is>
          <t>15-Sep-25</t>
        </is>
      </c>
      <c r="B1072" s="1" t="inlineStr">
        <is>
          <t>I64094</t>
        </is>
      </c>
      <c r="C1072" s="1" t="inlineStr">
        <is>
          <t>25801100080</t>
        </is>
      </c>
      <c r="D1072" s="1" t="inlineStr">
        <is>
          <t>Tröông Quang</t>
        </is>
      </c>
      <c r="E1072" s="1" t="inlineStr">
        <is>
          <t>Vinh</t>
        </is>
      </c>
      <c r="F1072" s="1" t="inlineStr">
        <is>
          <t>05-Oct-07</t>
        </is>
      </c>
      <c r="G1072" s="1" t="inlineStr">
        <is>
          <t>LNH0925ND01</t>
        </is>
      </c>
      <c r="H1072" s="1" t="inlineStr">
        <is>
          <t>09AV Giao tiep QT (TS)</t>
        </is>
      </c>
      <c r="I1072" s="1" t="n">
        <v>3465000</v>
      </c>
      <c r="J1072" s="1" t="inlineStr">
        <is>
          <t>MBBANK IBFT Truong Quang Vinh25801100080LNH0925 ND010378879207 TAI IBT-MB                   HANOI</t>
        </is>
      </c>
    </row>
    <row r="1073">
      <c r="A1073" s="1" t="inlineStr">
        <is>
          <t>15-Sep-25</t>
        </is>
      </c>
      <c r="B1073" s="1" t="inlineStr">
        <is>
          <t>I64095</t>
        </is>
      </c>
      <c r="C1073" s="1" t="inlineStr">
        <is>
          <t>25808600033</t>
        </is>
      </c>
      <c r="D1073" s="1" t="inlineStr">
        <is>
          <t>Phaïm Thò Ngoïc</t>
        </is>
      </c>
      <c r="E1073" s="1" t="inlineStr">
        <is>
          <t>Haân</t>
        </is>
      </c>
      <c r="F1073" s="1" t="inlineStr">
        <is>
          <t>30-Sep-07</t>
        </is>
      </c>
      <c r="G1073" s="1" t="inlineStr">
        <is>
          <t>LNH0925ND01</t>
        </is>
      </c>
      <c r="H1073" s="1" t="inlineStr">
        <is>
          <t>09AV Giao tiep QT (TS)</t>
        </is>
      </c>
      <c r="I1073" s="1" t="n">
        <v>6415000</v>
      </c>
      <c r="J1073" s="1" t="inlineStr">
        <is>
          <t>THAI THACH PHONG PHAM THI NGOC HAN  MSSV 25808600033 LNH0925ND01  Sdt 0767943819 TAI IBT SMARTLINK            HANOI</t>
        </is>
      </c>
    </row>
    <row r="1074">
      <c r="A1074" s="1" t="inlineStr">
        <is>
          <t>15-Sep-25</t>
        </is>
      </c>
      <c r="B1074" s="1" t="inlineStr">
        <is>
          <t>I64096</t>
        </is>
      </c>
      <c r="C1074" s="1" t="inlineStr">
        <is>
          <t>25802600218</t>
        </is>
      </c>
      <c r="D1074" s="1" t="inlineStr">
        <is>
          <t>Nguyeãn Thò Vaân</t>
        </is>
      </c>
      <c r="E1074" s="1" t="inlineStr">
        <is>
          <t>Anh</t>
        </is>
      </c>
      <c r="F1074" s="1" t="inlineStr">
        <is>
          <t>06-Oct-07</t>
        </is>
      </c>
      <c r="G1074" s="1" t="inlineStr">
        <is>
          <t>LNH0925ND01</t>
        </is>
      </c>
      <c r="H1074" s="1" t="inlineStr">
        <is>
          <t>09AV Giao tiep QT (TS)</t>
        </is>
      </c>
      <c r="I1074" s="1" t="n">
        <v>3465000</v>
      </c>
      <c r="J1074" s="1" t="inlineStr">
        <is>
          <t>MBBANK IBFT NGUYEN THI VAN ANH 25802600218 LNH0 925ND01  0383922407 TAI IBT-MB                   HANOI</t>
        </is>
      </c>
    </row>
    <row r="1075">
      <c r="A1075" s="1" t="inlineStr">
        <is>
          <t>15-Sep-25</t>
        </is>
      </c>
      <c r="B1075" s="1" t="inlineStr">
        <is>
          <t>I64097</t>
        </is>
      </c>
      <c r="C1075" s="1" t="inlineStr">
        <is>
          <t>25806000105</t>
        </is>
      </c>
      <c r="D1075" s="1" t="inlineStr">
        <is>
          <t>Vuõ Ñoã Nhö</t>
        </is>
      </c>
      <c r="E1075" s="1" t="inlineStr">
        <is>
          <t>Quyønh</t>
        </is>
      </c>
      <c r="F1075" s="1" t="inlineStr">
        <is>
          <t>26-Feb-07</t>
        </is>
      </c>
      <c r="G1075" s="1" t="inlineStr">
        <is>
          <t>LNH0925ND01</t>
        </is>
      </c>
      <c r="H1075" s="1" t="inlineStr">
        <is>
          <t>09AV Giao tiep QT (TS)</t>
        </is>
      </c>
      <c r="I1075" s="1" t="n">
        <v>7415000</v>
      </c>
      <c r="J1075" s="1" t="inlineStr">
        <is>
          <t>MBBANK IBFT Vu Do Nhu Quynh  25806000105LNH0925 ND01 0333550967 TAI IBT-MB                   HANOI</t>
        </is>
      </c>
    </row>
    <row r="1076">
      <c r="A1076" s="1" t="inlineStr">
        <is>
          <t>15-Sep-25</t>
        </is>
      </c>
      <c r="B1076" s="1" t="inlineStr">
        <is>
          <t>I64098</t>
        </is>
      </c>
      <c r="C1076" s="1" t="inlineStr">
        <is>
          <t>25806300027</t>
        </is>
      </c>
      <c r="D1076" s="1" t="inlineStr">
        <is>
          <t>Phaïm Ngoïc Phöông</t>
        </is>
      </c>
      <c r="E1076" s="1" t="inlineStr">
        <is>
          <t>Nam</t>
        </is>
      </c>
      <c r="F1076" s="1" t="inlineStr">
        <is>
          <t>13-Oct-07</t>
        </is>
      </c>
      <c r="G1076" s="1" t="inlineStr">
        <is>
          <t>LNH0925ND01</t>
        </is>
      </c>
      <c r="H1076" s="1" t="inlineStr">
        <is>
          <t>09AV Giao tiep QT (TS)</t>
        </is>
      </c>
      <c r="I1076" s="1" t="n">
        <v>7415000</v>
      </c>
      <c r="J1076" s="1" t="inlineStr">
        <is>
          <t>MBBANK IBFT 100841127109 Pham Ngoc Phuong Nam 2 5806300027 LNH0925ND01 0939981537 C HUYEN TIEN OQCH0001z8QS MOMO1008411 27109MOMO TAI IBT-MB                   HANOI</t>
        </is>
      </c>
    </row>
    <row r="1077">
      <c r="A1077" s="1" t="inlineStr">
        <is>
          <t>15-Sep-25</t>
        </is>
      </c>
      <c r="B1077" s="1" t="inlineStr">
        <is>
          <t>I64099</t>
        </is>
      </c>
      <c r="C1077" s="1" t="inlineStr">
        <is>
          <t>25800400051</t>
        </is>
      </c>
      <c r="D1077" s="1" t="inlineStr">
        <is>
          <t>Nguyeãn Laâm</t>
        </is>
      </c>
      <c r="E1077" s="1" t="inlineStr">
        <is>
          <t>Huøng</t>
        </is>
      </c>
      <c r="F1077" s="1" t="inlineStr">
        <is>
          <t>24-Oct-07</t>
        </is>
      </c>
      <c r="G1077" s="1" t="inlineStr">
        <is>
          <t>LNH0925ND01</t>
        </is>
      </c>
      <c r="H1077" s="1" t="inlineStr">
        <is>
          <t>09AV Giao tiep QT (TS)</t>
        </is>
      </c>
      <c r="I1077" s="1" t="n">
        <v>7415000</v>
      </c>
      <c r="J1077" s="1" t="inlineStr">
        <is>
          <t>NGUYEN VAN LUC ABBank 0521043748045 NGUYEN LAM HUN G.25800400051.LNH0925ND01 .03853753 76 TAI Agribank</t>
        </is>
      </c>
    </row>
    <row r="1078">
      <c r="A1078" s="1" t="inlineStr">
        <is>
          <t>15-Sep-25</t>
        </is>
      </c>
      <c r="B1078" s="1" t="inlineStr">
        <is>
          <t>I64100</t>
        </is>
      </c>
      <c r="C1078" s="1" t="inlineStr">
        <is>
          <t>25809600043</t>
        </is>
      </c>
      <c r="D1078" s="1" t="inlineStr">
        <is>
          <t>Nguyeãn Troïng</t>
        </is>
      </c>
      <c r="E1078" s="1" t="inlineStr">
        <is>
          <t>Nhaân</t>
        </is>
      </c>
      <c r="F1078" s="1" t="inlineStr">
        <is>
          <t>03-Jul-07</t>
        </is>
      </c>
      <c r="G1078" s="1" t="inlineStr">
        <is>
          <t>LNH0925ND01</t>
        </is>
      </c>
      <c r="H1078" s="1" t="inlineStr">
        <is>
          <t>09AV Giao tiep QT (TS)</t>
        </is>
      </c>
      <c r="I1078" s="1" t="n">
        <v>3465000</v>
      </c>
      <c r="J1078" s="1" t="inlineStr">
        <is>
          <t>NGUYEN TRONG NGHIA Nguyen Trong Nhan  mssv 25809600043 LNH0925ND01  0325377751 TAI IBT BIDV                 HANOI</t>
        </is>
      </c>
    </row>
    <row r="1079">
      <c r="A1079" s="1" t="inlineStr">
        <is>
          <t>15-Sep-25</t>
        </is>
      </c>
      <c r="B1079" s="1" t="inlineStr">
        <is>
          <t>I64134</t>
        </is>
      </c>
      <c r="C1079" s="1" t="inlineStr">
        <is>
          <t>25806000026</t>
        </is>
      </c>
      <c r="D1079" s="1" t="inlineStr">
        <is>
          <t>Phaïm Vaên Vónh</t>
        </is>
      </c>
      <c r="E1079" s="1" t="inlineStr">
        <is>
          <t>Phuùc</t>
        </is>
      </c>
      <c r="F1079" s="1" t="inlineStr">
        <is>
          <t>22-Apr-07</t>
        </is>
      </c>
      <c r="G1079" s="1" t="inlineStr">
        <is>
          <t>LNH0925ND01</t>
        </is>
      </c>
      <c r="H1079" s="1" t="inlineStr">
        <is>
          <t>09AV Giao tiep QT (TS)</t>
        </is>
      </c>
      <c r="I1079" s="1" t="n">
        <v>7415000</v>
      </c>
      <c r="J1079" s="1" t="inlineStr">
        <is>
          <t>PHAM VAN VINH PHUC ABBank 0521043748045 PHAM VAN VINH PHUC 25806000026 LNH0925ND0  037791 7638 TAI Agribank</t>
        </is>
      </c>
    </row>
    <row r="1080">
      <c r="A1080" s="1" t="inlineStr">
        <is>
          <t>15-Sep-25</t>
        </is>
      </c>
      <c r="B1080" s="1" t="inlineStr">
        <is>
          <t>I64136</t>
        </is>
      </c>
      <c r="C1080" s="1" t="inlineStr">
        <is>
          <t>25802800240</t>
        </is>
      </c>
      <c r="D1080" s="1" t="inlineStr">
        <is>
          <t>Nguyeãn Thò Hoàng</t>
        </is>
      </c>
      <c r="E1080" s="1" t="inlineStr">
        <is>
          <t>Thaûo</t>
        </is>
      </c>
      <c r="F1080" s="1" t="inlineStr">
        <is>
          <t>04-Mar-07</t>
        </is>
      </c>
      <c r="G1080" s="1" t="inlineStr">
        <is>
          <t>LNH0925ND01</t>
        </is>
      </c>
      <c r="H1080" s="1" t="inlineStr">
        <is>
          <t>09AV Giao tiep QT (TS)</t>
        </is>
      </c>
      <c r="I1080" s="1" t="n">
        <v>3465000</v>
      </c>
      <c r="J1080" s="1" t="inlineStr">
        <is>
          <t>VND-TGTT-NGUYEN THI HONG THAO NGUYEN THI HONG THAO chuyen MSSV 25 802800240 FT25258775115028 TAI TECHCOMBANK            HANOI</t>
        </is>
      </c>
    </row>
    <row r="1081">
      <c r="A1081" s="1" t="inlineStr">
        <is>
          <t>23-Aug-25</t>
        </is>
      </c>
      <c r="B1081" s="1" t="inlineStr">
        <is>
          <t>I64174</t>
        </is>
      </c>
      <c r="C1081" s="1" t="inlineStr">
        <is>
          <t>25820200103</t>
        </is>
      </c>
      <c r="D1081" s="1" t="inlineStr">
        <is>
          <t>Nguyeãn Taán</t>
        </is>
      </c>
      <c r="E1081" s="1" t="inlineStr">
        <is>
          <t>Phaùt</t>
        </is>
      </c>
      <c r="F1081" s="1" t="inlineStr">
        <is>
          <t>29-Dec-07</t>
        </is>
      </c>
      <c r="G1081" s="1" t="inlineStr">
        <is>
          <t>LNH0925ND01</t>
        </is>
      </c>
      <c r="H1081" s="1" t="inlineStr">
        <is>
          <t>09AV Giao tiep QT (TS)</t>
        </is>
      </c>
      <c r="I1081" s="1" t="n">
        <v>250000</v>
      </c>
      <c r="J1081" s="1" t="inlineStr">
        <is>
          <t>DINH THI THE PHUONG QR - NGUYEN TAN PHAT 2520200029 LNH 0925ND01 0961718587 TAI VietinBank</t>
        </is>
      </c>
    </row>
    <row r="1082">
      <c r="A1082" s="1" t="inlineStr">
        <is>
          <t>25-Aug-25</t>
        </is>
      </c>
      <c r="B1082" s="1" t="inlineStr">
        <is>
          <t>I64175</t>
        </is>
      </c>
      <c r="C1082" s="1" t="inlineStr">
        <is>
          <t>25808200241</t>
        </is>
      </c>
      <c r="D1082" s="1" t="inlineStr">
        <is>
          <t>Thaân Thaønh</t>
        </is>
      </c>
      <c r="E1082" s="1" t="inlineStr">
        <is>
          <t>Tieán</t>
        </is>
      </c>
      <c r="F1082" s="1" t="inlineStr">
        <is>
          <t>06-Nov-07</t>
        </is>
      </c>
      <c r="G1082" s="1" t="inlineStr">
        <is>
          <t>LNH0925ND01</t>
        </is>
      </c>
      <c r="H1082" s="1" t="inlineStr">
        <is>
          <t>09AV Giao tiep QT (TS)</t>
        </is>
      </c>
      <c r="I1082" s="1" t="n">
        <v>2103750</v>
      </c>
      <c r="J1082" s="1" t="inlineStr">
        <is>
          <t>TRAN THI THANH MAI QR - Than Thanh Tien 2508200070 LNH 0925ND01 0842460285 TAI VietinBank</t>
        </is>
      </c>
    </row>
    <row r="1083">
      <c r="A1083" s="1" t="inlineStr">
        <is>
          <t>29-Aug-25</t>
        </is>
      </c>
      <c r="B1083" s="1" t="inlineStr">
        <is>
          <t>I64177</t>
        </is>
      </c>
      <c r="C1083" s="1" t="inlineStr">
        <is>
          <t>25802800235</t>
        </is>
      </c>
      <c r="D1083" s="1" t="inlineStr">
        <is>
          <t>Nguyeãn Ngoïc</t>
        </is>
      </c>
      <c r="E1083" s="1" t="inlineStr">
        <is>
          <t>Thaùi</t>
        </is>
      </c>
      <c r="F1083" s="1" t="inlineStr">
        <is>
          <t>20-Jun-07</t>
        </is>
      </c>
      <c r="G1083" s="1" t="inlineStr">
        <is>
          <t>LNH0925ND01</t>
        </is>
      </c>
      <c r="H1083" s="1" t="inlineStr">
        <is>
          <t>09AV Giao tiep QT (TS)</t>
        </is>
      </c>
      <c r="I1083" s="1" t="n">
        <v>250000</v>
      </c>
      <c r="J1083" s="1" t="inlineStr">
        <is>
          <t>NGUYEN TRUNG NGHIA NGUYEN NGOC THAI  25802800235  LNH0 925ND01  0977032808 TAI VietinBank</t>
        </is>
      </c>
    </row>
    <row r="1084">
      <c r="A1084" s="1" t="inlineStr">
        <is>
          <t>16-Sep-25</t>
        </is>
      </c>
      <c r="B1084" s="1" t="inlineStr">
        <is>
          <t>I64321</t>
        </is>
      </c>
      <c r="C1084" s="1" t="inlineStr">
        <is>
          <t>25808700023</t>
        </is>
      </c>
      <c r="D1084" s="1" t="inlineStr">
        <is>
          <t>Phuøng Thanh</t>
        </is>
      </c>
      <c r="E1084" s="1" t="inlineStr">
        <is>
          <t>Haèng</t>
        </is>
      </c>
      <c r="F1084" s="1" t="inlineStr">
        <is>
          <t>14-May-07</t>
        </is>
      </c>
      <c r="G1084" s="1" t="inlineStr">
        <is>
          <t>LNH0925ND01</t>
        </is>
      </c>
      <c r="H1084" s="1" t="inlineStr">
        <is>
          <t>09AV Giao tiep QT (TS)</t>
        </is>
      </c>
      <c r="I1084" s="1" t="n">
        <v>7415000</v>
      </c>
      <c r="J1084" s="1" t="inlineStr">
        <is>
          <t>TRAN THI THANH MAI Phung Thanh Hang 25808700023 LNH092 5ND01 0384611405 TAI VietinBank</t>
        </is>
      </c>
    </row>
    <row r="1085">
      <c r="A1085" s="1" t="inlineStr">
        <is>
          <t>16-Sep-25</t>
        </is>
      </c>
      <c r="B1085" s="1" t="inlineStr">
        <is>
          <t>I64322</t>
        </is>
      </c>
      <c r="C1085" s="1" t="inlineStr">
        <is>
          <t>25801700020</t>
        </is>
      </c>
      <c r="D1085" s="1" t="inlineStr">
        <is>
          <t>Buøi Quang</t>
        </is>
      </c>
      <c r="E1085" s="1" t="inlineStr">
        <is>
          <t>Huy</t>
        </is>
      </c>
      <c r="F1085" s="1" t="inlineStr">
        <is>
          <t>28-Mar-07</t>
        </is>
      </c>
      <c r="G1085" s="1" t="inlineStr">
        <is>
          <t>LNH0925ND01</t>
        </is>
      </c>
      <c r="H1085" s="1" t="inlineStr">
        <is>
          <t>09AV Giao tiep QT (TS)</t>
        </is>
      </c>
      <c r="I1085" s="1" t="n">
        <v>7415000</v>
      </c>
      <c r="J1085" s="1" t="inlineStr">
        <is>
          <t>TRAN THI THANH MAI Bui Quang Huy 25801700020 LNH0925ND 01 0982096385 TAI VietinBank</t>
        </is>
      </c>
    </row>
    <row r="1086">
      <c r="A1086" s="1" t="inlineStr">
        <is>
          <t>16-Sep-25</t>
        </is>
      </c>
      <c r="B1086" s="1" t="inlineStr">
        <is>
          <t>I64323</t>
        </is>
      </c>
      <c r="C1086" s="1" t="inlineStr">
        <is>
          <t>25809600021</t>
        </is>
      </c>
      <c r="D1086" s="1" t="inlineStr">
        <is>
          <t>Nguyeãn Gia</t>
        </is>
      </c>
      <c r="E1086" s="1" t="inlineStr">
        <is>
          <t>Höng</t>
        </is>
      </c>
      <c r="F1086" s="1" t="inlineStr">
        <is>
          <t>16-Mar-07</t>
        </is>
      </c>
      <c r="G1086" s="1" t="inlineStr">
        <is>
          <t>LNH0925ND01</t>
        </is>
      </c>
      <c r="H1086" s="1" t="inlineStr">
        <is>
          <t>09AV Giao tiep QT (TS)</t>
        </is>
      </c>
      <c r="I1086" s="1" t="n">
        <v>7415000</v>
      </c>
      <c r="J1086" s="1" t="inlineStr">
        <is>
          <t>MBBANK IBFT NGUYEN GIA HUNG 25809600021 LNH0925 ND01 0909554761 TAI IBT-MB                   HANOI</t>
        </is>
      </c>
    </row>
    <row r="1087">
      <c r="A1087" s="1" t="inlineStr">
        <is>
          <t>16-Sep-25</t>
        </is>
      </c>
      <c r="B1087" s="1" t="inlineStr">
        <is>
          <t>I64324</t>
        </is>
      </c>
      <c r="C1087" s="1" t="inlineStr">
        <is>
          <t>25802800180</t>
        </is>
      </c>
      <c r="D1087" s="1" t="inlineStr">
        <is>
          <t>Thaùi Huyønh</t>
        </is>
      </c>
      <c r="E1087" s="1" t="inlineStr">
        <is>
          <t>Nhaân</t>
        </is>
      </c>
      <c r="F1087" s="1" t="inlineStr">
        <is>
          <t>30-Oct-07</t>
        </is>
      </c>
      <c r="G1087" s="1" t="inlineStr">
        <is>
          <t>LNH0925ND01</t>
        </is>
      </c>
      <c r="H1087" s="1" t="inlineStr">
        <is>
          <t>09AV Giao tiep QT (TS)</t>
        </is>
      </c>
      <c r="I1087" s="1" t="n">
        <v>7415000</v>
      </c>
      <c r="J1087" s="1" t="inlineStr">
        <is>
          <t>SACOMBANK IBFT Thai Huynh Nhan 25802800180 LN H0925ND01 0908132361 TAI SACOMBANK              HCM</t>
        </is>
      </c>
    </row>
    <row r="1088">
      <c r="A1088" s="1" t="inlineStr">
        <is>
          <t>16-Sep-25</t>
        </is>
      </c>
      <c r="B1088" s="1" t="inlineStr">
        <is>
          <t>I64325</t>
        </is>
      </c>
      <c r="C1088" s="1" t="inlineStr">
        <is>
          <t>25807700003</t>
        </is>
      </c>
      <c r="D1088" s="1" t="inlineStr">
        <is>
          <t>Nguyeãn Vieät</t>
        </is>
      </c>
      <c r="E1088" s="1" t="inlineStr">
        <is>
          <t>Anh</t>
        </is>
      </c>
      <c r="F1088" s="1" t="inlineStr">
        <is>
          <t>16-Jan-07</t>
        </is>
      </c>
      <c r="G1088" s="1" t="inlineStr">
        <is>
          <t>LNH0925ND01</t>
        </is>
      </c>
      <c r="H1088" s="1" t="inlineStr">
        <is>
          <t>09AV Giao tiep QT (TS)</t>
        </is>
      </c>
      <c r="I1088" s="1" t="n">
        <v>8415000</v>
      </c>
      <c r="J1088" s="1" t="inlineStr">
        <is>
          <t>NGUYEN VIET ANH MBVCB.10949540632.655735.Nguyen Vie t Anh-25807700003-LNH0925ND01-03981 17584.CT tu 1034664300 NGUYEN VIET ANH toi 0521043748045 HUTECH tai ABBANK TAI Vietcombank</t>
        </is>
      </c>
    </row>
    <row r="1089">
      <c r="A1089" s="1" t="inlineStr">
        <is>
          <t>17-Sep-25</t>
        </is>
      </c>
      <c r="B1089" s="1" t="inlineStr">
        <is>
          <t>I64359</t>
        </is>
      </c>
      <c r="C1089" s="1" t="inlineStr">
        <is>
          <t>25806000038</t>
        </is>
      </c>
      <c r="D1089" s="1" t="inlineStr">
        <is>
          <t>Nguyeãn Hoà Thu</t>
        </is>
      </c>
      <c r="E1089" s="1" t="inlineStr">
        <is>
          <t>Thuûy</t>
        </is>
      </c>
      <c r="F1089" s="1" t="inlineStr">
        <is>
          <t>29-Mar-07</t>
        </is>
      </c>
      <c r="G1089" s="1" t="inlineStr">
        <is>
          <t>LNH0925ND01</t>
        </is>
      </c>
      <c r="H1089" s="1" t="inlineStr">
        <is>
          <t>09AV Giao tiep QT (TS)</t>
        </is>
      </c>
      <c r="I1089" s="1" t="n">
        <v>7415000</v>
      </c>
      <c r="J1089" s="1" t="inlineStr">
        <is>
          <t>MBBANK IBFT Nguyen Ho Thu Thuy MSSV 25806000038 LNH0925ND01 SDT 0867262271 TAI IBT-MB                   HANOI</t>
        </is>
      </c>
    </row>
    <row r="1090">
      <c r="A1090" s="1" t="inlineStr">
        <is>
          <t>17-Sep-25</t>
        </is>
      </c>
      <c r="B1090" s="1" t="inlineStr">
        <is>
          <t>I64360</t>
        </is>
      </c>
      <c r="C1090" s="1" t="inlineStr">
        <is>
          <t>25806400012</t>
        </is>
      </c>
      <c r="D1090" s="1" t="inlineStr">
        <is>
          <t>Nguyeãn Hoaøng</t>
        </is>
      </c>
      <c r="E1090" s="1" t="inlineStr">
        <is>
          <t>Khoâi</t>
        </is>
      </c>
      <c r="F1090" s="1" t="inlineStr">
        <is>
          <t>22-Oct-07</t>
        </is>
      </c>
      <c r="G1090" s="1" t="inlineStr">
        <is>
          <t>LNH0925ND01</t>
        </is>
      </c>
      <c r="H1090" s="1" t="inlineStr">
        <is>
          <t>09AV Giao tiep QT (TS)</t>
        </is>
      </c>
      <c r="I1090" s="1" t="n">
        <v>8415000</v>
      </c>
      <c r="J1090" s="1" t="inlineStr">
        <is>
          <t>BUI THI ANH VAN QR - Nguyen Hoang Khoi 25806400012 LNH0925ND01 0947221007 TAI VietinBank</t>
        </is>
      </c>
    </row>
    <row r="1091">
      <c r="A1091" s="1" t="inlineStr">
        <is>
          <t>17-Sep-25</t>
        </is>
      </c>
      <c r="B1091" s="1" t="inlineStr">
        <is>
          <t>I64361</t>
        </is>
      </c>
      <c r="C1091" s="1" t="inlineStr">
        <is>
          <t>25806100301</t>
        </is>
      </c>
      <c r="D1091" s="1" t="inlineStr">
        <is>
          <t>Nguyeãn Nhöït Song</t>
        </is>
      </c>
      <c r="E1091" s="1" t="inlineStr">
        <is>
          <t>Toaøn</t>
        </is>
      </c>
      <c r="F1091" s="1" t="inlineStr">
        <is>
          <t>18-Jul-07</t>
        </is>
      </c>
      <c r="G1091" s="1" t="inlineStr">
        <is>
          <t>LNH0925ND01</t>
        </is>
      </c>
      <c r="H1091" s="1" t="inlineStr">
        <is>
          <t>09AV Giao tiep QT (TS)</t>
        </is>
      </c>
      <c r="I1091" s="1" t="n">
        <v>7415000</v>
      </c>
      <c r="J1091" s="1" t="inlineStr">
        <is>
          <t>MBBANK IBFT NGUYEN NHUT SONG TOAN  25806100301 LNH0925ND01  0917601787 TAI IBT-MB                   HANOI</t>
        </is>
      </c>
    </row>
    <row r="1092">
      <c r="A1092" s="1" t="inlineStr">
        <is>
          <t>17-Sep-25</t>
        </is>
      </c>
      <c r="B1092" s="1" t="inlineStr">
        <is>
          <t>I64362</t>
        </is>
      </c>
      <c r="C1092" s="1" t="inlineStr">
        <is>
          <t>25801800072</t>
        </is>
      </c>
      <c r="D1092" s="1" t="inlineStr">
        <is>
          <t>Nguyeãn Ngoïc Baûo</t>
        </is>
      </c>
      <c r="E1092" s="1" t="inlineStr">
        <is>
          <t>Thy</t>
        </is>
      </c>
      <c r="F1092" s="1" t="inlineStr">
        <is>
          <t>20-Jan-07</t>
        </is>
      </c>
      <c r="G1092" s="1" t="inlineStr">
        <is>
          <t>LNH0925ND01</t>
        </is>
      </c>
      <c r="H1092" s="1" t="inlineStr">
        <is>
          <t>09AV Giao tiep QT (TS)</t>
        </is>
      </c>
      <c r="I1092" s="1" t="n">
        <v>3465000</v>
      </c>
      <c r="J1092" s="1" t="inlineStr">
        <is>
          <t>LE THI YEN NHI MBVCB.10959981032.718119.Nguyen Ngo c Bao Thy+25801800072+LNH0925ND01+0 825092395.CT tu 0181000069020 LE TH I YEN NHI toi 0521043748045 HUTECHtai ABBANK TAI Vietcombank</t>
        </is>
      </c>
    </row>
    <row r="1093">
      <c r="A1093" s="1" t="inlineStr">
        <is>
          <t>17-Sep-25</t>
        </is>
      </c>
      <c r="B1093" s="1" t="inlineStr">
        <is>
          <t>I64363</t>
        </is>
      </c>
      <c r="C1093" s="1" t="inlineStr">
        <is>
          <t>25802100022</t>
        </is>
      </c>
      <c r="D1093" s="1" t="inlineStr">
        <is>
          <t>Leâ Nguyeãn Tuaán</t>
        </is>
      </c>
      <c r="E1093" s="1" t="inlineStr">
        <is>
          <t>Kieät</t>
        </is>
      </c>
      <c r="F1093" s="1" t="inlineStr">
        <is>
          <t>23-Jun-07</t>
        </is>
      </c>
      <c r="G1093" s="1" t="inlineStr">
        <is>
          <t>LNH0925ND01</t>
        </is>
      </c>
      <c r="H1093" s="1" t="inlineStr">
        <is>
          <t>09AV Giao tiep QT (TS)</t>
        </is>
      </c>
      <c r="I1093" s="1" t="n">
        <v>8415000</v>
      </c>
      <c r="J1093" s="1" t="inlineStr">
        <is>
          <t>LE ANH TUAN LE NGUYEN TUAN KIET  25802100022  L NH0925ND01  0908270799-170925-16 54 26 435662 TAI Ngan hang a chau       IBT SMARLINK</t>
        </is>
      </c>
    </row>
    <row r="1094">
      <c r="A1094" s="1" t="inlineStr">
        <is>
          <t>17-Sep-25</t>
        </is>
      </c>
      <c r="B1094" s="1" t="inlineStr">
        <is>
          <t>I64364</t>
        </is>
      </c>
      <c r="C1094" s="1" t="inlineStr">
        <is>
          <t>25802700054</t>
        </is>
      </c>
      <c r="D1094" s="1" t="inlineStr">
        <is>
          <t>Leâ Thò Tuyeát</t>
        </is>
      </c>
      <c r="E1094" s="1" t="inlineStr">
        <is>
          <t>Ngaân</t>
        </is>
      </c>
      <c r="F1094" s="1" t="inlineStr">
        <is>
          <t>22-Jul-07</t>
        </is>
      </c>
      <c r="G1094" s="1" t="inlineStr">
        <is>
          <t>LNH0925ND01</t>
        </is>
      </c>
      <c r="H1094" s="1" t="inlineStr">
        <is>
          <t>09AV Giao tiep QT (TS)</t>
        </is>
      </c>
      <c r="I1094" s="1" t="n">
        <v>3465000</v>
      </c>
      <c r="J1094" s="1" t="inlineStr">
        <is>
          <t>LE THI TUYET NGAN ABBank 0521043748045 LE THI TUYET N GAN - 25802700054 - LNH0925N01 - 09 74931249 TAI Agribank</t>
        </is>
      </c>
    </row>
    <row r="1095">
      <c r="A1095" s="1" t="inlineStr">
        <is>
          <t>25-Aug-25</t>
        </is>
      </c>
      <c r="B1095" s="1" t="inlineStr">
        <is>
          <t>I64523</t>
        </is>
      </c>
      <c r="C1095" s="1" t="inlineStr">
        <is>
          <t>25802500713</t>
        </is>
      </c>
      <c r="D1095" s="1" t="inlineStr">
        <is>
          <t>Nguyeãn Minh</t>
        </is>
      </c>
      <c r="E1095" s="1" t="inlineStr">
        <is>
          <t>Trieát</t>
        </is>
      </c>
      <c r="F1095" s="1" t="inlineStr">
        <is>
          <t>28-Jul-07</t>
        </is>
      </c>
      <c r="G1095" s="1" t="inlineStr">
        <is>
          <t>LNH0925ND01</t>
        </is>
      </c>
      <c r="H1095" s="1" t="inlineStr">
        <is>
          <t>09AV Giao tiep QT (TS)</t>
        </is>
      </c>
      <c r="I1095" s="1" t="n">
        <v>250000</v>
      </c>
      <c r="J1095" s="1" t="inlineStr">
        <is>
          <t>NGUYEN VAN MINH QR - Nguyen minh Triet 25802500713 LNH0925ND01 0967674378 TAI VietinBank</t>
        </is>
      </c>
    </row>
    <row r="1096">
      <c r="A1096" s="1" t="inlineStr">
        <is>
          <t>29-Aug-25</t>
        </is>
      </c>
      <c r="B1096" s="1" t="inlineStr">
        <is>
          <t>I64524</t>
        </is>
      </c>
      <c r="C1096" s="1" t="inlineStr">
        <is>
          <t>25803800110</t>
        </is>
      </c>
      <c r="D1096" s="1" t="inlineStr">
        <is>
          <t>Traàn Quang</t>
        </is>
      </c>
      <c r="E1096" s="1" t="inlineStr">
        <is>
          <t>Trung</t>
        </is>
      </c>
      <c r="F1096" s="1" t="inlineStr">
        <is>
          <t>15-Apr-07</t>
        </is>
      </c>
      <c r="G1096" s="1" t="inlineStr">
        <is>
          <t>LNH0925ND01</t>
        </is>
      </c>
      <c r="H1096" s="1" t="inlineStr">
        <is>
          <t>09AV Giao tiep QT (TS)</t>
        </is>
      </c>
      <c r="I1096" s="1" t="n">
        <v>250000</v>
      </c>
      <c r="J1096" s="1" t="inlineStr">
        <is>
          <t>DINH THI THE PHUONG TRAN QUANG TRUNG 25803800110 LNH092 5ND01 0985880320 TAI VietinBank</t>
        </is>
      </c>
    </row>
    <row r="1097">
      <c r="A1097" s="1" t="inlineStr">
        <is>
          <t>29-Aug-25</t>
        </is>
      </c>
      <c r="B1097" s="1" t="inlineStr">
        <is>
          <t>I64525</t>
        </is>
      </c>
      <c r="C1097" s="1" t="inlineStr">
        <is>
          <t>25800500339</t>
        </is>
      </c>
      <c r="D1097" s="1" t="inlineStr">
        <is>
          <t>Leâ Coâng</t>
        </is>
      </c>
      <c r="E1097" s="1" t="inlineStr">
        <is>
          <t>Minh</t>
        </is>
      </c>
      <c r="F1097" s="1" t="inlineStr">
        <is>
          <t>03-Dec-07</t>
        </is>
      </c>
      <c r="G1097" s="1" t="inlineStr">
        <is>
          <t>LNH0925ND01</t>
        </is>
      </c>
      <c r="H1097" s="1" t="inlineStr">
        <is>
          <t>09AV Giao tiep QT (TS)</t>
        </is>
      </c>
      <c r="I1097" s="1" t="n">
        <v>250000</v>
      </c>
      <c r="J1097" s="1" t="inlineStr">
        <is>
          <t>LE CONG MINH MBVCB.10717852033.762165.LE CONG MI NH 2500500131 LNH0925ND01 032653891 8.CT tu 1053614584 LE CONG MINH toi 0521043748045 HUTECH tai ABBANK TAI Vietcombank</t>
        </is>
      </c>
    </row>
    <row r="1098">
      <c r="A1098" s="1" t="inlineStr">
        <is>
          <t>26-Aug-25</t>
        </is>
      </c>
      <c r="B1098" s="1" t="inlineStr">
        <is>
          <t>I64526</t>
        </is>
      </c>
      <c r="C1098" s="1" t="inlineStr">
        <is>
          <t>25808600144</t>
        </is>
      </c>
      <c r="D1098" s="1" t="inlineStr">
        <is>
          <t>Nguyeãn Thanh</t>
        </is>
      </c>
      <c r="E1098" s="1" t="inlineStr">
        <is>
          <t>Tuyeàn</t>
        </is>
      </c>
      <c r="F1098" s="1" t="inlineStr">
        <is>
          <t>28-Jan-07</t>
        </is>
      </c>
      <c r="G1098" s="1" t="inlineStr">
        <is>
          <t>LNH0925ND01</t>
        </is>
      </c>
      <c r="H1098" s="1" t="inlineStr">
        <is>
          <t>09AV Giao tiep QT (TS)</t>
        </is>
      </c>
      <c r="I1098" s="1" t="n">
        <v>2103750</v>
      </c>
      <c r="J1098" s="1" t="inlineStr">
        <is>
          <t>TRAN THI THANH MAI QR - Nguyen Thanh Tuyen 25808600144 LNH0925ND01 0338020125 TAI VietinBank</t>
        </is>
      </c>
    </row>
    <row r="1099">
      <c r="A1099" s="1" t="inlineStr">
        <is>
          <t>18-Sep-25</t>
        </is>
      </c>
      <c r="B1099" s="1" t="inlineStr">
        <is>
          <t>I64715</t>
        </is>
      </c>
      <c r="C1099" s="1" t="inlineStr">
        <is>
          <t>25803000389</t>
        </is>
      </c>
      <c r="D1099" s="1" t="inlineStr">
        <is>
          <t>Nguyeãn Thò Kim</t>
        </is>
      </c>
      <c r="E1099" s="1" t="inlineStr">
        <is>
          <t>Ngaân</t>
        </is>
      </c>
      <c r="F1099" s="1" t="inlineStr">
        <is>
          <t>16-Apr-07</t>
        </is>
      </c>
      <c r="G1099" s="1" t="inlineStr">
        <is>
          <t>LNH0925ND01</t>
        </is>
      </c>
      <c r="H1099" s="1" t="inlineStr">
        <is>
          <t>09AV Giao tiep QT (TS)</t>
        </is>
      </c>
      <c r="I1099" s="1" t="n">
        <v>8415000</v>
      </c>
      <c r="J1099" s="1" t="inlineStr">
        <is>
          <t>NGUYEN THI KIM NGAN MBVCB.10964422128.779603.Nguyen Thi Kim Ngan  MSSV 25803000389 LNH0925 ND01  SDT 0585664764.CT tu 10475008 02 NGUYEN THI KIM NGAN toi 0521043748045 HUTECH tai ABBANK TAI Vietcombank</t>
        </is>
      </c>
    </row>
    <row r="1100">
      <c r="A1100" s="1" t="inlineStr">
        <is>
          <t>18-Sep-25</t>
        </is>
      </c>
      <c r="B1100" s="1" t="inlineStr">
        <is>
          <t>I64717</t>
        </is>
      </c>
      <c r="C1100" s="1" t="inlineStr">
        <is>
          <t>25807100002</t>
        </is>
      </c>
      <c r="D1100" s="1" t="inlineStr">
        <is>
          <t>Löu Nguyeãn Hoaøng</t>
        </is>
      </c>
      <c r="E1100" s="1" t="inlineStr">
        <is>
          <t>Haø</t>
        </is>
      </c>
      <c r="F1100" s="1" t="inlineStr">
        <is>
          <t>07-Jul-07</t>
        </is>
      </c>
      <c r="G1100" s="1" t="inlineStr">
        <is>
          <t>LNH0925ND01</t>
        </is>
      </c>
      <c r="H1100" s="1" t="inlineStr">
        <is>
          <t>09AV Giao tiep QT (TS)</t>
        </is>
      </c>
      <c r="I1100" s="1" t="n">
        <v>3465000</v>
      </c>
      <c r="J1100" s="1" t="inlineStr">
        <is>
          <t>VND-TGTT-LUU NGUYEN HOANG GIANG LuuNguyenHoangHa-25807100002-LNH092 5ND01-038 5675846 FT25261154409424 TAI TECHCOMBANK            HANOI</t>
        </is>
      </c>
    </row>
    <row r="1101">
      <c r="A1101" s="1" t="inlineStr">
        <is>
          <t>18-Sep-25</t>
        </is>
      </c>
      <c r="B1101" s="1" t="inlineStr">
        <is>
          <t>I64718</t>
        </is>
      </c>
      <c r="C1101" s="1" t="inlineStr">
        <is>
          <t>25820300049</t>
        </is>
      </c>
      <c r="D1101" s="1" t="inlineStr">
        <is>
          <t>Ñaëng Nhaân</t>
        </is>
      </c>
      <c r="E1101" s="1" t="inlineStr">
        <is>
          <t>Quyù</t>
        </is>
      </c>
      <c r="F1101" s="1" t="inlineStr">
        <is>
          <t>14-Dec-07</t>
        </is>
      </c>
      <c r="G1101" s="1" t="inlineStr">
        <is>
          <t>LNH0925ND01</t>
        </is>
      </c>
      <c r="H1101" s="1" t="inlineStr">
        <is>
          <t>09AV Giao tiep QT (TS)</t>
        </is>
      </c>
      <c r="I1101" s="1" t="n">
        <v>8415000</v>
      </c>
      <c r="J1101" s="1" t="inlineStr">
        <is>
          <t>MBBANK IBFT DANG NHAN QUY 25820300049 LNH0925ND 01 0789141207 TAI IBT-MB                   HANOI</t>
        </is>
      </c>
    </row>
    <row r="1102">
      <c r="A1102" s="1" t="inlineStr">
        <is>
          <t>18-Sep-25</t>
        </is>
      </c>
      <c r="B1102" s="1" t="inlineStr">
        <is>
          <t>I64719</t>
        </is>
      </c>
      <c r="C1102" s="1" t="inlineStr">
        <is>
          <t>25801700102</t>
        </is>
      </c>
      <c r="D1102" s="1" t="inlineStr">
        <is>
          <t>Traàn Ngoïc</t>
        </is>
      </c>
      <c r="E1102" s="1" t="inlineStr">
        <is>
          <t>Linh</t>
        </is>
      </c>
      <c r="F1102" s="1" t="inlineStr">
        <is>
          <t>14-Feb-07</t>
        </is>
      </c>
      <c r="G1102" s="1" t="inlineStr">
        <is>
          <t>LNH0925ND01</t>
        </is>
      </c>
      <c r="H1102" s="1" t="inlineStr">
        <is>
          <t>09AV Giao tiep QT (TS)</t>
        </is>
      </c>
      <c r="I1102" s="1" t="n">
        <v>7415000</v>
      </c>
      <c r="J1102" s="1" t="inlineStr">
        <is>
          <t>TRAN NGOC LINH MBVCB.10975332961.183879.TRAN NGOC LINH  MSSV :25801700102.LNH0925ND01 sdt:0853163383.CT tu 9853163383 TR AN NGOC LINH toi 0521043748045 HUTECH tai ABBANK TAI Vietcombank</t>
        </is>
      </c>
    </row>
    <row r="1103">
      <c r="A1103" s="1" t="inlineStr">
        <is>
          <t>18-Sep-25</t>
        </is>
      </c>
      <c r="B1103" s="1" t="inlineStr">
        <is>
          <t>I64720</t>
        </is>
      </c>
      <c r="C1103" s="1" t="inlineStr">
        <is>
          <t>25800400290</t>
        </is>
      </c>
      <c r="D1103" s="1" t="inlineStr">
        <is>
          <t>Nguyeãn Tröôøng</t>
        </is>
      </c>
      <c r="E1103" s="1" t="inlineStr">
        <is>
          <t>Tín</t>
        </is>
      </c>
      <c r="F1103" s="1" t="inlineStr">
        <is>
          <t>01-Jan-07</t>
        </is>
      </c>
      <c r="G1103" s="1" t="inlineStr">
        <is>
          <t>LNH0925ND01</t>
        </is>
      </c>
      <c r="H1103" s="1" t="inlineStr">
        <is>
          <t>09AV Giao tiep QT (TS)</t>
        </is>
      </c>
      <c r="I1103" s="1" t="n">
        <v>7415000</v>
      </c>
      <c r="J1103" s="1" t="inlineStr">
        <is>
          <t>NGUYEN TRUONG TIN NGUYEN TRUONG TIN 25800400290 LNH09 25ND01 0935531007 TAI IBT-NAMABANK             HANOI</t>
        </is>
      </c>
    </row>
    <row r="1104">
      <c r="A1104" s="1" t="inlineStr">
        <is>
          <t>18-Sep-25</t>
        </is>
      </c>
      <c r="B1104" s="1" t="inlineStr">
        <is>
          <t>I64722</t>
        </is>
      </c>
      <c r="C1104" s="1" t="inlineStr">
        <is>
          <t>25806800053</t>
        </is>
      </c>
      <c r="D1104" s="1" t="inlineStr">
        <is>
          <t>Ñoaøn Ngoïc Yeán</t>
        </is>
      </c>
      <c r="E1104" s="1" t="inlineStr">
        <is>
          <t>Nhi</t>
        </is>
      </c>
      <c r="F1104" s="1" t="inlineStr">
        <is>
          <t>07-May-07</t>
        </is>
      </c>
      <c r="G1104" s="1" t="inlineStr">
        <is>
          <t>LNH0925ND01</t>
        </is>
      </c>
      <c r="H1104" s="1" t="inlineStr">
        <is>
          <t>09AV Giao tiep QT (TS)</t>
        </is>
      </c>
      <c r="I1104" s="1" t="n">
        <v>7415000</v>
      </c>
      <c r="J1104" s="1" t="inlineStr">
        <is>
          <t>DOAN NGOC HIEN DOAN NGOC YEN NHI 25806800053 LNH09 25ND02 0352111787 TAI OCB EBANKING           TP HCM</t>
        </is>
      </c>
    </row>
    <row r="1105">
      <c r="A1105" s="1" t="inlineStr">
        <is>
          <t>19-Sep-25</t>
        </is>
      </c>
      <c r="B1105" s="1" t="inlineStr">
        <is>
          <t>I64743</t>
        </is>
      </c>
      <c r="C1105" s="1" t="inlineStr">
        <is>
          <t>25805800048</t>
        </is>
      </c>
      <c r="D1105" s="1" t="inlineStr">
        <is>
          <t>Traàn Chí</t>
        </is>
      </c>
      <c r="E1105" s="1" t="inlineStr">
        <is>
          <t>Huy</t>
        </is>
      </c>
      <c r="F1105" s="1" t="inlineStr">
        <is>
          <t>09-Oct-07</t>
        </is>
      </c>
      <c r="G1105" s="1" t="inlineStr">
        <is>
          <t>LNH0925ND01</t>
        </is>
      </c>
      <c r="H1105" s="1" t="inlineStr">
        <is>
          <t>09AV Giao tiep QT (TS)</t>
        </is>
      </c>
      <c r="I1105" s="1" t="n">
        <v>7415000</v>
      </c>
      <c r="J1105" s="1" t="inlineStr">
        <is>
          <t>PHAN THI PHUONG THAO ABBank 0521043748045 PHAN THI PHUON G THAO chuyen tien  TRAN  CHI  HUY -2505800014-LNH0925ND01-0865809058- Lop hoc toi2-4-6 TAI Agribank</t>
        </is>
      </c>
    </row>
    <row r="1106">
      <c r="A1106" s="1" t="inlineStr">
        <is>
          <t>19-Sep-25</t>
        </is>
      </c>
      <c r="B1106" s="1" t="inlineStr">
        <is>
          <t>I64863</t>
        </is>
      </c>
      <c r="C1106" s="1" t="inlineStr">
        <is>
          <t>25806400003</t>
        </is>
      </c>
      <c r="D1106" s="1" t="inlineStr">
        <is>
          <t>Ñoã</t>
        </is>
      </c>
      <c r="E1106" s="1" t="inlineStr">
        <is>
          <t>Duaãn</t>
        </is>
      </c>
      <c r="F1106" s="1" t="inlineStr">
        <is>
          <t>16-Oct-07</t>
        </is>
      </c>
      <c r="G1106" s="1" t="inlineStr">
        <is>
          <t>LNH0925ND01</t>
        </is>
      </c>
      <c r="H1106" s="1" t="inlineStr">
        <is>
          <t>09AV Giao tiep QT (TS)</t>
        </is>
      </c>
      <c r="I1106" s="1" t="n">
        <v>7415000</v>
      </c>
      <c r="J1106" s="1" t="inlineStr">
        <is>
          <t>MBBANK IBFT Do Duan 25806400003 LNH0925ND01 037 2871254 TAI IBT-MB                   HANOI</t>
        </is>
      </c>
    </row>
    <row r="1107">
      <c r="A1107" s="1" t="inlineStr">
        <is>
          <t>19-Sep-25</t>
        </is>
      </c>
      <c r="B1107" s="1" t="inlineStr">
        <is>
          <t>I64864</t>
        </is>
      </c>
      <c r="C1107" s="1" t="inlineStr">
        <is>
          <t>25800500121</t>
        </is>
      </c>
      <c r="D1107" s="1" t="inlineStr">
        <is>
          <t>Nguyeãn Chænh</t>
        </is>
      </c>
      <c r="E1107" s="1" t="inlineStr">
        <is>
          <t>Nghieâm</t>
        </is>
      </c>
      <c r="F1107" s="1" t="inlineStr">
        <is>
          <t>02-Dec-07</t>
        </is>
      </c>
      <c r="G1107" s="1" t="inlineStr">
        <is>
          <t>LNH0925ND01</t>
        </is>
      </c>
      <c r="H1107" s="1" t="inlineStr">
        <is>
          <t>09AV Giao tiep QT (TS)</t>
        </is>
      </c>
      <c r="I1107" s="1" t="n">
        <v>7415000</v>
      </c>
      <c r="J1107" s="1" t="inlineStr">
        <is>
          <t>NGUYEN VAN CHINH MBVCB.10976480668.975404.nguyen chi nh nghiem mssv 25800500121 LNH0925N D01 sdt0901558206.CT tu 00810011460 99 NGUYEN VAN CHINH toi 0521043748045 HUTECH tai ABBANK TAI Vietcombank</t>
        </is>
      </c>
    </row>
    <row r="1108">
      <c r="A1108" s="1" t="inlineStr">
        <is>
          <t>19-Sep-25</t>
        </is>
      </c>
      <c r="B1108" s="1" t="inlineStr">
        <is>
          <t>I64865</t>
        </is>
      </c>
      <c r="C1108" s="1" t="inlineStr">
        <is>
          <t>25801100128</t>
        </is>
      </c>
      <c r="D1108" s="1" t="inlineStr">
        <is>
          <t>Nguyeãn Taán</t>
        </is>
      </c>
      <c r="E1108" s="1" t="inlineStr">
        <is>
          <t>Vieät</t>
        </is>
      </c>
      <c r="F1108" s="1" t="inlineStr">
        <is>
          <t>08-Jun-07</t>
        </is>
      </c>
      <c r="G1108" s="1" t="inlineStr">
        <is>
          <t>LNH0925ND01</t>
        </is>
      </c>
      <c r="H1108" s="1" t="inlineStr">
        <is>
          <t>09AV Giao tiep QT (TS)</t>
        </is>
      </c>
      <c r="I1108" s="1" t="n">
        <v>8415000</v>
      </c>
      <c r="J1108" s="1" t="inlineStr">
        <is>
          <t>NGUYEN MINH THANH NGUYEN TAN VIET 25801100128 TAI IBT VPB EBANKING         HANOI</t>
        </is>
      </c>
    </row>
    <row r="1109">
      <c r="A1109" s="1" t="inlineStr">
        <is>
          <t>19-Sep-25</t>
        </is>
      </c>
      <c r="B1109" s="1" t="inlineStr">
        <is>
          <t>I64866</t>
        </is>
      </c>
      <c r="C1109" s="1" t="inlineStr">
        <is>
          <t>25820700064</t>
        </is>
      </c>
      <c r="D1109" s="1" t="inlineStr">
        <is>
          <t>Voõ Thò Huyeàn</t>
        </is>
      </c>
      <c r="E1109" s="1" t="inlineStr">
        <is>
          <t>Traân</t>
        </is>
      </c>
      <c r="F1109" s="1" t="inlineStr">
        <is>
          <t>08-Apr-07</t>
        </is>
      </c>
      <c r="G1109" s="1" t="inlineStr">
        <is>
          <t>LNH0925ND01</t>
        </is>
      </c>
      <c r="H1109" s="1" t="inlineStr">
        <is>
          <t>09AV Giao tiep QT (TS)</t>
        </is>
      </c>
      <c r="I1109" s="1" t="n">
        <v>5000000</v>
      </c>
      <c r="J1109" s="1" t="inlineStr">
        <is>
          <t>VO THI HUYEN TRAN VO THI HUYEN TRAN  25820700064 LNH0 925ND01 0388464255 TAI IBT BIDV                 HANOI</t>
        </is>
      </c>
    </row>
    <row r="1110">
      <c r="A1110" s="1" t="inlineStr">
        <is>
          <t>19-Sep-25</t>
        </is>
      </c>
      <c r="B1110" s="1" t="inlineStr">
        <is>
          <t>I64867</t>
        </is>
      </c>
      <c r="C1110" s="1" t="inlineStr">
        <is>
          <t>25820300093</t>
        </is>
      </c>
      <c r="D1110" s="1" t="inlineStr">
        <is>
          <t>Nguyeãn Thanh</t>
        </is>
      </c>
      <c r="E1110" s="1" t="inlineStr">
        <is>
          <t>Phuù</t>
        </is>
      </c>
      <c r="F1110" s="1" t="inlineStr">
        <is>
          <t>19-Dec-07</t>
        </is>
      </c>
      <c r="G1110" s="1" t="inlineStr">
        <is>
          <t>LNH0925ND01</t>
        </is>
      </c>
      <c r="H1110" s="1" t="inlineStr">
        <is>
          <t>09AV Giao tiep QT (TS)</t>
        </is>
      </c>
      <c r="I1110" s="1" t="n">
        <v>7415000</v>
      </c>
      <c r="J1110" s="1" t="inlineStr">
        <is>
          <t>VND-TGTT-PHAM QUOC BAO Nguyen Thanh Phu 25820300093 LNH092 5ND01 090943693 FT25262692297141 TAI TECHCOMBANK            HANOI</t>
        </is>
      </c>
    </row>
    <row r="1111">
      <c r="A1111" s="1" t="inlineStr">
        <is>
          <t>19-Sep-25</t>
        </is>
      </c>
      <c r="B1111" s="1" t="inlineStr">
        <is>
          <t>I64868</t>
        </is>
      </c>
      <c r="C1111" s="1" t="inlineStr">
        <is>
          <t>25808700203</t>
        </is>
      </c>
      <c r="D1111" s="1" t="inlineStr">
        <is>
          <t>Mai Taán</t>
        </is>
      </c>
      <c r="E1111" s="1" t="inlineStr">
        <is>
          <t>Nhaát</t>
        </is>
      </c>
      <c r="F1111" s="1" t="inlineStr">
        <is>
          <t>14-Jul-06</t>
        </is>
      </c>
      <c r="G1111" s="1" t="inlineStr">
        <is>
          <t>LNH0925ND01</t>
        </is>
      </c>
      <c r="H1111" s="1" t="inlineStr">
        <is>
          <t>09AV Giao tiep QT (TS)</t>
        </is>
      </c>
      <c r="I1111" s="1" t="n">
        <v>7415000</v>
      </c>
      <c r="J1111" s="1" t="inlineStr">
        <is>
          <t>MAI TAN NHAT MAI TAN NHAT 25808700203 LNH0925ND0 1 0839451949 TAI IBT BIDV                 HANOI</t>
        </is>
      </c>
    </row>
    <row r="1112">
      <c r="A1112" s="1" t="inlineStr">
        <is>
          <t>19-Sep-25</t>
        </is>
      </c>
      <c r="B1112" s="1" t="inlineStr">
        <is>
          <t>I64869</t>
        </is>
      </c>
      <c r="C1112" s="1" t="inlineStr">
        <is>
          <t>25800400049</t>
        </is>
      </c>
      <c r="D1112" s="1" t="inlineStr">
        <is>
          <t>Tröông Vónh</t>
        </is>
      </c>
      <c r="E1112" s="1" t="inlineStr">
        <is>
          <t>Hoäi</t>
        </is>
      </c>
      <c r="F1112" s="1" t="inlineStr">
        <is>
          <t>08-Dec-07</t>
        </is>
      </c>
      <c r="G1112" s="1" t="inlineStr">
        <is>
          <t>LNH0925ND01</t>
        </is>
      </c>
      <c r="H1112" s="1" t="inlineStr">
        <is>
          <t>09AV Giao tiep QT (TS)</t>
        </is>
      </c>
      <c r="I1112" s="1" t="n">
        <v>8415000</v>
      </c>
      <c r="J1112" s="1" t="inlineStr">
        <is>
          <t>MBBANK IBFT TRUONG VIH HOI MSSV  25800400049 LN H0925ND01 SDT 0353436055 TAI IBT-MB                   HANOI</t>
        </is>
      </c>
    </row>
    <row r="1113">
      <c r="A1113" s="1" t="inlineStr">
        <is>
          <t>19-Sep-25</t>
        </is>
      </c>
      <c r="B1113" s="1" t="inlineStr">
        <is>
          <t>I64870</t>
        </is>
      </c>
      <c r="C1113" s="1" t="inlineStr">
        <is>
          <t>25805900036</t>
        </is>
      </c>
      <c r="D1113" s="1" t="inlineStr">
        <is>
          <t>Buøi Huyønh</t>
        </is>
      </c>
      <c r="E1113" s="1" t="inlineStr">
        <is>
          <t>Quyeân</t>
        </is>
      </c>
      <c r="F1113" s="1" t="inlineStr">
        <is>
          <t>04-Oct-07</t>
        </is>
      </c>
      <c r="G1113" s="1" t="inlineStr">
        <is>
          <t>LNH0925ND01</t>
        </is>
      </c>
      <c r="H1113" s="1" t="inlineStr">
        <is>
          <t>09AV Giao tiep QT (TS)</t>
        </is>
      </c>
      <c r="I1113" s="1" t="n">
        <v>7415000</v>
      </c>
      <c r="J1113" s="1" t="inlineStr">
        <is>
          <t>BUI HUYNH QUYEN BUI HUYNH QUYEN  25805900036 LNH092 5ND01  0384753372 TAI IBT BIDV                 HANOI</t>
        </is>
      </c>
    </row>
    <row r="1114">
      <c r="A1114" s="1" t="inlineStr">
        <is>
          <t>19-Sep-25</t>
        </is>
      </c>
      <c r="B1114" s="1" t="inlineStr">
        <is>
          <t>I64871</t>
        </is>
      </c>
      <c r="C1114" s="1" t="inlineStr">
        <is>
          <t>25808200049</t>
        </is>
      </c>
      <c r="D1114" s="1" t="inlineStr">
        <is>
          <t>Nguyeãn Tuaán</t>
        </is>
      </c>
      <c r="E1114" s="1" t="inlineStr">
        <is>
          <t>Huøng</t>
        </is>
      </c>
      <c r="F1114" s="1" t="inlineStr">
        <is>
          <t>18-Oct-07</t>
        </is>
      </c>
      <c r="G1114" s="1" t="inlineStr">
        <is>
          <t>LNH0925ND01</t>
        </is>
      </c>
      <c r="H1114" s="1" t="inlineStr">
        <is>
          <t>09AV Giao tiep QT (TS)</t>
        </is>
      </c>
      <c r="I1114" s="1" t="n">
        <v>7415000</v>
      </c>
      <c r="J1114" s="1" t="inlineStr">
        <is>
          <t>MBBANK IBFT Nguyen Tuan Hung 25808200049 LNH092 5ND01 0785181007 TAI IBT-MB                   HANOI</t>
        </is>
      </c>
    </row>
    <row r="1115">
      <c r="A1115" s="1" t="inlineStr">
        <is>
          <t>19-Sep-25</t>
        </is>
      </c>
      <c r="B1115" s="1" t="inlineStr">
        <is>
          <t>I64872</t>
        </is>
      </c>
      <c r="C1115" s="1" t="inlineStr">
        <is>
          <t>25802100035</t>
        </is>
      </c>
      <c r="D1115" s="1" t="inlineStr">
        <is>
          <t>Ñoaøn Thanh</t>
        </is>
      </c>
      <c r="E1115" s="1" t="inlineStr">
        <is>
          <t>Taøi</t>
        </is>
      </c>
      <c r="F1115" s="1" t="inlineStr">
        <is>
          <t>07-Jan-07</t>
        </is>
      </c>
      <c r="G1115" s="1" t="inlineStr">
        <is>
          <t>LNH0925ND01</t>
        </is>
      </c>
      <c r="H1115" s="1" t="inlineStr">
        <is>
          <t>09AV Giao tiep QT (TS)</t>
        </is>
      </c>
      <c r="I1115" s="1" t="n">
        <v>7415000</v>
      </c>
      <c r="J1115" s="1" t="inlineStr">
        <is>
          <t>TRAN THI THANH MAI Doan Thanh Tai 25802100035 LNH0925N D01 0353721392 TAI VietinBank</t>
        </is>
      </c>
    </row>
    <row r="1116">
      <c r="A1116" s="1" t="inlineStr">
        <is>
          <t>19-Sep-25</t>
        </is>
      </c>
      <c r="B1116" s="1" t="inlineStr">
        <is>
          <t>I64873</t>
        </is>
      </c>
      <c r="C1116" s="1" t="inlineStr">
        <is>
          <t>25808900229</t>
        </is>
      </c>
      <c r="D1116" s="1" t="inlineStr">
        <is>
          <t>Nguyeãn Thieân</t>
        </is>
      </c>
      <c r="E1116" s="1" t="inlineStr">
        <is>
          <t>AÂn</t>
        </is>
      </c>
      <c r="F1116" s="1" t="inlineStr">
        <is>
          <t>23-Oct-07</t>
        </is>
      </c>
      <c r="G1116" s="1" t="inlineStr">
        <is>
          <t>LNH0925ND01</t>
        </is>
      </c>
      <c r="H1116" s="1" t="inlineStr">
        <is>
          <t>09AV Giao tiep QT (TS)</t>
        </is>
      </c>
      <c r="I1116" s="1" t="n">
        <v>7415000</v>
      </c>
      <c r="J1116" s="1" t="inlineStr">
        <is>
          <t>TRAN THI THANH MAI Nguyen Thien An 25808900229 LNH0925 ND01 0931250232 TAI VietinBank</t>
        </is>
      </c>
    </row>
    <row r="1117">
      <c r="A1117" s="1" t="inlineStr">
        <is>
          <t>19-Sep-25</t>
        </is>
      </c>
      <c r="B1117" s="1" t="inlineStr">
        <is>
          <t>I64874</t>
        </is>
      </c>
      <c r="C1117" s="1" t="inlineStr">
        <is>
          <t>25808600134</t>
        </is>
      </c>
      <c r="D1117" s="1" t="inlineStr">
        <is>
          <t>Phaïm Nguyeãn Huyeàn</t>
        </is>
      </c>
      <c r="E1117" s="1" t="inlineStr">
        <is>
          <t>Traân</t>
        </is>
      </c>
      <c r="F1117" s="1" t="inlineStr">
        <is>
          <t>02-Jan-07</t>
        </is>
      </c>
      <c r="G1117" s="1" t="inlineStr">
        <is>
          <t>LNH0925ND01</t>
        </is>
      </c>
      <c r="H1117" s="1" t="inlineStr">
        <is>
          <t>09AV Giao tiep QT (TS)</t>
        </is>
      </c>
      <c r="I1117" s="1" t="n">
        <v>7415000</v>
      </c>
      <c r="J1117" s="1" t="inlineStr">
        <is>
          <t>PHAM NGUYEN HUYEN TRAN Pham Nguyen Huyen Tran-25808600134- LNH0925ND01-0833551761 TAI IBT BIDV                 HANOI</t>
        </is>
      </c>
    </row>
    <row r="1118">
      <c r="A1118" s="1" t="inlineStr">
        <is>
          <t>19-Sep-25</t>
        </is>
      </c>
      <c r="B1118" s="1" t="inlineStr">
        <is>
          <t>I64875</t>
        </is>
      </c>
      <c r="C1118" s="1" t="inlineStr">
        <is>
          <t>25820700012</t>
        </is>
      </c>
      <c r="D1118" s="1" t="inlineStr">
        <is>
          <t>Ngoâ Maïnh Tröôøng</t>
        </is>
      </c>
      <c r="E1118" s="1" t="inlineStr">
        <is>
          <t>Huy</t>
        </is>
      </c>
      <c r="F1118" s="1" t="inlineStr">
        <is>
          <t>18-Aug-07</t>
        </is>
      </c>
      <c r="G1118" s="1" t="inlineStr">
        <is>
          <t>LNH0925ND01</t>
        </is>
      </c>
      <c r="H1118" s="1" t="inlineStr">
        <is>
          <t>09AV Giao tiep QT (TS)</t>
        </is>
      </c>
      <c r="I1118" s="1" t="n">
        <v>7415000</v>
      </c>
      <c r="J1118" s="1" t="inlineStr">
        <is>
          <t>NGO VAN NHAN ABBank 0521043748045 NGOMANHTRUONGH UY25820700012LNH0925Nd010916294181 TAI Agribank</t>
        </is>
      </c>
    </row>
    <row r="1119">
      <c r="A1119" s="1" t="inlineStr">
        <is>
          <t>20-Sep-25</t>
        </is>
      </c>
      <c r="B1119" s="1" t="inlineStr">
        <is>
          <t>I64895</t>
        </is>
      </c>
      <c r="C1119" s="1" t="inlineStr">
        <is>
          <t>25806000034</t>
        </is>
      </c>
      <c r="D1119" s="1" t="inlineStr">
        <is>
          <t>Nguyeãn Nhaät Thanh</t>
        </is>
      </c>
      <c r="E1119" s="1" t="inlineStr">
        <is>
          <t>Sôn</t>
        </is>
      </c>
      <c r="F1119" s="1" t="inlineStr">
        <is>
          <t>05-Mar-07</t>
        </is>
      </c>
      <c r="G1119" s="1" t="inlineStr">
        <is>
          <t>LNH0925ND01</t>
        </is>
      </c>
      <c r="H1119" s="1" t="inlineStr">
        <is>
          <t>09AV Giao tiep QT (TS)</t>
        </is>
      </c>
      <c r="I1119" s="1" t="n">
        <v>8415000</v>
      </c>
      <c r="J1119" s="1" t="inlineStr">
        <is>
          <t>MBBANK IBFT Nguyen Nhat Thanh Son 25806000034 L NH0925ND01  0797241668 TAI IBT-MB                   HANOI</t>
        </is>
      </c>
    </row>
    <row r="1120">
      <c r="A1120" s="1" t="inlineStr">
        <is>
          <t>20-Sep-25</t>
        </is>
      </c>
      <c r="B1120" s="1" t="inlineStr">
        <is>
          <t>I64897</t>
        </is>
      </c>
      <c r="C1120" s="1" t="inlineStr">
        <is>
          <t>25807500227</t>
        </is>
      </c>
      <c r="D1120" s="1" t="inlineStr">
        <is>
          <t>Nguyeãn Ngoïc Phöông</t>
        </is>
      </c>
      <c r="E1120" s="1" t="inlineStr">
        <is>
          <t>Traân</t>
        </is>
      </c>
      <c r="F1120" s="1" t="inlineStr">
        <is>
          <t>17-Nov-07</t>
        </is>
      </c>
      <c r="G1120" s="1" t="inlineStr">
        <is>
          <t>LNH0925ND01</t>
        </is>
      </c>
      <c r="H1120" s="1" t="inlineStr">
        <is>
          <t>09AV Giao tiep QT (TS)</t>
        </is>
      </c>
      <c r="I1120" s="1" t="n">
        <v>7415000</v>
      </c>
      <c r="J1120" s="1" t="inlineStr">
        <is>
          <t>NGUYEN PHUONG THAO NGUYEN NGOC PHUONG TRAN 25807500227 LNH 0925ND01 0382499120-200925-14 56 57 521870 TAI Ngan hang a chau       IBT SMARLINK</t>
        </is>
      </c>
    </row>
    <row r="1121">
      <c r="A1121" s="1" t="inlineStr">
        <is>
          <t>20-Sep-25</t>
        </is>
      </c>
      <c r="B1121" s="1" t="inlineStr">
        <is>
          <t>I64905</t>
        </is>
      </c>
      <c r="C1121" s="1" t="inlineStr">
        <is>
          <t>25800500134</t>
        </is>
      </c>
      <c r="D1121" s="1" t="inlineStr">
        <is>
          <t>Huyønh Nguyeãn Laâm</t>
        </is>
      </c>
      <c r="E1121" s="1" t="inlineStr">
        <is>
          <t>Phong</t>
        </is>
      </c>
      <c r="F1121" s="1" t="inlineStr">
        <is>
          <t>25-Dec-07</t>
        </is>
      </c>
      <c r="G1121" s="1" t="inlineStr">
        <is>
          <t>LNH0925ND01</t>
        </is>
      </c>
      <c r="H1121" s="1" t="inlineStr">
        <is>
          <t>09AV Giao tiep QT (TS)</t>
        </is>
      </c>
      <c r="I1121" s="1" t="n">
        <v>7415000</v>
      </c>
      <c r="J1121" s="1" t="inlineStr">
        <is>
          <t>NGUYEN THI MONG THU MBVCB.10999609031.781375.Huynh Nguy en Lam Phong-25800500134-....CT tu 0121000626704 NGUYEN THI MONG THU t oi 0521043748045 HUTECH tai ABBANK TAI Vietcombank</t>
        </is>
      </c>
    </row>
    <row r="1122">
      <c r="A1122" s="1" t="inlineStr">
        <is>
          <t>20-Sep-25</t>
        </is>
      </c>
      <c r="B1122" s="1" t="inlineStr">
        <is>
          <t>I64908</t>
        </is>
      </c>
      <c r="C1122" s="1" t="inlineStr">
        <is>
          <t>25807800099</t>
        </is>
      </c>
      <c r="D1122" s="1" t="inlineStr">
        <is>
          <t>Ñoã Leâ Hoaøng</t>
        </is>
      </c>
      <c r="E1122" s="1" t="inlineStr">
        <is>
          <t>Nhaân</t>
        </is>
      </c>
      <c r="F1122" s="1" t="inlineStr">
        <is>
          <t>12-Dec-07</t>
        </is>
      </c>
      <c r="G1122" s="1" t="inlineStr">
        <is>
          <t>LNH0925ND01</t>
        </is>
      </c>
      <c r="H1122" s="1" t="inlineStr">
        <is>
          <t>09AV Giao tiep QT (TS)</t>
        </is>
      </c>
      <c r="I1122" s="1" t="n">
        <v>7415000</v>
      </c>
      <c r="J1122" s="1" t="inlineStr">
        <is>
          <t>DO LE HOANG NHAN MBVCB.11002497616.790875.DO LE HOAN G NHAN 25807800099 LNH0925ND01 0979 158746.CT tu 1035751757 DO LE HOANG NHAN toi 0521043748045 HUTECH taiABBANK TAI Vietcombank</t>
        </is>
      </c>
    </row>
    <row r="1123">
      <c r="A1123" s="1" t="inlineStr">
        <is>
          <t>22-Sep-25</t>
        </is>
      </c>
      <c r="B1123" s="1" t="inlineStr">
        <is>
          <t>I65216</t>
        </is>
      </c>
      <c r="C1123" s="1" t="inlineStr">
        <is>
          <t>25800500156</t>
        </is>
      </c>
      <c r="D1123" s="1" t="inlineStr">
        <is>
          <t>Hoang Anh</t>
        </is>
      </c>
      <c r="E1123" s="1" t="inlineStr">
        <is>
          <t>Thai</t>
        </is>
      </c>
      <c r="F1123" s="1" t="inlineStr">
        <is>
          <t xml:space="preserve">  -   -</t>
        </is>
      </c>
      <c r="G1123" s="1" t="inlineStr">
        <is>
          <t>LNH0925ND01</t>
        </is>
      </c>
      <c r="H1123" s="1" t="inlineStr">
        <is>
          <t>02YT TAI KHOAN TREO</t>
        </is>
      </c>
      <c r="I1123" s="1" t="n">
        <v>0</v>
      </c>
      <c r="J1123" s="1" t="inlineStr">
        <is>
          <t>(chuyen EDU)MBBANK IBFT HOANG ANH THAI chuyen tien TAI IBT-MB                   HANOI</t>
        </is>
      </c>
    </row>
    <row r="1124">
      <c r="A1124" s="1" t="inlineStr">
        <is>
          <t>22-Sep-25</t>
        </is>
      </c>
      <c r="B1124" s="1" t="inlineStr">
        <is>
          <t>I65217</t>
        </is>
      </c>
      <c r="C1124" s="1" t="inlineStr">
        <is>
          <t>25800400256</t>
        </is>
      </c>
      <c r="D1124" s="1" t="inlineStr">
        <is>
          <t>Tröông Hoàng</t>
        </is>
      </c>
      <c r="E1124" s="1" t="inlineStr">
        <is>
          <t>Khaõi</t>
        </is>
      </c>
      <c r="F1124" s="1" t="inlineStr">
        <is>
          <t>30-May-07</t>
        </is>
      </c>
      <c r="G1124" s="1" t="inlineStr">
        <is>
          <t>LNH0925ND01</t>
        </is>
      </c>
      <c r="H1124" s="1" t="inlineStr">
        <is>
          <t>09AV Giao tiep QT (TS)</t>
        </is>
      </c>
      <c r="I1124" s="1" t="n">
        <v>1100000</v>
      </c>
      <c r="J1124" s="1" t="inlineStr">
        <is>
          <t>TRUONG HONG KHAI MBVCB.11019720118.677566.TRUONG HON G KHAI  25800400256 LNH0925ND01 081 3455725.CT tu 1048934699 TRUONG HON G KHAI toi 0521043748045 HUTECH taiABBANK TAI Vietcombank</t>
        </is>
      </c>
    </row>
    <row r="1125">
      <c r="A1125" s="1" t="inlineStr">
        <is>
          <t>22-Sep-25</t>
        </is>
      </c>
      <c r="B1125" s="1" t="inlineStr">
        <is>
          <t>I65234</t>
        </is>
      </c>
      <c r="C1125" s="1" t="inlineStr">
        <is>
          <t>25808500344</t>
        </is>
      </c>
      <c r="D1125" s="1" t="inlineStr">
        <is>
          <t>Nguyeãn Kim Tröôøng</t>
        </is>
      </c>
      <c r="E1125" s="1" t="inlineStr">
        <is>
          <t>Thònh</t>
        </is>
      </c>
      <c r="F1125" s="1" t="inlineStr">
        <is>
          <t>24-Nov-07</t>
        </is>
      </c>
      <c r="G1125" s="1" t="inlineStr">
        <is>
          <t>LNH0925ND01</t>
        </is>
      </c>
      <c r="H1125" s="1" t="inlineStr">
        <is>
          <t>09AV Giao tiep QT (TS)</t>
        </is>
      </c>
      <c r="I1125" s="1" t="n">
        <v>2100000</v>
      </c>
      <c r="J1125" s="1" t="inlineStr">
        <is>
          <t>DIEP THANH AN nguyen kim truong thinh 25808500344 LNH0925ND01 0916521828 TAI VietinBank</t>
        </is>
      </c>
    </row>
    <row r="1126">
      <c r="A1126" s="1" t="inlineStr">
        <is>
          <t>22-Sep-25</t>
        </is>
      </c>
      <c r="B1126" s="1" t="inlineStr">
        <is>
          <t>I65235</t>
        </is>
      </c>
      <c r="C1126" s="1" t="inlineStr">
        <is>
          <t>25807500028</t>
        </is>
      </c>
      <c r="D1126" s="1" t="inlineStr">
        <is>
          <t>Toâ Gia</t>
        </is>
      </c>
      <c r="E1126" s="1" t="inlineStr">
        <is>
          <t>Haân</t>
        </is>
      </c>
      <c r="F1126" s="1" t="inlineStr">
        <is>
          <t>10-Mar-07</t>
        </is>
      </c>
      <c r="G1126" s="1" t="inlineStr">
        <is>
          <t>LNH0925ND01</t>
        </is>
      </c>
      <c r="H1126" s="1" t="inlineStr">
        <is>
          <t>09AV Giao tiep QT (TS)</t>
        </is>
      </c>
      <c r="I1126" s="1" t="n">
        <v>3465000</v>
      </c>
      <c r="J1126" s="1" t="inlineStr">
        <is>
          <t>TO THANH HIEN ABBank 0521043748045 To Gia Han 258 07500028 LNH0925ND01 sdt 0988719345 TAI Agribank</t>
        </is>
      </c>
    </row>
    <row r="1127">
      <c r="A1127" s="1" t="inlineStr">
        <is>
          <t>22-Sep-25</t>
        </is>
      </c>
      <c r="B1127" s="1" t="inlineStr">
        <is>
          <t>I65236</t>
        </is>
      </c>
      <c r="C1127" s="1" t="inlineStr">
        <is>
          <t>25820300063</t>
        </is>
      </c>
      <c r="D1127" s="1" t="inlineStr">
        <is>
          <t>Thaùi Thaønh</t>
        </is>
      </c>
      <c r="E1127" s="1" t="inlineStr">
        <is>
          <t>Trí</t>
        </is>
      </c>
      <c r="F1127" s="1" t="inlineStr">
        <is>
          <t>01-Jul-07</t>
        </is>
      </c>
      <c r="G1127" s="1" t="inlineStr">
        <is>
          <t>LNH0925ND01</t>
        </is>
      </c>
      <c r="H1127" s="1" t="inlineStr">
        <is>
          <t>09AV Giao tiep QT (TS)</t>
        </is>
      </c>
      <c r="I1127" s="1" t="n">
        <v>3465000</v>
      </c>
      <c r="J1127" s="1" t="inlineStr">
        <is>
          <t>THAI THANH TRI MBVCB.11009967293.937662.THAI THANH TRI -- 25820300063 -- LNH0925ND01. CT tu 1048073571 THAI THANH TRI toi 0521043748045 HUTECH tai ABBANK TAI Vietcombank</t>
        </is>
      </c>
    </row>
    <row r="1128">
      <c r="A1128" s="1" t="inlineStr">
        <is>
          <t>22-Sep-25</t>
        </is>
      </c>
      <c r="B1128" s="1" t="inlineStr">
        <is>
          <t>I65237</t>
        </is>
      </c>
      <c r="C1128" s="1" t="inlineStr">
        <is>
          <t>25803800045</t>
        </is>
      </c>
      <c r="D1128" s="1" t="inlineStr">
        <is>
          <t>Traàn Ngoïc Kieàu</t>
        </is>
      </c>
      <c r="E1128" s="1" t="inlineStr">
        <is>
          <t>Oanh</t>
        </is>
      </c>
      <c r="F1128" s="1" t="inlineStr">
        <is>
          <t>04-Aug-05</t>
        </is>
      </c>
      <c r="G1128" s="1" t="inlineStr">
        <is>
          <t>LNH0925ND01</t>
        </is>
      </c>
      <c r="H1128" s="1" t="inlineStr">
        <is>
          <t>09AV Giao tiep QT (TS)</t>
        </is>
      </c>
      <c r="I1128" s="1" t="n">
        <v>3465000</v>
      </c>
      <c r="J1128" s="1" t="inlineStr">
        <is>
          <t>MBBANK IBFT TRAN NGOC KIEU O 25803800045  LNH09 25ND01 0934395050 TAI IBT-MB                   HANOI</t>
        </is>
      </c>
    </row>
    <row r="1129">
      <c r="A1129" s="1" t="inlineStr">
        <is>
          <t>22-Sep-25</t>
        </is>
      </c>
      <c r="B1129" s="1" t="inlineStr">
        <is>
          <t>I65238</t>
        </is>
      </c>
      <c r="C1129" s="1" t="inlineStr">
        <is>
          <t>25809100019</t>
        </is>
      </c>
      <c r="D1129" s="1" t="inlineStr">
        <is>
          <t>Leâ Traàn Anh</t>
        </is>
      </c>
      <c r="E1129" s="1" t="inlineStr">
        <is>
          <t>Tuaán</t>
        </is>
      </c>
      <c r="F1129" s="1" t="inlineStr">
        <is>
          <t>08-Aug-07</t>
        </is>
      </c>
      <c r="G1129" s="1" t="inlineStr">
        <is>
          <t>LNH0925ND01</t>
        </is>
      </c>
      <c r="H1129" s="1" t="inlineStr">
        <is>
          <t>09AV Giao tiep QT (TS)</t>
        </is>
      </c>
      <c r="I1129" s="1" t="n">
        <v>3465000</v>
      </c>
      <c r="J1129" s="1" t="inlineStr">
        <is>
          <t>MBBANK IBFT LE TRAN ANH TUAN25809100019LNH0925N D01 0336288117 TAI IBT-MB                   HANOI</t>
        </is>
      </c>
    </row>
    <row r="1130">
      <c r="A1130" s="1" t="inlineStr">
        <is>
          <t>22-Sep-25</t>
        </is>
      </c>
      <c r="B1130" s="1" t="inlineStr">
        <is>
          <t>I65239</t>
        </is>
      </c>
      <c r="C1130" s="1" t="inlineStr">
        <is>
          <t>25806000115</t>
        </is>
      </c>
      <c r="D1130" s="1" t="inlineStr">
        <is>
          <t>Phaïm Quang</t>
        </is>
      </c>
      <c r="E1130" s="1" t="inlineStr">
        <is>
          <t>Huy</t>
        </is>
      </c>
      <c r="F1130" s="1" t="inlineStr">
        <is>
          <t>14-Oct-06</t>
        </is>
      </c>
      <c r="G1130" s="1" t="inlineStr">
        <is>
          <t>LNH0925ND01</t>
        </is>
      </c>
      <c r="H1130" s="1" t="inlineStr">
        <is>
          <t>09AV Giao tiep QT (TS)</t>
        </is>
      </c>
      <c r="I1130" s="1" t="n">
        <v>4465000</v>
      </c>
      <c r="J1130" s="1" t="inlineStr">
        <is>
          <t>PHAM QUANG HUY PHAM QUANG HUY 25806000115 LNH0925N D01 0364128331 FT25265058045104 TAI TECHCOMBANK            HANOI</t>
        </is>
      </c>
    </row>
    <row r="1131">
      <c r="A1131" s="1" t="inlineStr">
        <is>
          <t>22-Sep-25</t>
        </is>
      </c>
      <c r="B1131" s="1" t="inlineStr">
        <is>
          <t>I65240</t>
        </is>
      </c>
      <c r="C1131" s="1" t="inlineStr">
        <is>
          <t>25807500108</t>
        </is>
      </c>
      <c r="D1131" s="1" t="inlineStr">
        <is>
          <t>Phan Nhö Ngoïc</t>
        </is>
      </c>
      <c r="E1131" s="1" t="inlineStr">
        <is>
          <t>Thanh</t>
        </is>
      </c>
      <c r="F1131" s="1" t="inlineStr">
        <is>
          <t>18-May-07</t>
        </is>
      </c>
      <c r="G1131" s="1" t="inlineStr">
        <is>
          <t>LNH0925ND01</t>
        </is>
      </c>
      <c r="H1131" s="1" t="inlineStr">
        <is>
          <t>09AV Giao tiep QT (TS)</t>
        </is>
      </c>
      <c r="I1131" s="1" t="n">
        <v>6540000</v>
      </c>
      <c r="J1131" s="1" t="inlineStr">
        <is>
          <t>PHAN THANH NHAN PHAN NHU NGOC THANH  25807500108  L NH0925ND01  DT 0931870816-220925-19 44 04 468662 TAI Ngan hang a chau       IBT SMARLINK</t>
        </is>
      </c>
    </row>
    <row r="1132">
      <c r="A1132" s="1" t="inlineStr">
        <is>
          <t>22-Sep-25</t>
        </is>
      </c>
      <c r="B1132" s="1" t="inlineStr">
        <is>
          <t>I65241</t>
        </is>
      </c>
      <c r="C1132" s="1" t="inlineStr">
        <is>
          <t>25820200013</t>
        </is>
      </c>
      <c r="D1132" s="1" t="inlineStr">
        <is>
          <t>Maõ Löông Haûi</t>
        </is>
      </c>
      <c r="E1132" s="1" t="inlineStr">
        <is>
          <t>Ñaêng</t>
        </is>
      </c>
      <c r="F1132" s="1" t="inlineStr">
        <is>
          <t>01-Jun-07</t>
        </is>
      </c>
      <c r="G1132" s="1" t="inlineStr">
        <is>
          <t>LNH0925ND01</t>
        </is>
      </c>
      <c r="H1132" s="1" t="inlineStr">
        <is>
          <t>09AV Giao tiep QT (TS)</t>
        </is>
      </c>
      <c r="I1132" s="1" t="n">
        <v>7415000</v>
      </c>
      <c r="J1132" s="1" t="inlineStr">
        <is>
          <t>LE THI LOAN ABBank 0521043748045 Ma Luong Hai D ang  ma SV25820200013 ma dong tien LNH 0925ND01 TAI Agribank</t>
        </is>
      </c>
    </row>
    <row r="1133">
      <c r="A1133" s="1" t="inlineStr">
        <is>
          <t>22-Sep-25</t>
        </is>
      </c>
      <c r="B1133" s="1" t="inlineStr">
        <is>
          <t>I65242</t>
        </is>
      </c>
      <c r="C1133" s="1" t="inlineStr">
        <is>
          <t>25802400028</t>
        </is>
      </c>
      <c r="D1133" s="1" t="inlineStr">
        <is>
          <t>Nguyeãn Thò Xuaân</t>
        </is>
      </c>
      <c r="E1133" s="1" t="inlineStr">
        <is>
          <t>Thaûo</t>
        </is>
      </c>
      <c r="F1133" s="1" t="inlineStr">
        <is>
          <t>11-Aug-06</t>
        </is>
      </c>
      <c r="G1133" s="1" t="inlineStr">
        <is>
          <t>LNH0925ND01</t>
        </is>
      </c>
      <c r="H1133" s="1" t="inlineStr">
        <is>
          <t>09AV Giao tiep QT (TS)</t>
        </is>
      </c>
      <c r="I1133" s="1" t="n">
        <v>7415000</v>
      </c>
      <c r="J1133" s="1" t="inlineStr">
        <is>
          <t>LE CONG TRAN NGUYEN THI XUAN THAO 25802400028 MC K LNH0925ND01 SDT 0763835740-210925 .17 28 50 474215 TAI Ngan hang a chau       IBT SMARLINK</t>
        </is>
      </c>
    </row>
    <row r="1134">
      <c r="A1134" s="1" t="inlineStr">
        <is>
          <t>22-Sep-25</t>
        </is>
      </c>
      <c r="B1134" s="1" t="inlineStr">
        <is>
          <t>I65243</t>
        </is>
      </c>
      <c r="C1134" s="1" t="inlineStr">
        <is>
          <t>25802700203</t>
        </is>
      </c>
      <c r="D1134" s="1" t="inlineStr">
        <is>
          <t>Ñoã Nguyeãn Thu</t>
        </is>
      </c>
      <c r="E1134" s="1" t="inlineStr">
        <is>
          <t>Nguyeät</t>
        </is>
      </c>
      <c r="F1134" s="1" t="inlineStr">
        <is>
          <t>09-Oct-07</t>
        </is>
      </c>
      <c r="G1134" s="1" t="inlineStr">
        <is>
          <t>LNH0925ND01</t>
        </is>
      </c>
      <c r="H1134" s="1" t="inlineStr">
        <is>
          <t>09AV Giao tiep QT (TS)</t>
        </is>
      </c>
      <c r="I1134" s="1" t="n">
        <v>7415000</v>
      </c>
      <c r="J1134" s="1" t="inlineStr">
        <is>
          <t>DO NGUYEN THU NGUYET DO NGUYEN THU NGUYET  25802700203 LNH0925ND01  0348195155 TAI IBT BIDV                 HANOI</t>
        </is>
      </c>
    </row>
    <row r="1135">
      <c r="A1135" s="1" t="inlineStr">
        <is>
          <t>22-Sep-25</t>
        </is>
      </c>
      <c r="B1135" s="1" t="inlineStr">
        <is>
          <t>I65244</t>
        </is>
      </c>
      <c r="C1135" s="1" t="inlineStr">
        <is>
          <t>25820300085</t>
        </is>
      </c>
      <c r="D1135" s="1" t="inlineStr">
        <is>
          <t>Nguyeãn Hoaøng Troïn</t>
        </is>
      </c>
      <c r="E1135" s="1" t="inlineStr">
        <is>
          <t>Phuù</t>
        </is>
      </c>
      <c r="F1135" s="1" t="inlineStr">
        <is>
          <t>05-Aug-07</t>
        </is>
      </c>
      <c r="G1135" s="1" t="inlineStr">
        <is>
          <t>LNH0925ND01</t>
        </is>
      </c>
      <c r="H1135" s="1" t="inlineStr">
        <is>
          <t>09AV Giao tiep QT (TS)</t>
        </is>
      </c>
      <c r="I1135" s="1" t="n">
        <v>7415000</v>
      </c>
      <c r="J1135" s="1" t="inlineStr">
        <is>
          <t>CAO THANH BINH ABBank 0521043748045 Nguyen Hoang T rong Phu . MSSV 25820300085. LNH092 5ND01.sdt. 0384172372 TAI Agribank</t>
        </is>
      </c>
    </row>
    <row r="1136">
      <c r="A1136" s="1" t="inlineStr">
        <is>
          <t>22-Sep-25</t>
        </is>
      </c>
      <c r="B1136" s="1" t="inlineStr">
        <is>
          <t>I65245</t>
        </is>
      </c>
      <c r="C1136" s="1" t="inlineStr">
        <is>
          <t>25807700017</t>
        </is>
      </c>
      <c r="D1136" s="1" t="inlineStr">
        <is>
          <t>Haø Quoác</t>
        </is>
      </c>
      <c r="E1136" s="1" t="inlineStr">
        <is>
          <t>Duõng</t>
        </is>
      </c>
      <c r="F1136" s="1" t="inlineStr">
        <is>
          <t>18-Jan-07</t>
        </is>
      </c>
      <c r="G1136" s="1" t="inlineStr">
        <is>
          <t>LNH0925ND01</t>
        </is>
      </c>
      <c r="H1136" s="1" t="inlineStr">
        <is>
          <t>09AV Giao tiep QT (TS)</t>
        </is>
      </c>
      <c r="I1136" s="1" t="n">
        <v>7415000</v>
      </c>
      <c r="J1136" s="1" t="inlineStr">
        <is>
          <t>MBBANK IBFT Ha Quoc Dung 25807700017 LNH0925ND0 1 0332459330 TAI IBT-MB                   HANOI</t>
        </is>
      </c>
    </row>
    <row r="1137">
      <c r="A1137" s="1" t="inlineStr">
        <is>
          <t>22-Sep-25</t>
        </is>
      </c>
      <c r="B1137" s="1" t="inlineStr">
        <is>
          <t>I65246</t>
        </is>
      </c>
      <c r="C1137" s="1" t="inlineStr">
        <is>
          <t>25805900063</t>
        </is>
      </c>
      <c r="D1137" s="1" t="inlineStr">
        <is>
          <t>Döông Phöông</t>
        </is>
      </c>
      <c r="E1137" s="1" t="inlineStr">
        <is>
          <t>Uyeân</t>
        </is>
      </c>
      <c r="F1137" s="1" t="inlineStr">
        <is>
          <t>05-Dec-07</t>
        </is>
      </c>
      <c r="G1137" s="1" t="inlineStr">
        <is>
          <t>LNH0925ND01</t>
        </is>
      </c>
      <c r="H1137" s="1" t="inlineStr">
        <is>
          <t>09AV Giao tiep QT (TS)</t>
        </is>
      </c>
      <c r="I1137" s="1" t="n">
        <v>7415000</v>
      </c>
      <c r="J1137" s="1" t="inlineStr">
        <is>
          <t>DUONG PHUONG UYEN DUONG PHUONG UYEN 25805900063 LNH09 25ND01 0979035364 TAI IBT BIDV                 HANOI</t>
        </is>
      </c>
    </row>
    <row r="1138">
      <c r="A1138" s="1" t="inlineStr">
        <is>
          <t>22-Sep-25</t>
        </is>
      </c>
      <c r="B1138" s="1" t="inlineStr">
        <is>
          <t>I65247</t>
        </is>
      </c>
      <c r="C1138" s="1" t="inlineStr">
        <is>
          <t>25800601138</t>
        </is>
      </c>
      <c r="D1138" s="1" t="inlineStr">
        <is>
          <t>Nguyeãn Vaên</t>
        </is>
      </c>
      <c r="E1138" s="1" t="inlineStr">
        <is>
          <t>Lôïi</t>
        </is>
      </c>
      <c r="F1138" s="1" t="inlineStr">
        <is>
          <t>18-Feb-07</t>
        </is>
      </c>
      <c r="G1138" s="1" t="inlineStr">
        <is>
          <t>LNH0925ND01</t>
        </is>
      </c>
      <c r="H1138" s="1" t="inlineStr">
        <is>
          <t>09AV Giao tiep QT (TS)</t>
        </is>
      </c>
      <c r="I1138" s="1" t="n">
        <v>7415000</v>
      </c>
      <c r="J1138" s="1" t="inlineStr">
        <is>
          <t>DANG THI HONG HOA DANG THI HONG HOA chuyen tien den H UTECH - 0521043748045 TAI IBT SMARTLINK            HANOI</t>
        </is>
      </c>
    </row>
    <row r="1139">
      <c r="A1139" s="1" t="inlineStr">
        <is>
          <t>22-Sep-25</t>
        </is>
      </c>
      <c r="B1139" s="1" t="inlineStr">
        <is>
          <t>I65248</t>
        </is>
      </c>
      <c r="C1139" s="1" t="inlineStr">
        <is>
          <t>25800500107</t>
        </is>
      </c>
      <c r="D1139" s="1" t="inlineStr">
        <is>
          <t>Nguyeãn Phaïm Taán</t>
        </is>
      </c>
      <c r="E1139" s="1" t="inlineStr">
        <is>
          <t>Loäc</t>
        </is>
      </c>
      <c r="F1139" s="1" t="inlineStr">
        <is>
          <t>01-Nov-07</t>
        </is>
      </c>
      <c r="G1139" s="1" t="inlineStr">
        <is>
          <t>LNH0925ND01</t>
        </is>
      </c>
      <c r="H1139" s="1" t="inlineStr">
        <is>
          <t>09AV Giao tiep QT (TS)</t>
        </is>
      </c>
      <c r="I1139" s="1" t="n">
        <v>7415000</v>
      </c>
      <c r="J1139" s="1" t="inlineStr">
        <is>
          <t>MBBANK IBFT NGUYEN PHAM TAN LOC 25800500107LNH0 925ND010906893753 TAI IBT-MB                   HANOI</t>
        </is>
      </c>
    </row>
    <row r="1140">
      <c r="A1140" s="1" t="inlineStr">
        <is>
          <t>22-Sep-25</t>
        </is>
      </c>
      <c r="B1140" s="1" t="inlineStr">
        <is>
          <t>I65249</t>
        </is>
      </c>
      <c r="C1140" s="1" t="inlineStr">
        <is>
          <t>25808200258</t>
        </is>
      </c>
      <c r="D1140" s="1" t="inlineStr">
        <is>
          <t>Ngoâ Phuùc</t>
        </is>
      </c>
      <c r="E1140" s="1" t="inlineStr">
        <is>
          <t>Haûi</t>
        </is>
      </c>
      <c r="F1140" s="1" t="inlineStr">
        <is>
          <t>19-Sep-07</t>
        </is>
      </c>
      <c r="G1140" s="1" t="inlineStr">
        <is>
          <t>LNH0925ND01</t>
        </is>
      </c>
      <c r="H1140" s="1" t="inlineStr">
        <is>
          <t>09AV Giao tiep QT (TS)</t>
        </is>
      </c>
      <c r="I1140" s="1" t="n">
        <v>7415000</v>
      </c>
      <c r="J1140" s="1" t="inlineStr">
        <is>
          <t>TRAN THI THANH MAI Ngo Phuc Hai 25808200258 LNH0925ND0 1 0936611631 TAI VietinBank</t>
        </is>
      </c>
    </row>
    <row r="1141">
      <c r="A1141" s="1" t="inlineStr">
        <is>
          <t>22-Sep-25</t>
        </is>
      </c>
      <c r="B1141" s="1" t="inlineStr">
        <is>
          <t>I65250</t>
        </is>
      </c>
      <c r="C1141" s="1" t="inlineStr">
        <is>
          <t>25800500215</t>
        </is>
      </c>
      <c r="D1141" s="1" t="inlineStr">
        <is>
          <t>Nguyeãn Xuaân</t>
        </is>
      </c>
      <c r="E1141" s="1" t="inlineStr">
        <is>
          <t>Tröôøng</t>
        </is>
      </c>
      <c r="F1141" s="1" t="inlineStr">
        <is>
          <t>22-Nov-07</t>
        </is>
      </c>
      <c r="G1141" s="1" t="inlineStr">
        <is>
          <t>LNH0925ND01</t>
        </is>
      </c>
      <c r="H1141" s="1" t="inlineStr">
        <is>
          <t>09AV Giao tiep QT (TS)</t>
        </is>
      </c>
      <c r="I1141" s="1" t="n">
        <v>7415000</v>
      </c>
      <c r="J1141" s="1" t="inlineStr">
        <is>
          <t>MBBANK IBFT Nguyen Xuan Truong  Ma Sv  25800500 215  LNH0925ND01  Sdt  0964728633 TAI IBT-MB                   HANOI</t>
        </is>
      </c>
    </row>
    <row r="1142">
      <c r="A1142" s="1" t="inlineStr">
        <is>
          <t>22-Sep-25</t>
        </is>
      </c>
      <c r="B1142" s="1" t="inlineStr">
        <is>
          <t>I65251</t>
        </is>
      </c>
      <c r="C1142" s="1" t="inlineStr">
        <is>
          <t>25805900021</t>
        </is>
      </c>
      <c r="D1142" s="1" t="inlineStr">
        <is>
          <t>Nguyeãn Thò Xuaân</t>
        </is>
      </c>
      <c r="E1142" s="1" t="inlineStr">
        <is>
          <t>Mai</t>
        </is>
      </c>
      <c r="F1142" s="1" t="inlineStr">
        <is>
          <t>03-Sep-07</t>
        </is>
      </c>
      <c r="G1142" s="1" t="inlineStr">
        <is>
          <t>LNH0925ND01</t>
        </is>
      </c>
      <c r="H1142" s="1" t="inlineStr">
        <is>
          <t>09AV Giao tiep QT (TS)</t>
        </is>
      </c>
      <c r="I1142" s="1" t="n">
        <v>7415000</v>
      </c>
      <c r="J1142" s="1" t="inlineStr">
        <is>
          <t>NGUYEN THI XUAN MAI ABBank 0521043748045 NguyenThiXuanM ai.MSSV 25805900021 LNH0925ND01 sdt 0836994340 TAI Agribank</t>
        </is>
      </c>
    </row>
    <row r="1143">
      <c r="A1143" s="1" t="inlineStr">
        <is>
          <t>22-Sep-25</t>
        </is>
      </c>
      <c r="B1143" s="1" t="inlineStr">
        <is>
          <t>I65252</t>
        </is>
      </c>
      <c r="C1143" s="1" t="inlineStr">
        <is>
          <t>25800600077</t>
        </is>
      </c>
      <c r="D1143" s="1" t="inlineStr">
        <is>
          <t>Sôn Trung</t>
        </is>
      </c>
      <c r="E1143" s="1" t="inlineStr">
        <is>
          <t>Chieán</t>
        </is>
      </c>
      <c r="F1143" s="1" t="inlineStr">
        <is>
          <t>24-Sep-07</t>
        </is>
      </c>
      <c r="G1143" s="1" t="inlineStr">
        <is>
          <t>LNH0925ND01</t>
        </is>
      </c>
      <c r="H1143" s="1" t="inlineStr">
        <is>
          <t>09AV Giao tiep QT (TS)</t>
        </is>
      </c>
      <c r="I1143" s="1" t="n">
        <v>8415000</v>
      </c>
      <c r="J1143" s="1" t="inlineStr">
        <is>
          <t>SON TRUNG CHIEN MBVCB.11017723873.345990.SON TRUNG CHIEN  25800600077 LNH0925ND01 0354 290018.CT tu 1038376126 SON TRUNG C HIEN toi 0521043748045 HUTECH tai ABBANK TAI Vietcombank</t>
        </is>
      </c>
    </row>
    <row r="1144">
      <c r="A1144" s="1" t="inlineStr">
        <is>
          <t>22-Sep-25</t>
        </is>
      </c>
      <c r="B1144" s="1" t="inlineStr">
        <is>
          <t>I65253</t>
        </is>
      </c>
      <c r="C1144" s="1" t="inlineStr">
        <is>
          <t>25808700155</t>
        </is>
      </c>
      <c r="D1144" s="1" t="inlineStr">
        <is>
          <t>Phaïm Minh</t>
        </is>
      </c>
      <c r="E1144" s="1" t="inlineStr">
        <is>
          <t>Quang</t>
        </is>
      </c>
      <c r="F1144" s="1" t="inlineStr">
        <is>
          <t>30-Mar-06</t>
        </is>
      </c>
      <c r="G1144" s="1" t="inlineStr">
        <is>
          <t>LNH0925ND01</t>
        </is>
      </c>
      <c r="H1144" s="1" t="inlineStr">
        <is>
          <t>09AV Giao tiep QT (TS)</t>
        </is>
      </c>
      <c r="I1144" s="1" t="n">
        <v>8415000</v>
      </c>
      <c r="J1144" s="1" t="inlineStr">
        <is>
          <t>MBBANK IBFT HVT PHAM MINH QUANGMSSV 25808700155 LNH0925ND01Sdt 0329921397 TAI IBT-MB                   HANOI</t>
        </is>
      </c>
    </row>
    <row r="1145">
      <c r="A1145" s="1" t="inlineStr">
        <is>
          <t>23-Sep-25</t>
        </is>
      </c>
      <c r="B1145" s="1" t="inlineStr">
        <is>
          <t>I65556</t>
        </is>
      </c>
      <c r="C1145" s="1" t="inlineStr">
        <is>
          <t>25802800255</t>
        </is>
      </c>
      <c r="D1145" s="1" t="inlineStr">
        <is>
          <t>Phaïm Nguyeãn Anh</t>
        </is>
      </c>
      <c r="E1145" s="1" t="inlineStr">
        <is>
          <t>Thö</t>
        </is>
      </c>
      <c r="F1145" s="1" t="inlineStr">
        <is>
          <t>22-Apr-07</t>
        </is>
      </c>
      <c r="G1145" s="1" t="inlineStr">
        <is>
          <t>LNH0925ND01</t>
        </is>
      </c>
      <c r="H1145" s="1" t="inlineStr">
        <is>
          <t>09AV Giao tiep QT (TS)</t>
        </is>
      </c>
      <c r="I1145" s="1" t="n">
        <v>3465000</v>
      </c>
      <c r="J1145" s="1" t="inlineStr">
        <is>
          <t>MBBANK IBFT Pham Nguyen Anh Thu 25802800255 LNH 0925ND01 0788903930 TAI IBT-MB                   HANOI</t>
        </is>
      </c>
    </row>
    <row r="1146">
      <c r="A1146" s="1" t="inlineStr">
        <is>
          <t>23-Sep-25</t>
        </is>
      </c>
      <c r="B1146" s="1" t="inlineStr">
        <is>
          <t>I65557</t>
        </is>
      </c>
      <c r="C1146" s="1" t="inlineStr">
        <is>
          <t>25808600258</t>
        </is>
      </c>
      <c r="D1146" s="1" t="inlineStr">
        <is>
          <t>Nguyeãn Ngoïc Tuù</t>
        </is>
      </c>
      <c r="E1146" s="1" t="inlineStr">
        <is>
          <t>Nhö</t>
        </is>
      </c>
      <c r="F1146" s="1" t="inlineStr">
        <is>
          <t>12-Aug-07</t>
        </is>
      </c>
      <c r="G1146" s="1" t="inlineStr">
        <is>
          <t>LNH0925ND01</t>
        </is>
      </c>
      <c r="H1146" s="1" t="inlineStr">
        <is>
          <t>09AV Giao tiep QT (TS)</t>
        </is>
      </c>
      <c r="I1146" s="1" t="n">
        <v>3940000</v>
      </c>
      <c r="J1146" s="1" t="inlineStr">
        <is>
          <t>MBBANK IBFT Nguyen Ngoc Tu Nhu 25808600258 LNH0 925ND01 0394498079 TAI IBT-MB                   HANOI</t>
        </is>
      </c>
    </row>
    <row r="1147">
      <c r="A1147" s="1" t="inlineStr">
        <is>
          <t>23-Sep-25</t>
        </is>
      </c>
      <c r="B1147" s="1" t="inlineStr">
        <is>
          <t>I65559</t>
        </is>
      </c>
      <c r="C1147" s="1" t="inlineStr">
        <is>
          <t>25820200041</t>
        </is>
      </c>
      <c r="D1147" s="1" t="inlineStr">
        <is>
          <t>Tsìn Huyønh Phuùc</t>
        </is>
      </c>
      <c r="E1147" s="1" t="inlineStr">
        <is>
          <t>Nguyeân</t>
        </is>
      </c>
      <c r="F1147" s="1" t="inlineStr">
        <is>
          <t>10-Sep-07</t>
        </is>
      </c>
      <c r="G1147" s="1" t="inlineStr">
        <is>
          <t>LNH0925ND01</t>
        </is>
      </c>
      <c r="H1147" s="1" t="inlineStr">
        <is>
          <t>09AV Giao tiep QT (TS)</t>
        </is>
      </c>
      <c r="I1147" s="1" t="n">
        <v>7415000</v>
      </c>
      <c r="J1147" s="1" t="inlineStr">
        <is>
          <t>TSIN HUYNH PHUC NGUYEN MBVCB.11028882445.970898.Tsin Huynh Phuc Nguyen 25820200041 ....CT tu 1057201447 TSIN HUYNH PHUC NGUYEN t oi 0521043748045 HUTECH tai ABBANK TAI Vietcombank</t>
        </is>
      </c>
    </row>
    <row r="1148">
      <c r="A1148" s="1" t="inlineStr">
        <is>
          <t>23-Sep-25</t>
        </is>
      </c>
      <c r="B1148" s="1" t="inlineStr">
        <is>
          <t>I65560</t>
        </is>
      </c>
      <c r="C1148" s="1" t="inlineStr">
        <is>
          <t>25806800005</t>
        </is>
      </c>
      <c r="D1148" s="1" t="inlineStr">
        <is>
          <t>Tröông Thò Thuùy</t>
        </is>
      </c>
      <c r="E1148" s="1" t="inlineStr">
        <is>
          <t>An</t>
        </is>
      </c>
      <c r="F1148" s="1" t="inlineStr">
        <is>
          <t>11-Aug-07</t>
        </is>
      </c>
      <c r="G1148" s="1" t="inlineStr">
        <is>
          <t>LNH0925ND01</t>
        </is>
      </c>
      <c r="H1148" s="1" t="inlineStr">
        <is>
          <t>09AV Giao tiep QT (TS)</t>
        </is>
      </c>
      <c r="I1148" s="1" t="n">
        <v>7415000</v>
      </c>
      <c r="J1148" s="1" t="inlineStr">
        <is>
          <t>TRUONG THI THUY AN TRUONG THI THUY AN . MSSV 258068000 05. LNH0925ND01. 0346248019.-230925 .10 31 59 208041 TAI Ngan hang a chau       IBT SMARLINK</t>
        </is>
      </c>
    </row>
    <row r="1149">
      <c r="A1149" s="1" t="inlineStr">
        <is>
          <t>23-Sep-25</t>
        </is>
      </c>
      <c r="B1149" s="1" t="inlineStr">
        <is>
          <t>I65561</t>
        </is>
      </c>
      <c r="C1149" s="1" t="inlineStr">
        <is>
          <t>25807500072</t>
        </is>
      </c>
      <c r="D1149" s="1" t="inlineStr">
        <is>
          <t>Phan Thò</t>
        </is>
      </c>
      <c r="E1149" s="1" t="inlineStr">
        <is>
          <t>Möøng</t>
        </is>
      </c>
      <c r="F1149" s="1" t="inlineStr">
        <is>
          <t>26-Aug-84</t>
        </is>
      </c>
      <c r="G1149" s="1" t="inlineStr">
        <is>
          <t>LNH0925ND01</t>
        </is>
      </c>
      <c r="H1149" s="1" t="inlineStr">
        <is>
          <t>09AV Giao tiep QT (TS)</t>
        </is>
      </c>
      <c r="I1149" s="1" t="n">
        <v>7415000</v>
      </c>
      <c r="J1149" s="1" t="inlineStr">
        <is>
          <t>PHAN THI MUNG MBVCB.11030701066.195177.PHAN THI M UNG  25807500072 LNH0925ND01 094916 6637.CT tu 0281001413856 PHAN THI M UNG toi 0521043748045 HUTECH tai ABBANK TAI Vietcombank</t>
        </is>
      </c>
    </row>
    <row r="1150">
      <c r="A1150" s="1" t="inlineStr">
        <is>
          <t>23-Sep-25</t>
        </is>
      </c>
      <c r="B1150" s="1" t="inlineStr">
        <is>
          <t>I65562</t>
        </is>
      </c>
      <c r="C1150" s="1" t="inlineStr">
        <is>
          <t>25802800290</t>
        </is>
      </c>
      <c r="D1150" s="1" t="inlineStr">
        <is>
          <t>Ngoâ Baûo</t>
        </is>
      </c>
      <c r="E1150" s="1" t="inlineStr">
        <is>
          <t>Uyeân</t>
        </is>
      </c>
      <c r="F1150" s="1" t="inlineStr">
        <is>
          <t>16-May-07</t>
        </is>
      </c>
      <c r="G1150" s="1" t="inlineStr">
        <is>
          <t>LNH0925ND01</t>
        </is>
      </c>
      <c r="H1150" s="1" t="inlineStr">
        <is>
          <t>09AV Giao tiep QT (TS)</t>
        </is>
      </c>
      <c r="I1150" s="1" t="n">
        <v>7415000</v>
      </c>
      <c r="J1150" s="1" t="inlineStr">
        <is>
          <t>TRUONG THI XIN ABBank 0521043748045 ngo bao  uyen 25802800290 LNH092NP01  0975341094 TAI Agribank</t>
        </is>
      </c>
    </row>
    <row r="1151">
      <c r="A1151" s="1" t="inlineStr">
        <is>
          <t>25-Aug-25</t>
        </is>
      </c>
      <c r="B1151" s="1" t="inlineStr">
        <is>
          <t>I65565</t>
        </is>
      </c>
      <c r="C1151" s="1" t="inlineStr">
        <is>
          <t>25802800245</t>
        </is>
      </c>
      <c r="D1151" s="1" t="inlineStr">
        <is>
          <t>Traàn Anh</t>
        </is>
      </c>
      <c r="E1151" s="1" t="inlineStr">
        <is>
          <t>Thi</t>
        </is>
      </c>
      <c r="F1151" s="1" t="inlineStr">
        <is>
          <t>05-Sep-07</t>
        </is>
      </c>
      <c r="G1151" s="1" t="inlineStr">
        <is>
          <t>LNH0925ND01</t>
        </is>
      </c>
      <c r="H1151" s="1" t="inlineStr">
        <is>
          <t>09AV Giao tiep QT (TS)</t>
        </is>
      </c>
      <c r="I1151" s="1" t="n">
        <v>125000</v>
      </c>
      <c r="J1151" s="1" t="inlineStr">
        <is>
          <t>NGUYEN TRUNG NGHIA TRAN ANH THI  25802800245  LNH0925N D01  0961330407 TAI VietinBank</t>
        </is>
      </c>
    </row>
    <row r="1152">
      <c r="A1152" s="1" t="inlineStr">
        <is>
          <t>25-Aug-25</t>
        </is>
      </c>
      <c r="B1152" s="1" t="inlineStr">
        <is>
          <t>I65566</t>
        </is>
      </c>
      <c r="C1152" s="1" t="inlineStr">
        <is>
          <t>25820500009</t>
        </is>
      </c>
      <c r="D1152" s="1" t="inlineStr">
        <is>
          <t>Huyønh Uyeån</t>
        </is>
      </c>
      <c r="E1152" s="1" t="inlineStr">
        <is>
          <t>My</t>
        </is>
      </c>
      <c r="F1152" s="1" t="inlineStr">
        <is>
          <t>08-Apr-07</t>
        </is>
      </c>
      <c r="G1152" s="1" t="inlineStr">
        <is>
          <t>LNH0925ND01</t>
        </is>
      </c>
      <c r="H1152" s="1" t="inlineStr">
        <is>
          <t>09AV Giao tiep QT (TS)</t>
        </is>
      </c>
      <c r="I1152" s="1" t="n">
        <v>7540000</v>
      </c>
      <c r="J1152" s="1" t="inlineStr">
        <is>
          <t>HUYNH QUAN MBVCB.10663262522.933467.HUYNH UYEN MY 25820500009 LNH0925ND01.CT tu 0 071001958492 HUYNH QUAN toi 0521043 748045 HUTECH tai ABBANK TAI Vietcombank</t>
        </is>
      </c>
    </row>
    <row r="1153">
      <c r="A1153" s="1" t="inlineStr">
        <is>
          <t>27-Aug-25</t>
        </is>
      </c>
      <c r="B1153" s="1" t="inlineStr">
        <is>
          <t>I65567</t>
        </is>
      </c>
      <c r="C1153" s="1" t="inlineStr">
        <is>
          <t>25809600056</t>
        </is>
      </c>
      <c r="D1153" s="1" t="inlineStr">
        <is>
          <t>Nguyeãn Minh</t>
        </is>
      </c>
      <c r="E1153" s="1" t="inlineStr">
        <is>
          <t>Quaân</t>
        </is>
      </c>
      <c r="F1153" s="1" t="inlineStr">
        <is>
          <t>08-Aug-07</t>
        </is>
      </c>
      <c r="G1153" s="1" t="inlineStr">
        <is>
          <t>LNH0925ND01</t>
        </is>
      </c>
      <c r="H1153" s="1" t="inlineStr">
        <is>
          <t>09AV Giao tiep QT (TS)</t>
        </is>
      </c>
      <c r="I1153" s="1" t="n">
        <v>4465000</v>
      </c>
      <c r="J1153" s="1" t="inlineStr">
        <is>
          <t>NGUYEN THI HUYEN ABBank 0521043748045 Nguyen Minh Qu an 25809600056 LNH0925ND01  0972424 112 TAI Agribank</t>
        </is>
      </c>
    </row>
    <row r="1154">
      <c r="A1154" s="1" t="inlineStr">
        <is>
          <t>04-Sep-25</t>
        </is>
      </c>
      <c r="B1154" s="1" t="inlineStr">
        <is>
          <t>I65568</t>
        </is>
      </c>
      <c r="C1154" s="1" t="inlineStr">
        <is>
          <t>25807000040</t>
        </is>
      </c>
      <c r="D1154" s="1" t="inlineStr">
        <is>
          <t>Huyønh Trí</t>
        </is>
      </c>
      <c r="E1154" s="1" t="inlineStr">
        <is>
          <t>Thònh</t>
        </is>
      </c>
      <c r="F1154" s="1" t="inlineStr">
        <is>
          <t>29-Apr-07</t>
        </is>
      </c>
      <c r="G1154" s="1" t="inlineStr">
        <is>
          <t>LNH0925ND01</t>
        </is>
      </c>
      <c r="H1154" s="1" t="inlineStr">
        <is>
          <t>09AV Giao tiep QT (TS)</t>
        </is>
      </c>
      <c r="I1154" s="1" t="n">
        <v>3207500</v>
      </c>
      <c r="J1154" s="1" t="inlineStr">
        <is>
          <t>MBBANK IBFT Huynh Tri Thinh  mssv25807000040 sd t 0985713931 LNH0925ND01 TAI IBT-MB                   HANOI</t>
        </is>
      </c>
    </row>
    <row r="1155">
      <c r="A1155" s="1" t="inlineStr">
        <is>
          <t>25-Aug-25</t>
        </is>
      </c>
      <c r="B1155" s="1" t="inlineStr">
        <is>
          <t>I65569</t>
        </is>
      </c>
      <c r="C1155" s="1" t="inlineStr">
        <is>
          <t>25802600140</t>
        </is>
      </c>
      <c r="D1155" s="1" t="inlineStr">
        <is>
          <t>Traàn Löu Truùc</t>
        </is>
      </c>
      <c r="E1155" s="1" t="inlineStr">
        <is>
          <t>Vy</t>
        </is>
      </c>
      <c r="F1155" s="1" t="inlineStr">
        <is>
          <t>21-May-07</t>
        </is>
      </c>
      <c r="G1155" s="1" t="inlineStr">
        <is>
          <t>LNH0925ND01</t>
        </is>
      </c>
      <c r="H1155" s="1" t="inlineStr">
        <is>
          <t>09AV Giao tiep QT (TS)</t>
        </is>
      </c>
      <c r="I1155" s="1" t="n">
        <v>500000</v>
      </c>
      <c r="J1155" s="1" t="inlineStr">
        <is>
          <t>LUU THI THANH TRUC tran luu truc vy 25802600140 LNH092 5ND01 0906980398 TAI IBT BIDV                 HANOI</t>
        </is>
      </c>
    </row>
    <row r="1156">
      <c r="A1156" s="1" t="inlineStr">
        <is>
          <t>25-Aug-25</t>
        </is>
      </c>
      <c r="B1156" s="1" t="inlineStr">
        <is>
          <t>I65570</t>
        </is>
      </c>
      <c r="C1156" s="1" t="inlineStr">
        <is>
          <t>25802300187</t>
        </is>
      </c>
      <c r="D1156" s="1" t="inlineStr">
        <is>
          <t>Voõ Thaønh Long</t>
        </is>
      </c>
      <c r="E1156" s="1" t="inlineStr">
        <is>
          <t>Nhöït</t>
        </is>
      </c>
      <c r="F1156" s="1" t="inlineStr">
        <is>
          <t>30-Sep-07</t>
        </is>
      </c>
      <c r="G1156" s="1" t="inlineStr">
        <is>
          <t>LNH0925ND01</t>
        </is>
      </c>
      <c r="H1156" s="1" t="inlineStr">
        <is>
          <t>09AV Giao tiep QT (TS)</t>
        </is>
      </c>
      <c r="I1156" s="1" t="n">
        <v>4207500</v>
      </c>
      <c r="J1156" s="1" t="inlineStr">
        <is>
          <t>VO THANH LONG NHUT QR - VO THANH LONG NHUT chuyen tien TAI VietinBank</t>
        </is>
      </c>
    </row>
    <row r="1157">
      <c r="A1157" s="1" t="inlineStr">
        <is>
          <t>27-Aug-25</t>
        </is>
      </c>
      <c r="B1157" s="1" t="inlineStr">
        <is>
          <t>I65571</t>
        </is>
      </c>
      <c r="C1157" s="1" t="inlineStr">
        <is>
          <t>25802800301</t>
        </is>
      </c>
      <c r="D1157" s="1" t="inlineStr">
        <is>
          <t>Traàn Thaûo</t>
        </is>
      </c>
      <c r="E1157" s="1" t="inlineStr">
        <is>
          <t>Vy</t>
        </is>
      </c>
      <c r="F1157" s="1" t="inlineStr">
        <is>
          <t>07-Feb-07</t>
        </is>
      </c>
      <c r="G1157" s="1" t="inlineStr">
        <is>
          <t>LNH0925ND01</t>
        </is>
      </c>
      <c r="H1157" s="1" t="inlineStr">
        <is>
          <t>09AV Giao tiep QT (TS)</t>
        </is>
      </c>
      <c r="I1157" s="1" t="n">
        <v>4207500</v>
      </c>
      <c r="J1157" s="1" t="inlineStr">
        <is>
          <t>NGUYEN TRUNG NGHIA TRAN THAO VY  25802800301 LNH0925ND 01  0829959598 TAI VietinBank</t>
        </is>
      </c>
    </row>
    <row r="1158">
      <c r="A1158" s="1" t="inlineStr">
        <is>
          <t>29-Aug-25</t>
        </is>
      </c>
      <c r="B1158" s="1" t="inlineStr">
        <is>
          <t>I65572</t>
        </is>
      </c>
      <c r="C1158" s="1" t="inlineStr">
        <is>
          <t>25802800084</t>
        </is>
      </c>
      <c r="D1158" s="1" t="inlineStr">
        <is>
          <t>Voõ</t>
        </is>
      </c>
      <c r="E1158" s="1" t="inlineStr">
        <is>
          <t>Huøng</t>
        </is>
      </c>
      <c r="F1158" s="1" t="inlineStr">
        <is>
          <t>11-Oct-07</t>
        </is>
      </c>
      <c r="G1158" s="1" t="inlineStr">
        <is>
          <t>LNH0925ND01</t>
        </is>
      </c>
      <c r="H1158" s="1" t="inlineStr">
        <is>
          <t>09AV Giao tiep QT (TS)</t>
        </is>
      </c>
      <c r="I1158" s="1" t="n">
        <v>3207500</v>
      </c>
      <c r="J1158" s="1" t="inlineStr">
        <is>
          <t>NGUYEN TRUNG NGHIA VO HUNG  25802800084  LNH0925ND01 0707481110 TAI VietinBank</t>
        </is>
      </c>
    </row>
    <row r="1159">
      <c r="A1159" s="1" t="inlineStr">
        <is>
          <t>30-Aug-25</t>
        </is>
      </c>
      <c r="B1159" s="1" t="inlineStr">
        <is>
          <t>I65573</t>
        </is>
      </c>
      <c r="C1159" s="1" t="inlineStr">
        <is>
          <t>25802600219</t>
        </is>
      </c>
      <c r="D1159" s="1" t="inlineStr">
        <is>
          <t>Ñoã Thò Tuyeát</t>
        </is>
      </c>
      <c r="E1159" s="1" t="inlineStr">
        <is>
          <t>Mai</t>
        </is>
      </c>
      <c r="F1159" s="1" t="inlineStr">
        <is>
          <t>18-Sep-07</t>
        </is>
      </c>
      <c r="G1159" s="1" t="inlineStr">
        <is>
          <t>LNH0925ND01</t>
        </is>
      </c>
      <c r="H1159" s="1" t="inlineStr">
        <is>
          <t>09AV Giao tiep QT (TS)</t>
        </is>
      </c>
      <c r="I1159" s="1" t="n">
        <v>525000</v>
      </c>
      <c r="J1159" s="1" t="inlineStr">
        <is>
          <t>DO TIEN THANH DAT MBVCB.10731697297.996182.DO THI TUY ET MAI 2502600071 LNH0925ND01 08488 44669.CT tu 0071001107092 DO TIEN T HANH DAT toi 0521043748045 HUTECH tai ABBANK TAI Vietcombank</t>
        </is>
      </c>
    </row>
    <row r="1160">
      <c r="A1160" s="1" t="inlineStr">
        <is>
          <t>04-Sep-25</t>
        </is>
      </c>
      <c r="B1160" s="1" t="inlineStr">
        <is>
          <t>I65574</t>
        </is>
      </c>
      <c r="C1160" s="1" t="inlineStr">
        <is>
          <t>25803800080</t>
        </is>
      </c>
      <c r="D1160" s="1" t="inlineStr">
        <is>
          <t>AÂu Vaên</t>
        </is>
      </c>
      <c r="E1160" s="1" t="inlineStr">
        <is>
          <t>Duy</t>
        </is>
      </c>
      <c r="F1160" s="1" t="inlineStr">
        <is>
          <t>14-Jun-07</t>
        </is>
      </c>
      <c r="G1160" s="1" t="inlineStr">
        <is>
          <t>LNH0925ND01</t>
        </is>
      </c>
      <c r="H1160" s="1" t="inlineStr">
        <is>
          <t>09AV Giao tiep QT (TS)</t>
        </is>
      </c>
      <c r="I1160" s="1" t="n">
        <v>3207500</v>
      </c>
      <c r="J1160" s="1" t="inlineStr">
        <is>
          <t>NGUYEN TRUNG NGHIA AU VAN DUY  25803800080  LNH0925ND0 1  0368178619 TAI VietinBank</t>
        </is>
      </c>
    </row>
    <row r="1161">
      <c r="A1161" s="1" t="inlineStr">
        <is>
          <t>10-Sep-25</t>
        </is>
      </c>
      <c r="B1161" s="1" t="inlineStr">
        <is>
          <t>I65575</t>
        </is>
      </c>
      <c r="C1161" s="1" t="inlineStr">
        <is>
          <t>25808200214</t>
        </is>
      </c>
      <c r="D1161" s="1" t="inlineStr">
        <is>
          <t>Ñoã Thanh Quang</t>
        </is>
      </c>
      <c r="E1161" s="1" t="inlineStr">
        <is>
          <t>Trieát</t>
        </is>
      </c>
      <c r="F1161" s="1" t="inlineStr">
        <is>
          <t>12-May-07</t>
        </is>
      </c>
      <c r="G1161" s="1" t="inlineStr">
        <is>
          <t>LNH0925ND01</t>
        </is>
      </c>
      <c r="H1161" s="1" t="inlineStr">
        <is>
          <t>09AV Giao tiep QT (TS)</t>
        </is>
      </c>
      <c r="I1161" s="1" t="n">
        <v>2103750</v>
      </c>
      <c r="J1161" s="1" t="inlineStr">
        <is>
          <t>MBBANK IBFT Do Thanh Quang Triet mssv 258082002 14 LNH0925ND01 sdt 0327915749 TAI IBT-MB                   HANOI</t>
        </is>
      </c>
    </row>
    <row r="1162">
      <c r="A1162" s="1" t="inlineStr">
        <is>
          <t>24-Sep-25</t>
        </is>
      </c>
      <c r="B1162" s="1" t="inlineStr">
        <is>
          <t>I65920</t>
        </is>
      </c>
      <c r="C1162" s="1" t="inlineStr">
        <is>
          <t>25808200090</t>
        </is>
      </c>
      <c r="D1162" s="1" t="inlineStr">
        <is>
          <t>Phan Tuaán</t>
        </is>
      </c>
      <c r="E1162" s="1" t="inlineStr">
        <is>
          <t>Nghóa</t>
        </is>
      </c>
      <c r="F1162" s="1" t="inlineStr">
        <is>
          <t>02-Dec-07</t>
        </is>
      </c>
      <c r="G1162" s="1" t="inlineStr">
        <is>
          <t>LNH0925ND01</t>
        </is>
      </c>
      <c r="H1162" s="1" t="inlineStr">
        <is>
          <t>09AV Giao tiep QT (TS)</t>
        </is>
      </c>
      <c r="I1162" s="1" t="n">
        <v>3465000</v>
      </c>
      <c r="J1162" s="1" t="inlineStr">
        <is>
          <t>PHAN TUAN NGHIA PHAN TUAN NGHIA MSSV 25808200090 MC T LNH0925ND01 SDT 0347274716 TAI IBT BIDV                 HANOI</t>
        </is>
      </c>
    </row>
    <row r="1163">
      <c r="A1163" s="1" t="inlineStr">
        <is>
          <t>24-Sep-25</t>
        </is>
      </c>
      <c r="B1163" s="1" t="inlineStr">
        <is>
          <t>I65922</t>
        </is>
      </c>
      <c r="C1163" s="1" t="inlineStr">
        <is>
          <t>25808200104</t>
        </is>
      </c>
      <c r="D1163" s="1" t="inlineStr">
        <is>
          <t>Toân Thaát Döông</t>
        </is>
      </c>
      <c r="E1163" s="1" t="inlineStr">
        <is>
          <t>Quang</t>
        </is>
      </c>
      <c r="F1163" s="1" t="inlineStr">
        <is>
          <t>21-Feb-07</t>
        </is>
      </c>
      <c r="G1163" s="1" t="inlineStr">
        <is>
          <t>LNH0925ND01</t>
        </is>
      </c>
      <c r="H1163" s="1" t="inlineStr">
        <is>
          <t>09AV Giao tiep QT (TS)</t>
        </is>
      </c>
      <c r="I1163" s="1" t="n">
        <v>7415000</v>
      </c>
      <c r="J1163" s="1" t="inlineStr">
        <is>
          <t>NGUYEN THI KIM CHAU MBVCB.11038390707.459119.TonThatDuo ngQuang 25808200104 ND01 0349577261 .CT tu 0161001600997 NGUYEN THI KIM CHAU toi 0521043748045 HUTECH taiABBANK TAI Vietcombank</t>
        </is>
      </c>
    </row>
    <row r="1164">
      <c r="A1164" s="1" t="inlineStr">
        <is>
          <t>24-Sep-25</t>
        </is>
      </c>
      <c r="B1164" s="1" t="inlineStr">
        <is>
          <t>I65923</t>
        </is>
      </c>
      <c r="C1164" s="1" t="inlineStr">
        <is>
          <t>25820100031</t>
        </is>
      </c>
      <c r="D1164" s="1" t="inlineStr">
        <is>
          <t>Ñaëng Traàn Haûi</t>
        </is>
      </c>
      <c r="E1164" s="1" t="inlineStr">
        <is>
          <t>Nam</t>
        </is>
      </c>
      <c r="F1164" s="1" t="inlineStr">
        <is>
          <t>08-Nov-07</t>
        </is>
      </c>
      <c r="G1164" s="1" t="inlineStr">
        <is>
          <t>LNH0925ND01</t>
        </is>
      </c>
      <c r="H1164" s="1" t="inlineStr">
        <is>
          <t>09AV Giao tiep QT (TS)</t>
        </is>
      </c>
      <c r="I1164" s="1" t="n">
        <v>7415000</v>
      </c>
      <c r="J1164" s="1" t="inlineStr">
        <is>
          <t>TRAN THI THANH MAI Dang Tran Hai Nam 25820100031 LNH09 25ND01 0707996391 TAI VietinBank</t>
        </is>
      </c>
    </row>
    <row r="1165">
      <c r="A1165" s="1" t="inlineStr">
        <is>
          <t>28-Sep-25</t>
        </is>
      </c>
      <c r="B1165" s="1" t="inlineStr">
        <is>
          <t>I65930</t>
        </is>
      </c>
      <c r="C1165" s="1" t="inlineStr">
        <is>
          <t>25801200041</t>
        </is>
      </c>
      <c r="D1165" s="1" t="inlineStr">
        <is>
          <t>Nguyeãn Thò Töôøng</t>
        </is>
      </c>
      <c r="E1165" s="1" t="inlineStr">
        <is>
          <t>Vy</t>
        </is>
      </c>
      <c r="F1165" s="1" t="inlineStr">
        <is>
          <t>25-Jan-07</t>
        </is>
      </c>
      <c r="G1165" s="1" t="inlineStr">
        <is>
          <t>LNH0925ND01</t>
        </is>
      </c>
      <c r="H1165" s="1" t="inlineStr">
        <is>
          <t>09AV Giao tiep QT (TS)</t>
        </is>
      </c>
      <c r="I1165" s="1" t="n">
        <v>7415000</v>
      </c>
      <c r="J1165" s="1" t="inlineStr">
        <is>
          <t>Chuyen EDU sang AB</t>
        </is>
      </c>
    </row>
    <row r="1166">
      <c r="A1166" s="1" t="inlineStr">
        <is>
          <t>28-Sep-25</t>
        </is>
      </c>
      <c r="B1166" s="1" t="inlineStr">
        <is>
          <t>I65931</t>
        </is>
      </c>
      <c r="C1166" s="1" t="inlineStr">
        <is>
          <t>25808200085</t>
        </is>
      </c>
      <c r="D1166" s="1" t="inlineStr">
        <is>
          <t>Nguyeãn Hoaøng</t>
        </is>
      </c>
      <c r="E1166" s="1" t="inlineStr">
        <is>
          <t>Minh</t>
        </is>
      </c>
      <c r="F1166" s="1" t="inlineStr">
        <is>
          <t>04-Jan-07</t>
        </is>
      </c>
      <c r="G1166" s="1" t="inlineStr">
        <is>
          <t>LNH0925ND01</t>
        </is>
      </c>
      <c r="H1166" s="1" t="inlineStr">
        <is>
          <t>09AV Giao tiep QT (TS)</t>
        </is>
      </c>
      <c r="I1166" s="1" t="n">
        <v>7415000</v>
      </c>
      <c r="J1166" s="1" t="inlineStr">
        <is>
          <t>Chuyen VC TS sang AB</t>
        </is>
      </c>
    </row>
    <row r="1167">
      <c r="A1167" s="1" t="inlineStr">
        <is>
          <t>25-Sep-25</t>
        </is>
      </c>
      <c r="B1167" s="1" t="inlineStr">
        <is>
          <t>I66282</t>
        </is>
      </c>
      <c r="C1167" s="1" t="inlineStr">
        <is>
          <t>25802800242</t>
        </is>
      </c>
      <c r="D1167" s="1" t="inlineStr">
        <is>
          <t>Phaïm Thuøy Phöông</t>
        </is>
      </c>
      <c r="E1167" s="1" t="inlineStr">
        <is>
          <t>Thaûo</t>
        </is>
      </c>
      <c r="F1167" s="1" t="inlineStr">
        <is>
          <t>19-Mar-06</t>
        </is>
      </c>
      <c r="G1167" s="1" t="inlineStr">
        <is>
          <t>LNH0925ND01</t>
        </is>
      </c>
      <c r="H1167" s="1" t="inlineStr">
        <is>
          <t>09AV Giao tiep QT (TS)</t>
        </is>
      </c>
      <c r="I1167" s="1" t="n">
        <v>3465000</v>
      </c>
      <c r="J1167" s="1" t="inlineStr">
        <is>
          <t>VND-TGTT-PHAM THUY PHUONG THAO Pham thuy phuong thao 25802800242 L NH0925ND01 0848066360 FT25268523177 193 TAI TECHCOMBANK            HANOI</t>
        </is>
      </c>
    </row>
    <row r="1168">
      <c r="A1168" s="1" t="inlineStr">
        <is>
          <t>25-Sep-25</t>
        </is>
      </c>
      <c r="B1168" s="1" t="inlineStr">
        <is>
          <t>I66283</t>
        </is>
      </c>
      <c r="C1168" s="1" t="inlineStr">
        <is>
          <t>25820300033</t>
        </is>
      </c>
      <c r="D1168" s="1" t="inlineStr">
        <is>
          <t>Phaïm Hoà Taân</t>
        </is>
      </c>
      <c r="E1168" s="1" t="inlineStr">
        <is>
          <t>Minh</t>
        </is>
      </c>
      <c r="F1168" s="1" t="inlineStr">
        <is>
          <t>26-Jan-07</t>
        </is>
      </c>
      <c r="G1168" s="1" t="inlineStr">
        <is>
          <t>LNH0925ND01</t>
        </is>
      </c>
      <c r="H1168" s="1" t="inlineStr">
        <is>
          <t>09AV Giao tiep QT (TS)</t>
        </is>
      </c>
      <c r="I1168" s="1" t="n">
        <v>3465000</v>
      </c>
      <c r="J1168" s="1" t="inlineStr">
        <is>
          <t>SACOMBANK IBFT PHAM HO TAN MINH 25820300033 L NH0925ND01 0343786563 TAI SACOMBANK              HCM</t>
        </is>
      </c>
    </row>
    <row r="1169">
      <c r="A1169" s="1" t="inlineStr">
        <is>
          <t>25-Sep-25</t>
        </is>
      </c>
      <c r="B1169" s="1" t="inlineStr">
        <is>
          <t>I66284</t>
        </is>
      </c>
      <c r="C1169" s="1" t="inlineStr">
        <is>
          <t>25801700103</t>
        </is>
      </c>
      <c r="D1169" s="1" t="inlineStr">
        <is>
          <t>Phaïm Trung</t>
        </is>
      </c>
      <c r="E1169" s="1" t="inlineStr">
        <is>
          <t>Nghóa</t>
        </is>
      </c>
      <c r="F1169" s="1" t="inlineStr">
        <is>
          <t>12-Jun-07</t>
        </is>
      </c>
      <c r="G1169" s="1" t="inlineStr">
        <is>
          <t>LNH0925ND01</t>
        </is>
      </c>
      <c r="H1169" s="1" t="inlineStr">
        <is>
          <t>09AV Giao tiep QT (TS)</t>
        </is>
      </c>
      <c r="I1169" s="1" t="n">
        <v>3500000</v>
      </c>
      <c r="J1169" s="1" t="inlineStr">
        <is>
          <t>PHAM TRUNG NGHIA MBVCB.11061939222.528660.PHAM TRUNG NGHIA   25801700103  MDT:LNH0925ND 01 SDT0866925830 Lop2 4 6 da coc tr uoc 1 trieu.CT tu 1042614033 PHAM TRUNG NGHIA toi 0521043748045 HUTECHtai ABBANK TAI Vietcombank</t>
        </is>
      </c>
    </row>
    <row r="1170">
      <c r="A1170" s="1" t="inlineStr">
        <is>
          <t>25-Sep-25</t>
        </is>
      </c>
      <c r="B1170" s="1" t="inlineStr">
        <is>
          <t>I66285</t>
        </is>
      </c>
      <c r="C1170" s="1" t="inlineStr">
        <is>
          <t>25802800347</t>
        </is>
      </c>
      <c r="D1170" s="1" t="inlineStr">
        <is>
          <t>Hoaøng Minh</t>
        </is>
      </c>
      <c r="E1170" s="1" t="inlineStr">
        <is>
          <t>Quaân</t>
        </is>
      </c>
      <c r="F1170" s="1" t="inlineStr">
        <is>
          <t>08-May-07</t>
        </is>
      </c>
      <c r="G1170" s="1" t="inlineStr">
        <is>
          <t>LNH0925ND01</t>
        </is>
      </c>
      <c r="H1170" s="1" t="inlineStr">
        <is>
          <t>09AV Giao tiep QT (TS)</t>
        </is>
      </c>
      <c r="I1170" s="1" t="n">
        <v>7415000</v>
      </c>
      <c r="J1170" s="1" t="inlineStr">
        <is>
          <t>MBBANK IBFT HOANG MINH QUAN 25802800347 LNH0925 LD01 0965127092 TAI IBT-MB                   HANOI</t>
        </is>
      </c>
    </row>
    <row r="1171">
      <c r="A1171" s="1" t="inlineStr">
        <is>
          <t>25-Sep-25</t>
        </is>
      </c>
      <c r="B1171" s="1" t="inlineStr">
        <is>
          <t>I66286</t>
        </is>
      </c>
      <c r="C1171" s="1" t="inlineStr">
        <is>
          <t>25801800183</t>
        </is>
      </c>
      <c r="D1171" s="1" t="inlineStr">
        <is>
          <t>Traàn Thò Minh</t>
        </is>
      </c>
      <c r="E1171" s="1" t="inlineStr">
        <is>
          <t>Tuù</t>
        </is>
      </c>
      <c r="F1171" s="1" t="inlineStr">
        <is>
          <t>14-Feb-07</t>
        </is>
      </c>
      <c r="G1171" s="1" t="inlineStr">
        <is>
          <t>LNH0925ND01</t>
        </is>
      </c>
      <c r="H1171" s="1" t="inlineStr">
        <is>
          <t>09AV Giao tiep QT (TS)</t>
        </is>
      </c>
      <c r="I1171" s="1" t="n">
        <v>7415000</v>
      </c>
      <c r="J1171" s="1" t="inlineStr">
        <is>
          <t>TRAN THI MINH TU TRAN THI MINH TU 25801800183 098560 9637 Chuyen tien TAI IBT BIDV                 HANOI</t>
        </is>
      </c>
    </row>
    <row r="1172">
      <c r="A1172" s="1" t="inlineStr">
        <is>
          <t>25-Sep-25</t>
        </is>
      </c>
      <c r="B1172" s="1" t="inlineStr">
        <is>
          <t>I66287</t>
        </is>
      </c>
      <c r="C1172" s="1" t="inlineStr">
        <is>
          <t>25808200093</t>
        </is>
      </c>
      <c r="D1172" s="1" t="inlineStr">
        <is>
          <t>Nguyeãn Khaéc</t>
        </is>
      </c>
      <c r="E1172" s="1" t="inlineStr">
        <is>
          <t>Nguyeân</t>
        </is>
      </c>
      <c r="F1172" s="1" t="inlineStr">
        <is>
          <t>06-Feb-07</t>
        </is>
      </c>
      <c r="G1172" s="1" t="inlineStr">
        <is>
          <t>LNH0925ND01</t>
        </is>
      </c>
      <c r="H1172" s="1" t="inlineStr">
        <is>
          <t>09AV Giao tiep QT (TS)</t>
        </is>
      </c>
      <c r="I1172" s="1" t="n">
        <v>7415000</v>
      </c>
      <c r="J1172" s="1" t="inlineStr">
        <is>
          <t>MBBANK IBFT Ho Ten  Nguyen Khac Nguyen mssv2580 8200093 chuyen tien hoc them tieng anh sdt 0344585759 TAI IBT-MB                   HANOI</t>
        </is>
      </c>
    </row>
    <row r="1173">
      <c r="A1173" s="1" t="inlineStr">
        <is>
          <t>25-Sep-25</t>
        </is>
      </c>
      <c r="B1173" s="1" t="inlineStr">
        <is>
          <t>I66288</t>
        </is>
      </c>
      <c r="C1173" s="1" t="inlineStr">
        <is>
          <t>25820700032</t>
        </is>
      </c>
      <c r="D1173" s="1" t="inlineStr">
        <is>
          <t>Nguyeãn Haø Linh</t>
        </is>
      </c>
      <c r="E1173" s="1" t="inlineStr">
        <is>
          <t>Phöông</t>
        </is>
      </c>
      <c r="F1173" s="1" t="inlineStr">
        <is>
          <t>07-Aug-07</t>
        </is>
      </c>
      <c r="G1173" s="1" t="inlineStr">
        <is>
          <t>LNH0925ND01</t>
        </is>
      </c>
      <c r="H1173" s="1" t="inlineStr">
        <is>
          <t>09AV Giao tiep QT (TS)</t>
        </is>
      </c>
      <c r="I1173" s="1" t="n">
        <v>7415000</v>
      </c>
      <c r="J1173" s="1" t="inlineStr">
        <is>
          <t>VU THUY THUY LINH MBVCB.11060490790.535442.nguyen ha linh phuong  MSV 25820700032.CT tu 0121000460268 VU THUY THUY LINH toi 0521043748045 HUTECH tai ABBANK TAI Vietcombank</t>
        </is>
      </c>
    </row>
    <row r="1174">
      <c r="A1174" s="1" t="inlineStr">
        <is>
          <t>25-Sep-25</t>
        </is>
      </c>
      <c r="B1174" s="1" t="inlineStr">
        <is>
          <t>I66289</t>
        </is>
      </c>
      <c r="C1174" s="1" t="inlineStr">
        <is>
          <t>25800400133</t>
        </is>
      </c>
      <c r="D1174" s="1" t="inlineStr">
        <is>
          <t>Tröông Taán</t>
        </is>
      </c>
      <c r="E1174" s="1" t="inlineStr">
        <is>
          <t>Sang</t>
        </is>
      </c>
      <c r="F1174" s="1" t="inlineStr">
        <is>
          <t>31-Mar-07</t>
        </is>
      </c>
      <c r="G1174" s="1" t="inlineStr">
        <is>
          <t>LNH0925ND01</t>
        </is>
      </c>
      <c r="H1174" s="1" t="inlineStr">
        <is>
          <t>09AV Giao tiep QT (TS)</t>
        </is>
      </c>
      <c r="I1174" s="1" t="n">
        <v>8415000</v>
      </c>
      <c r="J1174" s="1" t="inlineStr">
        <is>
          <t>BUI THI THANH TU QR - Truong Tan Sang mssv 258004001 33 LNH0925ND01 sdt 0798736029 TAI VietinBank</t>
        </is>
      </c>
    </row>
    <row r="1175">
      <c r="A1175" s="1" t="inlineStr">
        <is>
          <t>25-Sep-25</t>
        </is>
      </c>
      <c r="B1175" s="1" t="inlineStr">
        <is>
          <t>I66290</t>
        </is>
      </c>
      <c r="C1175" s="1" t="inlineStr">
        <is>
          <t>25801800005</t>
        </is>
      </c>
      <c r="D1175" s="1" t="inlineStr">
        <is>
          <t>Phaïm Myõ Lan</t>
        </is>
      </c>
      <c r="E1175" s="1" t="inlineStr">
        <is>
          <t>Anh</t>
        </is>
      </c>
      <c r="F1175" s="1" t="inlineStr">
        <is>
          <t>30-Dec-07</t>
        </is>
      </c>
      <c r="G1175" s="1" t="inlineStr">
        <is>
          <t>LNH0925ND01</t>
        </is>
      </c>
      <c r="H1175" s="1" t="inlineStr">
        <is>
          <t>09AV Giao tiep QT (TS)</t>
        </is>
      </c>
      <c r="I1175" s="1" t="n">
        <v>8415000</v>
      </c>
      <c r="J1175" s="1" t="inlineStr">
        <is>
          <t>PHAM NHAT LAN PHAM NHAT LAN Chuyen tien Pham My L an Anh MSSV 25801800005 LNH0925ND01 0397865620 TAI IBT BIDV                 HANOI</t>
        </is>
      </c>
    </row>
    <row r="1176">
      <c r="A1176" s="1" t="inlineStr">
        <is>
          <t>26-Sep-25</t>
        </is>
      </c>
      <c r="B1176" s="1" t="inlineStr">
        <is>
          <t>I66720</t>
        </is>
      </c>
      <c r="C1176" s="1" t="inlineStr">
        <is>
          <t>25801200024</t>
        </is>
      </c>
      <c r="D1176" s="1" t="inlineStr">
        <is>
          <t>Leâ Thaùi</t>
        </is>
      </c>
      <c r="E1176" s="1" t="inlineStr">
        <is>
          <t>Nguyeân</t>
        </is>
      </c>
      <c r="F1176" s="1" t="inlineStr">
        <is>
          <t>02-Jan-07</t>
        </is>
      </c>
      <c r="G1176" s="1" t="inlineStr">
        <is>
          <t>LNH0925ND01</t>
        </is>
      </c>
      <c r="H1176" s="1" t="inlineStr">
        <is>
          <t>09AV Giao tiep QT (TS)</t>
        </is>
      </c>
      <c r="I1176" s="1" t="n">
        <v>1100000</v>
      </c>
      <c r="J1176" s="1" t="inlineStr">
        <is>
          <t>MBBANK IBFT Le Thai NguyenMSSV25801200024LNH092 5ND010799921571 TAI IBT-MB                   HANOI</t>
        </is>
      </c>
    </row>
    <row r="1177">
      <c r="A1177" s="1" t="inlineStr">
        <is>
          <t>26-Sep-25</t>
        </is>
      </c>
      <c r="B1177" s="1" t="inlineStr">
        <is>
          <t>I66721</t>
        </is>
      </c>
      <c r="C1177" s="1" t="inlineStr">
        <is>
          <t>25808200141</t>
        </is>
      </c>
      <c r="D1177" s="1" t="inlineStr">
        <is>
          <t>Nguyeãn Thaùi</t>
        </is>
      </c>
      <c r="E1177" s="1" t="inlineStr">
        <is>
          <t>Tuaán</t>
        </is>
      </c>
      <c r="F1177" s="1" t="inlineStr">
        <is>
          <t>27-Jan-07</t>
        </is>
      </c>
      <c r="G1177" s="1" t="inlineStr">
        <is>
          <t>LNH0925ND01</t>
        </is>
      </c>
      <c r="H1177" s="1" t="inlineStr">
        <is>
          <t>09AV Giao tiep QT (TS)</t>
        </is>
      </c>
      <c r="I1177" s="1" t="n">
        <v>1100000</v>
      </c>
      <c r="J1177" s="1" t="inlineStr">
        <is>
          <t>BUI THI BICH THUAN MBVCB.11073039744.069003.NGUYEN THA I TUAN - 25808200141- LNH0925ND01 - 0834796578.CT tu 0081000336128 BUI THI BICH THUAN toi 0521043748045 HUTECH tai ABBANK TAI Vietcombank</t>
        </is>
      </c>
    </row>
    <row r="1178">
      <c r="A1178" s="1" t="inlineStr">
        <is>
          <t>26-Sep-25</t>
        </is>
      </c>
      <c r="B1178" s="1" t="inlineStr">
        <is>
          <t>I66735</t>
        </is>
      </c>
      <c r="C1178" s="1" t="inlineStr">
        <is>
          <t>25802600042</t>
        </is>
      </c>
      <c r="D1178" s="1" t="inlineStr">
        <is>
          <t>Chaâu Ngoïc</t>
        </is>
      </c>
      <c r="E1178" s="1" t="inlineStr">
        <is>
          <t>Haân</t>
        </is>
      </c>
      <c r="F1178" s="1" t="inlineStr">
        <is>
          <t>01-Aug-07</t>
        </is>
      </c>
      <c r="G1178" s="1" t="inlineStr">
        <is>
          <t>LNH0925ND01</t>
        </is>
      </c>
      <c r="H1178" s="1" t="inlineStr">
        <is>
          <t>09AV Giao tiep QT (TS)</t>
        </is>
      </c>
      <c r="I1178" s="1" t="n">
        <v>3415000</v>
      </c>
      <c r="J1178" s="1" t="inlineStr">
        <is>
          <t>CHAU NGOC HAN MBVCB.11070431866.272155.Chau Ngoc Han  25802600042  LNH0925ND01  0939 400074.CT tu 1040962120 CHAU NGOC H AN toi 0521043748045 HUTECH tai ABBANK TAI Vietcombank</t>
        </is>
      </c>
    </row>
    <row r="1179">
      <c r="A1179" s="1" t="inlineStr">
        <is>
          <t>26-Sep-25</t>
        </is>
      </c>
      <c r="B1179" s="1" t="inlineStr">
        <is>
          <t>I66736</t>
        </is>
      </c>
      <c r="C1179" s="1" t="inlineStr">
        <is>
          <t>25806100240</t>
        </is>
      </c>
      <c r="D1179" s="1" t="inlineStr">
        <is>
          <t>Buøi Thò Nguyeät</t>
        </is>
      </c>
      <c r="E1179" s="1" t="inlineStr">
        <is>
          <t>Haèng</t>
        </is>
      </c>
      <c r="F1179" s="1" t="inlineStr">
        <is>
          <t>29-Oct-07</t>
        </is>
      </c>
      <c r="G1179" s="1" t="inlineStr">
        <is>
          <t>LNH0925ND01</t>
        </is>
      </c>
      <c r="H1179" s="1" t="inlineStr">
        <is>
          <t>09AV Giao tiep QT (TS)</t>
        </is>
      </c>
      <c r="I1179" s="1" t="n">
        <v>3465000</v>
      </c>
      <c r="J1179" s="1" t="inlineStr">
        <is>
          <t>BUI THI NGUYET HANG MBVCB.11074394654.996888.BUI THI NG UYET HANG 25806100240 LNH092NP01 08 39244679.CT tu 1839244679 BUI THI N GUYET HANG toi 0521043748045 HUTECHtai ABBANK TAI Vietcombank</t>
        </is>
      </c>
    </row>
    <row r="1180">
      <c r="A1180" s="1" t="inlineStr">
        <is>
          <t>26-Sep-25</t>
        </is>
      </c>
      <c r="B1180" s="1" t="inlineStr">
        <is>
          <t>I66737</t>
        </is>
      </c>
      <c r="C1180" s="1" t="inlineStr">
        <is>
          <t>25805900035</t>
        </is>
      </c>
      <c r="D1180" s="1" t="inlineStr">
        <is>
          <t>Chu Laäp</t>
        </is>
      </c>
      <c r="E1180" s="1" t="inlineStr">
        <is>
          <t>Quoác</t>
        </is>
      </c>
      <c r="F1180" s="1" t="inlineStr">
        <is>
          <t>23-Dec-07</t>
        </is>
      </c>
      <c r="G1180" s="1" t="inlineStr">
        <is>
          <t>LNH0925ND01</t>
        </is>
      </c>
      <c r="H1180" s="1" t="inlineStr">
        <is>
          <t>09AV Giao tiep QT (TS)</t>
        </is>
      </c>
      <c r="I1180" s="1" t="n">
        <v>3465000</v>
      </c>
      <c r="J1180" s="1" t="inlineStr">
        <is>
          <t>LE THI NGOC YEN CHU LAP QUOC 25805900035 LNH0925ND0 1 FT25270500242126 TAI TECHCOMBANK            HANOI</t>
        </is>
      </c>
    </row>
    <row r="1181">
      <c r="A1181" s="1" t="inlineStr">
        <is>
          <t>26-Sep-25</t>
        </is>
      </c>
      <c r="B1181" s="1" t="inlineStr">
        <is>
          <t>I66738</t>
        </is>
      </c>
      <c r="C1181" s="1" t="inlineStr">
        <is>
          <t>25802100030</t>
        </is>
      </c>
      <c r="D1181" s="1" t="inlineStr">
        <is>
          <t>Chaâu Leâ Thuaän</t>
        </is>
      </c>
      <c r="E1181" s="1" t="inlineStr">
        <is>
          <t>Phaùt</t>
        </is>
      </c>
      <c r="F1181" s="1" t="inlineStr">
        <is>
          <t>03-Apr-07</t>
        </is>
      </c>
      <c r="G1181" s="1" t="inlineStr">
        <is>
          <t>LNH0925ND01</t>
        </is>
      </c>
      <c r="H1181" s="1" t="inlineStr">
        <is>
          <t>09AV Giao tiep QT (TS)</t>
        </is>
      </c>
      <c r="I1181" s="1" t="n">
        <v>7150000</v>
      </c>
      <c r="J1181" s="1" t="inlineStr">
        <is>
          <t>CHAU LE THUAN PHAT ABBank 0521043748045 CHAU LE THUAN PHAT 25802100030 LNH0925ND01 076805 7804 TAI Agribank</t>
        </is>
      </c>
    </row>
    <row r="1182">
      <c r="A1182" s="1" t="inlineStr">
        <is>
          <t>26-Sep-25</t>
        </is>
      </c>
      <c r="B1182" s="1" t="inlineStr">
        <is>
          <t>I66739</t>
        </is>
      </c>
      <c r="C1182" s="1" t="inlineStr">
        <is>
          <t>25802800019</t>
        </is>
      </c>
      <c r="D1182" s="1" t="inlineStr">
        <is>
          <t>Ninh Gia</t>
        </is>
      </c>
      <c r="E1182" s="1" t="inlineStr">
        <is>
          <t>Baûo</t>
        </is>
      </c>
      <c r="F1182" s="1" t="inlineStr">
        <is>
          <t>15-Oct-07</t>
        </is>
      </c>
      <c r="G1182" s="1" t="inlineStr">
        <is>
          <t>LNH0925ND01</t>
        </is>
      </c>
      <c r="H1182" s="1" t="inlineStr">
        <is>
          <t>09AV Giao tiep QT (TS)</t>
        </is>
      </c>
      <c r="I1182" s="1" t="n">
        <v>6540000</v>
      </c>
      <c r="J1182" s="1" t="inlineStr">
        <is>
          <t>MBBANK IBFT Ninh Gia Bao 25802800019 LNH0925ND0 1 0962212389 TAI IBT-MB                   HANOI</t>
        </is>
      </c>
    </row>
    <row r="1183">
      <c r="A1183" s="1" t="inlineStr">
        <is>
          <t>26-Sep-25</t>
        </is>
      </c>
      <c r="B1183" s="1" t="inlineStr">
        <is>
          <t>I66740</t>
        </is>
      </c>
      <c r="C1183" s="1" t="inlineStr">
        <is>
          <t>25802700134</t>
        </is>
      </c>
      <c r="D1183" s="1" t="inlineStr">
        <is>
          <t>Phan Baûo</t>
        </is>
      </c>
      <c r="E1183" s="1" t="inlineStr">
        <is>
          <t>Luaân</t>
        </is>
      </c>
      <c r="F1183" s="1" t="inlineStr">
        <is>
          <t>24-Sep-07</t>
        </is>
      </c>
      <c r="G1183" s="1" t="inlineStr">
        <is>
          <t>LNH0925ND01</t>
        </is>
      </c>
      <c r="H1183" s="1" t="inlineStr">
        <is>
          <t>09AV Giao tiep QT (TS)</t>
        </is>
      </c>
      <c r="I1183" s="1" t="n">
        <v>7415000</v>
      </c>
      <c r="J1183" s="1" t="inlineStr">
        <is>
          <t>DIEP THANH AN phan bao luan 25802700134 LNH0925ND 01 0707035979 TAI VietinBank</t>
        </is>
      </c>
    </row>
    <row r="1184">
      <c r="A1184" s="1" t="inlineStr">
        <is>
          <t>26-Sep-25</t>
        </is>
      </c>
      <c r="B1184" s="1" t="inlineStr">
        <is>
          <t>I66741</t>
        </is>
      </c>
      <c r="C1184" s="1" t="inlineStr">
        <is>
          <t>25802800095</t>
        </is>
      </c>
      <c r="D1184" s="1" t="inlineStr">
        <is>
          <t>Taï Quang</t>
        </is>
      </c>
      <c r="E1184" s="1" t="inlineStr">
        <is>
          <t>Huy</t>
        </is>
      </c>
      <c r="F1184" s="1" t="inlineStr">
        <is>
          <t>14-Nov-07</t>
        </is>
      </c>
      <c r="G1184" s="1" t="inlineStr">
        <is>
          <t>LNH0925ND01</t>
        </is>
      </c>
      <c r="H1184" s="1" t="inlineStr">
        <is>
          <t>09AV Giao tiep QT (TS)</t>
        </is>
      </c>
      <c r="I1184" s="1" t="n">
        <v>7415000</v>
      </c>
      <c r="J1184" s="1" t="inlineStr">
        <is>
          <t>VU THI YEN MBVCB.11065863090.208126.Ta Quang H uy 25802800095 0967573387.CT tu 018 1003552666 VU THI YEN toi 052104374 8045 HUTECH tai ABBANK TAI Vietcombank</t>
        </is>
      </c>
    </row>
    <row r="1185">
      <c r="A1185" s="1" t="inlineStr">
        <is>
          <t>26-Sep-25</t>
        </is>
      </c>
      <c r="B1185" s="1" t="inlineStr">
        <is>
          <t>I66742</t>
        </is>
      </c>
      <c r="C1185" s="1" t="inlineStr">
        <is>
          <t>25808900050</t>
        </is>
      </c>
      <c r="D1185" s="1" t="inlineStr">
        <is>
          <t>Traàn Naêng</t>
        </is>
      </c>
      <c r="E1185" s="1" t="inlineStr">
        <is>
          <t>Höng</t>
        </is>
      </c>
      <c r="F1185" s="1" t="inlineStr">
        <is>
          <t>16-Dec-07</t>
        </is>
      </c>
      <c r="G1185" s="1" t="inlineStr">
        <is>
          <t>LNH0925ND01</t>
        </is>
      </c>
      <c r="H1185" s="1" t="inlineStr">
        <is>
          <t>09AV Giao tiep QT (TS)</t>
        </is>
      </c>
      <c r="I1185" s="1" t="n">
        <v>7415000</v>
      </c>
      <c r="J1185" s="1" t="inlineStr">
        <is>
          <t>SACOMBANK IBFT TRAN NANG HUNG chuyen tien hoc anh van TAI SACOMBANK              HCM</t>
        </is>
      </c>
    </row>
    <row r="1186">
      <c r="A1186" s="1" t="inlineStr">
        <is>
          <t>26-Sep-25</t>
        </is>
      </c>
      <c r="B1186" s="1" t="inlineStr">
        <is>
          <t>I66743</t>
        </is>
      </c>
      <c r="C1186" s="1" t="inlineStr">
        <is>
          <t>25802800205</t>
        </is>
      </c>
      <c r="D1186" s="1" t="inlineStr">
        <is>
          <t>Phuøng Theá</t>
        </is>
      </c>
      <c r="E1186" s="1" t="inlineStr">
        <is>
          <t>Phong</t>
        </is>
      </c>
      <c r="F1186" s="1" t="inlineStr">
        <is>
          <t>24-Dec-07</t>
        </is>
      </c>
      <c r="G1186" s="1" t="inlineStr">
        <is>
          <t>LNH0925ND01</t>
        </is>
      </c>
      <c r="H1186" s="1" t="inlineStr">
        <is>
          <t>09AV Giao tiep QT (TS)</t>
        </is>
      </c>
      <c r="I1186" s="1" t="n">
        <v>7415000</v>
      </c>
      <c r="J1186" s="1" t="inlineStr">
        <is>
          <t>PHUNG THE PHONG MBVCB.11068016321.655763.PHUNG THE PHONG  25802800205  LNH0925ND01  03 68617087  2-4-6.CT tu 1040191638 PH UNG THE PHONG toi 0521043748045 HUTECH tai ABBANK TAI Vietcombank</t>
        </is>
      </c>
    </row>
    <row r="1187">
      <c r="A1187" s="1" t="inlineStr">
        <is>
          <t>26-Sep-25</t>
        </is>
      </c>
      <c r="B1187" s="1" t="inlineStr">
        <is>
          <t>I66744</t>
        </is>
      </c>
      <c r="C1187" s="1" t="inlineStr">
        <is>
          <t>25806000004</t>
        </is>
      </c>
      <c r="D1187" s="1" t="inlineStr">
        <is>
          <t>Huyønh Long</t>
        </is>
      </c>
      <c r="E1187" s="1" t="inlineStr">
        <is>
          <t>Chöông</t>
        </is>
      </c>
      <c r="F1187" s="1" t="inlineStr">
        <is>
          <t>28-Jun-07</t>
        </is>
      </c>
      <c r="G1187" s="1" t="inlineStr">
        <is>
          <t>LNH0925ND01</t>
        </is>
      </c>
      <c r="H1187" s="1" t="inlineStr">
        <is>
          <t>09AV Giao tiep QT (TS)</t>
        </is>
      </c>
      <c r="I1187" s="1" t="n">
        <v>7415000</v>
      </c>
      <c r="J1187" s="1" t="inlineStr">
        <is>
          <t>HUYNH LONG CHUONG ABBank 0521043748045 HUYNH LONG CHU ONG chuyen tien TAI Agribank</t>
        </is>
      </c>
    </row>
    <row r="1188">
      <c r="A1188" s="1" t="inlineStr">
        <is>
          <t>26-Sep-25</t>
        </is>
      </c>
      <c r="B1188" s="1" t="inlineStr">
        <is>
          <t>I66745</t>
        </is>
      </c>
      <c r="C1188" s="1" t="inlineStr">
        <is>
          <t>25805900012</t>
        </is>
      </c>
      <c r="D1188" s="1" t="inlineStr">
        <is>
          <t>Trònh Thò Dieäu</t>
        </is>
      </c>
      <c r="E1188" s="1" t="inlineStr">
        <is>
          <t>Haèng</t>
        </is>
      </c>
      <c r="F1188" s="1" t="inlineStr">
        <is>
          <t>20-Oct-07</t>
        </is>
      </c>
      <c r="G1188" s="1" t="inlineStr">
        <is>
          <t>LNH0925ND01</t>
        </is>
      </c>
      <c r="H1188" s="1" t="inlineStr">
        <is>
          <t>09AV Giao tiep QT (TS)</t>
        </is>
      </c>
      <c r="I1188" s="1" t="n">
        <v>7415000</v>
      </c>
      <c r="J1188" s="1" t="inlineStr">
        <is>
          <t>SACOMBANK IBFT TRINH THI DIEU HANG-2580590001 2-LNH0925ND01-0836161247 TAI SACOMBANK              HCM</t>
        </is>
      </c>
    </row>
    <row r="1189">
      <c r="A1189" s="1" t="inlineStr">
        <is>
          <t>26-Sep-25</t>
        </is>
      </c>
      <c r="B1189" s="1" t="inlineStr">
        <is>
          <t>I66746</t>
        </is>
      </c>
      <c r="C1189" s="1" t="inlineStr">
        <is>
          <t>25805800009</t>
        </is>
      </c>
      <c r="D1189" s="1" t="inlineStr">
        <is>
          <t>Vuõ Haûi</t>
        </is>
      </c>
      <c r="E1189" s="1" t="inlineStr">
        <is>
          <t>Haø</t>
        </is>
      </c>
      <c r="F1189" s="1" t="inlineStr">
        <is>
          <t>12-Nov-07</t>
        </is>
      </c>
      <c r="G1189" s="1" t="inlineStr">
        <is>
          <t>LNH0925ND01</t>
        </is>
      </c>
      <c r="H1189" s="1" t="inlineStr">
        <is>
          <t>09AV Giao tiep QT (TS)</t>
        </is>
      </c>
      <c r="I1189" s="1" t="n">
        <v>7415000</v>
      </c>
      <c r="J1189" s="1" t="inlineStr">
        <is>
          <t>DIEP THANH AN vu hai ha 25805800009 LNH092ND01 TAI VietinBank</t>
        </is>
      </c>
    </row>
    <row r="1190">
      <c r="A1190" s="1" t="inlineStr">
        <is>
          <t>26-Sep-25</t>
        </is>
      </c>
      <c r="B1190" s="1" t="inlineStr">
        <is>
          <t>I66747</t>
        </is>
      </c>
      <c r="C1190" s="1" t="inlineStr">
        <is>
          <t>25802600105</t>
        </is>
      </c>
      <c r="D1190" s="1" t="inlineStr">
        <is>
          <t>Vöu Thanh</t>
        </is>
      </c>
      <c r="E1190" s="1" t="inlineStr">
        <is>
          <t>Sôn</t>
        </is>
      </c>
      <c r="F1190" s="1" t="inlineStr">
        <is>
          <t>24-Sep-07</t>
        </is>
      </c>
      <c r="G1190" s="1" t="inlineStr">
        <is>
          <t>LNH0925ND01</t>
        </is>
      </c>
      <c r="H1190" s="1" t="inlineStr">
        <is>
          <t>09AV Giao tiep QT (TS)</t>
        </is>
      </c>
      <c r="I1190" s="1" t="n">
        <v>7415000</v>
      </c>
      <c r="J1190" s="1" t="inlineStr">
        <is>
          <t>MBBANK IBFT vuu thanh son 25802600105 LNH0925ND 01 0966952971 TAI IBT-MB                   HANOI</t>
        </is>
      </c>
    </row>
    <row r="1191">
      <c r="A1191" s="1" t="inlineStr">
        <is>
          <t>26-Sep-25</t>
        </is>
      </c>
      <c r="B1191" s="1" t="inlineStr">
        <is>
          <t>I66748</t>
        </is>
      </c>
      <c r="C1191" s="1" t="inlineStr">
        <is>
          <t>25802600171</t>
        </is>
      </c>
      <c r="D1191" s="1" t="inlineStr">
        <is>
          <t>Buøi Ngoïc Haûi</t>
        </is>
      </c>
      <c r="E1191" s="1" t="inlineStr">
        <is>
          <t>Linh</t>
        </is>
      </c>
      <c r="F1191" s="1" t="inlineStr">
        <is>
          <t>28-Nov-07</t>
        </is>
      </c>
      <c r="G1191" s="1" t="inlineStr">
        <is>
          <t>LNH0925ND01</t>
        </is>
      </c>
      <c r="H1191" s="1" t="inlineStr">
        <is>
          <t>09AV Giao tiep QT (TS)</t>
        </is>
      </c>
      <c r="I1191" s="1" t="n">
        <v>7415000</v>
      </c>
      <c r="J1191" s="1" t="inlineStr">
        <is>
          <t>VND-TGTT-NGUYEN NGOC KIM NGAN BUI NGOC HAI LINH 25802600171 LNH09 25ND01 0907008786 FT25269388442900 TAI TECHCOMBANK            HANOI</t>
        </is>
      </c>
    </row>
    <row r="1192">
      <c r="A1192" s="1" t="inlineStr">
        <is>
          <t>26-Sep-25</t>
        </is>
      </c>
      <c r="B1192" s="1" t="inlineStr">
        <is>
          <t>I66749</t>
        </is>
      </c>
      <c r="C1192" s="1" t="inlineStr">
        <is>
          <t>25800400245</t>
        </is>
      </c>
      <c r="D1192" s="1" t="inlineStr">
        <is>
          <t>Chaâu Anh</t>
        </is>
      </c>
      <c r="E1192" s="1" t="inlineStr">
        <is>
          <t>Kieät</t>
        </is>
      </c>
      <c r="F1192" s="1" t="inlineStr">
        <is>
          <t>05-Dec-07</t>
        </is>
      </c>
      <c r="G1192" s="1" t="inlineStr">
        <is>
          <t>LNH0925ND01</t>
        </is>
      </c>
      <c r="H1192" s="1" t="inlineStr">
        <is>
          <t>09AV Giao tiep QT (TS)</t>
        </is>
      </c>
      <c r="I1192" s="1" t="n">
        <v>7415000</v>
      </c>
      <c r="J1192" s="1" t="inlineStr">
        <is>
          <t>CHAU ANH KIET CHAU ANH KIET chuyen tien FT2526948 5309867 TAI TECHCOMBANK            HANOI</t>
        </is>
      </c>
    </row>
    <row r="1193">
      <c r="A1193" s="1" t="inlineStr">
        <is>
          <t>26-Sep-25</t>
        </is>
      </c>
      <c r="B1193" s="1" t="inlineStr">
        <is>
          <t>I66750</t>
        </is>
      </c>
      <c r="C1193" s="1" t="inlineStr">
        <is>
          <t>25800400052</t>
        </is>
      </c>
      <c r="D1193" s="1" t="inlineStr">
        <is>
          <t>Chaâu Gia</t>
        </is>
      </c>
      <c r="E1193" s="1" t="inlineStr">
        <is>
          <t>Huy</t>
        </is>
      </c>
      <c r="F1193" s="1" t="inlineStr">
        <is>
          <t>05-Dec-07</t>
        </is>
      </c>
      <c r="G1193" s="1" t="inlineStr">
        <is>
          <t>LNH0925ND01</t>
        </is>
      </c>
      <c r="H1193" s="1" t="inlineStr">
        <is>
          <t>09AV Giao tiep QT (TS)</t>
        </is>
      </c>
      <c r="I1193" s="1" t="n">
        <v>7415000</v>
      </c>
      <c r="J1193" s="1" t="inlineStr">
        <is>
          <t>CHAU GIA HUY CHAU GIA HUY mssv 25800400052 FT252 69046093785 TAI TECHCOMBANK            HANOI</t>
        </is>
      </c>
    </row>
    <row r="1194">
      <c r="A1194" s="1" t="inlineStr">
        <is>
          <t>26-Sep-25</t>
        </is>
      </c>
      <c r="B1194" s="1" t="inlineStr">
        <is>
          <t>I66755</t>
        </is>
      </c>
      <c r="C1194" s="1" t="inlineStr">
        <is>
          <t>25802100030</t>
        </is>
      </c>
      <c r="D1194" s="1" t="inlineStr">
        <is>
          <t>Chaâu Leâ Thuaän</t>
        </is>
      </c>
      <c r="E1194" s="1" t="inlineStr">
        <is>
          <t>Phaùt</t>
        </is>
      </c>
      <c r="F1194" s="1" t="inlineStr">
        <is>
          <t>03-Apr-07</t>
        </is>
      </c>
      <c r="G1194" s="1" t="inlineStr">
        <is>
          <t>LNH0925ND01</t>
        </is>
      </c>
      <c r="H1194" s="1" t="inlineStr">
        <is>
          <t>09AV Giao tiep QT (TS)</t>
        </is>
      </c>
      <c r="I1194" s="1" t="n">
        <v>265000</v>
      </c>
      <c r="J1194" s="1" t="inlineStr">
        <is>
          <t>CHAU LE THUAN PHAT ABBank 0521043748045 CHAU LE THUAN PHAT 25802100030 LNH0925ND01 076805 7804 TAI Agribank</t>
        </is>
      </c>
    </row>
    <row r="1195">
      <c r="A1195" s="1" t="inlineStr">
        <is>
          <t>27-Sep-25</t>
        </is>
      </c>
      <c r="B1195" s="1" t="inlineStr">
        <is>
          <t>I66976</t>
        </is>
      </c>
      <c r="C1195" s="1" t="inlineStr">
        <is>
          <t>25807800229</t>
        </is>
      </c>
      <c r="D1195" s="1" t="inlineStr">
        <is>
          <t>Phan Huynh Quoc</t>
        </is>
      </c>
      <c r="E1195" s="1" t="inlineStr">
        <is>
          <t>Thang</t>
        </is>
      </c>
      <c r="F1195" s="1" t="inlineStr">
        <is>
          <t xml:space="preserve">  -   -</t>
        </is>
      </c>
      <c r="G1195" s="1" t="inlineStr">
        <is>
          <t>LNH0925ND01</t>
        </is>
      </c>
      <c r="H1195" s="1" t="inlineStr">
        <is>
          <t>09AV Giao tiep QT (TS)</t>
        </is>
      </c>
      <c r="I1195" s="1" t="n">
        <v>1100000</v>
      </c>
      <c r="J1195" s="1" t="inlineStr">
        <is>
          <t>SACOMBANK IBFT phan huynh quoc Thang. LNH0925 NL01. sdt0974992768 TAI SACOMBANK              HCM</t>
        </is>
      </c>
    </row>
    <row r="1196">
      <c r="A1196" s="1" t="inlineStr">
        <is>
          <t>27-Sep-25</t>
        </is>
      </c>
      <c r="B1196" s="1" t="inlineStr">
        <is>
          <t>I66981</t>
        </is>
      </c>
      <c r="C1196" s="1" t="inlineStr">
        <is>
          <t>25807500153</t>
        </is>
      </c>
      <c r="D1196" s="1" t="inlineStr">
        <is>
          <t>Buøi Anh</t>
        </is>
      </c>
      <c r="E1196" s="1" t="inlineStr">
        <is>
          <t>Tuù</t>
        </is>
      </c>
      <c r="F1196" s="1" t="inlineStr">
        <is>
          <t>13-Jun-07</t>
        </is>
      </c>
      <c r="G1196" s="1" t="inlineStr">
        <is>
          <t>LNH0925ND01</t>
        </is>
      </c>
      <c r="H1196" s="1" t="inlineStr">
        <is>
          <t>09AV Giao tiep QT (TS)</t>
        </is>
      </c>
      <c r="I1196" s="1" t="n">
        <v>3465000</v>
      </c>
      <c r="J1196" s="1" t="inlineStr">
        <is>
          <t>SHBMB Bui Anh Tumssv25807500153LNH0925ND0 1sdt0907245819 TAI NganhangthuongmaicpSHB HaNoiVietNam</t>
        </is>
      </c>
    </row>
    <row r="1197">
      <c r="A1197" s="1" t="inlineStr">
        <is>
          <t>27-Sep-25</t>
        </is>
      </c>
      <c r="B1197" s="1" t="inlineStr">
        <is>
          <t>I66982</t>
        </is>
      </c>
      <c r="C1197" s="1" t="inlineStr">
        <is>
          <t>25800400012</t>
        </is>
      </c>
      <c r="D1197" s="1" t="inlineStr">
        <is>
          <t>Nguyeãn Gia</t>
        </is>
      </c>
      <c r="E1197" s="1" t="inlineStr">
        <is>
          <t>Baûo</t>
        </is>
      </c>
      <c r="F1197" s="1" t="inlineStr">
        <is>
          <t>12-Dec-07</t>
        </is>
      </c>
      <c r="G1197" s="1" t="inlineStr">
        <is>
          <t>LNH0925ND01</t>
        </is>
      </c>
      <c r="H1197" s="1" t="inlineStr">
        <is>
          <t>09AV Giao tiep QT (TS)</t>
        </is>
      </c>
      <c r="I1197" s="1" t="n">
        <v>3465000</v>
      </c>
      <c r="J1197" s="1" t="inlineStr">
        <is>
          <t>NGUYEN VAN HAI NGUYEN GIA BAO 25800400012  LNH0925 ND01  0355598193 TAI IBT BIDV                 HANOI</t>
        </is>
      </c>
    </row>
    <row r="1198">
      <c r="A1198" s="1" t="inlineStr">
        <is>
          <t>27-Sep-25</t>
        </is>
      </c>
      <c r="B1198" s="1" t="inlineStr">
        <is>
          <t>I66985</t>
        </is>
      </c>
      <c r="C1198" s="1" t="inlineStr">
        <is>
          <t>25809600068</t>
        </is>
      </c>
      <c r="D1198" s="1" t="inlineStr">
        <is>
          <t>Voõ Vieät</t>
        </is>
      </c>
      <c r="E1198" s="1" t="inlineStr">
        <is>
          <t>Trí</t>
        </is>
      </c>
      <c r="F1198" s="1" t="inlineStr">
        <is>
          <t>03-Jan-07</t>
        </is>
      </c>
      <c r="G1198" s="1" t="inlineStr">
        <is>
          <t>LNH0925ND01</t>
        </is>
      </c>
      <c r="H1198" s="1" t="inlineStr">
        <is>
          <t>09AV Giao tiep QT (TS)</t>
        </is>
      </c>
      <c r="I1198" s="1" t="n">
        <v>7000000</v>
      </c>
      <c r="J1198" s="1" t="inlineStr">
        <is>
          <t>VO VIET TRI Vo Viet Tri  Mssv  25809600068 Sdt 0788917345 TAI IBT TIENPHONGBANK      HANOI</t>
        </is>
      </c>
    </row>
    <row r="1199">
      <c r="A1199" s="1" t="inlineStr">
        <is>
          <t>27-Sep-25</t>
        </is>
      </c>
      <c r="B1199" s="1" t="inlineStr">
        <is>
          <t>I66986</t>
        </is>
      </c>
      <c r="C1199" s="1" t="inlineStr">
        <is>
          <t>25807500069</t>
        </is>
      </c>
      <c r="D1199" s="1" t="inlineStr">
        <is>
          <t>Lyù Hueä</t>
        </is>
      </c>
      <c r="E1199" s="1" t="inlineStr">
        <is>
          <t>Maãn</t>
        </is>
      </c>
      <c r="F1199" s="1" t="inlineStr">
        <is>
          <t>28-Jul-07</t>
        </is>
      </c>
      <c r="G1199" s="1" t="inlineStr">
        <is>
          <t>LNH0925ND01</t>
        </is>
      </c>
      <c r="H1199" s="1" t="inlineStr">
        <is>
          <t>09AV Giao tiep QT (TS)</t>
        </is>
      </c>
      <c r="I1199" s="1" t="n">
        <v>7415000</v>
      </c>
      <c r="J1199" s="1" t="inlineStr">
        <is>
          <t>LY HUE MAN MBVCB.11074864965.321527.LY HUE MAN 25807500069 LNH 0925ND01 079377481 8.CT tu 7793774818 LY HUE MAN toi 0 521043748045 HUTECH tai ABBANK TAI Vietcombank</t>
        </is>
      </c>
    </row>
    <row r="1200">
      <c r="A1200" s="1" t="inlineStr">
        <is>
          <t>27-Sep-25</t>
        </is>
      </c>
      <c r="B1200" s="1" t="inlineStr">
        <is>
          <t>I66987</t>
        </is>
      </c>
      <c r="C1200" s="1" t="inlineStr">
        <is>
          <t>25808200052</t>
        </is>
      </c>
      <c r="D1200" s="1" t="inlineStr">
        <is>
          <t>Nguyeãn Quang</t>
        </is>
      </c>
      <c r="E1200" s="1" t="inlineStr">
        <is>
          <t>Huy</t>
        </is>
      </c>
      <c r="F1200" s="1" t="inlineStr">
        <is>
          <t>29-Jan-07</t>
        </is>
      </c>
      <c r="G1200" s="1" t="inlineStr">
        <is>
          <t>LNH0925ND01</t>
        </is>
      </c>
      <c r="H1200" s="1" t="inlineStr">
        <is>
          <t>09AV Giao tiep QT (TS)</t>
        </is>
      </c>
      <c r="I1200" s="1" t="n">
        <v>7415000</v>
      </c>
      <c r="J1200" s="1" t="inlineStr">
        <is>
          <t>NGUYEN QUANG HUY MBVCB.11076192657.226446.Nguyen Qua ng Huy  25808200052  LNH0925ND01  0 973579291.CT tu 9973579291 NGUYEN Q UANG HUY toi 0521043748045 HUTECH tai ABBANK TAI Vietcombank</t>
        </is>
      </c>
    </row>
    <row r="1201">
      <c r="A1201" s="1" t="inlineStr">
        <is>
          <t>27-Sep-25</t>
        </is>
      </c>
      <c r="B1201" s="1" t="inlineStr">
        <is>
          <t>I66988</t>
        </is>
      </c>
      <c r="C1201" s="1" t="inlineStr">
        <is>
          <t>25808600121</t>
        </is>
      </c>
      <c r="D1201" s="1" t="inlineStr">
        <is>
          <t>Voõ Anh</t>
        </is>
      </c>
      <c r="E1201" s="1" t="inlineStr">
        <is>
          <t>Thö</t>
        </is>
      </c>
      <c r="F1201" s="1" t="inlineStr">
        <is>
          <t>03-Jul-07</t>
        </is>
      </c>
      <c r="G1201" s="1" t="inlineStr">
        <is>
          <t>LNH0925ND01</t>
        </is>
      </c>
      <c r="H1201" s="1" t="inlineStr">
        <is>
          <t>09AV Giao tiep QT (TS)</t>
        </is>
      </c>
      <c r="I1201" s="1" t="n">
        <v>7415000</v>
      </c>
      <c r="J1201" s="1" t="inlineStr">
        <is>
          <t>MBBANK IBFT VO ANH THU mssv  25808600121 LNH092 5ND01 SDT  0912500785 TAI IBT-MB                   HANOI</t>
        </is>
      </c>
    </row>
    <row r="1202">
      <c r="A1202" s="1" t="inlineStr">
        <is>
          <t>27-Sep-25</t>
        </is>
      </c>
      <c r="B1202" s="1" t="inlineStr">
        <is>
          <t>I66989</t>
        </is>
      </c>
      <c r="C1202" s="1" t="inlineStr">
        <is>
          <t>25820700070</t>
        </is>
      </c>
      <c r="D1202" s="1" t="inlineStr">
        <is>
          <t>Buøi Thò Kim</t>
        </is>
      </c>
      <c r="E1202" s="1" t="inlineStr">
        <is>
          <t>Ngaân</t>
        </is>
      </c>
      <c r="F1202" s="1" t="inlineStr">
        <is>
          <t>12-Oct-07</t>
        </is>
      </c>
      <c r="G1202" s="1" t="inlineStr">
        <is>
          <t>LNH0925ND01</t>
        </is>
      </c>
      <c r="H1202" s="1" t="inlineStr">
        <is>
          <t>09AV Giao tiep QT (TS)</t>
        </is>
      </c>
      <c r="I1202" s="1" t="n">
        <v>7415000</v>
      </c>
      <c r="J1202" s="1" t="inlineStr">
        <is>
          <t>MBBANK IBFT Bui Thi Kim Ngan 25820700070 LNH092 5ND01 0384595473 TAI IBT-MB                   HANOI</t>
        </is>
      </c>
    </row>
    <row r="1203">
      <c r="A1203" s="1" t="inlineStr">
        <is>
          <t>27-Sep-25</t>
        </is>
      </c>
      <c r="B1203" s="1" t="inlineStr">
        <is>
          <t>I66990</t>
        </is>
      </c>
      <c r="C1203" s="1" t="inlineStr">
        <is>
          <t>25800400058</t>
        </is>
      </c>
      <c r="D1203" s="1" t="inlineStr">
        <is>
          <t>Phan Ngoïc Gia</t>
        </is>
      </c>
      <c r="E1203" s="1" t="inlineStr">
        <is>
          <t>Huy</t>
        </is>
      </c>
      <c r="F1203" s="1" t="inlineStr">
        <is>
          <t>21-Sep-07</t>
        </is>
      </c>
      <c r="G1203" s="1" t="inlineStr">
        <is>
          <t>LNH0925ND01</t>
        </is>
      </c>
      <c r="H1203" s="1" t="inlineStr">
        <is>
          <t>09AV Giao tiep QT (TS)</t>
        </is>
      </c>
      <c r="I1203" s="1" t="n">
        <v>7415000</v>
      </c>
      <c r="J1203" s="1" t="inlineStr">
        <is>
          <t>PHAN NGOC GIA HUY Phan Ngoc Gia Huy  25800400058  LNH 0925ND01  0395303210 TAI HDBank                 Ebanking</t>
        </is>
      </c>
    </row>
    <row r="1204">
      <c r="A1204" s="1" t="inlineStr">
        <is>
          <t>27-Sep-25</t>
        </is>
      </c>
      <c r="B1204" s="1" t="inlineStr">
        <is>
          <t>I66991</t>
        </is>
      </c>
      <c r="C1204" s="1" t="inlineStr">
        <is>
          <t>25808900008</t>
        </is>
      </c>
      <c r="D1204" s="1" t="inlineStr">
        <is>
          <t>Leâ Ñoã Huøng</t>
        </is>
      </c>
      <c r="E1204" s="1" t="inlineStr">
        <is>
          <t>Anh</t>
        </is>
      </c>
      <c r="F1204" s="1" t="inlineStr">
        <is>
          <t>28-Dec-07</t>
        </is>
      </c>
      <c r="G1204" s="1" t="inlineStr">
        <is>
          <t>LNH0925ND01</t>
        </is>
      </c>
      <c r="H1204" s="1" t="inlineStr">
        <is>
          <t>09AV Giao tiep QT (TS)</t>
        </is>
      </c>
      <c r="I1204" s="1" t="n">
        <v>7415000</v>
      </c>
      <c r="J1204" s="1" t="inlineStr">
        <is>
          <t>DO THI HONG THAM Le Do Hung Anh  25808900008  LNH092 5ND01  0896370393 TAI IBT BIDV                 HANOI</t>
        </is>
      </c>
    </row>
    <row r="1205">
      <c r="A1205" s="1" t="inlineStr">
        <is>
          <t>27-Sep-25</t>
        </is>
      </c>
      <c r="B1205" s="1" t="inlineStr">
        <is>
          <t>I66992</t>
        </is>
      </c>
      <c r="C1205" s="1" t="inlineStr">
        <is>
          <t>25802800275</t>
        </is>
      </c>
      <c r="D1205" s="1" t="inlineStr">
        <is>
          <t>Traàn Ngoïc Baûo</t>
        </is>
      </c>
      <c r="E1205" s="1" t="inlineStr">
        <is>
          <t>Traân</t>
        </is>
      </c>
      <c r="F1205" s="1" t="inlineStr">
        <is>
          <t>11-Feb-07</t>
        </is>
      </c>
      <c r="G1205" s="1" t="inlineStr">
        <is>
          <t>LNH0925ND01</t>
        </is>
      </c>
      <c r="H1205" s="1" t="inlineStr">
        <is>
          <t>09AV Giao tiep QT (TS)</t>
        </is>
      </c>
      <c r="I1205" s="1" t="n">
        <v>7415000</v>
      </c>
      <c r="J1205" s="1" t="inlineStr">
        <is>
          <t>DANG THI BICH HOA TRAN NGOC BAO TRAN  25802800275  LN H0925ND01  0938438387-270925-19 34 12 107966 TAI Ngan hang a chau       IBT SMARLINK</t>
        </is>
      </c>
    </row>
    <row r="1206">
      <c r="A1206" s="1" t="inlineStr">
        <is>
          <t>27-Sep-25</t>
        </is>
      </c>
      <c r="B1206" s="1" t="inlineStr">
        <is>
          <t>I66993</t>
        </is>
      </c>
      <c r="C1206" s="1" t="inlineStr">
        <is>
          <t>25807800143</t>
        </is>
      </c>
      <c r="D1206" s="1" t="inlineStr">
        <is>
          <t>Phaïm Nguyeãn Minh</t>
        </is>
      </c>
      <c r="E1206" s="1" t="inlineStr">
        <is>
          <t>Tieán</t>
        </is>
      </c>
      <c r="F1206" s="1" t="inlineStr">
        <is>
          <t>26-Apr-06</t>
        </is>
      </c>
      <c r="G1206" s="1" t="inlineStr">
        <is>
          <t>LNH0925ND01</t>
        </is>
      </c>
      <c r="H1206" s="1" t="inlineStr">
        <is>
          <t>09AV Giao tiep QT (TS)</t>
        </is>
      </c>
      <c r="I1206" s="1" t="n">
        <v>7415000</v>
      </c>
      <c r="J1206" s="1" t="inlineStr">
        <is>
          <t>PHAM NGUYEN MINH TIEN PHAM NGUYEN MINH TIEN 25807800143 S DT 0971349194-270925-19 54 31 14246 9 TAI Ngan hang a chau       IBT SMARLINK</t>
        </is>
      </c>
    </row>
    <row r="1207">
      <c r="A1207" s="1" t="inlineStr">
        <is>
          <t>27-Sep-25</t>
        </is>
      </c>
      <c r="B1207" s="1" t="inlineStr">
        <is>
          <t>I66994</t>
        </is>
      </c>
      <c r="C1207" s="1" t="inlineStr">
        <is>
          <t>25800500312</t>
        </is>
      </c>
      <c r="D1207" s="1" t="inlineStr">
        <is>
          <t>Löu Khaûi</t>
        </is>
      </c>
      <c r="E1207" s="1" t="inlineStr">
        <is>
          <t>Nguyeân</t>
        </is>
      </c>
      <c r="F1207" s="1" t="inlineStr">
        <is>
          <t>24-Sep-07</t>
        </is>
      </c>
      <c r="G1207" s="1" t="inlineStr">
        <is>
          <t>LNH0925ND01</t>
        </is>
      </c>
      <c r="H1207" s="1" t="inlineStr">
        <is>
          <t>09AV Giao tiep QT (TS)</t>
        </is>
      </c>
      <c r="I1207" s="1" t="n">
        <v>7415000</v>
      </c>
      <c r="J1207" s="1" t="inlineStr">
        <is>
          <t>LUU KHAI NGUYEN MBVCB.11085368721.578115.Luu khai n guyen 25800500312 LNH0925ND01 09770 42416.CT tu 1977042416 LUU KHAI NGU YEN toi 0521043748045 HUTECH tai ABBANK TAI Vietcombank</t>
        </is>
      </c>
    </row>
    <row r="1208">
      <c r="A1208" s="1" t="inlineStr">
        <is>
          <t>29-Sep-25</t>
        </is>
      </c>
      <c r="B1208" s="1" t="inlineStr">
        <is>
          <t>I67384</t>
        </is>
      </c>
      <c r="C1208" s="1" t="inlineStr">
        <is>
          <t>25801600178</t>
        </is>
      </c>
      <c r="D1208" s="1" t="inlineStr">
        <is>
          <t>Leâ Ngoïc Thaûo</t>
        </is>
      </c>
      <c r="E1208" s="1" t="inlineStr">
        <is>
          <t>Vy</t>
        </is>
      </c>
      <c r="F1208" s="1" t="inlineStr">
        <is>
          <t>11-Jan-07</t>
        </is>
      </c>
      <c r="G1208" s="1" t="inlineStr">
        <is>
          <t>LNH0925ND01</t>
        </is>
      </c>
      <c r="H1208" s="1" t="inlineStr">
        <is>
          <t>09AV Giao tiep QT (TS)</t>
        </is>
      </c>
      <c r="I1208" s="1" t="n">
        <v>1100000</v>
      </c>
      <c r="J1208" s="1" t="inlineStr">
        <is>
          <t>SACOMBANK IBFT LE NGOC THAO VY mssv 258016001 78 LNH0925ND01 0349936790 TAI SACOMBANK              HCM</t>
        </is>
      </c>
    </row>
    <row r="1209">
      <c r="A1209" s="1" t="inlineStr">
        <is>
          <t>29-Sep-25</t>
        </is>
      </c>
      <c r="B1209" s="1" t="inlineStr">
        <is>
          <t>I67395</t>
        </is>
      </c>
      <c r="C1209" s="1" t="inlineStr">
        <is>
          <t>25802600074</t>
        </is>
      </c>
      <c r="D1209" s="1" t="inlineStr">
        <is>
          <t>Huyønh Thanh</t>
        </is>
      </c>
      <c r="E1209" s="1" t="inlineStr">
        <is>
          <t>Luaân</t>
        </is>
      </c>
      <c r="F1209" s="1" t="inlineStr">
        <is>
          <t>02-Oct-06</t>
        </is>
      </c>
      <c r="G1209" s="1" t="inlineStr">
        <is>
          <t>LNH0925ND01</t>
        </is>
      </c>
      <c r="H1209" s="1" t="inlineStr">
        <is>
          <t>09AV Giao tiep QT (TS)</t>
        </is>
      </c>
      <c r="I1209" s="1" t="n">
        <v>3465000</v>
      </c>
      <c r="J1209" s="1" t="inlineStr">
        <is>
          <t>HUYNH THANH LUAN Hutech Huynh Thanh Luan 0703782349 LNH0925 ND01 25802600074 TAI IBT BIDV                 HANOI</t>
        </is>
      </c>
    </row>
    <row r="1210">
      <c r="A1210" s="1" t="inlineStr">
        <is>
          <t>29-Sep-25</t>
        </is>
      </c>
      <c r="B1210" s="1" t="inlineStr">
        <is>
          <t>I67396</t>
        </is>
      </c>
      <c r="C1210" s="1" t="inlineStr">
        <is>
          <t>25805900060</t>
        </is>
      </c>
      <c r="D1210" s="1" t="inlineStr">
        <is>
          <t>Nguyeãn Cöûu Minh</t>
        </is>
      </c>
      <c r="E1210" s="1" t="inlineStr">
        <is>
          <t>Trí</t>
        </is>
      </c>
      <c r="F1210" s="1" t="inlineStr">
        <is>
          <t>20-May-07</t>
        </is>
      </c>
      <c r="G1210" s="1" t="inlineStr">
        <is>
          <t>LNH0925ND01</t>
        </is>
      </c>
      <c r="H1210" s="1" t="inlineStr">
        <is>
          <t>09AV Giao tiep QT (TS)</t>
        </is>
      </c>
      <c r="I1210" s="1" t="n">
        <v>3465000</v>
      </c>
      <c r="J1210" s="1" t="inlineStr">
        <is>
          <t>TRAN THI LUAN Nguyen cuu Minh Tri 25905800060 TAI VietinBank</t>
        </is>
      </c>
    </row>
    <row r="1211">
      <c r="A1211" s="1" t="inlineStr">
        <is>
          <t>29-Sep-25</t>
        </is>
      </c>
      <c r="B1211" s="1" t="inlineStr">
        <is>
          <t>I67397</t>
        </is>
      </c>
      <c r="C1211" s="1" t="inlineStr">
        <is>
          <t>25802800047</t>
        </is>
      </c>
      <c r="D1211" s="1" t="inlineStr">
        <is>
          <t>Nguyeãn Haûi</t>
        </is>
      </c>
      <c r="E1211" s="1" t="inlineStr">
        <is>
          <t>Ñaêng</t>
        </is>
      </c>
      <c r="F1211" s="1" t="inlineStr">
        <is>
          <t>01-Jan-07</t>
        </is>
      </c>
      <c r="G1211" s="1" t="inlineStr">
        <is>
          <t>LNH0925ND01</t>
        </is>
      </c>
      <c r="H1211" s="1" t="inlineStr">
        <is>
          <t>09AV Giao tiep QT (TS)</t>
        </is>
      </c>
      <c r="I1211" s="1" t="n">
        <v>7415000</v>
      </c>
      <c r="J1211" s="1" t="inlineStr">
        <is>
          <t>KlbFundtransfer247 HUTECH Nguyen hai dang mssv25802800047 sdt 0363490046 TAI KIENLONG BANK          98-108ACMT8S</t>
        </is>
      </c>
    </row>
    <row r="1212">
      <c r="A1212" s="1" t="inlineStr">
        <is>
          <t>29-Sep-25</t>
        </is>
      </c>
      <c r="B1212" s="1" t="inlineStr">
        <is>
          <t>I67398</t>
        </is>
      </c>
      <c r="C1212" s="1" t="inlineStr">
        <is>
          <t>25808700072</t>
        </is>
      </c>
      <c r="D1212" s="1" t="inlineStr">
        <is>
          <t>Nguyeãn Hoaøng</t>
        </is>
      </c>
      <c r="E1212" s="1" t="inlineStr">
        <is>
          <t>Nhöït</t>
        </is>
      </c>
      <c r="F1212" s="1" t="inlineStr">
        <is>
          <t>11-Oct-07</t>
        </is>
      </c>
      <c r="G1212" s="1" t="inlineStr">
        <is>
          <t>LNH0925ND01</t>
        </is>
      </c>
      <c r="H1212" s="1" t="inlineStr">
        <is>
          <t>09AV Giao tiep QT (TS)</t>
        </is>
      </c>
      <c r="I1212" s="1" t="n">
        <v>7415000</v>
      </c>
      <c r="J1212" s="1" t="inlineStr">
        <is>
          <t>MBBANK IBFT NGUYEN HOANG NHUT 25808700072 LNH09 25ND01 dong hoc phi bo sung TAI IBT-MB                   HANOI</t>
        </is>
      </c>
    </row>
    <row r="1213">
      <c r="A1213" s="1" t="inlineStr">
        <is>
          <t>29-Sep-25</t>
        </is>
      </c>
      <c r="B1213" s="1" t="inlineStr">
        <is>
          <t>I67399</t>
        </is>
      </c>
      <c r="C1213" s="1" t="inlineStr">
        <is>
          <t>25808700026</t>
        </is>
      </c>
      <c r="D1213" s="1" t="inlineStr">
        <is>
          <t>Nguyeãn Phaïm Minh</t>
        </is>
      </c>
      <c r="E1213" s="1" t="inlineStr">
        <is>
          <t>Hieáu</t>
        </is>
      </c>
      <c r="F1213" s="1" t="inlineStr">
        <is>
          <t>17-Dec-07</t>
        </is>
      </c>
      <c r="G1213" s="1" t="inlineStr">
        <is>
          <t>LNH0925ND01</t>
        </is>
      </c>
      <c r="H1213" s="1" t="inlineStr">
        <is>
          <t>09AV Giao tiep QT (TS)</t>
        </is>
      </c>
      <c r="I1213" s="1" t="n">
        <v>7415000</v>
      </c>
      <c r="J1213" s="1" t="inlineStr">
        <is>
          <t>MBBANK IBFT Nguyen Pham Minh Hieu  mssv   25808 700026 LNH0925ND01  0896994717 TAI IBT-MB                   HANOI</t>
        </is>
      </c>
    </row>
    <row r="1214">
      <c r="A1214" s="1" t="inlineStr">
        <is>
          <t>29-Sep-25</t>
        </is>
      </c>
      <c r="B1214" s="1" t="inlineStr">
        <is>
          <t>I67400</t>
        </is>
      </c>
      <c r="C1214" s="1" t="inlineStr">
        <is>
          <t>25800400117</t>
        </is>
      </c>
      <c r="D1214" s="1" t="inlineStr">
        <is>
          <t>Vuõ Hoaøng Minh</t>
        </is>
      </c>
      <c r="E1214" s="1" t="inlineStr">
        <is>
          <t>Nhaät</t>
        </is>
      </c>
      <c r="F1214" s="1" t="inlineStr">
        <is>
          <t>01-Jan-07</t>
        </is>
      </c>
      <c r="G1214" s="1" t="inlineStr">
        <is>
          <t>LNH0925ND01</t>
        </is>
      </c>
      <c r="H1214" s="1" t="inlineStr">
        <is>
          <t>09AV Giao tiep QT (TS)</t>
        </is>
      </c>
      <c r="I1214" s="1" t="n">
        <v>7415000</v>
      </c>
      <c r="J1214" s="1" t="inlineStr">
        <is>
          <t>SACOMBANK IBFT VU HOANG MINH NHAT mssv 258004 00117 LNH0925ND01 0817127468 TAI SACOMBANK              HCM</t>
        </is>
      </c>
    </row>
    <row r="1215">
      <c r="A1215" s="1" t="inlineStr">
        <is>
          <t>29-Sep-25</t>
        </is>
      </c>
      <c r="B1215" s="1" t="inlineStr">
        <is>
          <t>I67401</t>
        </is>
      </c>
      <c r="C1215" s="1" t="inlineStr">
        <is>
          <t>25820300019</t>
        </is>
      </c>
      <c r="D1215" s="1" t="inlineStr">
        <is>
          <t>Traàn Quoác</t>
        </is>
      </c>
      <c r="E1215" s="1" t="inlineStr">
        <is>
          <t>Huy</t>
        </is>
      </c>
      <c r="F1215" s="1" t="inlineStr">
        <is>
          <t>16-Mar-07</t>
        </is>
      </c>
      <c r="G1215" s="1" t="inlineStr">
        <is>
          <t>LNH0925ND01</t>
        </is>
      </c>
      <c r="H1215" s="1" t="inlineStr">
        <is>
          <t>09AV Giao tiep QT (TS)</t>
        </is>
      </c>
      <c r="I1215" s="1" t="n">
        <v>7415000</v>
      </c>
      <c r="J1215" s="1" t="inlineStr">
        <is>
          <t>LE THI HONG THUY Tran Quoc Huy 25820300019 LNH0925ND 01 0963423195 TAI HDBank                 Ebanking</t>
        </is>
      </c>
    </row>
    <row r="1216">
      <c r="A1216" s="1" t="inlineStr">
        <is>
          <t>29-Sep-25</t>
        </is>
      </c>
      <c r="B1216" s="1" t="inlineStr">
        <is>
          <t>I67402</t>
        </is>
      </c>
      <c r="C1216" s="1" t="inlineStr">
        <is>
          <t>25802700103</t>
        </is>
      </c>
      <c r="D1216" s="1" t="inlineStr">
        <is>
          <t>Vaên Thò Caåm</t>
        </is>
      </c>
      <c r="E1216" s="1" t="inlineStr">
        <is>
          <t>Tuù</t>
        </is>
      </c>
      <c r="F1216" s="1" t="inlineStr">
        <is>
          <t>02-May-07</t>
        </is>
      </c>
      <c r="G1216" s="1" t="inlineStr">
        <is>
          <t>LNH0925ND01</t>
        </is>
      </c>
      <c r="H1216" s="1" t="inlineStr">
        <is>
          <t>09AV Giao tiep QT (TS)</t>
        </is>
      </c>
      <c r="I1216" s="1" t="n">
        <v>7415000</v>
      </c>
      <c r="J1216" s="1" t="inlineStr">
        <is>
          <t>MBBANK IBFT Van Thi Cam Tumssv 25802700103LNH09 25ND010397616529 TAI IBT-MB                   HANOI</t>
        </is>
      </c>
    </row>
    <row r="1217">
      <c r="A1217" s="1" t="inlineStr">
        <is>
          <t>29-Sep-25</t>
        </is>
      </c>
      <c r="B1217" s="1" t="inlineStr">
        <is>
          <t>I67403</t>
        </is>
      </c>
      <c r="C1217" s="1" t="inlineStr">
        <is>
          <t>25807800030</t>
        </is>
      </c>
      <c r="D1217" s="1" t="inlineStr">
        <is>
          <t>Nguyeãn Baù Coâng</t>
        </is>
      </c>
      <c r="E1217" s="1" t="inlineStr">
        <is>
          <t>Ñònh</t>
        </is>
      </c>
      <c r="F1217" s="1" t="inlineStr">
        <is>
          <t>22-Jul-07</t>
        </is>
      </c>
      <c r="G1217" s="1" t="inlineStr">
        <is>
          <t>LNH0925ND01</t>
        </is>
      </c>
      <c r="H1217" s="1" t="inlineStr">
        <is>
          <t>09AV Giao tiep QT (TS)</t>
        </is>
      </c>
      <c r="I1217" s="1" t="n">
        <v>7415000</v>
      </c>
      <c r="J1217" s="1" t="inlineStr">
        <is>
          <t>NGUYEN BA NAM MBVCB.11100460267.972869.NGUYEN BA CONG DINH  25807800030 LNH0925ND01 sdt 0799695431.CT tu 1032314523 NGU YEN BA NAM toi 0521043748045 HUTECHtai ABBANK TAI Vietcombank</t>
        </is>
      </c>
    </row>
    <row r="1218">
      <c r="A1218" s="1" t="inlineStr">
        <is>
          <t>29-Sep-25</t>
        </is>
      </c>
      <c r="B1218" s="1" t="inlineStr">
        <is>
          <t>I67404</t>
        </is>
      </c>
      <c r="C1218" s="1" t="inlineStr">
        <is>
          <t>25805900029</t>
        </is>
      </c>
      <c r="D1218" s="1" t="inlineStr">
        <is>
          <t>Döông Huyønh Thanh</t>
        </is>
      </c>
      <c r="E1218" s="1" t="inlineStr">
        <is>
          <t>Nhö</t>
        </is>
      </c>
      <c r="F1218" s="1" t="inlineStr">
        <is>
          <t>11-Jan-07</t>
        </is>
      </c>
      <c r="G1218" s="1" t="inlineStr">
        <is>
          <t>LNH0925ND01</t>
        </is>
      </c>
      <c r="H1218" s="1" t="inlineStr">
        <is>
          <t>09AV Giao tiep QT (TS)</t>
        </is>
      </c>
      <c r="I1218" s="1" t="n">
        <v>7415000</v>
      </c>
      <c r="J1218" s="1" t="inlineStr">
        <is>
          <t>TRAN THI THANH MAI Duong Huynh Thanh Nhu 25805900029 L NH0925ND01 0869775218 TAI VietinBank</t>
        </is>
      </c>
    </row>
    <row r="1219">
      <c r="A1219" s="1" t="inlineStr">
        <is>
          <t>29-Sep-25</t>
        </is>
      </c>
      <c r="B1219" s="1" t="inlineStr">
        <is>
          <t>I67405</t>
        </is>
      </c>
      <c r="C1219" s="1" t="inlineStr">
        <is>
          <t>25806000094</t>
        </is>
      </c>
      <c r="D1219" s="1" t="inlineStr">
        <is>
          <t>Nguyeãn Thanh</t>
        </is>
      </c>
      <c r="E1219" s="1" t="inlineStr">
        <is>
          <t>Ngaân</t>
        </is>
      </c>
      <c r="F1219" s="1" t="inlineStr">
        <is>
          <t>21-May-07</t>
        </is>
      </c>
      <c r="G1219" s="1" t="inlineStr">
        <is>
          <t>LNH0925ND01</t>
        </is>
      </c>
      <c r="H1219" s="1" t="inlineStr">
        <is>
          <t>09AV Giao tiep QT (TS)</t>
        </is>
      </c>
      <c r="I1219" s="1" t="n">
        <v>7415000</v>
      </c>
      <c r="J1219" s="1" t="inlineStr">
        <is>
          <t>NGO THI THANH THUY Nguyen Thanh Ngan  25806000094 LNH0 925ND01 0838673624 TAI IBT BIDV                 HANOI</t>
        </is>
      </c>
    </row>
    <row r="1220">
      <c r="A1220" s="1" t="inlineStr">
        <is>
          <t>29-Sep-25</t>
        </is>
      </c>
      <c r="B1220" s="1" t="inlineStr">
        <is>
          <t>I67406</t>
        </is>
      </c>
      <c r="C1220" s="1" t="inlineStr">
        <is>
          <t>25800500133</t>
        </is>
      </c>
      <c r="D1220" s="1" t="inlineStr">
        <is>
          <t>Nguyeãn Taán</t>
        </is>
      </c>
      <c r="E1220" s="1" t="inlineStr">
        <is>
          <t>Phaùt</t>
        </is>
      </c>
      <c r="F1220" s="1" t="inlineStr">
        <is>
          <t>25-Dec-07</t>
        </is>
      </c>
      <c r="G1220" s="1" t="inlineStr">
        <is>
          <t>LNH0925ND01</t>
        </is>
      </c>
      <c r="H1220" s="1" t="inlineStr">
        <is>
          <t>09AV Giao tiep QT (TS)</t>
        </is>
      </c>
      <c r="I1220" s="1" t="n">
        <v>7415000</v>
      </c>
      <c r="J1220" s="1" t="inlineStr">
        <is>
          <t>SACOMBANK IBFT Nguyen Tan Phat MSSV 258005001 33 LNH0925ND01 SDT 0907264607 TAI SACOMBANK              HCM</t>
        </is>
      </c>
    </row>
    <row r="1221">
      <c r="A1221" s="1" t="inlineStr">
        <is>
          <t>29-Sep-25</t>
        </is>
      </c>
      <c r="B1221" s="1" t="inlineStr">
        <is>
          <t>I67407</t>
        </is>
      </c>
      <c r="C1221" s="1" t="inlineStr">
        <is>
          <t>25800400022</t>
        </is>
      </c>
      <c r="D1221" s="1" t="inlineStr">
        <is>
          <t>Nguyeãn Vaên</t>
        </is>
      </c>
      <c r="E1221" s="1" t="inlineStr">
        <is>
          <t>Coâng</t>
        </is>
      </c>
      <c r="F1221" s="1" t="inlineStr">
        <is>
          <t>21-Feb-07</t>
        </is>
      </c>
      <c r="G1221" s="1" t="inlineStr">
        <is>
          <t>LNH0925ND01</t>
        </is>
      </c>
      <c r="H1221" s="1" t="inlineStr">
        <is>
          <t>09AV Giao tiep QT (TS)</t>
        </is>
      </c>
      <c r="I1221" s="1" t="n">
        <v>8415000</v>
      </c>
      <c r="J1221" s="1" t="inlineStr">
        <is>
          <t>MBBANK IBFT NGUYEN VAN CONG25800400022LNH0925ND 010358993954 TAI IBT-MB                   HANOI</t>
        </is>
      </c>
    </row>
    <row r="1222">
      <c r="A1222" s="1" t="inlineStr">
        <is>
          <t>30-Sep-25</t>
        </is>
      </c>
      <c r="B1222" s="1" t="inlineStr">
        <is>
          <t>I67522</t>
        </is>
      </c>
      <c r="C1222" s="1" t="inlineStr">
        <is>
          <t>25807800074</t>
        </is>
      </c>
      <c r="D1222" s="1" t="inlineStr">
        <is>
          <t>Nguyeãn Haûi</t>
        </is>
      </c>
      <c r="E1222" s="1" t="inlineStr">
        <is>
          <t>Lónh</t>
        </is>
      </c>
      <c r="F1222" s="1" t="inlineStr">
        <is>
          <t>04-Apr-07</t>
        </is>
      </c>
      <c r="G1222" s="1" t="inlineStr">
        <is>
          <t>LNH0925ND01</t>
        </is>
      </c>
      <c r="H1222" s="1" t="inlineStr">
        <is>
          <t>09AV Giao tiep QT (TS)</t>
        </is>
      </c>
      <c r="I1222" s="1" t="n">
        <v>7415000</v>
      </c>
      <c r="J1222" s="1" t="inlineStr">
        <is>
          <t>MBBANK IBFT Nguyen Hai Linh 25807800074 LNH0925 ND01 0338326755 TAI IBT-MB                   HANOI</t>
        </is>
      </c>
    </row>
    <row r="1223">
      <c r="A1223" s="1" t="inlineStr">
        <is>
          <t>30-Sep-25</t>
        </is>
      </c>
      <c r="B1223" s="1" t="inlineStr">
        <is>
          <t>I67523</t>
        </is>
      </c>
      <c r="C1223" s="1" t="inlineStr">
        <is>
          <t>25802800274</t>
        </is>
      </c>
      <c r="D1223" s="1" t="inlineStr">
        <is>
          <t>Leâ Hoaøng Baûo</t>
        </is>
      </c>
      <c r="E1223" s="1" t="inlineStr">
        <is>
          <t>Traân</t>
        </is>
      </c>
      <c r="F1223" s="1" t="inlineStr">
        <is>
          <t>22-Jul-07</t>
        </is>
      </c>
      <c r="G1223" s="1" t="inlineStr">
        <is>
          <t>LNH0925ND01</t>
        </is>
      </c>
      <c r="H1223" s="1" t="inlineStr">
        <is>
          <t>09AV Giao tiep QT (TS)</t>
        </is>
      </c>
      <c r="I1223" s="1" t="n">
        <v>7415000</v>
      </c>
      <c r="J1223" s="1" t="inlineStr">
        <is>
          <t>MBBANK IBFT LE HOANG BAO TRAN 25802800274 LNH09 25ND01 0974799554 TAI IBT-MB                   HANOI</t>
        </is>
      </c>
    </row>
    <row r="1224">
      <c r="A1224" s="1" t="inlineStr">
        <is>
          <t>30-Sep-25</t>
        </is>
      </c>
      <c r="B1224" s="1" t="inlineStr">
        <is>
          <t>I67524</t>
        </is>
      </c>
      <c r="C1224" s="1" t="inlineStr">
        <is>
          <t>25806400021</t>
        </is>
      </c>
      <c r="D1224" s="1" t="inlineStr">
        <is>
          <t>Leâ Ngoïc Quyønh</t>
        </is>
      </c>
      <c r="E1224" s="1" t="inlineStr">
        <is>
          <t>Trang</t>
        </is>
      </c>
      <c r="F1224" s="1" t="inlineStr">
        <is>
          <t>28-Mar-07</t>
        </is>
      </c>
      <c r="G1224" s="1" t="inlineStr">
        <is>
          <t>LNH0925ND01</t>
        </is>
      </c>
      <c r="H1224" s="1" t="inlineStr">
        <is>
          <t>09AV Giao tiep QT (TS)</t>
        </is>
      </c>
      <c r="I1224" s="1" t="n">
        <v>7415000</v>
      </c>
      <c r="J1224" s="1" t="inlineStr">
        <is>
          <t>NGUYEN THI NGAI le ngoc quynh trang 25806400021 LNH 0925ND01 0949632377 TAI IBT BIDV                 HANOI</t>
        </is>
      </c>
    </row>
    <row r="1225">
      <c r="A1225" s="1" t="inlineStr">
        <is>
          <t>30-Sep-25</t>
        </is>
      </c>
      <c r="B1225" s="1" t="inlineStr">
        <is>
          <t>I67527</t>
        </is>
      </c>
      <c r="C1225" s="1" t="inlineStr">
        <is>
          <t>25801700057</t>
        </is>
      </c>
      <c r="D1225" s="1" t="inlineStr">
        <is>
          <t>Nguyeãn Thò Thuûy</t>
        </is>
      </c>
      <c r="E1225" s="1" t="inlineStr">
        <is>
          <t>Tieân</t>
        </is>
      </c>
      <c r="F1225" s="1" t="inlineStr">
        <is>
          <t>23-Nov-01</t>
        </is>
      </c>
      <c r="G1225" s="1" t="inlineStr">
        <is>
          <t>LNH0925ND01</t>
        </is>
      </c>
      <c r="H1225" s="1" t="inlineStr">
        <is>
          <t>09AV Giao tiep QT (TS)</t>
        </is>
      </c>
      <c r="I1225" s="1" t="n">
        <v>7415000</v>
      </c>
      <c r="J1225" s="1" t="inlineStr">
        <is>
          <t>NGUYEN THI THUY TIEN MBVCB.11119843929.960147.nguyen Thi Thuy Tien 25801700057 LNH0925ND01 0972790252.CT tu 7972790252 NGUYEN THI THUY TIEN toi 0521043748045 HUTECH tai ABBANK TAI Vietcombank</t>
        </is>
      </c>
    </row>
    <row r="1226">
      <c r="A1226" s="1" t="inlineStr">
        <is>
          <t>01-Oct-25</t>
        </is>
      </c>
      <c r="B1226" s="1" t="inlineStr">
        <is>
          <t>I67544</t>
        </is>
      </c>
      <c r="C1226" s="1" t="inlineStr">
        <is>
          <t>25809600077</t>
        </is>
      </c>
      <c r="D1226" s="1" t="inlineStr">
        <is>
          <t>Leâ Thaønh</t>
        </is>
      </c>
      <c r="E1226" s="1" t="inlineStr">
        <is>
          <t>Vieät</t>
        </is>
      </c>
      <c r="F1226" s="1" t="inlineStr">
        <is>
          <t>18-Nov-07</t>
        </is>
      </c>
      <c r="G1226" s="1" t="inlineStr">
        <is>
          <t>LNH0925ND01</t>
        </is>
      </c>
      <c r="H1226" s="1" t="inlineStr">
        <is>
          <t>09AV Giao tiep QT (TS)</t>
        </is>
      </c>
      <c r="I1226" s="1" t="n">
        <v>4000000</v>
      </c>
      <c r="J1226" s="1" t="inlineStr">
        <is>
          <t>LE THANH VIET MBVCB.11127946914.382377.Le Thanh V iet mssv 25809600077 sdt ....CT tu 1787241649 LE THANH VIET toi 052104 3748045 HUTECH tai ABBANK TAI Vietcombank</t>
        </is>
      </c>
    </row>
    <row r="1227">
      <c r="A1227" s="1" t="inlineStr">
        <is>
          <t>01-Oct-25</t>
        </is>
      </c>
      <c r="B1227" s="1" t="inlineStr">
        <is>
          <t>I67548</t>
        </is>
      </c>
      <c r="C1227" s="1" t="inlineStr">
        <is>
          <t>25808600127</t>
        </is>
      </c>
      <c r="D1227" s="1" t="inlineStr">
        <is>
          <t>Nguyeãn Trung</t>
        </is>
      </c>
      <c r="E1227" s="1" t="inlineStr">
        <is>
          <t>Tín</t>
        </is>
      </c>
      <c r="F1227" s="1" t="inlineStr">
        <is>
          <t>02-Jan-99</t>
        </is>
      </c>
      <c r="G1227" s="1" t="inlineStr">
        <is>
          <t>LNH0925ND01</t>
        </is>
      </c>
      <c r="H1227" s="1" t="inlineStr">
        <is>
          <t>09AV Giao tiep QT (TS)</t>
        </is>
      </c>
      <c r="I1227" s="1" t="n">
        <v>4000000</v>
      </c>
      <c r="J1227" s="1" t="inlineStr">
        <is>
          <t>NGUYEN TRUNG TIN NGUYEN TRUNG TIN 25808600127 LNH092 5ND01 0962524808 TAI IBT VPB EBANKING         HANOI</t>
        </is>
      </c>
    </row>
    <row r="1228">
      <c r="A1228" s="1" t="inlineStr">
        <is>
          <t>01-Oct-25</t>
        </is>
      </c>
      <c r="B1228" s="1" t="inlineStr">
        <is>
          <t>I67551</t>
        </is>
      </c>
      <c r="C1228" s="1" t="inlineStr">
        <is>
          <t>25801700013</t>
        </is>
      </c>
      <c r="D1228" s="1" t="inlineStr">
        <is>
          <t>Traàn Vaên Anh</t>
        </is>
      </c>
      <c r="E1228" s="1" t="inlineStr">
        <is>
          <t>Ñöùc</t>
        </is>
      </c>
      <c r="F1228" s="1" t="inlineStr">
        <is>
          <t>01-May-07</t>
        </is>
      </c>
      <c r="G1228" s="1" t="inlineStr">
        <is>
          <t>LNH0925ND01</t>
        </is>
      </c>
      <c r="H1228" s="1" t="inlineStr">
        <is>
          <t>09AV Giao tiep QT (TS)</t>
        </is>
      </c>
      <c r="I1228" s="1" t="n">
        <v>7415000</v>
      </c>
      <c r="J1228" s="1" t="inlineStr">
        <is>
          <t>TA THI TUAT MBVCB.11132131806.258765.TRAN VAN A NH DUC 25801700013 25DNHA1 09332487 85.CT tu 0411000911600 TA THI TUAT toi 0521043748045 HUTECH tai ABBANK TAI Vietcombank</t>
        </is>
      </c>
    </row>
    <row r="1229">
      <c r="A1229" s="1" t="inlineStr">
        <is>
          <t>01-Oct-25</t>
        </is>
      </c>
      <c r="B1229" s="1" t="inlineStr">
        <is>
          <t>I67552</t>
        </is>
      </c>
      <c r="C1229" s="1" t="inlineStr">
        <is>
          <t>25800500098</t>
        </is>
      </c>
      <c r="D1229" s="1" t="inlineStr">
        <is>
          <t>Ñaøm Anh</t>
        </is>
      </c>
      <c r="E1229" s="1" t="inlineStr">
        <is>
          <t>Kieät</t>
        </is>
      </c>
      <c r="F1229" s="1" t="inlineStr">
        <is>
          <t>04-Oct-07</t>
        </is>
      </c>
      <c r="G1229" s="1" t="inlineStr">
        <is>
          <t>LNH0925ND01</t>
        </is>
      </c>
      <c r="H1229" s="1" t="inlineStr">
        <is>
          <t>09AV Giao tiep QT (TS)</t>
        </is>
      </c>
      <c r="I1229" s="1" t="n">
        <v>7415000</v>
      </c>
      <c r="J1229" s="1" t="inlineStr">
        <is>
          <t>SACOMBANK IBFT dam anh kiet 25800500098 LNH09 52ND dt0349564444 TAI SACOMBANK              HCM</t>
        </is>
      </c>
    </row>
    <row r="1230">
      <c r="A1230" s="1" t="inlineStr">
        <is>
          <t>01-Oct-25</t>
        </is>
      </c>
      <c r="B1230" s="1" t="inlineStr">
        <is>
          <t>I67553</t>
        </is>
      </c>
      <c r="C1230" s="1" t="inlineStr">
        <is>
          <t>25803800039</t>
        </is>
      </c>
      <c r="D1230" s="1" t="inlineStr">
        <is>
          <t>Laâm Ñinh Baûo</t>
        </is>
      </c>
      <c r="E1230" s="1" t="inlineStr">
        <is>
          <t>Nghi</t>
        </is>
      </c>
      <c r="F1230" s="1" t="inlineStr">
        <is>
          <t>01-Nov-07</t>
        </is>
      </c>
      <c r="G1230" s="1" t="inlineStr">
        <is>
          <t>LNH0925ND01</t>
        </is>
      </c>
      <c r="H1230" s="1" t="inlineStr">
        <is>
          <t>09AV Giao tiep QT (TS)</t>
        </is>
      </c>
      <c r="I1230" s="1" t="n">
        <v>7415000</v>
      </c>
      <c r="J1230" s="1" t="inlineStr">
        <is>
          <t>DINH LE BAO CHAU LAM DINH BAO NGHI - 25803800039 - L NH0925ND01 - 0899472047-011025-20 4 0 40 999144 TAI Ngan hang a chau       IBT SMARLINK</t>
        </is>
      </c>
    </row>
    <row r="1231">
      <c r="A1231" s="1" t="inlineStr">
        <is>
          <t>23-Aug-25</t>
        </is>
      </c>
      <c r="B1231" s="1" t="inlineStr">
        <is>
          <t>I67649</t>
        </is>
      </c>
      <c r="C1231" s="1" t="inlineStr">
        <is>
          <t>25807000027</t>
        </is>
      </c>
      <c r="D1231" s="1" t="inlineStr">
        <is>
          <t>Hoà Kieàu</t>
        </is>
      </c>
      <c r="E1231" s="1" t="inlineStr">
        <is>
          <t>Trang</t>
        </is>
      </c>
      <c r="F1231" s="1" t="inlineStr">
        <is>
          <t>24-Dec-07</t>
        </is>
      </c>
      <c r="G1231" s="1" t="inlineStr">
        <is>
          <t>LNH0925ND01</t>
        </is>
      </c>
      <c r="H1231" s="1" t="inlineStr">
        <is>
          <t>09AV Giao tiep QT (TS)</t>
        </is>
      </c>
      <c r="I1231" s="1" t="n">
        <v>4940000</v>
      </c>
      <c r="J1231" s="1" t="inlineStr">
        <is>
          <t>MBBANK IBFT HO KIEU TRANG 25807000027 LNH0925NT 01 0964862829 TAI IBT-MB                   HANOI</t>
        </is>
      </c>
    </row>
    <row r="1232">
      <c r="A1232" s="1" t="inlineStr">
        <is>
          <t>02-Oct-25</t>
        </is>
      </c>
      <c r="B1232" s="1" t="inlineStr">
        <is>
          <t>I67660</t>
        </is>
      </c>
      <c r="C1232" s="1" t="inlineStr">
        <is>
          <t>25806600120</t>
        </is>
      </c>
      <c r="D1232" s="1" t="inlineStr">
        <is>
          <t>Nguyeãn Haûi</t>
        </is>
      </c>
      <c r="E1232" s="1" t="inlineStr">
        <is>
          <t>Maïnh</t>
        </is>
      </c>
      <c r="F1232" s="1" t="inlineStr">
        <is>
          <t>30-Oct-07</t>
        </is>
      </c>
      <c r="G1232" s="1" t="inlineStr">
        <is>
          <t>LNH0925ND01</t>
        </is>
      </c>
      <c r="H1232" s="1" t="inlineStr">
        <is>
          <t>09AV Giao tiep QT (TS)</t>
        </is>
      </c>
      <c r="I1232" s="1" t="n">
        <v>2100000</v>
      </c>
      <c r="J1232" s="1" t="inlineStr">
        <is>
          <t>NGUYEN HAI MANH NGUYEN HAI MANH 25806600120  LNH092 5D01   0945471345 TAI IBT BIDV                 HANOI</t>
        </is>
      </c>
    </row>
    <row r="1233">
      <c r="A1233" s="1" t="inlineStr">
        <is>
          <t>03-Oct-25</t>
        </is>
      </c>
      <c r="B1233" s="1" t="inlineStr">
        <is>
          <t>I67962</t>
        </is>
      </c>
      <c r="C1233" s="1" t="inlineStr">
        <is>
          <t>25807800158</t>
        </is>
      </c>
      <c r="D1233" s="1" t="inlineStr">
        <is>
          <t>Ñoã Thanh</t>
        </is>
      </c>
      <c r="E1233" s="1" t="inlineStr">
        <is>
          <t>Tuøng</t>
        </is>
      </c>
      <c r="F1233" s="1" t="inlineStr">
        <is>
          <t>24-Apr-07</t>
        </is>
      </c>
      <c r="G1233" s="1" t="inlineStr">
        <is>
          <t>LNH0925ND01</t>
        </is>
      </c>
      <c r="H1233" s="1" t="inlineStr">
        <is>
          <t>09AV Giao tiep QT (TS)</t>
        </is>
      </c>
      <c r="I1233" s="1" t="n">
        <v>7415000</v>
      </c>
      <c r="J1233" s="1" t="inlineStr">
        <is>
          <t>SHBMB Do Thanh Tung - 25807800158 - LNH 0 925 ND 01 - 0399804711 TAI NganhangthuongmaicpSHB HaNoiVietNam</t>
        </is>
      </c>
    </row>
    <row r="1234">
      <c r="A1234" s="1" t="inlineStr">
        <is>
          <t>03-Oct-25</t>
        </is>
      </c>
      <c r="B1234" s="1" t="inlineStr">
        <is>
          <t>I67963</t>
        </is>
      </c>
      <c r="C1234" s="1" t="inlineStr">
        <is>
          <t>25806600042</t>
        </is>
      </c>
      <c r="D1234" s="1" t="inlineStr">
        <is>
          <t>Nguyeãn Höõu Hoaøng</t>
        </is>
      </c>
      <c r="E1234" s="1" t="inlineStr">
        <is>
          <t>Ñaït</t>
        </is>
      </c>
      <c r="F1234" s="1" t="inlineStr">
        <is>
          <t>24-Apr-07</t>
        </is>
      </c>
      <c r="G1234" s="1" t="inlineStr">
        <is>
          <t>LNH0925ND01</t>
        </is>
      </c>
      <c r="H1234" s="1" t="inlineStr">
        <is>
          <t>09AV Giao tiep QT (TS)</t>
        </is>
      </c>
      <c r="I1234" s="1" t="n">
        <v>2100000</v>
      </c>
      <c r="J1234" s="1" t="inlineStr">
        <is>
          <t>NGUYEN HUU HOANG DAT Nguyen Huu Hoang Dat  mssv 25806600 042  LNH0925ND01 sdt 0353623854 TAI IBT BIDV                 HANOI</t>
        </is>
      </c>
    </row>
    <row r="1235">
      <c r="A1235" s="1" t="inlineStr">
        <is>
          <t>04-Oct-25</t>
        </is>
      </c>
      <c r="B1235" s="1" t="inlineStr">
        <is>
          <t>I67964</t>
        </is>
      </c>
      <c r="C1235" s="1" t="inlineStr">
        <is>
          <t>25820200119</t>
        </is>
      </c>
      <c r="D1235" s="1" t="inlineStr">
        <is>
          <t>Nguyeãn Minh</t>
        </is>
      </c>
      <c r="E1235" s="1" t="inlineStr">
        <is>
          <t>Hieáu</t>
        </is>
      </c>
      <c r="F1235" s="1" t="inlineStr">
        <is>
          <t>27-Nov-07</t>
        </is>
      </c>
      <c r="G1235" s="1" t="inlineStr">
        <is>
          <t>LNH0925ND01</t>
        </is>
      </c>
      <c r="H1235" s="1" t="inlineStr">
        <is>
          <t>09AV Giao tiep QT (TS)</t>
        </is>
      </c>
      <c r="I1235" s="1" t="n">
        <v>535000</v>
      </c>
      <c r="J1235" s="1" t="inlineStr">
        <is>
          <t>CONG TY CP DICH VU DI DONG TRUC TUY EN 102866087577 0903306257 Nguyen Minh Hieu 25820200119 LNH0925ND01 0902 TAI IBT BIDV                 HANOI</t>
        </is>
      </c>
    </row>
    <row r="1236">
      <c r="A1236" s="1" t="inlineStr">
        <is>
          <t>06-Oct-25</t>
        </is>
      </c>
      <c r="B1236" s="1" t="inlineStr">
        <is>
          <t>I68308</t>
        </is>
      </c>
      <c r="C1236" s="1" t="inlineStr">
        <is>
          <t>25808900066</t>
        </is>
      </c>
      <c r="D1236" s="1" t="inlineStr">
        <is>
          <t>Nguyeãn Vaên</t>
        </is>
      </c>
      <c r="E1236" s="1" t="inlineStr">
        <is>
          <t>Lai</t>
        </is>
      </c>
      <c r="F1236" s="1" t="inlineStr">
        <is>
          <t>20-Apr-07</t>
        </is>
      </c>
      <c r="G1236" s="1" t="inlineStr">
        <is>
          <t>LNH0925ND01</t>
        </is>
      </c>
      <c r="H1236" s="1" t="inlineStr">
        <is>
          <t>09AV Giao tiep QT (TS)</t>
        </is>
      </c>
      <c r="I1236" s="1" t="n">
        <v>2000000</v>
      </c>
      <c r="J1236" s="1" t="inlineStr">
        <is>
          <t>VND-TGTT-NGUYEN VAN LAI NGUYEN VAN LAI - 25808900066 - LNH0 925ND01 - 0798545633 FT252790991232 50 TAI TECHCOMBANK            HANOI</t>
        </is>
      </c>
    </row>
    <row r="1237">
      <c r="A1237" s="1" t="inlineStr">
        <is>
          <t>06-Oct-25</t>
        </is>
      </c>
      <c r="B1237" s="1" t="inlineStr">
        <is>
          <t>I68309</t>
        </is>
      </c>
      <c r="C1237" s="1" t="inlineStr">
        <is>
          <t>25820700027</t>
        </is>
      </c>
      <c r="D1237" s="1" t="inlineStr">
        <is>
          <t>Phaïm Lieãu Quyønh</t>
        </is>
      </c>
      <c r="E1237" s="1" t="inlineStr">
        <is>
          <t>Nhö</t>
        </is>
      </c>
      <c r="F1237" s="1" t="inlineStr">
        <is>
          <t>27-Mar-06</t>
        </is>
      </c>
      <c r="G1237" s="1" t="inlineStr">
        <is>
          <t>LNH0925ND01</t>
        </is>
      </c>
      <c r="H1237" s="1" t="inlineStr">
        <is>
          <t>09AV Giao tiep QT (TS)</t>
        </is>
      </c>
      <c r="I1237" s="1" t="n">
        <v>7415000</v>
      </c>
      <c r="J1237" s="1" t="inlineStr">
        <is>
          <t>PHAM LIEU QUYNH NHU QR - Pham Lieu Quynh Nhu 2582070002 7 LNH0925ND01 0382012209 TAI VietinBank</t>
        </is>
      </c>
    </row>
    <row r="1238">
      <c r="A1238" s="1" t="inlineStr">
        <is>
          <t>06-Oct-25</t>
        </is>
      </c>
      <c r="B1238" s="1" t="inlineStr">
        <is>
          <t>I68318</t>
        </is>
      </c>
      <c r="C1238" s="1" t="inlineStr">
        <is>
          <t>25808200016</t>
        </is>
      </c>
      <c r="D1238" s="1" t="inlineStr">
        <is>
          <t>Nguyeãn Sôn</t>
        </is>
      </c>
      <c r="E1238" s="1" t="inlineStr">
        <is>
          <t>Baûo</t>
        </is>
      </c>
      <c r="F1238" s="1" t="inlineStr">
        <is>
          <t>28-Jul-07</t>
        </is>
      </c>
      <c r="G1238" s="1" t="inlineStr">
        <is>
          <t>LNH0925ND01</t>
        </is>
      </c>
      <c r="H1238" s="1" t="inlineStr">
        <is>
          <t>09AV Giao tiep QT (TS)</t>
        </is>
      </c>
      <c r="I1238" s="1" t="n">
        <v>7415000</v>
      </c>
      <c r="J1238" s="1" t="inlineStr">
        <is>
          <t>MBBANK IBFT NGUYEN SON BAO 25808200016 08244296 05 LNH0925ND01 TAI IBT-MB                   HANOI</t>
        </is>
      </c>
    </row>
    <row r="1239">
      <c r="A1239" s="1" t="inlineStr">
        <is>
          <t>07-Oct-25</t>
        </is>
      </c>
      <c r="B1239" s="1" t="inlineStr">
        <is>
          <t>I68330</t>
        </is>
      </c>
      <c r="C1239" s="1" t="inlineStr">
        <is>
          <t>25801100079</t>
        </is>
      </c>
      <c r="D1239" s="1" t="inlineStr">
        <is>
          <t>Traàn Thò Bích</t>
        </is>
      </c>
      <c r="E1239" s="1" t="inlineStr">
        <is>
          <t>Tuyeàn</t>
        </is>
      </c>
      <c r="F1239" s="1" t="inlineStr">
        <is>
          <t>23-May-07</t>
        </is>
      </c>
      <c r="G1239" s="1" t="inlineStr">
        <is>
          <t>LNH0925ND01</t>
        </is>
      </c>
      <c r="H1239" s="1" t="inlineStr">
        <is>
          <t>09AV Giao tiep QT (TS)</t>
        </is>
      </c>
      <c r="I1239" s="1" t="n">
        <v>7415000</v>
      </c>
      <c r="J1239" s="1" t="inlineStr">
        <is>
          <t>MBBANK IBFT tran thi bich tuyen 25801100079 LNH 0925ND01 TAI IBT-MB                   HANOI</t>
        </is>
      </c>
    </row>
    <row r="1240">
      <c r="A1240" s="1" t="inlineStr">
        <is>
          <t>08-Oct-25</t>
        </is>
      </c>
      <c r="B1240" s="1" t="inlineStr">
        <is>
          <t>I68558</t>
        </is>
      </c>
      <c r="C1240" s="1" t="inlineStr">
        <is>
          <t>25820300026</t>
        </is>
      </c>
      <c r="D1240" s="1" t="inlineStr">
        <is>
          <t>Phaïm Nguyeãn Ñaêng</t>
        </is>
      </c>
      <c r="E1240" s="1" t="inlineStr">
        <is>
          <t>Khoa</t>
        </is>
      </c>
      <c r="F1240" s="1" t="inlineStr">
        <is>
          <t>14-Dec-07</t>
        </is>
      </c>
      <c r="G1240" s="1" t="inlineStr">
        <is>
          <t>LNH0925ND01</t>
        </is>
      </c>
      <c r="H1240" s="1" t="inlineStr">
        <is>
          <t>09AV Giao tiep QT (TS)</t>
        </is>
      </c>
      <c r="I1240" s="1" t="n">
        <v>6415000</v>
      </c>
      <c r="J1240" s="1" t="inlineStr">
        <is>
          <t>PHAM NGUYEN DANG KHOA Pham Nguyen Dang Khoa MSSV 25820300 026 LNH0925ND01 SDT 0348637642 TAI IBT-NAMABANK             HANOI</t>
        </is>
      </c>
    </row>
    <row r="1241">
      <c r="A1241" s="1" t="inlineStr">
        <is>
          <t>08-Oct-25</t>
        </is>
      </c>
      <c r="B1241" s="1" t="inlineStr">
        <is>
          <t>I68627</t>
        </is>
      </c>
      <c r="C1241" s="1" t="inlineStr">
        <is>
          <t>25807900018</t>
        </is>
      </c>
      <c r="D1241" s="1" t="inlineStr">
        <is>
          <t>Leâ Döông Gia</t>
        </is>
      </c>
      <c r="E1241" s="1" t="inlineStr">
        <is>
          <t>Huy</t>
        </is>
      </c>
      <c r="F1241" s="1" t="inlineStr">
        <is>
          <t>04-Jan-07</t>
        </is>
      </c>
      <c r="G1241" s="1" t="inlineStr">
        <is>
          <t>LNH0925ND01</t>
        </is>
      </c>
      <c r="H1241" s="1" t="inlineStr">
        <is>
          <t>09AV Giao tiep QT (TS)</t>
        </is>
      </c>
      <c r="I1241" s="1" t="n">
        <v>3940000</v>
      </c>
      <c r="J1241" s="1" t="inlineStr">
        <is>
          <t>MBBANK IBFT LeDuongGiaHuy 25807900018 LNH0925ND 01 0901895420 TAI IBT-MB                   HANOI</t>
        </is>
      </c>
    </row>
    <row r="1242">
      <c r="A1242" s="1" t="inlineStr">
        <is>
          <t>08-Oct-25</t>
        </is>
      </c>
      <c r="B1242" s="1" t="inlineStr">
        <is>
          <t>I68628</t>
        </is>
      </c>
      <c r="C1242" s="1" t="inlineStr">
        <is>
          <t>25806300055</t>
        </is>
      </c>
      <c r="D1242" s="1" t="inlineStr">
        <is>
          <t>Nguyeãn Vaên</t>
        </is>
      </c>
      <c r="E1242" s="1" t="inlineStr">
        <is>
          <t>Tuaán</t>
        </is>
      </c>
      <c r="F1242" s="1" t="inlineStr">
        <is>
          <t>25-Feb-06</t>
        </is>
      </c>
      <c r="G1242" s="1" t="inlineStr">
        <is>
          <t>LNH0925ND01</t>
        </is>
      </c>
      <c r="H1242" s="1" t="inlineStr">
        <is>
          <t>09AV Giao tiep QT (TS)</t>
        </is>
      </c>
      <c r="I1242" s="1" t="n">
        <v>8415000</v>
      </c>
      <c r="J1242" s="1" t="inlineStr">
        <is>
          <t>NGUYEN VAN TUAN QR - NGUYEN VAN TUAN 25806300055 LN HO925NDO1 0828825206 TAI VietinBank</t>
        </is>
      </c>
    </row>
    <row r="1243">
      <c r="A1243" s="1" t="inlineStr">
        <is>
          <t>10-Oct-25</t>
        </is>
      </c>
      <c r="B1243" s="1" t="inlineStr">
        <is>
          <t>I69161</t>
        </is>
      </c>
      <c r="C1243" s="1" t="inlineStr">
        <is>
          <t>25806000008</t>
        </is>
      </c>
      <c r="D1243" s="1" t="inlineStr">
        <is>
          <t>Trònh Thuøy</t>
        </is>
      </c>
      <c r="E1243" s="1" t="inlineStr">
        <is>
          <t>Döông</t>
        </is>
      </c>
      <c r="F1243" s="1" t="inlineStr">
        <is>
          <t>03-Apr-07</t>
        </is>
      </c>
      <c r="G1243" s="1" t="inlineStr">
        <is>
          <t>LNH0925ND01</t>
        </is>
      </c>
      <c r="H1243" s="1" t="inlineStr">
        <is>
          <t>09AV Giao tiep QT (TS)</t>
        </is>
      </c>
      <c r="I1243" s="1" t="n">
        <v>3465000</v>
      </c>
      <c r="J1243" s="1" t="inlineStr">
        <is>
          <t>TRINH THUY DUONG QR - TRINH THUY DUONG  25806000008 LNH0925ND01  0787460014 TAI VietinBank</t>
        </is>
      </c>
    </row>
    <row r="1244" ht="14.25" customFormat="1" customHeight="1" s="43">
      <c r="A1244" s="43" t="inlineStr">
        <is>
          <t>13-Oct-25</t>
        </is>
      </c>
      <c r="B1244" s="43" t="inlineStr">
        <is>
          <t>I69705</t>
        </is>
      </c>
      <c r="C1244" s="44" t="inlineStr">
        <is>
          <t>25805900069</t>
        </is>
      </c>
      <c r="D1244" s="43" t="inlineStr">
        <is>
          <t>Buøi Nguyeãn Minh</t>
        </is>
      </c>
      <c r="E1244" s="43" t="inlineStr">
        <is>
          <t>Anh</t>
        </is>
      </c>
      <c r="F1244" s="43" t="inlineStr">
        <is>
          <t>28-Jun-04</t>
        </is>
      </c>
      <c r="G1244" s="43" t="inlineStr">
        <is>
          <t>LNH0925ND01</t>
        </is>
      </c>
      <c r="H1244" s="43" t="inlineStr">
        <is>
          <t>09AV Giao tiep QT (TS)</t>
        </is>
      </c>
      <c r="I1244" s="43" t="n">
        <v>5300000</v>
      </c>
      <c r="J1244" s="43" t="inlineStr">
        <is>
          <t>BUI NGUYEN MINH ANH BUI NGUYEN MINH ANH-25805900069-Lnh 0925nd01-0937974702 FT2528645820055 1 TAI TECHCOMBANK            HANOI</t>
        </is>
      </c>
    </row>
    <row r="1245" ht="14.25" customFormat="1" customHeight="1" s="43">
      <c r="A1245" s="43" t="inlineStr">
        <is>
          <t>13-Oct-25</t>
        </is>
      </c>
      <c r="B1245" s="43" t="inlineStr">
        <is>
          <t>I69706</t>
        </is>
      </c>
      <c r="C1245" s="43" t="inlineStr">
        <is>
          <t>25802800096</t>
        </is>
      </c>
      <c r="D1245" s="43" t="inlineStr">
        <is>
          <t>Traàn Gia</t>
        </is>
      </c>
      <c r="E1245" s="43" t="inlineStr">
        <is>
          <t>Huy</t>
        </is>
      </c>
      <c r="F1245" s="43" t="inlineStr">
        <is>
          <t>29-Dec-07</t>
        </is>
      </c>
      <c r="G1245" s="43" t="inlineStr">
        <is>
          <t>LNH0925ND01</t>
        </is>
      </c>
      <c r="H1245" s="43" t="inlineStr">
        <is>
          <t>09AV Giao tiep QT (TS)</t>
        </is>
      </c>
      <c r="I1245" s="43" t="n">
        <v>7415000</v>
      </c>
      <c r="J1245" s="43" t="inlineStr">
        <is>
          <t>TRAN VAN HOA TRAN GIA HUY  25802800096  LNH0925N D01  0977054779-131025-18 24 32 570 935 TAI Ngan hang a chau       IBT SMARLINK</t>
        </is>
      </c>
    </row>
    <row r="1246" ht="14.25" customFormat="1" customHeight="1" s="43">
      <c r="A1246" s="43" t="inlineStr">
        <is>
          <t>13-Oct-25</t>
        </is>
      </c>
      <c r="B1246" s="43" t="inlineStr">
        <is>
          <t>I69902</t>
        </is>
      </c>
      <c r="C1246" s="43" t="inlineStr">
        <is>
          <t>25807500215</t>
        </is>
      </c>
      <c r="D1246" s="43" t="inlineStr">
        <is>
          <t>Tröông Ngoïc Nhaõ</t>
        </is>
      </c>
      <c r="E1246" s="43" t="inlineStr">
        <is>
          <t>Ñoan</t>
        </is>
      </c>
      <c r="F1246" s="43" t="inlineStr">
        <is>
          <t>06-Dec-07</t>
        </is>
      </c>
      <c r="G1246" s="43" t="inlineStr">
        <is>
          <t>LNH0925ND01</t>
        </is>
      </c>
      <c r="H1246" s="43" t="inlineStr">
        <is>
          <t>09AV Giao tiep QT (TS)</t>
        </is>
      </c>
      <c r="I1246" s="43" t="n">
        <v>300000</v>
      </c>
      <c r="J1246" s="43" t="inlineStr">
        <is>
          <t>SACOMBANK IBFT truong ngoc nha doan2580750021 5 LNH0925ND01 0829259942 TAI SACOMBANK              HCM</t>
        </is>
      </c>
    </row>
    <row r="1247" ht="14.25" customFormat="1" customHeight="1" s="43">
      <c r="A1247" s="43" t="inlineStr">
        <is>
          <t>14-Oct-25</t>
        </is>
      </c>
      <c r="B1247" s="43" t="inlineStr">
        <is>
          <t>I70083</t>
        </is>
      </c>
      <c r="C1247" s="43" t="inlineStr">
        <is>
          <t>25800400294</t>
        </is>
      </c>
      <c r="D1247" s="43" t="inlineStr">
        <is>
          <t>Ñinh Ngoïc Xuaân</t>
        </is>
      </c>
      <c r="E1247" s="43" t="inlineStr">
        <is>
          <t>Giang</t>
        </is>
      </c>
      <c r="F1247" s="43" t="inlineStr">
        <is>
          <t>10-Mar-07</t>
        </is>
      </c>
      <c r="G1247" s="43" t="inlineStr">
        <is>
          <t>LNH0925ND01</t>
        </is>
      </c>
      <c r="H1247" s="43" t="inlineStr">
        <is>
          <t>09AV Giao tiep QT (TS)</t>
        </is>
      </c>
      <c r="I1247" s="43" t="n">
        <v>7415000</v>
      </c>
      <c r="J1247" s="43" t="inlineStr">
        <is>
          <t>SACOMBANK IBFT Dinh ngoc xuan giang .Mssv2580 0400294.LNH0925ND01 .sdt 0965120376 TAI SACOMBANK              HCM</t>
        </is>
      </c>
    </row>
    <row r="1248" ht="14.25" customFormat="1" customHeight="1" s="43">
      <c r="A1248" s="43" t="inlineStr">
        <is>
          <t>14-Oct-25</t>
        </is>
      </c>
      <c r="B1248" s="43" t="inlineStr">
        <is>
          <t>I70088</t>
        </is>
      </c>
      <c r="C1248" s="43" t="inlineStr">
        <is>
          <t>25806300022</t>
        </is>
      </c>
      <c r="D1248" s="43" t="inlineStr">
        <is>
          <t>Nguyeãn Tuaán</t>
        </is>
      </c>
      <c r="E1248" s="43" t="inlineStr">
        <is>
          <t>Kieät</t>
        </is>
      </c>
      <c r="F1248" s="43" t="inlineStr">
        <is>
          <t>08-Jan-07</t>
        </is>
      </c>
      <c r="G1248" s="43" t="inlineStr">
        <is>
          <t>LNH0925ND01</t>
        </is>
      </c>
      <c r="H1248" s="43" t="inlineStr">
        <is>
          <t>09AV Giao tiep QT (TS)</t>
        </is>
      </c>
      <c r="I1248" s="43" t="n">
        <v>7415000</v>
      </c>
      <c r="J1248" s="43" t="inlineStr">
        <is>
          <t>MBVBANK IBFT NGUYEN TUAN KIET chuyen tien TAI OJB MOBILE BANKING     HANOI</t>
        </is>
      </c>
    </row>
    <row r="1249" ht="14.25" customFormat="1" customHeight="1" s="43">
      <c r="A1249" s="43" t="inlineStr">
        <is>
          <t>15-Oct-25</t>
        </is>
      </c>
      <c r="B1249" s="43" t="inlineStr">
        <is>
          <t>I70102</t>
        </is>
      </c>
      <c r="C1249" s="43" t="inlineStr">
        <is>
          <t>25805900069</t>
        </is>
      </c>
      <c r="D1249" s="43" t="inlineStr">
        <is>
          <t>Buøi Nguyeãn Minh</t>
        </is>
      </c>
      <c r="E1249" s="43" t="inlineStr">
        <is>
          <t>Anh</t>
        </is>
      </c>
      <c r="F1249" s="43" t="inlineStr">
        <is>
          <t>28-Jun-04</t>
        </is>
      </c>
      <c r="G1249" s="43" t="inlineStr">
        <is>
          <t>LNH0925ND01</t>
        </is>
      </c>
      <c r="H1249" s="43" t="inlineStr">
        <is>
          <t>09AV Giao tiep QT (TS)</t>
        </is>
      </c>
      <c r="I1249" s="43" t="n">
        <v>2115000</v>
      </c>
      <c r="J1249" s="43" t="inlineStr">
        <is>
          <t>DIEP THANH AN bui nguyen minh anh 25805900069 LNH 0925ND01 TAI VietinBank</t>
        </is>
      </c>
    </row>
    <row r="1250" ht="14.25" customFormat="1" customHeight="1" s="43">
      <c r="A1250" s="43" t="inlineStr">
        <is>
          <t>21-Oct-25</t>
        </is>
      </c>
      <c r="B1250" s="43" t="inlineStr">
        <is>
          <t>I71071</t>
        </is>
      </c>
      <c r="C1250" s="43" t="inlineStr">
        <is>
          <t>25820200051</t>
        </is>
      </c>
      <c r="D1250" s="43" t="inlineStr">
        <is>
          <t>Nguyeãn Troïng</t>
        </is>
      </c>
      <c r="E1250" s="43" t="inlineStr">
        <is>
          <t>Phuùc</t>
        </is>
      </c>
      <c r="F1250" s="43" t="inlineStr">
        <is>
          <t>06-Feb-07</t>
        </is>
      </c>
      <c r="G1250" s="43" t="inlineStr">
        <is>
          <t>LNH0925ND01</t>
        </is>
      </c>
      <c r="H1250" s="43" t="inlineStr">
        <is>
          <t>09AV Giao tiep QT (TS)</t>
        </is>
      </c>
      <c r="I1250" s="43" t="n">
        <v>7415000</v>
      </c>
      <c r="J1250" s="43" t="inlineStr">
        <is>
          <t>NGUYEN TRONG PHUC NGUYEN TRONG PHUC  25820200051  LNH 0925ND01  0909078285 TAI IBT BIDV                 HANOI</t>
        </is>
      </c>
    </row>
    <row r="1251" ht="14.25" customFormat="1" customHeight="1" s="43">
      <c r="A1251" s="43" t="inlineStr">
        <is>
          <t>22-Oct-25</t>
        </is>
      </c>
      <c r="B1251" s="43" t="inlineStr">
        <is>
          <t>I71269</t>
        </is>
      </c>
      <c r="C1251" s="43" t="inlineStr">
        <is>
          <t>25802600110</t>
        </is>
      </c>
      <c r="D1251" s="43" t="inlineStr">
        <is>
          <t>Nguyeãn Traàn Nhaät</t>
        </is>
      </c>
      <c r="E1251" s="43" t="inlineStr">
        <is>
          <t>Thanh</t>
        </is>
      </c>
      <c r="F1251" s="43" t="inlineStr">
        <is>
          <t>28-Jun-07</t>
        </is>
      </c>
      <c r="G1251" s="43" t="inlineStr">
        <is>
          <t>LNH0925ND01</t>
        </is>
      </c>
      <c r="H1251" s="43" t="inlineStr">
        <is>
          <t>09AV Giao tiep QT (TS)</t>
        </is>
      </c>
      <c r="I1251" s="43" t="n">
        <v>415000</v>
      </c>
      <c r="J1251" s="43" t="inlineStr">
        <is>
          <t>DIEP THANH AN nguyen tran nhat thanh 25802600110 LNH0925ND01 0919218221 TAI VietinBank</t>
        </is>
      </c>
    </row>
    <row r="1252" ht="14.25" customFormat="1" customHeight="1" s="43">
      <c r="A1252" s="43" t="inlineStr">
        <is>
          <t>22-Oct-25</t>
        </is>
      </c>
      <c r="B1252" s="43" t="inlineStr">
        <is>
          <t>I71270</t>
        </is>
      </c>
      <c r="C1252" s="43" t="inlineStr">
        <is>
          <t>25807500016</t>
        </is>
      </c>
      <c r="D1252" s="43" t="inlineStr">
        <is>
          <t>Nguyeãn Cao Thaùi</t>
        </is>
      </c>
      <c r="E1252" s="43" t="inlineStr">
        <is>
          <t>Duy</t>
        </is>
      </c>
      <c r="F1252" s="43" t="inlineStr">
        <is>
          <t>18-Jan-07</t>
        </is>
      </c>
      <c r="G1252" s="43" t="inlineStr">
        <is>
          <t>LNH0925ND01</t>
        </is>
      </c>
      <c r="H1252" s="43" t="inlineStr">
        <is>
          <t>09AV Giao tiep QT (TS)</t>
        </is>
      </c>
      <c r="I1252" s="43" t="n">
        <v>7415000</v>
      </c>
      <c r="J1252" s="43" t="inlineStr">
        <is>
          <t>MBBANK IBFT 104838716077 NGUYEN CAO THAI DUY ms sv 25807500016 LNH0925ND01 09282645 15 CHUYEN TIEN OQCH00036bYC MOMO104 838716077MOMO TAI IBT-MB                   HANOI</t>
        </is>
      </c>
    </row>
    <row r="1253" ht="14.25" customFormat="1" customHeight="1" s="43">
      <c r="A1253" s="43" t="inlineStr">
        <is>
          <t>24-Oct-25</t>
        </is>
      </c>
      <c r="B1253" s="43" t="inlineStr">
        <is>
          <t>I71641</t>
        </is>
      </c>
      <c r="C1253" s="43" t="inlineStr">
        <is>
          <t>25802800061</t>
        </is>
      </c>
      <c r="D1253" s="43" t="inlineStr">
        <is>
          <t>Phan Tröông Bích</t>
        </is>
      </c>
      <c r="E1253" s="43" t="inlineStr">
        <is>
          <t>Haèng</t>
        </is>
      </c>
      <c r="F1253" s="43" t="inlineStr">
        <is>
          <t>03-Jan-07</t>
        </is>
      </c>
      <c r="G1253" s="43" t="inlineStr">
        <is>
          <t>LNH0925ND01</t>
        </is>
      </c>
      <c r="H1253" s="43" t="inlineStr">
        <is>
          <t>09AV Giao tiep QT (TS)</t>
        </is>
      </c>
      <c r="I1253" s="43" t="n">
        <v>7415000</v>
      </c>
      <c r="J1253" s="43" t="inlineStr">
        <is>
          <t>DIEP THANH AN phan truong bich hang 25802800061 L NH0925ND01 0903193100 TAI VietinBank</t>
        </is>
      </c>
    </row>
    <row r="1254" ht="14.25" customFormat="1" customHeight="1" s="43">
      <c r="A1254" s="43" t="inlineStr">
        <is>
          <t>28-Oct-25</t>
        </is>
      </c>
      <c r="B1254" s="43" t="inlineStr">
        <is>
          <t>I72429</t>
        </is>
      </c>
      <c r="C1254" s="43" t="inlineStr">
        <is>
          <t>25805900128</t>
        </is>
      </c>
      <c r="D1254" s="43" t="inlineStr">
        <is>
          <t>Huyønh Traø Sôn</t>
        </is>
      </c>
      <c r="E1254" s="43" t="inlineStr">
        <is>
          <t>Tuøng</t>
        </is>
      </c>
      <c r="F1254" s="43" t="inlineStr">
        <is>
          <t xml:space="preserve">  -   -</t>
        </is>
      </c>
      <c r="G1254" s="43" t="inlineStr">
        <is>
          <t>LNH0925ND01</t>
        </is>
      </c>
      <c r="H1254" s="43" t="inlineStr">
        <is>
          <t>09AV Giao tiep QT (TS)</t>
        </is>
      </c>
      <c r="I1254" s="43" t="n">
        <v>7415000</v>
      </c>
      <c r="J1254" s="43" t="inlineStr">
        <is>
          <t>MBBANK IBFT Huynh Tra Son Tung 25805900128 lnh0 924nd01 0363746791 TAI IBT-MB                   HANOI</t>
        </is>
      </c>
    </row>
    <row r="1255" ht="14.25" customFormat="1" customHeight="1" s="43">
      <c r="A1255" s="43" t="inlineStr">
        <is>
          <t>28-Oct-25</t>
        </is>
      </c>
      <c r="B1255" s="43" t="inlineStr">
        <is>
          <t>I72512</t>
        </is>
      </c>
      <c r="C1255" s="43" t="inlineStr">
        <is>
          <t>25809600060</t>
        </is>
      </c>
      <c r="D1255" s="43" t="inlineStr">
        <is>
          <t>Ñoã Ñöùc</t>
        </is>
      </c>
      <c r="E1255" s="43" t="inlineStr">
        <is>
          <t>Taøi</t>
        </is>
      </c>
      <c r="F1255" s="43" t="inlineStr">
        <is>
          <t xml:space="preserve">  -   -</t>
        </is>
      </c>
      <c r="G1255" s="43" t="inlineStr">
        <is>
          <t>LNH0925ND01</t>
        </is>
      </c>
      <c r="H1255" s="43" t="inlineStr">
        <is>
          <t>09AV Giao tiep QT (TS)</t>
        </is>
      </c>
      <c r="I1255" s="43" t="n">
        <v>7515000</v>
      </c>
      <c r="J1255" s="43" t="inlineStr">
        <is>
          <t>MBBANK IBFT Ho ten  Do Duc Tai Mssv  25809600060 Ma chuyen khoan LNH0925ND01   Sdt  0933617199 TAI IBT-MB                   HANOI</t>
        </is>
      </c>
    </row>
    <row r="1256" ht="14.25" customFormat="1" customHeight="1" s="43">
      <c r="A1256" s="43" t="inlineStr">
        <is>
          <t>29-Oct-25</t>
        </is>
      </c>
      <c r="B1256" s="43" t="inlineStr">
        <is>
          <t>I72652</t>
        </is>
      </c>
      <c r="C1256" s="43" t="inlineStr">
        <is>
          <t>25808800046</t>
        </is>
      </c>
      <c r="D1256" s="43" t="inlineStr">
        <is>
          <t>Buøi Ñöùc</t>
        </is>
      </c>
      <c r="E1256" s="43" t="inlineStr">
        <is>
          <t>Thaéng</t>
        </is>
      </c>
      <c r="F1256" s="43" t="inlineStr">
        <is>
          <t xml:space="preserve">  -   -</t>
        </is>
      </c>
      <c r="G1256" s="43" t="inlineStr">
        <is>
          <t>LNH0925ND01</t>
        </is>
      </c>
      <c r="H1256" s="43" t="inlineStr">
        <is>
          <t>09AV Giao tiep QT (TS)</t>
        </is>
      </c>
      <c r="I1256" s="43" t="n">
        <v>3465000</v>
      </c>
      <c r="J1256" s="43" t="inlineStr">
        <is>
          <t>MBBANK IBFT Bui Duc Thang 25808800046   LNH0925 ND01 sdt0983034482 TAI IBT-MB                   HANOI</t>
        </is>
      </c>
    </row>
    <row r="1257">
      <c r="A1257" s="1" t="inlineStr">
        <is>
          <t>30-Oct-25</t>
        </is>
      </c>
      <c r="B1257" s="1" t="inlineStr">
        <is>
          <t>I72690</t>
        </is>
      </c>
      <c r="C1257" s="1" t="inlineStr">
        <is>
          <t>25801200009</t>
        </is>
      </c>
      <c r="D1257" s="1" t="inlineStr">
        <is>
          <t>Leâ Troïng</t>
        </is>
      </c>
      <c r="E1257" s="1" t="inlineStr">
        <is>
          <t>Ñaïi</t>
        </is>
      </c>
      <c r="F1257" s="1" t="inlineStr">
        <is>
          <t xml:space="preserve">  -   -</t>
        </is>
      </c>
      <c r="G1257" s="1" t="inlineStr">
        <is>
          <t>LNH0925ND01</t>
        </is>
      </c>
      <c r="H1257" s="1" t="inlineStr">
        <is>
          <t>09AV Giao tiep QT (TS)</t>
        </is>
      </c>
      <c r="I1257" s="1" t="n">
        <v>3000000</v>
      </c>
      <c r="J1257" s="1" t="inlineStr">
        <is>
          <t>LE TRONG GIAP LeTrongDai 25801200009 LNH0925ND01 0378053643 TAI IBT EIB                  HCMC</t>
        </is>
      </c>
    </row>
    <row r="1258">
      <c r="A1258" s="1" t="inlineStr">
        <is>
          <t>30-Oct-25</t>
        </is>
      </c>
      <c r="B1258" s="1" t="inlineStr">
        <is>
          <t>I72734</t>
        </is>
      </c>
      <c r="C1258" s="1" t="inlineStr">
        <is>
          <t>25802100067</t>
        </is>
      </c>
      <c r="D1258" s="1" t="inlineStr">
        <is>
          <t>Nguyeãn Haø Haïnh</t>
        </is>
      </c>
      <c r="E1258" s="1" t="inlineStr">
        <is>
          <t>Phöông</t>
        </is>
      </c>
      <c r="F1258" s="1" t="inlineStr">
        <is>
          <t xml:space="preserve">  -   -</t>
        </is>
      </c>
      <c r="G1258" s="1" t="inlineStr">
        <is>
          <t>LNH0925ND01</t>
        </is>
      </c>
      <c r="H1258" s="1" t="inlineStr">
        <is>
          <t>09AV Giao tiep QT (TS)</t>
        </is>
      </c>
      <c r="I1258" s="1" t="n">
        <v>7415000</v>
      </c>
      <c r="J1258" s="1" t="inlineStr">
        <is>
          <t>MBBANK IBFT 105592184983 Nguyen Ha Hanh Phuong MSSV 25802100067 Lnh0925nd01DT 0327 520952 CHUYEN TIEN OQCH0003Igpt MOM O105592184983MOMO TAI IBT-MB                   HANOI</t>
        </is>
      </c>
    </row>
    <row r="1259">
      <c r="A1259" s="1" t="inlineStr">
        <is>
          <t>30-Oct-25</t>
        </is>
      </c>
      <c r="B1259" s="1" t="inlineStr">
        <is>
          <t>I72850</t>
        </is>
      </c>
      <c r="C1259" s="1" t="inlineStr">
        <is>
          <t>25802700078</t>
        </is>
      </c>
      <c r="D1259" s="1" t="inlineStr">
        <is>
          <t>Nguyeãn Leâ Phöông</t>
        </is>
      </c>
      <c r="E1259" s="1" t="inlineStr">
        <is>
          <t>Thaûo</t>
        </is>
      </c>
      <c r="F1259" s="1" t="inlineStr">
        <is>
          <t xml:space="preserve">  -   -</t>
        </is>
      </c>
      <c r="G1259" s="1" t="inlineStr">
        <is>
          <t>LNH0925ND01</t>
        </is>
      </c>
      <c r="H1259" s="1" t="inlineStr">
        <is>
          <t>09AV Giao tiep QT (TS)</t>
        </is>
      </c>
      <c r="I1259" s="1" t="n">
        <v>1600000</v>
      </c>
      <c r="J1259" s="1" t="inlineStr">
        <is>
          <t>MBVBANK IBFT NGUYEN LE PHUONG THAO  mssv 25802700078 sdt 0901625108 ma ck LNH0925ND 01 hoc lv2 tieng anh TAI IBT-MBV                HANOI</t>
        </is>
      </c>
    </row>
    <row r="1260">
      <c r="A1260" s="1" t="inlineStr">
        <is>
          <t>31-Oct-25</t>
        </is>
      </c>
      <c r="B1260" s="1" t="inlineStr">
        <is>
          <t>I72964</t>
        </is>
      </c>
      <c r="C1260" s="1" t="inlineStr">
        <is>
          <t>25808700067</t>
        </is>
      </c>
      <c r="D1260" s="1" t="inlineStr">
        <is>
          <t>Nguyeãn Thò Yeán</t>
        </is>
      </c>
      <c r="E1260" s="1" t="inlineStr">
        <is>
          <t>Nhi</t>
        </is>
      </c>
      <c r="F1260" s="1" t="inlineStr">
        <is>
          <t xml:space="preserve">  -   -</t>
        </is>
      </c>
      <c r="G1260" s="1" t="inlineStr">
        <is>
          <t>LNH0925ND01</t>
        </is>
      </c>
      <c r="H1260" s="1" t="inlineStr">
        <is>
          <t>09AV Giao tiep QT (TS)</t>
        </is>
      </c>
      <c r="I1260" s="1" t="n">
        <v>7415000</v>
      </c>
      <c r="J1260" s="1" t="inlineStr">
        <is>
          <t>NGUYEN TIEN DUNG MBVCB.11524511850.612068.Nguyen Thi Yen nhi .25808700067.LNH0925ND01.0 929477411.CT tu 1051615952 NGUYEN T IEN DUNG toi 0521043748045 HUTECH tai ABBANK TAI Vietcombank</t>
        </is>
      </c>
    </row>
    <row r="1261">
      <c r="A1261" s="1" t="inlineStr">
        <is>
          <t>31-Oct-25</t>
        </is>
      </c>
      <c r="B1261" s="1" t="inlineStr">
        <is>
          <t>I73107</t>
        </is>
      </c>
      <c r="C1261" s="1" t="inlineStr">
        <is>
          <t>25808700077</t>
        </is>
      </c>
      <c r="D1261" s="1" t="inlineStr">
        <is>
          <t>Traàn Thanh</t>
        </is>
      </c>
      <c r="E1261" s="1" t="inlineStr">
        <is>
          <t>Phong</t>
        </is>
      </c>
      <c r="F1261" s="1" t="inlineStr">
        <is>
          <t xml:space="preserve">  -   -</t>
        </is>
      </c>
      <c r="G1261" s="1" t="inlineStr">
        <is>
          <t>LNH0925ND01</t>
        </is>
      </c>
      <c r="H1261" s="1" t="inlineStr">
        <is>
          <t>09AV Giao tiep QT (TS)</t>
        </is>
      </c>
      <c r="I1261" s="1" t="n">
        <v>7415000</v>
      </c>
      <c r="J1261" s="1" t="inlineStr">
        <is>
          <t>TRAN THANH PHONG Tran Thanh Phong 25808700077 LNH092 5ND01 0332003089 TAI IBT TIENPHONGBANK      HANOI</t>
        </is>
      </c>
    </row>
    <row r="1262">
      <c r="A1262" s="1" t="inlineStr">
        <is>
          <t>03-Nov-25</t>
        </is>
      </c>
      <c r="B1262" s="1" t="inlineStr">
        <is>
          <t>I73313</t>
        </is>
      </c>
      <c r="C1262" s="1" t="inlineStr">
        <is>
          <t>25808700190</t>
        </is>
      </c>
      <c r="D1262" s="1" t="inlineStr">
        <is>
          <t>Leâ Minh</t>
        </is>
      </c>
      <c r="E1262" s="1" t="inlineStr">
        <is>
          <t>Long</t>
        </is>
      </c>
      <c r="F1262" s="1" t="inlineStr">
        <is>
          <t>28-Mar-07</t>
        </is>
      </c>
      <c r="G1262" s="1" t="inlineStr">
        <is>
          <t>LNH0925ND01</t>
        </is>
      </c>
      <c r="H1262" s="1" t="inlineStr">
        <is>
          <t>09AV Giao tiep QT (TS)</t>
        </is>
      </c>
      <c r="I1262" s="1" t="n">
        <v>7415000</v>
      </c>
      <c r="J1262" s="1" t="inlineStr">
        <is>
          <t>DUONG KIM HA Le Minh Long 25808700190 LNH0925ND0 1 0389421491 FT25307245901702 TAI TECHCOMBANK            HANOI</t>
        </is>
      </c>
    </row>
    <row r="1263">
      <c r="A1263" s="1" t="inlineStr">
        <is>
          <t>04-Nov-25</t>
        </is>
      </c>
      <c r="B1263" s="1" t="inlineStr">
        <is>
          <t>I73767</t>
        </is>
      </c>
      <c r="C1263" s="1" t="inlineStr">
        <is>
          <t>25805800017</t>
        </is>
      </c>
      <c r="D1263" s="1" t="inlineStr">
        <is>
          <t>Ñaëng Hoaøng</t>
        </is>
      </c>
      <c r="E1263" s="1" t="inlineStr">
        <is>
          <t>Khoâi</t>
        </is>
      </c>
      <c r="F1263" s="1" t="inlineStr">
        <is>
          <t>18-May-07</t>
        </is>
      </c>
      <c r="G1263" s="1" t="inlineStr">
        <is>
          <t>LNH0925ND01</t>
        </is>
      </c>
      <c r="H1263" s="1" t="inlineStr">
        <is>
          <t>09AV Giao tiep QT (TS)</t>
        </is>
      </c>
      <c r="I1263" s="1" t="n">
        <v>2600000</v>
      </c>
      <c r="J1263" s="1" t="inlineStr">
        <is>
          <t>HOANG THI THU TRANG MBVCB.11573909500.361583.dang hoang khoi   25805800017   LNH0925ND01 0766180507.CT tu 0251002776665 HOA NG THI THU TRANG toi 0521043748045HUTECH tai ABBANK TAI Vietcombank</t>
        </is>
      </c>
    </row>
    <row r="1264">
      <c r="A1264" s="1" t="inlineStr">
        <is>
          <t>10-Nov-25</t>
        </is>
      </c>
      <c r="B1264" s="1" t="inlineStr">
        <is>
          <t>I74775</t>
        </is>
      </c>
      <c r="C1264" s="1" t="inlineStr">
        <is>
          <t>25808900066</t>
        </is>
      </c>
      <c r="D1264" s="1" t="inlineStr">
        <is>
          <t>Nguyeãn Vaên</t>
        </is>
      </c>
      <c r="E1264" s="1" t="inlineStr">
        <is>
          <t>Lai</t>
        </is>
      </c>
      <c r="F1264" s="1" t="inlineStr">
        <is>
          <t>20-Apr-07</t>
        </is>
      </c>
      <c r="G1264" s="1" t="inlineStr">
        <is>
          <t>LNH0925ND01</t>
        </is>
      </c>
      <c r="H1264" s="1" t="inlineStr">
        <is>
          <t>09AV Giao tiep QT (TS)</t>
        </is>
      </c>
      <c r="I1264" s="1" t="n">
        <v>1700000</v>
      </c>
      <c r="J1264" s="1" t="inlineStr">
        <is>
          <t>VND-TGTT-NGUYEN VAN LAI Nguyen Van Lai  25808900066  LNH092 5ND01  0798545633 FT25314352032538 TAI TECHCOMBANK            HANOI</t>
        </is>
      </c>
    </row>
    <row r="1265">
      <c r="A1265" s="1" t="inlineStr">
        <is>
          <t>17-Nov-25</t>
        </is>
      </c>
      <c r="B1265" s="1" t="inlineStr">
        <is>
          <t>I76588</t>
        </is>
      </c>
      <c r="C1265" s="1" t="inlineStr">
        <is>
          <t>25802800250</t>
        </is>
      </c>
      <c r="D1265" s="1" t="inlineStr">
        <is>
          <t>Mai Thanh</t>
        </is>
      </c>
      <c r="E1265" s="1" t="inlineStr">
        <is>
          <t>Thuùy</t>
        </is>
      </c>
      <c r="F1265" s="1" t="inlineStr">
        <is>
          <t>15-Jun-07</t>
        </is>
      </c>
      <c r="G1265" s="1" t="inlineStr">
        <is>
          <t>LNH0925ND01</t>
        </is>
      </c>
      <c r="H1265" s="1" t="inlineStr">
        <is>
          <t>09AV Giao tiep QT (TS)</t>
        </is>
      </c>
      <c r="I1265" s="1" t="n">
        <v>3990000</v>
      </c>
      <c r="J1265" s="1" t="inlineStr">
        <is>
          <t>TRAN THI NGOC THANH MAI THANH THUY 25802800250 LNH0925N D01 0766826127-161125-12 03 02 3765 36 TAI Ngan hang a chau       IBT SMARLINK</t>
        </is>
      </c>
    </row>
  </sheetData>
  <autoFilter ref="A1:J1265"/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J65"/>
  <sheetViews>
    <sheetView topLeftCell="C1" zoomScale="323" zoomScaleNormal="92" workbookViewId="0">
      <selection activeCell="C34" sqref="A1:J65"/>
    </sheetView>
  </sheetViews>
  <sheetFormatPr baseColWidth="8" defaultColWidth="8.85546875" defaultRowHeight="12.75"/>
  <cols>
    <col width="8" customWidth="1" style="1" min="1" max="1"/>
    <col width="6" customWidth="1" style="1" min="2" max="2"/>
    <col width="13" customWidth="1" style="1" min="3" max="3"/>
    <col width="22" customWidth="1" style="1" min="4" max="4"/>
    <col width="7" customWidth="1" style="1" min="5" max="5"/>
    <col width="8" customWidth="1" style="1" min="6" max="6"/>
    <col width="15.28515625" customWidth="1" style="1" min="7" max="7"/>
    <col width="26.42578125" customWidth="1" style="1" min="8" max="8"/>
    <col width="16" customWidth="1" style="1" min="9" max="9"/>
    <col width="36.28515625" customWidth="1" style="1" min="10" max="10"/>
    <col width="8.85546875" customWidth="1" style="1" min="11" max="16384"/>
  </cols>
  <sheetData>
    <row r="1">
      <c r="A1" s="1" t="inlineStr">
        <is>
          <t>ngaynt</t>
        </is>
      </c>
      <c r="B1" s="1" t="inlineStr">
        <is>
          <t>sobl</t>
        </is>
      </c>
      <c r="C1" s="1" t="inlineStr">
        <is>
          <t>masv</t>
        </is>
      </c>
      <c r="D1" s="1" t="inlineStr">
        <is>
          <t>hosv</t>
        </is>
      </c>
      <c r="E1" s="1" t="inlineStr">
        <is>
          <t>tensv</t>
        </is>
      </c>
      <c r="F1" s="1" t="inlineStr">
        <is>
          <t>ngaysinh</t>
        </is>
      </c>
      <c r="G1" s="1" t="inlineStr">
        <is>
          <t>mamonhoc</t>
        </is>
      </c>
      <c r="H1" s="1" t="inlineStr">
        <is>
          <t>tenmonhoc</t>
        </is>
      </c>
      <c r="I1" s="1" t="inlineStr">
        <is>
          <t>danop</t>
        </is>
      </c>
      <c r="J1" s="1" t="inlineStr">
        <is>
          <t>lienhe</t>
        </is>
      </c>
    </row>
    <row r="2" hidden="1" s="87">
      <c r="A2" s="1" t="inlineStr">
        <is>
          <t>23-Aug-25</t>
        </is>
      </c>
      <c r="B2" s="1" t="inlineStr">
        <is>
          <t>I60228</t>
        </is>
      </c>
      <c r="C2" s="1" t="inlineStr">
        <is>
          <t>25802800108</t>
        </is>
      </c>
      <c r="D2" s="1" t="inlineStr">
        <is>
          <t>Voõ Traàn Baûo</t>
        </is>
      </c>
      <c r="E2" s="1" t="inlineStr">
        <is>
          <t>Khang</t>
        </is>
      </c>
      <c r="F2" s="1" t="inlineStr">
        <is>
          <t>19-Sep-07</t>
        </is>
      </c>
      <c r="G2" s="1" t="inlineStr">
        <is>
          <t>LNH0925NL01</t>
        </is>
      </c>
      <c r="H2" s="1" t="inlineStr">
        <is>
          <t>09AV Toeic 2 KN</t>
        </is>
      </c>
      <c r="I2" s="1" t="n">
        <v>1000000</v>
      </c>
      <c r="J2" s="1" t="inlineStr">
        <is>
          <t>TRAN THI BE TI QR - vo tran bao khang..25802800108 ..LNH0925NL01..0931097039... TAI VietinBank</t>
        </is>
      </c>
    </row>
    <row r="3" hidden="1" s="87">
      <c r="A3" s="1" t="inlineStr">
        <is>
          <t>23-Aug-25</t>
        </is>
      </c>
      <c r="B3" s="1" t="inlineStr">
        <is>
          <t>I60229</t>
        </is>
      </c>
      <c r="C3" s="1" t="inlineStr">
        <is>
          <t>25820200039</t>
        </is>
      </c>
      <c r="D3" s="1" t="inlineStr">
        <is>
          <t>Nguyeãn Hoàng Lan</t>
        </is>
      </c>
      <c r="E3" s="1" t="inlineStr">
        <is>
          <t>Mai</t>
        </is>
      </c>
      <c r="F3" s="1" t="inlineStr">
        <is>
          <t>09-Jan-07</t>
        </is>
      </c>
      <c r="G3" s="1" t="inlineStr">
        <is>
          <t>LNH0925NL01</t>
        </is>
      </c>
      <c r="H3" s="1" t="inlineStr">
        <is>
          <t>09AV Toeic 2 KN</t>
        </is>
      </c>
      <c r="I3" s="1" t="n">
        <v>1000000</v>
      </c>
      <c r="J3" s="1" t="inlineStr">
        <is>
          <t>NGUYEN VAN LONG ABBank 0521043748045 Nguyen Hong La n Mai 25820200039 LNH0925NL01  0814 345386 TAI Agribank</t>
        </is>
      </c>
    </row>
    <row r="4" hidden="1" s="87">
      <c r="A4" s="1" t="inlineStr">
        <is>
          <t>25-Aug-25</t>
        </is>
      </c>
      <c r="B4" s="1" t="inlineStr">
        <is>
          <t>I60232</t>
        </is>
      </c>
      <c r="C4" s="1" t="inlineStr">
        <is>
          <t>25808200103</t>
        </is>
      </c>
      <c r="D4" s="1" t="inlineStr">
        <is>
          <t>Vuõ Hoaøng</t>
        </is>
      </c>
      <c r="E4" s="1" t="inlineStr">
        <is>
          <t>Phuùc</t>
        </is>
      </c>
      <c r="F4" s="1" t="inlineStr">
        <is>
          <t>03-Nov-07</t>
        </is>
      </c>
      <c r="G4" s="1" t="inlineStr">
        <is>
          <t>LNH0925NL01</t>
        </is>
      </c>
      <c r="H4" s="1" t="inlineStr">
        <is>
          <t>09AV Toeic 2 KN</t>
        </is>
      </c>
      <c r="I4" s="1" t="n">
        <v>1000000</v>
      </c>
      <c r="J4" s="1" t="inlineStr">
        <is>
          <t>VU HOANG PHUC MBVCB.10673300881.833021.Vu Hoang P huc 25808200103  LNH0925NL01 034747 2097  tien coc.CT tu 1347472097 VU HOANG PHUC toi 0521043748045 HUTECHtai ABBANK TAI Vietcombank</t>
        </is>
      </c>
    </row>
    <row r="5" hidden="1" s="87">
      <c r="A5" s="1" t="inlineStr">
        <is>
          <t>25-Aug-25</t>
        </is>
      </c>
      <c r="B5" s="1" t="inlineStr">
        <is>
          <t>I60233</t>
        </is>
      </c>
      <c r="C5" s="1" t="inlineStr">
        <is>
          <t>25807800066</t>
        </is>
      </c>
      <c r="D5" s="1" t="inlineStr">
        <is>
          <t>Ñinh Duy Anh</t>
        </is>
      </c>
      <c r="E5" s="1" t="inlineStr">
        <is>
          <t>Khoâi</t>
        </is>
      </c>
      <c r="F5" s="1" t="inlineStr">
        <is>
          <t>21-Jun-07</t>
        </is>
      </c>
      <c r="G5" s="1" t="inlineStr">
        <is>
          <t>LNH0925NL01</t>
        </is>
      </c>
      <c r="H5" s="1" t="inlineStr">
        <is>
          <t>09AV Toeic 2 KN</t>
        </is>
      </c>
      <c r="I5" s="1" t="n">
        <v>1000000</v>
      </c>
      <c r="J5" s="1" t="inlineStr">
        <is>
          <t>MOMOIBFT Dinh Duy Anh Khoi 25807800066 LNH09 25NL01 0876891666 TAI NH BAN VIET            412 NTMK</t>
        </is>
      </c>
    </row>
    <row r="6" hidden="1" s="87">
      <c r="A6" s="1" t="inlineStr">
        <is>
          <t>25-Aug-25</t>
        </is>
      </c>
      <c r="B6" s="1" t="inlineStr">
        <is>
          <t>I60234</t>
        </is>
      </c>
      <c r="C6" s="1" t="inlineStr">
        <is>
          <t>25805800023</t>
        </is>
      </c>
      <c r="D6" s="1" t="inlineStr">
        <is>
          <t>Buøi Thieän</t>
        </is>
      </c>
      <c r="E6" s="1" t="inlineStr">
        <is>
          <t>Nhaân</t>
        </is>
      </c>
      <c r="F6" s="1" t="inlineStr">
        <is>
          <t>06-Jan-07</t>
        </is>
      </c>
      <c r="G6" s="1" t="inlineStr">
        <is>
          <t>LNH0925NL01</t>
        </is>
      </c>
      <c r="H6" s="1" t="inlineStr">
        <is>
          <t>09AV Toeic 2 KN</t>
        </is>
      </c>
      <c r="I6" s="1" t="n">
        <v>1000000</v>
      </c>
      <c r="J6" s="1" t="inlineStr">
        <is>
          <t>NGUYEN THI HAI TRANG Bui Thien Nhan 25805800023 LNH0925N L01 038411851 TAI IBT BIDV                 HANOI</t>
        </is>
      </c>
    </row>
    <row r="7" hidden="1" s="87">
      <c r="A7" s="1" t="inlineStr">
        <is>
          <t>25-Aug-25</t>
        </is>
      </c>
      <c r="B7" s="1" t="inlineStr">
        <is>
          <t>I60235</t>
        </is>
      </c>
      <c r="C7" s="1" t="inlineStr">
        <is>
          <t>25808200042</t>
        </is>
      </c>
      <c r="D7" s="1" t="inlineStr">
        <is>
          <t>Nguyeãn Phi</t>
        </is>
      </c>
      <c r="E7" s="1" t="inlineStr">
        <is>
          <t>Hieäp</t>
        </is>
      </c>
      <c r="F7" s="1" t="inlineStr">
        <is>
          <t>14-Dec-07</t>
        </is>
      </c>
      <c r="G7" s="1" t="inlineStr">
        <is>
          <t>LNH0925NL01</t>
        </is>
      </c>
      <c r="H7" s="1" t="inlineStr">
        <is>
          <t>09AV Toeic 2 KN</t>
        </is>
      </c>
      <c r="I7" s="1" t="n">
        <v>1000000</v>
      </c>
      <c r="J7" s="1" t="inlineStr">
        <is>
          <t>DIEU THI BICH HIEN nguyen phi hiep.25808200042.LNH0925 NL01.sdt.0342090432 TAI HDBank                 Ebanking</t>
        </is>
      </c>
    </row>
    <row r="8" hidden="1" s="87">
      <c r="A8" s="1" t="inlineStr">
        <is>
          <t>25-Aug-25</t>
        </is>
      </c>
      <c r="B8" s="1" t="inlineStr">
        <is>
          <t>I60236</t>
        </is>
      </c>
      <c r="C8" s="1" t="inlineStr">
        <is>
          <t>25802600075</t>
        </is>
      </c>
      <c r="D8" s="1" t="inlineStr">
        <is>
          <t>Huyønh Thanh Mai</t>
        </is>
      </c>
      <c r="E8" s="1" t="inlineStr">
        <is>
          <t>Ly</t>
        </is>
      </c>
      <c r="F8" s="1" t="inlineStr">
        <is>
          <t>26-Aug-07</t>
        </is>
      </c>
      <c r="G8" s="1" t="inlineStr">
        <is>
          <t>LNH0925NL01</t>
        </is>
      </c>
      <c r="H8" s="1" t="inlineStr">
        <is>
          <t>09AV Toeic 2 KN</t>
        </is>
      </c>
      <c r="I8" s="1" t="n">
        <v>1000000</v>
      </c>
      <c r="J8" s="1" t="inlineStr">
        <is>
          <t>TRAN THI THANH MAI QR - Huynh Thanh Mai Ly 25802600075 LNH0925NL01 0886195059 TAI VietinBank</t>
        </is>
      </c>
    </row>
    <row r="9" hidden="1" s="87">
      <c r="A9" s="1" t="inlineStr">
        <is>
          <t>25-Aug-25</t>
        </is>
      </c>
      <c r="B9" s="1" t="inlineStr">
        <is>
          <t>I60237</t>
        </is>
      </c>
      <c r="C9" s="1" t="inlineStr">
        <is>
          <t>25803800012</t>
        </is>
      </c>
      <c r="D9" s="1" t="inlineStr">
        <is>
          <t>Leâ Thanh</t>
        </is>
      </c>
      <c r="E9" s="1" t="inlineStr">
        <is>
          <t>Ñaït</t>
        </is>
      </c>
      <c r="F9" s="1" t="inlineStr">
        <is>
          <t>16-Jul-07</t>
        </is>
      </c>
      <c r="G9" s="1" t="inlineStr">
        <is>
          <t>LNH0925NL01</t>
        </is>
      </c>
      <c r="H9" s="1" t="inlineStr">
        <is>
          <t>09AV Toeic 2 KN</t>
        </is>
      </c>
      <c r="I9" s="1" t="n">
        <v>1000000</v>
      </c>
      <c r="J9" s="1" t="inlineStr">
        <is>
          <t>LE THANH TU LETHANHDAT25803800012LNH0925NL01091 1840515-250825-15 38 13 545449 TAI Ngan hang a chau       IBT SMARLINK</t>
        </is>
      </c>
    </row>
    <row r="10" hidden="1" s="87">
      <c r="A10" s="1" t="inlineStr">
        <is>
          <t>25-Aug-25</t>
        </is>
      </c>
      <c r="B10" s="1" t="inlineStr">
        <is>
          <t>I60238</t>
        </is>
      </c>
      <c r="C10" s="1" t="inlineStr">
        <is>
          <t>25820200020</t>
        </is>
      </c>
      <c r="D10" s="1" t="inlineStr">
        <is>
          <t>Nguyeãn Nhaät</t>
        </is>
      </c>
      <c r="E10" s="1" t="inlineStr">
        <is>
          <t>Haøo</t>
        </is>
      </c>
      <c r="F10" s="1" t="inlineStr">
        <is>
          <t>28-Apr-07</t>
        </is>
      </c>
      <c r="G10" s="1" t="inlineStr">
        <is>
          <t>LNH0925NL01</t>
        </is>
      </c>
      <c r="H10" s="1" t="inlineStr">
        <is>
          <t>09AV Toeic 2 KN</t>
        </is>
      </c>
      <c r="I10" s="1" t="n">
        <v>1000000</v>
      </c>
      <c r="J10" s="1" t="inlineStr">
        <is>
          <t>TRAN THI THANH MAI QR - Nguyen Nhat Hao 25820200020 LN H0925NL01 0365125481 TAI VietinBank</t>
        </is>
      </c>
    </row>
    <row r="11" hidden="1" s="87">
      <c r="A11" s="1" t="inlineStr">
        <is>
          <t>25-Aug-25</t>
        </is>
      </c>
      <c r="B11" s="1" t="inlineStr">
        <is>
          <t>I60239</t>
        </is>
      </c>
      <c r="C11" s="1" t="inlineStr">
        <is>
          <t>25805900027</t>
        </is>
      </c>
      <c r="D11" s="1" t="inlineStr">
        <is>
          <t>Traàn Thò Ngoïc</t>
        </is>
      </c>
      <c r="E11" s="1" t="inlineStr">
        <is>
          <t>Nhi</t>
        </is>
      </c>
      <c r="F11" s="1" t="inlineStr">
        <is>
          <t>10-Nov-07</t>
        </is>
      </c>
      <c r="G11" s="1" t="inlineStr">
        <is>
          <t>LNH0925NL01</t>
        </is>
      </c>
      <c r="H11" s="1" t="inlineStr">
        <is>
          <t>09AV Toeic 2 KN</t>
        </is>
      </c>
      <c r="I11" s="1" t="n">
        <v>1000000</v>
      </c>
      <c r="J11" s="1" t="inlineStr">
        <is>
          <t>TRAN THI THANH MAI QR - Tran Thi Ngoc Nhi 25805900027 LHN0925NL01 0364169061 TAI VietinBank</t>
        </is>
      </c>
    </row>
    <row r="12" hidden="1" s="87">
      <c r="A12" s="1" t="inlineStr">
        <is>
          <t>25-Aug-25</t>
        </is>
      </c>
      <c r="B12" s="1" t="inlineStr">
        <is>
          <t>I60240</t>
        </is>
      </c>
      <c r="C12" s="1" t="inlineStr">
        <is>
          <t>25808900222</t>
        </is>
      </c>
      <c r="D12" s="1" t="inlineStr">
        <is>
          <t>Leâ Yeán</t>
        </is>
      </c>
      <c r="E12" s="1" t="inlineStr">
        <is>
          <t>Trang</t>
        </is>
      </c>
      <c r="F12" s="1" t="inlineStr">
        <is>
          <t>18-May-07</t>
        </is>
      </c>
      <c r="G12" s="1" t="inlineStr">
        <is>
          <t>LNH0925NL01</t>
        </is>
      </c>
      <c r="H12" s="1" t="inlineStr">
        <is>
          <t>09AV Toeic 2 KN</t>
        </is>
      </c>
      <c r="I12" s="1" t="n">
        <v>0</v>
      </c>
      <c r="J12" s="1" t="inlineStr">
        <is>
          <t>(rut hp)TRAN THI THANH MAI QR - Le Yen Trang 25808900222 LNH09 25NL01 0703480865 TAI VietinBank</t>
        </is>
      </c>
    </row>
    <row r="13">
      <c r="A13" s="1" t="inlineStr">
        <is>
          <t>26-Aug-25</t>
        </is>
      </c>
      <c r="B13" s="1" t="inlineStr">
        <is>
          <t>I60469</t>
        </is>
      </c>
      <c r="C13" s="1" t="inlineStr">
        <is>
          <t>25809700009</t>
        </is>
      </c>
      <c r="D13" s="1" t="inlineStr">
        <is>
          <t>Thaïch Thò Huyønh</t>
        </is>
      </c>
      <c r="E13" s="1" t="inlineStr">
        <is>
          <t>Nhö</t>
        </is>
      </c>
      <c r="F13" s="1" t="inlineStr">
        <is>
          <t>04-Aug-07</t>
        </is>
      </c>
      <c r="G13" s="1" t="inlineStr">
        <is>
          <t>LNH0925NL01</t>
        </is>
      </c>
      <c r="H13" s="1" t="inlineStr">
        <is>
          <t>09AV Toeic 2 KN</t>
        </is>
      </c>
      <c r="I13" s="1" t="n">
        <v>1000000</v>
      </c>
      <c r="J13" s="1" t="inlineStr">
        <is>
          <t>TRAN THI THANH MAI QR - Thach Thi Huynh Nhu 2580970000 9 LNH0925NL01 0928209014 TAI VietinBank</t>
        </is>
      </c>
    </row>
    <row r="14" hidden="1" s="87">
      <c r="A14" s="1" t="inlineStr">
        <is>
          <t>26-Aug-25</t>
        </is>
      </c>
      <c r="B14" s="1" t="inlineStr">
        <is>
          <t>I60470</t>
        </is>
      </c>
      <c r="C14" s="1" t="inlineStr">
        <is>
          <t>25820600001</t>
        </is>
      </c>
      <c r="D14" s="1" t="inlineStr">
        <is>
          <t>Löu Hoàng</t>
        </is>
      </c>
      <c r="E14" s="1" t="inlineStr">
        <is>
          <t>Anh</t>
        </is>
      </c>
      <c r="F14" s="1" t="inlineStr">
        <is>
          <t>06-Sep-07</t>
        </is>
      </c>
      <c r="G14" s="1" t="inlineStr">
        <is>
          <t>LNH0925NL01</t>
        </is>
      </c>
      <c r="H14" s="1" t="inlineStr">
        <is>
          <t>09AV Toeic 2 KN</t>
        </is>
      </c>
      <c r="I14" s="1" t="n">
        <v>6120000</v>
      </c>
      <c r="J14" s="1" t="inlineStr">
        <is>
          <t>LUU HONG ANH MBVCB.10685174376.714574.LUU HONG A NH 25820600001 LNH0925NL01  0346828 153.CT tu 1051746946 LUU HONG ANH t oi 0521043748045 HUTECH tai ABBANK TAI Vietcombank</t>
        </is>
      </c>
    </row>
    <row r="15" hidden="1" s="87">
      <c r="A15" s="1" t="inlineStr">
        <is>
          <t>26-Aug-25</t>
        </is>
      </c>
      <c r="B15" s="1" t="inlineStr">
        <is>
          <t>I60471</t>
        </is>
      </c>
      <c r="C15" s="39" t="inlineStr">
        <is>
          <t>25808700184</t>
        </is>
      </c>
      <c r="D15" s="1" t="inlineStr">
        <is>
          <t>Nguyeãn Ngoïc Thaûo</t>
        </is>
      </c>
      <c r="E15" s="1" t="inlineStr">
        <is>
          <t>Ngaân</t>
        </is>
      </c>
      <c r="F15" s="1" t="inlineStr">
        <is>
          <t>18-May-07</t>
        </is>
      </c>
      <c r="G15" s="1" t="inlineStr">
        <is>
          <t>LNH0925NL01</t>
        </is>
      </c>
      <c r="H15" s="1" t="inlineStr">
        <is>
          <t>09AV Toeic 2 KN</t>
        </is>
      </c>
      <c r="I15" s="1" t="n">
        <v>11050000</v>
      </c>
      <c r="J15" s="1" t="inlineStr">
        <is>
          <t>LE THI THAO CHI ABBank 0521043748045 Nguyen Ngoc Th ao Ngan 25808700184 LNH0925NL01 034 2790006 TAI Agribank</t>
        </is>
      </c>
    </row>
    <row r="16" hidden="1" s="87">
      <c r="A16" s="1" t="inlineStr">
        <is>
          <t>26-Aug-25</t>
        </is>
      </c>
      <c r="B16" s="1" t="inlineStr">
        <is>
          <t>I60472</t>
        </is>
      </c>
      <c r="C16" s="39" t="inlineStr">
        <is>
          <t>25807800108</t>
        </is>
      </c>
      <c r="D16" s="1" t="inlineStr">
        <is>
          <t>Huyønh Höõu</t>
        </is>
      </c>
      <c r="E16" s="1" t="inlineStr">
        <is>
          <t>Phuùc</t>
        </is>
      </c>
      <c r="F16" s="1" t="inlineStr">
        <is>
          <t>17-Jan-07</t>
        </is>
      </c>
      <c r="G16" s="1" t="inlineStr">
        <is>
          <t>LNH0925NL01</t>
        </is>
      </c>
      <c r="H16" s="1" t="inlineStr">
        <is>
          <t>09AV Toeic 2 KN</t>
        </is>
      </c>
      <c r="I16" s="1" t="n">
        <v>1000000</v>
      </c>
      <c r="J16" s="1" t="inlineStr">
        <is>
          <t>CONG TY CP DICH VU DI DONG TRUC TUY EN 98761123060 0983528038 HUYNH HUU PH UC 25807800108 LNH0925NL01 0983528 TAI IBT BIDV                 HANOI</t>
        </is>
      </c>
    </row>
    <row r="17" hidden="1" s="87">
      <c r="A17" s="1" t="inlineStr">
        <is>
          <t>26-Aug-25</t>
        </is>
      </c>
      <c r="B17" s="1" t="inlineStr">
        <is>
          <t>I60562</t>
        </is>
      </c>
      <c r="C17" s="39" t="inlineStr">
        <is>
          <t>25820200047</t>
        </is>
      </c>
      <c r="D17" s="1" t="inlineStr">
        <is>
          <t>Nguyeãn Ñaïi</t>
        </is>
      </c>
      <c r="E17" s="1" t="inlineStr">
        <is>
          <t>Phuù</t>
        </is>
      </c>
      <c r="F17" s="1" t="inlineStr">
        <is>
          <t>10-Jun-07</t>
        </is>
      </c>
      <c r="G17" s="1" t="inlineStr">
        <is>
          <t>LNH0925NL01</t>
        </is>
      </c>
      <c r="H17" s="1" t="inlineStr">
        <is>
          <t>09AV Giao tiep QT (TS)</t>
        </is>
      </c>
      <c r="I17" s="1" t="n">
        <v>2000000</v>
      </c>
      <c r="J17" s="1" t="inlineStr">
        <is>
          <t>(ma cu LNH0925ND01) TRAN THI THANH MAI QR - Nguyen Dai Phu 25820200047 LNH 0925ND01 0983479471 TAI VietinBank</t>
        </is>
      </c>
    </row>
    <row r="18" hidden="1" s="87">
      <c r="A18" s="1" t="inlineStr">
        <is>
          <t>26-Aug-25</t>
        </is>
      </c>
      <c r="B18" s="1" t="inlineStr">
        <is>
          <t>I60597</t>
        </is>
      </c>
      <c r="C18" s="1" t="inlineStr">
        <is>
          <t>25807800065</t>
        </is>
      </c>
      <c r="D18" s="1" t="inlineStr">
        <is>
          <t>Traàn Voõ Minh</t>
        </is>
      </c>
      <c r="E18" s="1" t="inlineStr">
        <is>
          <t>Khoa</t>
        </is>
      </c>
      <c r="F18" s="1" t="inlineStr">
        <is>
          <t>06-Jul-07</t>
        </is>
      </c>
      <c r="G18" s="1" t="inlineStr">
        <is>
          <t>LNH0925NL01</t>
        </is>
      </c>
      <c r="H18" s="1" t="inlineStr">
        <is>
          <t>09AV Giao tiep QT (TS)</t>
        </is>
      </c>
      <c r="I18" s="1" t="n">
        <v>6120000</v>
      </c>
      <c r="J18" s="1" t="inlineStr">
        <is>
          <t>(ma cu LNH0925ND01) TRAN THI THANH MAI QR - Tran Vo Minh Khoa 25807800065 LNH0925ND01 0702370205 TAI VietinBank</t>
        </is>
      </c>
    </row>
    <row r="19" hidden="1" s="87">
      <c r="A19" s="1" t="inlineStr">
        <is>
          <t>27-Aug-25</t>
        </is>
      </c>
      <c r="B19" s="1" t="inlineStr">
        <is>
          <t>I60651</t>
        </is>
      </c>
      <c r="C19" s="1" t="inlineStr">
        <is>
          <t>25808800045</t>
        </is>
      </c>
      <c r="D19" s="1" t="inlineStr">
        <is>
          <t>Phaïm Thò Myõ</t>
        </is>
      </c>
      <c r="E19" s="1" t="inlineStr">
        <is>
          <t>Leä</t>
        </is>
      </c>
      <c r="F19" s="1" t="inlineStr">
        <is>
          <t>04-Apr-07</t>
        </is>
      </c>
      <c r="G19" s="1" t="inlineStr">
        <is>
          <t>LNH0925NL01</t>
        </is>
      </c>
      <c r="H19" s="1" t="inlineStr">
        <is>
          <t>09AV Toeic 2 KN</t>
        </is>
      </c>
      <c r="I19" s="1" t="n">
        <v>1000000</v>
      </c>
      <c r="J19" s="1" t="inlineStr">
        <is>
          <t>NGUYEN TRUNG NGHIA PHAM THI MY LE  25808800045  LNH092 5NL01  0363053992 TAI VietinBank</t>
        </is>
      </c>
    </row>
    <row r="20" hidden="1" s="87">
      <c r="A20" s="1" t="inlineStr">
        <is>
          <t>27-Aug-25</t>
        </is>
      </c>
      <c r="B20" s="1" t="inlineStr">
        <is>
          <t>I60652</t>
        </is>
      </c>
      <c r="C20" s="1" t="inlineStr">
        <is>
          <t>25801700104</t>
        </is>
      </c>
      <c r="D20" s="1" t="inlineStr">
        <is>
          <t>Nguyeãn Thanh</t>
        </is>
      </c>
      <c r="E20" s="1" t="inlineStr">
        <is>
          <t>Duy</t>
        </is>
      </c>
      <c r="F20" s="1" t="inlineStr">
        <is>
          <t>27-Mar-07</t>
        </is>
      </c>
      <c r="G20" s="1" t="inlineStr">
        <is>
          <t>LNH0925NL01</t>
        </is>
      </c>
      <c r="H20" s="1" t="inlineStr">
        <is>
          <t>09AV Toeic 2 KN</t>
        </is>
      </c>
      <c r="I20" s="1" t="n">
        <v>1000000</v>
      </c>
      <c r="J20" s="1" t="inlineStr">
        <is>
          <t>NGUYEN THANH DUY MBVCB.10695443604.617563.NGUYEN THA NH DUY -MSSV 2501700032 LNH0925NL01 0839265696.CT tu 1035228016 NGUYEN THANH DUY toi 0521043748045 HUTECHtai ABBANK TAI Vietcombank</t>
        </is>
      </c>
    </row>
    <row r="21" hidden="1" s="87">
      <c r="A21" s="1" t="inlineStr">
        <is>
          <t>27-Aug-25</t>
        </is>
      </c>
      <c r="B21" s="1" t="inlineStr">
        <is>
          <t>I60653</t>
        </is>
      </c>
      <c r="C21" s="1" t="inlineStr">
        <is>
          <t>25807800148</t>
        </is>
      </c>
      <c r="D21" s="1" t="inlineStr">
        <is>
          <t>Traàn Phan Ñöùc</t>
        </is>
      </c>
      <c r="E21" s="1" t="inlineStr">
        <is>
          <t>Trí</t>
        </is>
      </c>
      <c r="F21" s="1" t="inlineStr">
        <is>
          <t>29-Sep-07</t>
        </is>
      </c>
      <c r="G21" s="1" t="inlineStr">
        <is>
          <t>LNH0925NL01</t>
        </is>
      </c>
      <c r="H21" s="1" t="inlineStr">
        <is>
          <t>09AV Toeic 2 KN</t>
        </is>
      </c>
      <c r="I21" s="1" t="n">
        <v>1000000</v>
      </c>
      <c r="J21" s="1" t="inlineStr">
        <is>
          <t>TRAN DUC VU Tran Phan Duc Tri 25807800148 LNH09 25NL01 0896439484 TAI IBT SMARTLINK            HANOI</t>
        </is>
      </c>
    </row>
    <row r="22" hidden="1" s="87">
      <c r="A22" s="1" t="inlineStr">
        <is>
          <t>27-Aug-25</t>
        </is>
      </c>
      <c r="B22" s="1" t="inlineStr">
        <is>
          <t>I60654</t>
        </is>
      </c>
      <c r="C22" s="1" t="inlineStr">
        <is>
          <t>25800500124</t>
        </is>
      </c>
      <c r="D22" s="1" t="inlineStr">
        <is>
          <t>Traàn Coâng Vónh</t>
        </is>
      </c>
      <c r="E22" s="1" t="inlineStr">
        <is>
          <t>Nguyeân</t>
        </is>
      </c>
      <c r="F22" s="1" t="inlineStr">
        <is>
          <t>26-Dec-07</t>
        </is>
      </c>
      <c r="G22" s="1" t="inlineStr">
        <is>
          <t>LNH0925NL01</t>
        </is>
      </c>
      <c r="H22" s="1" t="inlineStr">
        <is>
          <t>09AV Toeic 2 KN</t>
        </is>
      </c>
      <c r="I22" s="1" t="n">
        <v>1000000</v>
      </c>
      <c r="J22" s="1" t="inlineStr">
        <is>
          <t>NGUYEN VAN LAN QR - tran cong vinh nguyen 25800500 124   LNH0925NL01   sdt 0842072407 TAI VietinBank</t>
        </is>
      </c>
    </row>
    <row r="23" hidden="1" s="87">
      <c r="A23" s="1" t="inlineStr">
        <is>
          <t>27-Aug-25</t>
        </is>
      </c>
      <c r="B23" s="1" t="inlineStr">
        <is>
          <t>I60655</t>
        </is>
      </c>
      <c r="C23" s="1" t="inlineStr">
        <is>
          <t>25802800098</t>
        </is>
      </c>
      <c r="D23" s="1" t="inlineStr">
        <is>
          <t>Nguyeãn Leä</t>
        </is>
      </c>
      <c r="E23" s="1" t="inlineStr">
        <is>
          <t>Höông</t>
        </is>
      </c>
      <c r="F23" s="1" t="inlineStr">
        <is>
          <t>05-Apr-07</t>
        </is>
      </c>
      <c r="G23" s="1" t="inlineStr">
        <is>
          <t>LNH0925NL01</t>
        </is>
      </c>
      <c r="H23" s="1" t="inlineStr">
        <is>
          <t>09AV Toeic 2 KN</t>
        </is>
      </c>
      <c r="I23" s="1" t="n">
        <v>1000000</v>
      </c>
      <c r="J23" s="1" t="inlineStr">
        <is>
          <t>MBBANK IBFT Nguyen Le Huong 25802800098 LNH0925 NL01 0396823986 TAI IBT-MB                   HANOI</t>
        </is>
      </c>
    </row>
    <row r="24" hidden="1" s="87">
      <c r="A24" s="1" t="inlineStr">
        <is>
          <t>27-Aug-25</t>
        </is>
      </c>
      <c r="B24" s="1" t="inlineStr">
        <is>
          <t>I60656</t>
        </is>
      </c>
      <c r="C24" s="1" t="inlineStr">
        <is>
          <t>25800600034</t>
        </is>
      </c>
      <c r="D24" s="1" t="inlineStr">
        <is>
          <t>Ñaøo Quoác</t>
        </is>
      </c>
      <c r="E24" s="1" t="inlineStr">
        <is>
          <t>Baûo</t>
        </is>
      </c>
      <c r="F24" s="1" t="inlineStr">
        <is>
          <t>05-Jul-07</t>
        </is>
      </c>
      <c r="G24" s="1" t="inlineStr">
        <is>
          <t>LNH0925NL01</t>
        </is>
      </c>
      <c r="H24" s="1" t="inlineStr">
        <is>
          <t>09AV Toeic 2 KN</t>
        </is>
      </c>
      <c r="I24" s="1" t="n">
        <v>1000000</v>
      </c>
      <c r="J24" s="1" t="inlineStr">
        <is>
          <t>LE THI MY Dao Quoc Bao 25800600034 LNH0925NL0 1 0906374558 TAI IBT SMARTLINK            HANOI</t>
        </is>
      </c>
    </row>
    <row r="25" hidden="1" s="87">
      <c r="A25" s="1" t="inlineStr">
        <is>
          <t>27-Aug-25</t>
        </is>
      </c>
      <c r="B25" s="1" t="inlineStr">
        <is>
          <t>I60657</t>
        </is>
      </c>
      <c r="C25" s="1" t="inlineStr">
        <is>
          <t>25800400028</t>
        </is>
      </c>
      <c r="D25" s="1" t="inlineStr">
        <is>
          <t>Traàn Thanh</t>
        </is>
      </c>
      <c r="E25" s="1" t="inlineStr">
        <is>
          <t>Döông</t>
        </is>
      </c>
      <c r="F25" s="1" t="inlineStr">
        <is>
          <t>02-Feb-07</t>
        </is>
      </c>
      <c r="G25" s="1" t="inlineStr">
        <is>
          <t>LNH0925NL01</t>
        </is>
      </c>
      <c r="H25" s="1" t="inlineStr">
        <is>
          <t>09AV Toeic 2 KN</t>
        </is>
      </c>
      <c r="I25" s="1" t="n">
        <v>6120000</v>
      </c>
      <c r="J25" s="1" t="inlineStr">
        <is>
          <t>NGUYEN TRUNG NGHIA TRAN THANH DUONG  25800400028  LNH0 925NL01  0982792270 TAI VietinBank</t>
        </is>
      </c>
    </row>
    <row r="26" hidden="1" s="87">
      <c r="A26" s="1" t="inlineStr">
        <is>
          <t>27-Aug-25</t>
        </is>
      </c>
      <c r="B26" s="1" t="inlineStr">
        <is>
          <t>I60658</t>
        </is>
      </c>
      <c r="C26" s="1" t="inlineStr">
        <is>
          <t>25807800048</t>
        </is>
      </c>
      <c r="D26" s="1" t="inlineStr">
        <is>
          <t>Leâ Haûi Huy</t>
        </is>
      </c>
      <c r="E26" s="1" t="inlineStr">
        <is>
          <t>Hoaøng</t>
        </is>
      </c>
      <c r="F26" s="1" t="inlineStr">
        <is>
          <t>14-Mar-07</t>
        </is>
      </c>
      <c r="G26" s="1" t="inlineStr">
        <is>
          <t>LNH0925NL01</t>
        </is>
      </c>
      <c r="H26" s="1" t="inlineStr">
        <is>
          <t>09AV Toeic 2 KN</t>
        </is>
      </c>
      <c r="I26" s="1" t="n">
        <v>6120000</v>
      </c>
      <c r="J26" s="1" t="inlineStr">
        <is>
          <t>LE HAI HUY HOANG MBVCB.10694681648.116168.LE HAI HUY HOANG 25807800048 LNH0925NL01 0867 620580.CT tu 1036322172 LE HAI HUY HOANG toi 0521043748045 HUTECH taiABBANK TAI Vietcombank</t>
        </is>
      </c>
    </row>
    <row r="27" hidden="1" s="87">
      <c r="A27" s="1" t="inlineStr">
        <is>
          <t>27-Aug-25</t>
        </is>
      </c>
      <c r="B27" s="1" t="inlineStr">
        <is>
          <t>I60659</t>
        </is>
      </c>
      <c r="C27" s="1" t="inlineStr">
        <is>
          <t>25801700104</t>
        </is>
      </c>
      <c r="D27" s="1" t="inlineStr">
        <is>
          <t>Nguyeãn Thanh</t>
        </is>
      </c>
      <c r="E27" s="1" t="inlineStr">
        <is>
          <t>Duy</t>
        </is>
      </c>
      <c r="F27" s="1" t="inlineStr">
        <is>
          <t>27-Mar-07</t>
        </is>
      </c>
      <c r="G27" s="1" t="inlineStr">
        <is>
          <t>LNH0925NL01</t>
        </is>
      </c>
      <c r="H27" s="1" t="inlineStr">
        <is>
          <t>09AV Toeic 2 KN</t>
        </is>
      </c>
      <c r="I27" s="1" t="n">
        <v>5120000</v>
      </c>
      <c r="J27" s="1" t="inlineStr">
        <is>
          <t>NGUYEN THANH DUY MBVCB.10697772365.176196.NGUYEN THA NH DUY - MSSV 2501700032 LNH0925NL0 1 0839265696.CT tu 1035228016 NGUYE N THANH DUY toi 0521043748045 HUTECH tai ABBANK TAI Vietcombank</t>
        </is>
      </c>
    </row>
    <row r="28" hidden="1" s="87">
      <c r="A28" s="1" t="inlineStr">
        <is>
          <t>27-Aug-25</t>
        </is>
      </c>
      <c r="B28" s="1" t="inlineStr">
        <is>
          <t>I60660</t>
        </is>
      </c>
      <c r="C28" s="1" t="inlineStr">
        <is>
          <t>25802600143</t>
        </is>
      </c>
      <c r="D28" s="1" t="inlineStr">
        <is>
          <t>Phaïm Thò Haûi</t>
        </is>
      </c>
      <c r="E28" s="1" t="inlineStr">
        <is>
          <t>Yeán</t>
        </is>
      </c>
      <c r="F28" s="1" t="inlineStr">
        <is>
          <t>10-Aug-07</t>
        </is>
      </c>
      <c r="G28" s="1" t="inlineStr">
        <is>
          <t>LNH0925NL01</t>
        </is>
      </c>
      <c r="H28" s="1" t="inlineStr">
        <is>
          <t>09AV Toeic 2 KN</t>
        </is>
      </c>
      <c r="I28" s="1" t="n">
        <v>1120000</v>
      </c>
      <c r="J28" s="1" t="inlineStr">
        <is>
          <t>NGUYEN TRUNG NGHIA PHAM THI HAI YEN  25802600143  LNH0 925NL01  0389133884 TAI VietinBank</t>
        </is>
      </c>
    </row>
    <row r="29" hidden="1" s="87">
      <c r="A29" s="1" t="inlineStr">
        <is>
          <t>27-Aug-25</t>
        </is>
      </c>
      <c r="B29" s="1" t="inlineStr">
        <is>
          <t>I60661</t>
        </is>
      </c>
      <c r="C29" s="1" t="inlineStr">
        <is>
          <t>25802600087</t>
        </is>
      </c>
      <c r="D29" s="1" t="inlineStr">
        <is>
          <t>Phaïm Thò Thanh</t>
        </is>
      </c>
      <c r="E29" s="1" t="inlineStr">
        <is>
          <t>Ngaân</t>
        </is>
      </c>
      <c r="F29" s="1" t="inlineStr">
        <is>
          <t>09-Jul-07</t>
        </is>
      </c>
      <c r="G29" s="1" t="inlineStr">
        <is>
          <t>LNH0925NL01</t>
        </is>
      </c>
      <c r="H29" s="1" t="inlineStr">
        <is>
          <t>09AV Toeic 2 KN</t>
        </is>
      </c>
      <c r="I29" s="1" t="n">
        <v>2000000</v>
      </c>
      <c r="J29" s="1" t="inlineStr">
        <is>
          <t>(ma cu LNH0925NT01) PHAM VAN KHANG THANH NGAN 25802600087 LNH0925NT01 0773713964 FT25239080064240 TAI TECHCOMBANK            HANOI</t>
        </is>
      </c>
    </row>
    <row r="30" hidden="1" s="87">
      <c r="A30" s="1" t="inlineStr">
        <is>
          <t>28-Aug-25</t>
        </is>
      </c>
      <c r="B30" s="1" t="inlineStr">
        <is>
          <t>I60804</t>
        </is>
      </c>
      <c r="C30" s="1" t="inlineStr">
        <is>
          <t>25801300019</t>
        </is>
      </c>
      <c r="D30" s="1" t="inlineStr">
        <is>
          <t>Nguyeãn Thò Kim</t>
        </is>
      </c>
      <c r="E30" s="1" t="inlineStr">
        <is>
          <t>Ngaân</t>
        </is>
      </c>
      <c r="F30" s="1" t="inlineStr">
        <is>
          <t>03-Jan-07</t>
        </is>
      </c>
      <c r="G30" s="1" t="inlineStr">
        <is>
          <t>LNH0925NL01</t>
        </is>
      </c>
      <c r="H30" s="1" t="inlineStr">
        <is>
          <t>09AV Toeic 2 KN</t>
        </is>
      </c>
      <c r="I30" s="1" t="n">
        <v>1000000</v>
      </c>
      <c r="J30" s="1" t="inlineStr">
        <is>
          <t>NGUYEN QUANG DANH NGUYEN THI KIM NGAN 25801300019 LNH 0925NL01  0329367734 TAI IBT BIDV                 HANOI</t>
        </is>
      </c>
    </row>
    <row r="31" hidden="1" s="87">
      <c r="A31" s="1" t="inlineStr">
        <is>
          <t>28-Aug-25</t>
        </is>
      </c>
      <c r="B31" s="1" t="inlineStr">
        <is>
          <t>I60805</t>
        </is>
      </c>
      <c r="C31" s="1" t="inlineStr">
        <is>
          <t>25807800081</t>
        </is>
      </c>
      <c r="D31" s="1" t="inlineStr">
        <is>
          <t>Nguyeãn Thanh</t>
        </is>
      </c>
      <c r="E31" s="1" t="inlineStr">
        <is>
          <t>Luõy</t>
        </is>
      </c>
      <c r="F31" s="1" t="inlineStr">
        <is>
          <t>08-Mar-07</t>
        </is>
      </c>
      <c r="G31" s="1" t="inlineStr">
        <is>
          <t>LNH0925NL01</t>
        </is>
      </c>
      <c r="H31" s="1" t="inlineStr">
        <is>
          <t>09AV Toeic 2 KN</t>
        </is>
      </c>
      <c r="I31" s="1" t="n">
        <v>0</v>
      </c>
      <c r="J31" s="1" t="inlineStr">
        <is>
          <t>(rut Hp)TRAN THI THANH MAI QR - Nguyen Thanh Luy 25807800081 L NH0925NL01 0825455997 TAI VietinBank</t>
        </is>
      </c>
    </row>
    <row r="32" hidden="1" s="87">
      <c r="A32" s="1" t="inlineStr">
        <is>
          <t>28-Aug-25</t>
        </is>
      </c>
      <c r="B32" s="1" t="inlineStr">
        <is>
          <t>I60806</t>
        </is>
      </c>
      <c r="C32" s="1" t="inlineStr">
        <is>
          <t>25800400268</t>
        </is>
      </c>
      <c r="D32" s="1" t="inlineStr">
        <is>
          <t>Nguyeãn Hoaøng Ñaêng</t>
        </is>
      </c>
      <c r="E32" s="1" t="inlineStr">
        <is>
          <t>Khoa</t>
        </is>
      </c>
      <c r="F32" s="1" t="inlineStr">
        <is>
          <t>18-Feb-07</t>
        </is>
      </c>
      <c r="G32" s="1" t="inlineStr">
        <is>
          <t>LNH0925NL01</t>
        </is>
      </c>
      <c r="H32" s="1" t="inlineStr">
        <is>
          <t>09AV Toeic 2 KN</t>
        </is>
      </c>
      <c r="I32" s="1" t="n">
        <v>1000000</v>
      </c>
      <c r="J32" s="1" t="inlineStr">
        <is>
          <t>NGUYEN TRUNG NGHIA NGUYEN HOANG DANG KHOA  25800400268 LNH0925NL01  0833541510 TAI VietinBank</t>
        </is>
      </c>
    </row>
    <row r="33" hidden="1" s="87">
      <c r="A33" s="1" t="inlineStr">
        <is>
          <t>28-Aug-25</t>
        </is>
      </c>
      <c r="B33" s="1" t="inlineStr">
        <is>
          <t>I60807</t>
        </is>
      </c>
      <c r="C33" s="1" t="inlineStr">
        <is>
          <t>25808100040</t>
        </is>
      </c>
      <c r="D33" s="1" t="inlineStr">
        <is>
          <t>Nguyeãn Hoaøng Trí</t>
        </is>
      </c>
      <c r="E33" s="1" t="inlineStr">
        <is>
          <t>Nhaân</t>
        </is>
      </c>
      <c r="F33" s="1" t="inlineStr">
        <is>
          <t>02-Jun-07</t>
        </is>
      </c>
      <c r="G33" s="1" t="inlineStr">
        <is>
          <t>LNH0925NL01</t>
        </is>
      </c>
      <c r="H33" s="1" t="inlineStr">
        <is>
          <t>09AV Toeic 2 KN</t>
        </is>
      </c>
      <c r="I33" s="1" t="n">
        <v>1000000</v>
      </c>
      <c r="J33" s="1" t="inlineStr">
        <is>
          <t>CONG TY CP DICH VU DI DONG TRUC TUY EN 98960491364 0707950745 NGUYEN HOANG TRI NHAN 25808100040 LNH0925NL01 TAI IBT BIDV                 HANOI</t>
        </is>
      </c>
    </row>
    <row r="34">
      <c r="A34" s="1" t="inlineStr">
        <is>
          <t>28-Aug-25</t>
        </is>
      </c>
      <c r="B34" s="1" t="inlineStr">
        <is>
          <t>I60808</t>
        </is>
      </c>
      <c r="C34" s="1" t="inlineStr">
        <is>
          <t>25809700009</t>
        </is>
      </c>
      <c r="D34" s="1" t="inlineStr">
        <is>
          <t>Thaïch Thò Huyønh</t>
        </is>
      </c>
      <c r="E34" s="1" t="inlineStr">
        <is>
          <t>Nhö</t>
        </is>
      </c>
      <c r="F34" s="1" t="inlineStr">
        <is>
          <t>04-Aug-07</t>
        </is>
      </c>
      <c r="G34" s="1" t="inlineStr">
        <is>
          <t>LNH0925NL01</t>
        </is>
      </c>
      <c r="H34" s="1" t="inlineStr">
        <is>
          <t>09AV Toeic 2 KN</t>
        </is>
      </c>
      <c r="I34" s="1" t="n">
        <v>5000000</v>
      </c>
      <c r="J34" s="1" t="inlineStr">
        <is>
          <t>MBBANK IBFT Thu  huong   HUTECH Hp bo sung  5 0 00 000d Noi dung ck   Thach Thi Huy nh Nhu  mssv   25809700009 LNH0925N L01 sdt 0928209014 Dk toeic 4 ky nang TAI IBT-MB                   HANOI</t>
        </is>
      </c>
    </row>
    <row r="35" hidden="1" s="87">
      <c r="A35" s="1" t="inlineStr">
        <is>
          <t>28-Aug-25</t>
        </is>
      </c>
      <c r="B35" s="1" t="inlineStr">
        <is>
          <t>I60809</t>
        </is>
      </c>
      <c r="C35" s="39" t="inlineStr">
        <is>
          <t>25820200047</t>
        </is>
      </c>
      <c r="D35" s="1" t="inlineStr">
        <is>
          <t>Nguyeãn Ñaïi</t>
        </is>
      </c>
      <c r="E35" s="1" t="inlineStr">
        <is>
          <t>Phuù</t>
        </is>
      </c>
      <c r="F35" s="1" t="inlineStr">
        <is>
          <t>10-Jun-07</t>
        </is>
      </c>
      <c r="G35" s="1" t="inlineStr">
        <is>
          <t>LNH0925NL01</t>
        </is>
      </c>
      <c r="H35" s="1" t="inlineStr">
        <is>
          <t>09AV Toeic 2 KN</t>
        </is>
      </c>
      <c r="I35" s="1" t="n">
        <v>9050000</v>
      </c>
      <c r="J35" s="1" t="inlineStr">
        <is>
          <t>NGUYEN THI MY DUNG NGUYEN DAI PHU-MSSV 25820200047-LNH 0925NL01-TOI 246-280825-13 29 38 27 3858 TAI Ngan hang a chau       IBT SMARLINK</t>
        </is>
      </c>
    </row>
    <row r="36" hidden="1" s="87">
      <c r="A36" s="1" t="inlineStr">
        <is>
          <t>29-Aug-25</t>
        </is>
      </c>
      <c r="B36" s="1" t="inlineStr">
        <is>
          <t>I60909</t>
        </is>
      </c>
      <c r="C36" s="1" t="inlineStr">
        <is>
          <t>25806300024</t>
        </is>
      </c>
      <c r="D36" s="1" t="inlineStr">
        <is>
          <t>Tröông Hoaøng</t>
        </is>
      </c>
      <c r="E36" s="1" t="inlineStr">
        <is>
          <t>Long</t>
        </is>
      </c>
      <c r="F36" s="1" t="inlineStr">
        <is>
          <t>25-May-07</t>
        </is>
      </c>
      <c r="G36" s="1" t="inlineStr">
        <is>
          <t>LNH0925NL01</t>
        </is>
      </c>
      <c r="H36" s="1" t="inlineStr">
        <is>
          <t>09AV Toeic 2 KN</t>
        </is>
      </c>
      <c r="I36" s="1" t="n">
        <v>1000000</v>
      </c>
      <c r="J36" s="1" t="inlineStr">
        <is>
          <t>TRUONG HOANG LONG ABBank 0521043748045 Truong Hoang L ong 25806300024 LNH0925NL01 0379411 911 TAI Agribank</t>
        </is>
      </c>
    </row>
    <row r="37" hidden="1" s="87">
      <c r="A37" s="1" t="inlineStr">
        <is>
          <t>29-Aug-25</t>
        </is>
      </c>
      <c r="B37" s="1" t="inlineStr">
        <is>
          <t>I60910</t>
        </is>
      </c>
      <c r="C37" s="1" t="inlineStr">
        <is>
          <t>25803000213</t>
        </is>
      </c>
      <c r="D37" s="1" t="inlineStr">
        <is>
          <t>Vöông Quoác</t>
        </is>
      </c>
      <c r="E37" s="1" t="inlineStr">
        <is>
          <t>Huy</t>
        </is>
      </c>
      <c r="F37" s="1" t="inlineStr">
        <is>
          <t>04-Feb-07</t>
        </is>
      </c>
      <c r="G37" s="1" t="inlineStr">
        <is>
          <t>LNH0925NL01</t>
        </is>
      </c>
      <c r="H37" s="1" t="inlineStr">
        <is>
          <t>09AV Toeic 2 KN</t>
        </is>
      </c>
      <c r="I37" s="1" t="n">
        <v>6120000</v>
      </c>
      <c r="J37" s="1" t="inlineStr">
        <is>
          <t>VUONG QUOC DUNG VUONG QUOC HUY 25803000213 LNH0925N L01 0904173948 TAI Maritime Bank          IBanking</t>
        </is>
      </c>
    </row>
    <row r="38" hidden="1" s="87">
      <c r="A38" s="1" t="inlineStr">
        <is>
          <t>29-Aug-25</t>
        </is>
      </c>
      <c r="B38" s="1" t="inlineStr">
        <is>
          <t>I60913</t>
        </is>
      </c>
      <c r="C38" s="1" t="inlineStr">
        <is>
          <t>25808700134</t>
        </is>
      </c>
      <c r="D38" s="1" t="inlineStr">
        <is>
          <t>Ñoã Gia</t>
        </is>
      </c>
      <c r="E38" s="1" t="inlineStr">
        <is>
          <t>Huy</t>
        </is>
      </c>
      <c r="F38" s="1" t="inlineStr">
        <is>
          <t>26-Apr-07</t>
        </is>
      </c>
      <c r="G38" s="1" t="inlineStr">
        <is>
          <t>LNH0925NL01</t>
        </is>
      </c>
      <c r="H38" s="1" t="inlineStr">
        <is>
          <t>09AV Toeic 2 KN</t>
        </is>
      </c>
      <c r="I38" s="1" t="n">
        <v>1000000</v>
      </c>
      <c r="J38" s="1" t="inlineStr">
        <is>
          <t>(ma cu LNH0925ND01) TRAN THI THANH MAI QR - Do Gia Huy 25808700134 LNH0925 ND01 0335576076 TAI VietinBank</t>
        </is>
      </c>
    </row>
    <row r="39" hidden="1" s="87">
      <c r="A39" s="1" t="inlineStr">
        <is>
          <t>03-Sep-25</t>
        </is>
      </c>
      <c r="B39" s="1" t="inlineStr">
        <is>
          <t>I61126</t>
        </is>
      </c>
      <c r="C39" s="1" t="inlineStr">
        <is>
          <t>2288903513</t>
        </is>
      </c>
      <c r="D39" s="1" t="inlineStr">
        <is>
          <t>Tröông Nguyeãn Vaên</t>
        </is>
      </c>
      <c r="E39" s="1" t="inlineStr">
        <is>
          <t>Tieàn</t>
        </is>
      </c>
      <c r="F39" s="1" t="inlineStr">
        <is>
          <t>03-Dec-04</t>
        </is>
      </c>
      <c r="G39" s="1" t="inlineStr">
        <is>
          <t>LNH0925NL01</t>
        </is>
      </c>
      <c r="H39" s="1" t="inlineStr">
        <is>
          <t>09AV Toeic 2 KN</t>
        </is>
      </c>
      <c r="I39" s="1" t="n">
        <v>1600000</v>
      </c>
      <c r="J39" s="1" t="inlineStr">
        <is>
          <t>(ma cu LNH0925NT01) KlbFundtransfer247 HUTECH Truong Nguyen Van Tien  2288903513 LNH0925NT01  0901247623 TAI KIENLONG BANK          98-108ACMT8S</t>
        </is>
      </c>
    </row>
    <row r="40" hidden="1" s="87">
      <c r="A40" s="1" t="inlineStr">
        <is>
          <t>03-Sep-25</t>
        </is>
      </c>
      <c r="B40" s="1" t="inlineStr">
        <is>
          <t>I61451</t>
        </is>
      </c>
      <c r="C40" s="1" t="inlineStr">
        <is>
          <t>25803800066</t>
        </is>
      </c>
      <c r="D40" s="1" t="inlineStr">
        <is>
          <t>Leâ Nguyeãn Anh</t>
        </is>
      </c>
      <c r="E40" s="1" t="inlineStr">
        <is>
          <t>Tröôøng</t>
        </is>
      </c>
      <c r="F40" s="1" t="inlineStr">
        <is>
          <t>26-Jul-07</t>
        </is>
      </c>
      <c r="G40" s="1" t="inlineStr">
        <is>
          <t>LNH0925NL01</t>
        </is>
      </c>
      <c r="H40" s="1" t="inlineStr">
        <is>
          <t>09AV Toeic 2 KN</t>
        </is>
      </c>
      <c r="I40" s="1" t="n">
        <v>1000000</v>
      </c>
      <c r="J40" s="1" t="inlineStr">
        <is>
          <t>LE NGUYEN ANH TRUONG MBVCB.10741280355.488742.LENGUYENAN HTRUONG 25803800066 LNH0925NL01 079 5839578 2-4-6.CT tu 1049636913 LE N GUYEN ANH TRUONG toi 0521043748045HUTECH tai ABBANK TAI Vietcombank</t>
        </is>
      </c>
    </row>
    <row r="41" hidden="1" s="87">
      <c r="A41" s="1" t="inlineStr">
        <is>
          <t>03-Sep-25</t>
        </is>
      </c>
      <c r="B41" s="1" t="inlineStr">
        <is>
          <t>I61452</t>
        </is>
      </c>
      <c r="C41" s="1" t="inlineStr">
        <is>
          <t>25807800066</t>
        </is>
      </c>
      <c r="D41" s="1" t="inlineStr">
        <is>
          <t>Ñinh Duy Anh</t>
        </is>
      </c>
      <c r="E41" s="1" t="inlineStr">
        <is>
          <t>Khoâi</t>
        </is>
      </c>
      <c r="F41" s="1" t="inlineStr">
        <is>
          <t>21-Jun-07</t>
        </is>
      </c>
      <c r="G41" s="1" t="inlineStr">
        <is>
          <t>LNH0925NL01</t>
        </is>
      </c>
      <c r="H41" s="1" t="inlineStr">
        <is>
          <t>09AV Toeic 2 KN</t>
        </is>
      </c>
      <c r="I41" s="1" t="n">
        <v>5120000</v>
      </c>
      <c r="J41" s="1" t="inlineStr">
        <is>
          <t>DINH DUY ANH KHOI MBVCB.10747228435.566829.DINH DUY A NH KHOI  25807800066 LNH0925NL01 08 76891666.CT tu 1041246944 DINH DUY ANH KHOI toi 0521043748045 HUTECH tai ABBANK TAI Vietcombank</t>
        </is>
      </c>
    </row>
    <row r="42" hidden="1" s="87">
      <c r="A42" s="1" t="inlineStr">
        <is>
          <t>03-Sep-25</t>
        </is>
      </c>
      <c r="B42" s="1" t="inlineStr">
        <is>
          <t>I61453</t>
        </is>
      </c>
      <c r="C42" s="1" t="inlineStr">
        <is>
          <t>25808800045</t>
        </is>
      </c>
      <c r="D42" s="1" t="inlineStr">
        <is>
          <t>Phaïm Thò Myõ</t>
        </is>
      </c>
      <c r="E42" s="1" t="inlineStr">
        <is>
          <t>Leä</t>
        </is>
      </c>
      <c r="F42" s="1" t="inlineStr">
        <is>
          <t>04-Apr-07</t>
        </is>
      </c>
      <c r="G42" s="1" t="inlineStr">
        <is>
          <t>LNH0925NL01</t>
        </is>
      </c>
      <c r="H42" s="1" t="inlineStr">
        <is>
          <t>09AV Toeic 2 KN</t>
        </is>
      </c>
      <c r="I42" s="1" t="n">
        <v>5120000</v>
      </c>
      <c r="J42" s="1" t="inlineStr">
        <is>
          <t>MBBANK IBFT Pham Thi My Le  25808800045  LNH092 5NL01  0363053992 TAI IBT-MB                   HANOI</t>
        </is>
      </c>
    </row>
    <row r="43" hidden="1" s="87">
      <c r="A43" s="1" t="inlineStr">
        <is>
          <t>03-Sep-25</t>
        </is>
      </c>
      <c r="B43" s="1" t="inlineStr">
        <is>
          <t>I61454</t>
        </is>
      </c>
      <c r="C43" s="39" t="inlineStr">
        <is>
          <t>25807800108</t>
        </is>
      </c>
      <c r="D43" s="1" t="inlineStr">
        <is>
          <t>Huyønh Höõu</t>
        </is>
      </c>
      <c r="E43" s="1" t="inlineStr">
        <is>
          <t>Phuùc</t>
        </is>
      </c>
      <c r="F43" s="1" t="inlineStr">
        <is>
          <t>17-Jan-07</t>
        </is>
      </c>
      <c r="G43" s="1" t="inlineStr">
        <is>
          <t>LNH0925NL01</t>
        </is>
      </c>
      <c r="H43" s="1" t="inlineStr">
        <is>
          <t>09AV Toeic 2 KN</t>
        </is>
      </c>
      <c r="I43" s="1" t="n">
        <v>10050000</v>
      </c>
      <c r="J43" s="1" t="inlineStr">
        <is>
          <t>MBBANK IBFT HUYNH HUU PHUC 25807800108 sdt 0983 528038 TAI IBT-MB                   HANOI</t>
        </is>
      </c>
    </row>
    <row r="44" hidden="1" s="87">
      <c r="A44" s="1" t="inlineStr">
        <is>
          <t>05-Sep-25</t>
        </is>
      </c>
      <c r="B44" s="1" t="inlineStr">
        <is>
          <t>I61976</t>
        </is>
      </c>
      <c r="C44" s="1" t="inlineStr">
        <is>
          <t>25800400268</t>
        </is>
      </c>
      <c r="D44" s="1" t="inlineStr">
        <is>
          <t>Nguyeãn Hoaøng Ñaêng</t>
        </is>
      </c>
      <c r="E44" s="1" t="inlineStr">
        <is>
          <t>Khoa</t>
        </is>
      </c>
      <c r="F44" s="1" t="inlineStr">
        <is>
          <t>18-Feb-07</t>
        </is>
      </c>
      <c r="G44" s="1" t="inlineStr">
        <is>
          <t>LNH0925NL01</t>
        </is>
      </c>
      <c r="H44" s="1" t="inlineStr">
        <is>
          <t>09AV Toeic 2 KN</t>
        </is>
      </c>
      <c r="I44" s="1" t="n">
        <v>5120000</v>
      </c>
      <c r="J44" s="1" t="inlineStr">
        <is>
          <t>MBBANK IBFT Nguyen Hoang Dang KhoaMssv  2580040 0268LNH0925NL01 Sdt 0833541510 TAI IBT-MB                   HANOI</t>
        </is>
      </c>
    </row>
    <row r="45" hidden="1" s="87">
      <c r="A45" s="1" t="inlineStr">
        <is>
          <t>05-Sep-25</t>
        </is>
      </c>
      <c r="B45" s="1" t="inlineStr">
        <is>
          <t>I61977</t>
        </is>
      </c>
      <c r="C45" s="1" t="inlineStr">
        <is>
          <t>25808100040</t>
        </is>
      </c>
      <c r="D45" s="1" t="inlineStr">
        <is>
          <t>Nguyeãn Hoaøng Trí</t>
        </is>
      </c>
      <c r="E45" s="1" t="inlineStr">
        <is>
          <t>Nhaân</t>
        </is>
      </c>
      <c r="F45" s="1" t="inlineStr">
        <is>
          <t>02-Jun-07</t>
        </is>
      </c>
      <c r="G45" s="1" t="inlineStr">
        <is>
          <t>LNH0925NL01</t>
        </is>
      </c>
      <c r="H45" s="1" t="inlineStr">
        <is>
          <t>09AV Toeic 2 KN</t>
        </is>
      </c>
      <c r="I45" s="1" t="n">
        <v>5120000</v>
      </c>
      <c r="J45" s="1" t="inlineStr">
        <is>
          <t>MBBANK IBFT 99864699095 NGUYEN HOANG TRI NHAN 2 5808100040 LNH0925NL01 0359020607 C HUYEN TIEN OQCH0001hfal MOMO9986469 9095MOMO TAI IBT-MB                   HANOI</t>
        </is>
      </c>
    </row>
    <row r="46" hidden="1" s="87">
      <c r="A46" s="1" t="inlineStr">
        <is>
          <t>08-Sep-25</t>
        </is>
      </c>
      <c r="B46" s="1" t="inlineStr">
        <is>
          <t>I62403</t>
        </is>
      </c>
      <c r="C46" s="39" t="inlineStr">
        <is>
          <t>25800400173</t>
        </is>
      </c>
      <c r="D46" s="1" t="inlineStr">
        <is>
          <t>Nguyeãn Hoaøng</t>
        </is>
      </c>
      <c r="E46" s="1" t="inlineStr">
        <is>
          <t>Vó</t>
        </is>
      </c>
      <c r="F46" s="1" t="inlineStr">
        <is>
          <t>08-Mar-07</t>
        </is>
      </c>
      <c r="G46" s="1" t="inlineStr">
        <is>
          <t>LNH0925NL01</t>
        </is>
      </c>
      <c r="H46" s="1" t="inlineStr">
        <is>
          <t>09AV Toeic 2 KN</t>
        </is>
      </c>
      <c r="I46" s="1" t="n">
        <v>11050000</v>
      </c>
      <c r="J46" s="1" t="inlineStr">
        <is>
          <t>NGUYEN HOANG VI MBVCB.10837021361.166543.NGUYEN HOA NG VI 25800400173 LNH0925NL01.CT tu 1040221577 NGUYEN HOANG VI toi 052 1043748045 HUTECH tai ABBANK TAI Vietcombank</t>
        </is>
      </c>
    </row>
    <row r="47" hidden="1" s="87">
      <c r="A47" s="1" t="inlineStr">
        <is>
          <t>08-Sep-25</t>
        </is>
      </c>
      <c r="B47" s="1" t="inlineStr">
        <is>
          <t>I62404</t>
        </is>
      </c>
      <c r="C47" s="1" t="inlineStr">
        <is>
          <t>25800500124</t>
        </is>
      </c>
      <c r="D47" s="1" t="inlineStr">
        <is>
          <t>Traàn Coâng Vónh</t>
        </is>
      </c>
      <c r="E47" s="1" t="inlineStr">
        <is>
          <t>Nguyeân</t>
        </is>
      </c>
      <c r="F47" s="1" t="inlineStr">
        <is>
          <t>26-Dec-07</t>
        </is>
      </c>
      <c r="G47" s="1" t="inlineStr">
        <is>
          <t>LNH0925NL01</t>
        </is>
      </c>
      <c r="H47" s="1" t="inlineStr">
        <is>
          <t>09AV Toeic 2 KN</t>
        </is>
      </c>
      <c r="I47" s="1" t="n">
        <v>5120000</v>
      </c>
      <c r="J47" s="1" t="inlineStr">
        <is>
          <t>MBBANK IBFT Tran Cong Vinh Nguyen  25800500124 LNH0925NL01 sdt 0842072407  lop ho c toi 246 TAI IBT-MB                   HANOI</t>
        </is>
      </c>
    </row>
    <row r="48" hidden="1" s="87">
      <c r="A48" s="1" t="inlineStr">
        <is>
          <t>09-Sep-25</t>
        </is>
      </c>
      <c r="B48" s="1" t="inlineStr">
        <is>
          <t>I62622</t>
        </is>
      </c>
      <c r="C48" s="1" t="inlineStr">
        <is>
          <t>25805900027</t>
        </is>
      </c>
      <c r="D48" s="1" t="inlineStr">
        <is>
          <t>Traàn Thò Ngoïc</t>
        </is>
      </c>
      <c r="E48" s="1" t="inlineStr">
        <is>
          <t>Nhi</t>
        </is>
      </c>
      <c r="F48" s="1" t="inlineStr">
        <is>
          <t>10-Nov-07</t>
        </is>
      </c>
      <c r="G48" s="1" t="inlineStr">
        <is>
          <t>LNH0925NL01</t>
        </is>
      </c>
      <c r="H48" s="1" t="inlineStr">
        <is>
          <t>09AV Toeic 2 KN</t>
        </is>
      </c>
      <c r="I48" s="1" t="n">
        <v>5120000</v>
      </c>
      <c r="J48" s="1" t="inlineStr">
        <is>
          <t>MBBANK IBFT Tran Thi Ngoc Nhi 25805900027 LNH09 25NL01 Sdt 0364169061 TAI IBT-MB                   HANOI</t>
        </is>
      </c>
    </row>
    <row r="49" hidden="1" s="87">
      <c r="A49" s="1" t="inlineStr">
        <is>
          <t>10-Sep-25</t>
        </is>
      </c>
      <c r="B49" s="1" t="inlineStr">
        <is>
          <t>I62863</t>
        </is>
      </c>
      <c r="C49" s="1" t="inlineStr">
        <is>
          <t>25808700134</t>
        </is>
      </c>
      <c r="D49" s="1" t="inlineStr">
        <is>
          <t>Ñoã Gia</t>
        </is>
      </c>
      <c r="E49" s="1" t="inlineStr">
        <is>
          <t>Huy</t>
        </is>
      </c>
      <c r="F49" s="1" t="inlineStr">
        <is>
          <t>26-Apr-07</t>
        </is>
      </c>
      <c r="G49" s="1" t="inlineStr">
        <is>
          <t>LNH0925NL01</t>
        </is>
      </c>
      <c r="H49" s="1" t="inlineStr">
        <is>
          <t>09AV Toeic 2 KN</t>
        </is>
      </c>
      <c r="I49" s="1" t="n">
        <v>5120000</v>
      </c>
      <c r="J49" s="1" t="inlineStr">
        <is>
          <t>(ma cu LNH0925ND01) VND-TGTT-DO GIA HUY Do Gia Huy mssv25808700134 lop LNH0 925ND01 sdt0335 FT25253121839943 TAI TECHCOMBANK            HANOI</t>
        </is>
      </c>
    </row>
    <row r="50" hidden="1" s="87">
      <c r="A50" s="1" t="inlineStr">
        <is>
          <t>28-Aug-25</t>
        </is>
      </c>
      <c r="B50" s="1" t="inlineStr">
        <is>
          <t>I64176</t>
        </is>
      </c>
      <c r="C50" s="1" t="inlineStr">
        <is>
          <t>25807800081</t>
        </is>
      </c>
      <c r="D50" s="1" t="inlineStr">
        <is>
          <t>Nguyeãn Thanh</t>
        </is>
      </c>
      <c r="E50" s="1" t="inlineStr">
        <is>
          <t>Luõy</t>
        </is>
      </c>
      <c r="F50" s="1" t="inlineStr">
        <is>
          <t>08-Mar-07</t>
        </is>
      </c>
      <c r="G50" s="1" t="inlineStr">
        <is>
          <t>LNH0925NL01</t>
        </is>
      </c>
      <c r="H50" s="1" t="inlineStr">
        <is>
          <t>09AV Toeic 2 KN</t>
        </is>
      </c>
      <c r="I50" s="1" t="n">
        <v>250000</v>
      </c>
      <c r="J50" s="1" t="inlineStr">
        <is>
          <t>TRAN THI THANH MAI QR - Nguyen Thanh Luy 25807800081 L NH0925NL01 0825455997 TAI VietinBank</t>
        </is>
      </c>
    </row>
    <row r="51" hidden="1" s="87">
      <c r="A51" s="1" t="inlineStr">
        <is>
          <t>16-Sep-25</t>
        </is>
      </c>
      <c r="B51" s="1" t="inlineStr">
        <is>
          <t>I64326</t>
        </is>
      </c>
      <c r="C51" s="1" t="inlineStr">
        <is>
          <t>25801700096</t>
        </is>
      </c>
      <c r="D51" s="1" t="inlineStr">
        <is>
          <t>Ñaëng Chí</t>
        </is>
      </c>
      <c r="E51" s="1" t="inlineStr">
        <is>
          <t>Duõng</t>
        </is>
      </c>
      <c r="F51" s="1" t="inlineStr">
        <is>
          <t>17-Apr-07</t>
        </is>
      </c>
      <c r="G51" s="1" t="inlineStr">
        <is>
          <t>LNH0925NL01</t>
        </is>
      </c>
      <c r="H51" s="1" t="inlineStr">
        <is>
          <t>09AV Toeic 2 KN</t>
        </is>
      </c>
      <c r="I51" s="1" t="n">
        <v>1600000</v>
      </c>
      <c r="J51" s="1" t="inlineStr">
        <is>
          <t>DANG CHI DUNG MBVCB.10942468124.911128.HO TEN: DA NG CHI DUNG   MSSV: 25801700096  ML DK HOC: LNH0925NL01  SDT: 070704708 7.CT tu 7707047087 DANG CHI DUNG toi 0521043748045 HUTECH tai ABBANK TAI Vietcombank</t>
        </is>
      </c>
    </row>
    <row r="52" hidden="1" s="87">
      <c r="A52" s="1" t="inlineStr">
        <is>
          <t>17-Sep-25</t>
        </is>
      </c>
      <c r="B52" s="1" t="inlineStr">
        <is>
          <t>I64358</t>
        </is>
      </c>
      <c r="C52" s="1" t="inlineStr">
        <is>
          <t>25806600141</t>
        </is>
      </c>
      <c r="D52" s="1" t="inlineStr">
        <is>
          <t>Traàn Thò Maãn</t>
        </is>
      </c>
      <c r="E52" s="1" t="inlineStr">
        <is>
          <t>Nghi</t>
        </is>
      </c>
      <c r="F52" s="1" t="inlineStr">
        <is>
          <t>06-Jan-07</t>
        </is>
      </c>
      <c r="G52" s="1" t="inlineStr">
        <is>
          <t>LNH0925NL01</t>
        </is>
      </c>
      <c r="H52" s="1" t="inlineStr">
        <is>
          <t>09AV Giao tiep QT (TS)</t>
        </is>
      </c>
      <c r="I52" s="1" t="n">
        <v>6120000</v>
      </c>
      <c r="J52" s="1" t="inlineStr">
        <is>
          <t>(ma cu LNH0925ND01) MBBANK IBFT TRAN THI MAN NGHI chuyen tien Tran Thi Man Nghi 25806600141 TAI IBT-MB                   HANOI</t>
        </is>
      </c>
    </row>
    <row r="53" hidden="1" s="87">
      <c r="A53" s="1" t="inlineStr">
        <is>
          <t>18-Sep-25</t>
        </is>
      </c>
      <c r="B53" s="1" t="inlineStr">
        <is>
          <t>I64716</t>
        </is>
      </c>
      <c r="C53" s="1" t="inlineStr">
        <is>
          <t>25802600143</t>
        </is>
      </c>
      <c r="D53" s="1" t="inlineStr">
        <is>
          <t>Phaïm Thò Haûi</t>
        </is>
      </c>
      <c r="E53" s="1" t="inlineStr">
        <is>
          <t>Yeán</t>
        </is>
      </c>
      <c r="F53" s="1" t="inlineStr">
        <is>
          <t>10-Aug-07</t>
        </is>
      </c>
      <c r="G53" s="1" t="inlineStr">
        <is>
          <t>LNH0925NL01</t>
        </is>
      </c>
      <c r="H53" s="1" t="inlineStr">
        <is>
          <t>09AV Toeic 2 KN</t>
        </is>
      </c>
      <c r="I53" s="1" t="n">
        <v>5000000</v>
      </c>
      <c r="J53" s="1" t="inlineStr">
        <is>
          <t>MBBANK IBFT 101179980176 PHAM THI HAI YEN  2580 2600143 LNH0925NL01 0389133884 CHUY EN TIEN OQCH00025Rdm MOMO1011799801 76MOMO TAI IBT-MB                   HANOI</t>
        </is>
      </c>
    </row>
    <row r="54" hidden="1" s="87">
      <c r="A54" s="1" t="inlineStr">
        <is>
          <t>20-Sep-25</t>
        </is>
      </c>
      <c r="B54" s="1" t="inlineStr">
        <is>
          <t>I64904</t>
        </is>
      </c>
      <c r="C54" s="1" t="inlineStr">
        <is>
          <t>25802300124</t>
        </is>
      </c>
      <c r="D54" s="1" t="inlineStr">
        <is>
          <t>Nguyeãn Thuøy</t>
        </is>
      </c>
      <c r="E54" s="1" t="inlineStr">
        <is>
          <t>Linh</t>
        </is>
      </c>
      <c r="F54" s="1" t="inlineStr">
        <is>
          <t>11-Jul-07</t>
        </is>
      </c>
      <c r="G54" s="1" t="inlineStr">
        <is>
          <t>LNH0925NL01</t>
        </is>
      </c>
      <c r="H54" s="1" t="inlineStr">
        <is>
          <t>09AV Toeic 2 KN</t>
        </is>
      </c>
      <c r="I54" s="1" t="n">
        <v>1600000</v>
      </c>
      <c r="J54" s="1" t="inlineStr">
        <is>
          <t>NGUYEN THUY LINH NGUYEN THUY LINH 25802300124 Lop 25 DMAB2 TAI IBT BIDV                 HANOI</t>
        </is>
      </c>
    </row>
    <row r="55" hidden="1" s="87">
      <c r="A55" s="1" t="inlineStr">
        <is>
          <t>20-Sep-25</t>
        </is>
      </c>
      <c r="B55" s="1" t="inlineStr">
        <is>
          <t>I64910</t>
        </is>
      </c>
      <c r="C55" s="1" t="inlineStr">
        <is>
          <t>25803800012</t>
        </is>
      </c>
      <c r="D55" s="1" t="inlineStr">
        <is>
          <t>Leâ Thanh</t>
        </is>
      </c>
      <c r="E55" s="1" t="inlineStr">
        <is>
          <t>Ñaït</t>
        </is>
      </c>
      <c r="F55" s="1" t="inlineStr">
        <is>
          <t>16-Jul-07</t>
        </is>
      </c>
      <c r="G55" s="1" t="inlineStr">
        <is>
          <t>LNH0925NL01</t>
        </is>
      </c>
      <c r="H55" s="1" t="inlineStr">
        <is>
          <t>09AV Toeic 2 KN</t>
        </is>
      </c>
      <c r="I55" s="1" t="n">
        <v>2800000</v>
      </c>
      <c r="J55" s="1" t="inlineStr">
        <is>
          <t>LE THANH TU LE THANH DAT 25803800012 LNH0925NL0 1 0911840515-200925-23 18 27 378691 TAI Ngan hang a chau       IBT SMARLINK</t>
        </is>
      </c>
    </row>
    <row r="56" hidden="1" s="87">
      <c r="A56" s="1" t="inlineStr">
        <is>
          <t>23-Sep-25</t>
        </is>
      </c>
      <c r="B56" s="1" t="inlineStr">
        <is>
          <t>I65558</t>
        </is>
      </c>
      <c r="C56" s="1" t="inlineStr">
        <is>
          <t>25808200042</t>
        </is>
      </c>
      <c r="D56" s="1" t="inlineStr">
        <is>
          <t>Nguyeãn Phi</t>
        </is>
      </c>
      <c r="E56" s="1" t="inlineStr">
        <is>
          <t>Hieäp</t>
        </is>
      </c>
      <c r="F56" s="1" t="inlineStr">
        <is>
          <t>14-Dec-07</t>
        </is>
      </c>
      <c r="G56" s="1" t="inlineStr">
        <is>
          <t>LNH0925NL01</t>
        </is>
      </c>
      <c r="H56" s="1" t="inlineStr">
        <is>
          <t>09AV Toeic 2 KN</t>
        </is>
      </c>
      <c r="I56" s="1" t="n">
        <v>5120000</v>
      </c>
      <c r="J56" s="1" t="inlineStr">
        <is>
          <t>MBBANK IBFT Nguyen Phi Hiep 25808200042 LNH0925 NL01 0342090432 TAI IBT-MB                   HANOI</t>
        </is>
      </c>
    </row>
    <row r="57" hidden="1" s="87">
      <c r="A57" s="1" t="inlineStr">
        <is>
          <t>25-Aug-25</t>
        </is>
      </c>
      <c r="B57" s="1" t="inlineStr">
        <is>
          <t>I65576</t>
        </is>
      </c>
      <c r="C57" s="1" t="inlineStr">
        <is>
          <t>25808900222</t>
        </is>
      </c>
      <c r="D57" s="1" t="inlineStr">
        <is>
          <t>Leâ Yeán</t>
        </is>
      </c>
      <c r="E57" s="1" t="inlineStr">
        <is>
          <t>Trang</t>
        </is>
      </c>
      <c r="F57" s="1" t="inlineStr">
        <is>
          <t>18-May-07</t>
        </is>
      </c>
      <c r="G57" s="1" t="inlineStr">
        <is>
          <t>LNH0925NL01</t>
        </is>
      </c>
      <c r="H57" s="1" t="inlineStr">
        <is>
          <t>09AV Toeic 2 KN</t>
        </is>
      </c>
      <c r="I57" s="1" t="n">
        <v>5525000</v>
      </c>
      <c r="J57" s="1" t="inlineStr">
        <is>
          <t>TRAN THI THANH MAI QR - Le Yen Trang 25808900222 LNH09 25NL01 0703480865 TAI VietinBank</t>
        </is>
      </c>
    </row>
    <row r="58" hidden="1" s="87">
      <c r="A58" s="1" t="inlineStr">
        <is>
          <t>24-Sep-25</t>
        </is>
      </c>
      <c r="B58" s="1" t="inlineStr">
        <is>
          <t>I65921</t>
        </is>
      </c>
      <c r="C58" s="1" t="inlineStr">
        <is>
          <t>25802800108</t>
        </is>
      </c>
      <c r="D58" s="1" t="inlineStr">
        <is>
          <t>Voõ Traàn Baûo</t>
        </is>
      </c>
      <c r="E58" s="1" t="inlineStr">
        <is>
          <t>Khang</t>
        </is>
      </c>
      <c r="F58" s="1" t="inlineStr">
        <is>
          <t>19-Sep-07</t>
        </is>
      </c>
      <c r="G58" s="1" t="inlineStr">
        <is>
          <t>LNH0925NL01</t>
        </is>
      </c>
      <c r="H58" s="1" t="inlineStr">
        <is>
          <t>09AV Toeic 2 KN</t>
        </is>
      </c>
      <c r="I58" s="1" t="n">
        <v>5120000</v>
      </c>
      <c r="J58" s="1" t="inlineStr">
        <is>
          <t>TRAN THI BE TI vo tran bao khang.mssv 25802800108. ma dong tien LNH0925NL01.dtsv 09310 97039 TAI VietinBank</t>
        </is>
      </c>
    </row>
    <row r="59" hidden="1" s="87">
      <c r="A59" s="1" t="inlineStr">
        <is>
          <t>26-Sep-25</t>
        </is>
      </c>
      <c r="B59" s="1" t="inlineStr">
        <is>
          <t>I66756</t>
        </is>
      </c>
      <c r="C59" s="1" t="inlineStr">
        <is>
          <t>25807800148</t>
        </is>
      </c>
      <c r="D59" s="1" t="inlineStr">
        <is>
          <t>Traàn Phan Ñöùc</t>
        </is>
      </c>
      <c r="E59" s="1" t="inlineStr">
        <is>
          <t>Trí</t>
        </is>
      </c>
      <c r="F59" s="1" t="inlineStr">
        <is>
          <t>29-Sep-07</t>
        </is>
      </c>
      <c r="G59" s="1" t="inlineStr">
        <is>
          <t>LNH0925NL01</t>
        </is>
      </c>
      <c r="H59" s="1" t="inlineStr">
        <is>
          <t>09AV Toeic 2 KN</t>
        </is>
      </c>
      <c r="I59" s="1" t="n">
        <v>600000</v>
      </c>
      <c r="J59" s="1" t="inlineStr">
        <is>
          <t>MBBANK IBFT Tran Phan Duc Tri 25807800148 LNH09 25NL01 0896439484 TAI IBT-MB                   HANOI</t>
        </is>
      </c>
    </row>
    <row r="60" hidden="1" s="87">
      <c r="A60" s="1" t="inlineStr">
        <is>
          <t>27-Sep-25</t>
        </is>
      </c>
      <c r="B60" s="1" t="inlineStr">
        <is>
          <t>I66983</t>
        </is>
      </c>
      <c r="C60" s="1" t="inlineStr">
        <is>
          <t>25802600075</t>
        </is>
      </c>
      <c r="D60" s="1" t="inlineStr">
        <is>
          <t>Huyønh Thanh Mai</t>
        </is>
      </c>
      <c r="E60" s="1" t="inlineStr">
        <is>
          <t>Ly</t>
        </is>
      </c>
      <c r="F60" s="1" t="inlineStr">
        <is>
          <t>26-Aug-07</t>
        </is>
      </c>
      <c r="G60" s="1" t="inlineStr">
        <is>
          <t>LNH0925NL01</t>
        </is>
      </c>
      <c r="H60" s="1" t="inlineStr">
        <is>
          <t>09AV Toeic 2 KN</t>
        </is>
      </c>
      <c r="I60" s="1" t="n">
        <v>5120000</v>
      </c>
      <c r="J60" s="1" t="inlineStr">
        <is>
          <t>HUYNH ANH DUY MBVCB.11081666212.987326.HUYNH  THA NH MAI LY   MSSV 25802600075. Dt 08 86195059 chuyen tien.CT tu 10192010 12 HUYNH ANH DUY toi 0521043748045HUTECH tai ABBANK TAI Vietcombank</t>
        </is>
      </c>
    </row>
    <row r="61" hidden="1" s="87">
      <c r="A61" s="1" t="inlineStr">
        <is>
          <t>27-Sep-25</t>
        </is>
      </c>
      <c r="B61" s="1" t="inlineStr">
        <is>
          <t>I66984</t>
        </is>
      </c>
      <c r="C61" s="1" t="inlineStr">
        <is>
          <t>25820200020</t>
        </is>
      </c>
      <c r="D61" s="1" t="inlineStr">
        <is>
          <t>Nguyeãn Nhaät</t>
        </is>
      </c>
      <c r="E61" s="1" t="inlineStr">
        <is>
          <t>Haøo</t>
        </is>
      </c>
      <c r="F61" s="1" t="inlineStr">
        <is>
          <t>28-Apr-07</t>
        </is>
      </c>
      <c r="G61" s="1" t="inlineStr">
        <is>
          <t>LNH0925NL01</t>
        </is>
      </c>
      <c r="H61" s="1" t="inlineStr">
        <is>
          <t>09AV Toeic 2 KN</t>
        </is>
      </c>
      <c r="I61" s="1" t="n">
        <v>5120000</v>
      </c>
      <c r="J61" s="1" t="inlineStr">
        <is>
          <t>NGUYEN NHAT HAO NGUYEN NHAT HAO  MSSV 25820200020 LNH0925LN01  SDT 0365125481 TAI VietinBank</t>
        </is>
      </c>
    </row>
    <row r="62" hidden="1" s="87">
      <c r="A62" s="1" t="inlineStr">
        <is>
          <t>06-Oct-25</t>
        </is>
      </c>
      <c r="B62" s="1" t="inlineStr">
        <is>
          <t>I68315</t>
        </is>
      </c>
      <c r="C62" s="1" t="inlineStr">
        <is>
          <t>25802800098</t>
        </is>
      </c>
      <c r="D62" s="1" t="inlineStr">
        <is>
          <t>Nguyeãn Leä</t>
        </is>
      </c>
      <c r="E62" s="1" t="inlineStr">
        <is>
          <t>Höông</t>
        </is>
      </c>
      <c r="F62" s="1" t="inlineStr">
        <is>
          <t>05-Apr-07</t>
        </is>
      </c>
      <c r="G62" s="1" t="inlineStr">
        <is>
          <t>LNH0925NL01</t>
        </is>
      </c>
      <c r="H62" s="1" t="inlineStr">
        <is>
          <t>09AV Toeic 2 KN</t>
        </is>
      </c>
      <c r="I62" s="1" t="n">
        <v>5120000</v>
      </c>
      <c r="J62" s="1" t="inlineStr">
        <is>
          <t>MBBANK IBFT NGUYEN LE HUONG chuyen tien TAI IBT-MB                   HANOI</t>
        </is>
      </c>
    </row>
    <row r="63" hidden="1" s="87">
      <c r="A63" s="23" t="n">
        <v>45714</v>
      </c>
      <c r="B63" s="1" t="inlineStr">
        <is>
          <t>I18606</t>
        </is>
      </c>
      <c r="C63" s="24" t="inlineStr">
        <is>
          <t>2388500585</t>
        </is>
      </c>
      <c r="D63" s="1" t="inlineStr">
        <is>
          <t xml:space="preserve">Nguyeãn Phuùc Minh    </t>
        </is>
      </c>
      <c r="E63" s="1" t="inlineStr">
        <is>
          <t xml:space="preserve">Thö    </t>
        </is>
      </c>
      <c r="F63" s="23" t="n">
        <v>38625</v>
      </c>
      <c r="G63" s="1" t="inlineStr">
        <is>
          <t xml:space="preserve">LNH0925NL01 </t>
        </is>
      </c>
      <c r="I63" s="1" t="n">
        <v>1600000</v>
      </c>
      <c r="J63" s="1" t="inlineStr">
        <is>
          <t xml:space="preserve">(cap nhat 14.10.25)NGUYEN PHUC MINH THU MBVCB.8640100235.146998.NGUYEN PHUC MINH THU 2388500585 chuyen tien.CT tu 1052515215 NGUYEN PHUC MINH THU toi 0521043748045 HUTECH tai ABBAN TAI Vietcombank                                                         </t>
        </is>
      </c>
    </row>
    <row r="64" hidden="1" s="87">
      <c r="A64" s="23" t="n">
        <v>45805</v>
      </c>
      <c r="B64" s="1" t="inlineStr">
        <is>
          <t>I39944</t>
        </is>
      </c>
      <c r="C64" s="24" t="inlineStr">
        <is>
          <t>2180606153</t>
        </is>
      </c>
      <c r="D64" s="1" t="inlineStr">
        <is>
          <t xml:space="preserve">Nguyeãn Ñình          </t>
        </is>
      </c>
      <c r="E64" s="1" t="inlineStr">
        <is>
          <t xml:space="preserve">Huy    </t>
        </is>
      </c>
      <c r="F64" s="23" t="n">
        <v>37938</v>
      </c>
      <c r="G64" s="1" t="inlineStr">
        <is>
          <t xml:space="preserve">LNH0925NL01 </t>
        </is>
      </c>
      <c r="I64" s="1" t="n">
        <v>1600000</v>
      </c>
      <c r="J64" s="1" t="inlineStr">
        <is>
          <t xml:space="preserve">(ma cu LNH0625NO01) MBBANK IBFT Nguyen Dinh Huy 2180606153 LNH0625N O01 0978162749 TAI IBT-MB                   HANOI                                                                                                                                        </t>
        </is>
      </c>
    </row>
    <row r="65" hidden="1" ht="15" customHeight="1" s="87">
      <c r="A65" t="inlineStr">
        <is>
          <t>15-Oct-25</t>
        </is>
      </c>
      <c r="B65" t="inlineStr">
        <is>
          <t>I70235</t>
        </is>
      </c>
      <c r="C65" s="42" t="inlineStr">
        <is>
          <t>25807600154</t>
        </is>
      </c>
      <c r="D65" t="inlineStr">
        <is>
          <t>Buøi Thò Phöông</t>
        </is>
      </c>
      <c r="E65" t="inlineStr">
        <is>
          <t>Linh</t>
        </is>
      </c>
      <c r="F65" t="inlineStr">
        <is>
          <t>29-Dec-06</t>
        </is>
      </c>
      <c r="G65" t="inlineStr">
        <is>
          <t>LNH0925NL01</t>
        </is>
      </c>
      <c r="H65" t="inlineStr">
        <is>
          <t>09AV Toeic 2 KN</t>
        </is>
      </c>
      <c r="I65" t="n">
        <v>120000</v>
      </c>
      <c r="J65" t="inlineStr">
        <is>
          <t>MBBANK IBFT Thach Thi Huynh Nhu MSSV 2480760015 4 LNH0925NL01 SDT 0928209014 TAI IBT-MB                   HANOI</t>
        </is>
      </c>
    </row>
  </sheetData>
  <autoFilter ref="A1:J65">
    <filterColumn colId="2" hiddenButton="0" showButton="1">
      <filters>
        <filter val="25809700009"/>
      </filters>
    </filterColumn>
  </autoFilter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58"/>
  <sheetViews>
    <sheetView topLeftCell="A837" workbookViewId="0">
      <selection activeCell="J859" sqref="J859"/>
    </sheetView>
  </sheetViews>
  <sheetFormatPr baseColWidth="8" defaultColWidth="8.85546875" defaultRowHeight="15"/>
  <cols>
    <col width="18.28515625" customWidth="1" style="87" min="2" max="2"/>
    <col width="21.28515625" customWidth="1" style="87" min="3" max="3"/>
    <col width="13" customWidth="1" style="87" min="4" max="4"/>
    <col width="12.140625" customWidth="1" style="87" min="5" max="5"/>
    <col width="18.85546875" customWidth="1" style="87" min="6" max="6"/>
    <col width="15.85546875" customWidth="1" style="99" min="7" max="7"/>
    <col width="13.85546875" customWidth="1" style="87" min="8" max="8"/>
    <col width="14.42578125" customWidth="1" style="87" min="11" max="11"/>
    <col width="12.85546875" customWidth="1" style="87" min="12" max="12"/>
    <col width="11.85546875" bestFit="1" customWidth="1" style="87" min="13" max="13"/>
  </cols>
  <sheetData>
    <row r="1">
      <c r="A1" s="15" t="inlineStr">
        <is>
          <t>LV1</t>
        </is>
      </c>
      <c r="B1" s="15" t="n">
        <v>2100000</v>
      </c>
      <c r="C1" s="15" t="n"/>
      <c r="D1" s="15" t="inlineStr">
        <is>
          <t>2 Khóa (1+2)</t>
        </is>
      </c>
      <c r="E1" s="100">
        <f>(B1+B2)*95%</f>
        <v/>
      </c>
      <c r="F1" s="101">
        <f>E1/2</f>
        <v/>
      </c>
      <c r="G1" s="17" t="inlineStr">
        <is>
          <t>LV1-2</t>
        </is>
      </c>
      <c r="H1" s="17" t="n">
        <v>1600000</v>
      </c>
      <c r="I1" s="17" t="n">
        <v>3000000</v>
      </c>
      <c r="J1" s="17" t="inlineStr">
        <is>
          <t>2LV1-2</t>
        </is>
      </c>
      <c r="K1" s="102">
        <f>H1*2*95%</f>
        <v/>
      </c>
      <c r="L1" s="102">
        <f>I1*2*95%</f>
        <v/>
      </c>
    </row>
    <row r="2">
      <c r="A2" s="15" t="inlineStr">
        <is>
          <t>LV2-3-4</t>
        </is>
      </c>
      <c r="B2" s="15" t="n">
        <v>2600000</v>
      </c>
      <c r="C2" s="15" t="n"/>
      <c r="D2" s="15" t="inlineStr">
        <is>
          <t>2 Khóa (3+4)</t>
        </is>
      </c>
      <c r="E2" s="100">
        <f>B2*2*95%</f>
        <v/>
      </c>
      <c r="G2" s="17" t="inlineStr">
        <is>
          <t>LV3-4</t>
        </is>
      </c>
      <c r="H2" s="17" t="n">
        <v>2000000</v>
      </c>
      <c r="I2" s="17" t="n">
        <v>3500000</v>
      </c>
      <c r="J2" s="17" t="inlineStr">
        <is>
          <t>2LV3-4</t>
        </is>
      </c>
      <c r="K2" s="102">
        <f>H2*2*95%</f>
        <v/>
      </c>
      <c r="L2" s="102">
        <f>I2*2*95%</f>
        <v/>
      </c>
    </row>
    <row r="3">
      <c r="A3" s="15" t="inlineStr">
        <is>
          <t>AVGT</t>
        </is>
      </c>
      <c r="B3" s="15" t="n"/>
      <c r="C3" s="15" t="n"/>
      <c r="D3" s="15" t="inlineStr">
        <is>
          <t>4 Khóa</t>
        </is>
      </c>
      <c r="E3" s="100">
        <f>(B1+3*B2)*85%</f>
        <v/>
      </c>
      <c r="F3" s="101">
        <f>E3/4</f>
        <v/>
      </c>
      <c r="G3" s="17" t="inlineStr">
        <is>
          <t>TOEIC</t>
        </is>
      </c>
      <c r="H3" s="17" t="inlineStr">
        <is>
          <t>45 Tiết</t>
        </is>
      </c>
      <c r="I3" s="17" t="inlineStr">
        <is>
          <t>54 Tiết</t>
        </is>
      </c>
      <c r="J3" s="17" t="inlineStr">
        <is>
          <t>4LV</t>
        </is>
      </c>
      <c r="K3" s="102">
        <f>(H1*2+H2*2)*85%</f>
        <v/>
      </c>
      <c r="L3" s="102">
        <f>(I1*2+I2*2)*85%</f>
        <v/>
      </c>
      <c r="M3" s="101">
        <f>L3-K3</f>
        <v/>
      </c>
    </row>
    <row r="4">
      <c r="K4" s="101">
        <f>K3/4</f>
        <v/>
      </c>
      <c r="M4" s="101" t="n"/>
    </row>
    <row r="5">
      <c r="F5" s="4" t="inlineStr">
        <is>
          <t>Tổng cộng</t>
        </is>
      </c>
      <c r="G5" s="103">
        <f>SUBTOTAL(9,G7:G1000)</f>
        <v/>
      </c>
      <c r="L5" s="101" t="n"/>
    </row>
    <row r="6">
      <c r="A6" s="9" t="inlineStr">
        <is>
          <t>STT</t>
        </is>
      </c>
      <c r="B6" s="9" t="inlineStr">
        <is>
          <t>MSV</t>
        </is>
      </c>
      <c r="C6" s="9" t="inlineStr">
        <is>
          <t>Họ</t>
        </is>
      </c>
      <c r="D6" s="9" t="inlineStr">
        <is>
          <t>Tên</t>
        </is>
      </c>
      <c r="E6" s="9" t="inlineStr">
        <is>
          <t>Ngày sinh</t>
        </is>
      </c>
      <c r="F6" s="9" t="inlineStr">
        <is>
          <t>Mã lớp đăng ký</t>
        </is>
      </c>
      <c r="G6" s="104" t="inlineStr">
        <is>
          <t>Số tiền</t>
        </is>
      </c>
      <c r="H6" s="13" t="inlineStr">
        <is>
          <t>Mã lớp 1</t>
        </is>
      </c>
      <c r="I6" s="13" t="inlineStr">
        <is>
          <t>HP lớp 1</t>
        </is>
      </c>
      <c r="J6" s="17" t="inlineStr">
        <is>
          <t>Ghi Chú</t>
        </is>
      </c>
    </row>
    <row r="7">
      <c r="A7" s="5" t="n">
        <v>1</v>
      </c>
      <c r="B7" s="5" t="inlineStr">
        <is>
          <t>25802300384</t>
        </is>
      </c>
      <c r="C7" s="6" t="inlineStr">
        <is>
          <t>Mai Thien</t>
        </is>
      </c>
      <c r="D7" s="6" t="inlineStr">
        <is>
          <t>Tan</t>
        </is>
      </c>
      <c r="E7" s="5" t="inlineStr">
        <is>
          <t xml:space="preserve">  -   -</t>
        </is>
      </c>
      <c r="F7" s="5" t="inlineStr">
        <is>
          <t>LNH0925ND01</t>
        </is>
      </c>
      <c r="G7" s="105" t="n">
        <v>8415000</v>
      </c>
      <c r="H7">
        <f>VLOOKUP(B7,'[1]TONG HOP'!B$5:G$624,6,0)</f>
        <v/>
      </c>
      <c r="I7" t="n">
        <v>2103750</v>
      </c>
    </row>
    <row r="8">
      <c r="A8" s="5" t="n">
        <v>2</v>
      </c>
      <c r="B8" s="5" t="inlineStr">
        <is>
          <t>25800500246</t>
        </is>
      </c>
      <c r="C8" s="6" t="inlineStr">
        <is>
          <t>Phan Le Duy</t>
        </is>
      </c>
      <c r="D8" s="6" t="inlineStr">
        <is>
          <t>Minh</t>
        </is>
      </c>
      <c r="E8" s="5" t="inlineStr">
        <is>
          <t xml:space="preserve">  -   -</t>
        </is>
      </c>
      <c r="F8" s="5" t="inlineStr">
        <is>
          <t>LNH0925ND01</t>
        </is>
      </c>
      <c r="G8" s="105" t="n">
        <v>1000000</v>
      </c>
    </row>
    <row r="9">
      <c r="A9" s="5" t="n">
        <v>3</v>
      </c>
      <c r="B9" s="5" t="inlineStr">
        <is>
          <t>25807500216</t>
        </is>
      </c>
      <c r="C9" s="6" t="inlineStr">
        <is>
          <t>Dang Dinh</t>
        </is>
      </c>
      <c r="D9" s="6" t="inlineStr">
        <is>
          <t>Hieu</t>
        </is>
      </c>
      <c r="E9" s="5" t="inlineStr">
        <is>
          <t xml:space="preserve">  -   -</t>
        </is>
      </c>
      <c r="F9" s="5" t="inlineStr">
        <is>
          <t>LNH0925ND01</t>
        </is>
      </c>
      <c r="G9" s="105" t="n">
        <v>1000000</v>
      </c>
    </row>
    <row r="10">
      <c r="A10" s="5" t="n">
        <v>4</v>
      </c>
      <c r="B10" s="5" t="inlineStr">
        <is>
          <t>25801700020</t>
        </is>
      </c>
      <c r="C10" s="6" t="inlineStr">
        <is>
          <t>Bui Quang</t>
        </is>
      </c>
      <c r="D10" s="6" t="inlineStr">
        <is>
          <t>Huy</t>
        </is>
      </c>
      <c r="E10" s="5" t="inlineStr">
        <is>
          <t xml:space="preserve">  -   -</t>
        </is>
      </c>
      <c r="F10" s="5" t="inlineStr">
        <is>
          <t>LNH0925ND01</t>
        </is>
      </c>
      <c r="G10" s="105" t="n">
        <v>8415000</v>
      </c>
      <c r="H10">
        <f>VLOOKUP(B10,'[1]TONG HOP'!B$5:G$624,6,0)</f>
        <v/>
      </c>
      <c r="I10" t="n">
        <v>2103750</v>
      </c>
    </row>
    <row r="11">
      <c r="A11" s="5" t="n">
        <v>5</v>
      </c>
      <c r="B11" s="5" t="inlineStr">
        <is>
          <t>25808900008</t>
        </is>
      </c>
      <c r="C11" s="6" t="inlineStr">
        <is>
          <t>Le Do Hung</t>
        </is>
      </c>
      <c r="D11" s="6" t="inlineStr">
        <is>
          <t>Anh</t>
        </is>
      </c>
      <c r="E11" s="5" t="inlineStr">
        <is>
          <t xml:space="preserve">  -   -</t>
        </is>
      </c>
      <c r="F11" s="5" t="inlineStr">
        <is>
          <t>LNH0925ND01</t>
        </is>
      </c>
      <c r="G11" s="105" t="n">
        <v>8415000</v>
      </c>
      <c r="H11">
        <f>VLOOKUP(B11,'[1]TONG HOP'!B$5:G$624,6,0)</f>
        <v/>
      </c>
      <c r="I11" t="n">
        <v>2103750</v>
      </c>
    </row>
    <row r="12">
      <c r="A12" s="5" t="n">
        <v>6</v>
      </c>
      <c r="B12" s="5" t="inlineStr">
        <is>
          <t>25800400162</t>
        </is>
      </c>
      <c r="C12" s="6" t="inlineStr">
        <is>
          <t>Nguyen Van</t>
        </is>
      </c>
      <c r="D12" s="6" t="inlineStr">
        <is>
          <t>Truyen</t>
        </is>
      </c>
      <c r="E12" s="5" t="inlineStr">
        <is>
          <t xml:space="preserve">  -   -</t>
        </is>
      </c>
      <c r="F12" s="5" t="inlineStr">
        <is>
          <t>LNH0925ND01</t>
        </is>
      </c>
      <c r="G12" s="105" t="n">
        <v>8415000</v>
      </c>
      <c r="H12">
        <f>VLOOKUP(B12,'[1]TONG HOP'!B$5:G$624,6,0)</f>
        <v/>
      </c>
      <c r="I12" t="n">
        <v>2103750</v>
      </c>
    </row>
    <row r="13">
      <c r="A13" s="5" t="n">
        <v>7</v>
      </c>
      <c r="B13" s="5" t="inlineStr">
        <is>
          <t>25808300049</t>
        </is>
      </c>
      <c r="C13" s="6" t="inlineStr">
        <is>
          <t>Nguyen Thi Anh</t>
        </is>
      </c>
      <c r="D13" s="6" t="inlineStr">
        <is>
          <t>Thu</t>
        </is>
      </c>
      <c r="E13" s="5" t="inlineStr">
        <is>
          <t xml:space="preserve">  -   -</t>
        </is>
      </c>
      <c r="F13" s="5" t="inlineStr">
        <is>
          <t>LNH0925ND01</t>
        </is>
      </c>
      <c r="G13" s="105" t="n">
        <v>8415000</v>
      </c>
      <c r="H13">
        <f>VLOOKUP(B13,'[1]TONG HOP'!B$5:G$624,6,0)</f>
        <v/>
      </c>
      <c r="I13" t="n">
        <v>2103750</v>
      </c>
    </row>
    <row r="14">
      <c r="A14" s="5" t="n">
        <v>8</v>
      </c>
      <c r="B14" s="5" t="inlineStr">
        <is>
          <t>25808200085</t>
        </is>
      </c>
      <c r="C14" s="6" t="inlineStr">
        <is>
          <t>Nguyen Hoang</t>
        </is>
      </c>
      <c r="D14" s="6" t="inlineStr">
        <is>
          <t>Minh</t>
        </is>
      </c>
      <c r="E14" s="5" t="inlineStr">
        <is>
          <t xml:space="preserve">  -   -</t>
        </is>
      </c>
      <c r="F14" s="5" t="inlineStr">
        <is>
          <t>LNH0925ND01</t>
        </is>
      </c>
      <c r="G14" s="105" t="n">
        <v>8415000</v>
      </c>
      <c r="H14">
        <f>VLOOKUP(B14,'[1]TONG HOP'!B$5:G$624,6,0)</f>
        <v/>
      </c>
      <c r="I14" t="n">
        <v>2103750</v>
      </c>
    </row>
    <row r="15">
      <c r="A15" s="5" t="n">
        <v>9</v>
      </c>
      <c r="B15" s="5" t="inlineStr">
        <is>
          <t>25820300015</t>
        </is>
      </c>
      <c r="C15" s="6" t="inlineStr">
        <is>
          <t>Cao Quang</t>
        </is>
      </c>
      <c r="D15" s="6" t="inlineStr">
        <is>
          <t>Huy</t>
        </is>
      </c>
      <c r="E15" s="5" t="inlineStr">
        <is>
          <t xml:space="preserve">  -   -</t>
        </is>
      </c>
      <c r="F15" s="5" t="inlineStr">
        <is>
          <t>LNH0925ND01</t>
        </is>
      </c>
      <c r="G15" s="105" t="n">
        <v>1000000</v>
      </c>
    </row>
    <row r="16">
      <c r="A16" s="5" t="n">
        <v>10</v>
      </c>
      <c r="B16" s="5" t="inlineStr">
        <is>
          <t>25802600004</t>
        </is>
      </c>
      <c r="C16" s="6" t="inlineStr">
        <is>
          <t>Nguyen Chau</t>
        </is>
      </c>
      <c r="D16" s="6" t="inlineStr">
        <is>
          <t>Anh</t>
        </is>
      </c>
      <c r="E16" s="5" t="inlineStr">
        <is>
          <t xml:space="preserve">  -   -</t>
        </is>
      </c>
      <c r="F16" s="5" t="inlineStr">
        <is>
          <t>LNH0925ND01</t>
        </is>
      </c>
      <c r="G16" s="105" t="n">
        <v>8415000</v>
      </c>
      <c r="H16">
        <f>VLOOKUP(B16,'[1]TONG HOP'!B$5:G$624,6,0)</f>
        <v/>
      </c>
      <c r="I16" t="n">
        <v>2103750</v>
      </c>
    </row>
    <row r="17">
      <c r="A17" s="5" t="n">
        <v>11</v>
      </c>
      <c r="B17" s="5" t="inlineStr">
        <is>
          <t>25808900260</t>
        </is>
      </c>
      <c r="C17" s="6" t="inlineStr">
        <is>
          <t>Dinh Gia</t>
        </is>
      </c>
      <c r="D17" s="6" t="inlineStr">
        <is>
          <t>Bao</t>
        </is>
      </c>
      <c r="E17" s="5" t="inlineStr">
        <is>
          <t xml:space="preserve">  -   -</t>
        </is>
      </c>
      <c r="F17" s="5" t="inlineStr">
        <is>
          <t>LNH0925ND01</t>
        </is>
      </c>
      <c r="G17" s="105" t="n">
        <v>8415000</v>
      </c>
      <c r="H17">
        <f>VLOOKUP(B17,'[1]TONG HOP'!B$5:G$624,6,0)</f>
        <v/>
      </c>
      <c r="I17" t="n">
        <v>2103750</v>
      </c>
    </row>
    <row r="18">
      <c r="A18" s="5" t="n">
        <v>12</v>
      </c>
      <c r="B18" s="5" t="inlineStr">
        <is>
          <t>25801100045</t>
        </is>
      </c>
      <c r="C18" s="6" t="inlineStr">
        <is>
          <t>Pham Minh</t>
        </is>
      </c>
      <c r="D18" s="6" t="inlineStr">
        <is>
          <t>Nhat</t>
        </is>
      </c>
      <c r="E18" s="5" t="inlineStr">
        <is>
          <t xml:space="preserve">  -   -</t>
        </is>
      </c>
      <c r="F18" s="5" t="inlineStr">
        <is>
          <t>LNH0925ND01</t>
        </is>
      </c>
      <c r="G18" s="105" t="n">
        <v>4465000</v>
      </c>
    </row>
    <row r="19">
      <c r="A19" s="5" t="n">
        <v>13</v>
      </c>
      <c r="B19" s="5" t="inlineStr">
        <is>
          <t>25800400195</t>
        </is>
      </c>
      <c r="C19" s="6" t="inlineStr">
        <is>
          <t>Tröông Gia</t>
        </is>
      </c>
      <c r="D19" s="6" t="inlineStr">
        <is>
          <t>Khaùnh</t>
        </is>
      </c>
      <c r="E19" s="5" t="inlineStr">
        <is>
          <t>01-Mar-06</t>
        </is>
      </c>
      <c r="F19" s="5" t="inlineStr">
        <is>
          <t>LNH0925ND01</t>
        </is>
      </c>
      <c r="G19" s="105" t="n">
        <v>500000</v>
      </c>
    </row>
    <row r="20">
      <c r="A20" s="5" t="n">
        <v>14</v>
      </c>
      <c r="B20" s="5" t="inlineStr">
        <is>
          <t>25809600060</t>
        </is>
      </c>
      <c r="C20" s="6" t="inlineStr">
        <is>
          <t>Ñoã Ñöùc</t>
        </is>
      </c>
      <c r="D20" s="6" t="inlineStr">
        <is>
          <t>Taøi</t>
        </is>
      </c>
      <c r="E20" s="5" t="inlineStr">
        <is>
          <t>10-May-07</t>
        </is>
      </c>
      <c r="F20" s="5" t="inlineStr">
        <is>
          <t>LNH0925ND01</t>
        </is>
      </c>
      <c r="G20" s="105" t="n">
        <v>900000</v>
      </c>
    </row>
    <row r="21">
      <c r="A21" s="5" t="n">
        <v>15</v>
      </c>
      <c r="B21" s="5" t="inlineStr">
        <is>
          <t>25801800110</t>
        </is>
      </c>
      <c r="C21" s="6" t="inlineStr">
        <is>
          <t>Leâ Thò</t>
        </is>
      </c>
      <c r="D21" s="6" t="inlineStr">
        <is>
          <t>Nguyeân</t>
        </is>
      </c>
      <c r="E21" s="5" t="inlineStr">
        <is>
          <t>14-Dec-07</t>
        </is>
      </c>
      <c r="F21" s="5" t="inlineStr">
        <is>
          <t>LNH0925ND01</t>
        </is>
      </c>
      <c r="G21" s="105" t="n">
        <v>8415000</v>
      </c>
      <c r="H21">
        <f>VLOOKUP(B21,'[1]TONG HOP'!B$5:G$624,6,0)</f>
        <v/>
      </c>
      <c r="I21" t="n">
        <v>2103750</v>
      </c>
    </row>
    <row r="22">
      <c r="A22" s="5" t="n">
        <v>16</v>
      </c>
      <c r="B22" s="5" t="inlineStr">
        <is>
          <t>25807500016</t>
        </is>
      </c>
      <c r="C22" s="6" t="inlineStr">
        <is>
          <t>Nguyeãn Cao Thaùi</t>
        </is>
      </c>
      <c r="D22" s="6" t="inlineStr">
        <is>
          <t>Duy</t>
        </is>
      </c>
      <c r="E22" s="5" t="inlineStr">
        <is>
          <t>18-Jan-07</t>
        </is>
      </c>
      <c r="F22" s="5" t="inlineStr">
        <is>
          <t>LNH0925ND01</t>
        </is>
      </c>
      <c r="G22" s="105" t="n">
        <v>1000000</v>
      </c>
    </row>
    <row r="23">
      <c r="A23" s="5" t="n">
        <v>17</v>
      </c>
      <c r="B23" s="5" t="inlineStr">
        <is>
          <t>25802800180</t>
        </is>
      </c>
      <c r="C23" s="6" t="inlineStr">
        <is>
          <t>Thaùi Huyønh</t>
        </is>
      </c>
      <c r="D23" s="6" t="inlineStr">
        <is>
          <t>Nhaân</t>
        </is>
      </c>
      <c r="E23" s="5" t="inlineStr">
        <is>
          <t>30-Oct-07</t>
        </is>
      </c>
      <c r="F23" s="5" t="inlineStr">
        <is>
          <t>LNH0925ND01</t>
        </is>
      </c>
      <c r="G23" s="105" t="n">
        <v>8415000</v>
      </c>
      <c r="H23">
        <f>VLOOKUP(B23,'[1]TONG HOP'!B$5:G$624,6,0)</f>
        <v/>
      </c>
      <c r="I23" t="n">
        <v>2103750</v>
      </c>
    </row>
    <row r="24">
      <c r="A24" s="5" t="n">
        <v>18</v>
      </c>
      <c r="B24" s="5" t="inlineStr">
        <is>
          <t>25800400117</t>
        </is>
      </c>
      <c r="C24" s="6" t="inlineStr">
        <is>
          <t>Vuõ Hoaøng Minh</t>
        </is>
      </c>
      <c r="D24" s="6" t="inlineStr">
        <is>
          <t>Nhaät</t>
        </is>
      </c>
      <c r="E24" s="5" t="inlineStr">
        <is>
          <t>01-Jan-07</t>
        </is>
      </c>
      <c r="F24" s="5" t="inlineStr">
        <is>
          <t>LNH0925ND01</t>
        </is>
      </c>
      <c r="G24" s="105" t="n">
        <v>8415000</v>
      </c>
      <c r="H24">
        <f>VLOOKUP(B24,'[1]TONG HOP'!B$5:G$624,6,0)</f>
        <v/>
      </c>
      <c r="I24" t="n">
        <v>2103750</v>
      </c>
    </row>
    <row r="25">
      <c r="A25" s="5" t="n">
        <v>19</v>
      </c>
      <c r="B25" s="5" t="inlineStr">
        <is>
          <t>25802800096</t>
        </is>
      </c>
      <c r="C25" s="6" t="inlineStr">
        <is>
          <t>Tran Gia</t>
        </is>
      </c>
      <c r="D25" s="6" t="inlineStr">
        <is>
          <t>Huy</t>
        </is>
      </c>
      <c r="E25" s="5" t="inlineStr">
        <is>
          <t xml:space="preserve">  -   -</t>
        </is>
      </c>
      <c r="F25" s="5" t="inlineStr">
        <is>
          <t>LNH0925ND01</t>
        </is>
      </c>
      <c r="G25" s="105" t="n">
        <v>1000000</v>
      </c>
    </row>
    <row r="26">
      <c r="A26" s="5" t="n">
        <v>20</v>
      </c>
      <c r="B26" s="5" t="inlineStr">
        <is>
          <t>25807500152</t>
        </is>
      </c>
      <c r="C26" s="6" t="inlineStr">
        <is>
          <t>Ñaëng Minh</t>
        </is>
      </c>
      <c r="D26" s="6" t="inlineStr">
        <is>
          <t>Tröôøng</t>
        </is>
      </c>
      <c r="E26" s="5" t="inlineStr">
        <is>
          <t>03-Dec-07</t>
        </is>
      </c>
      <c r="F26" s="5" t="inlineStr">
        <is>
          <t>LNH0925ND01</t>
        </is>
      </c>
      <c r="G26" s="105" t="n">
        <v>8415000</v>
      </c>
      <c r="H26">
        <f>VLOOKUP(B26,'[1]TONG HOP'!B$5:G$624,6,0)</f>
        <v/>
      </c>
      <c r="I26" t="n">
        <v>2103750</v>
      </c>
    </row>
    <row r="27">
      <c r="A27" s="5" t="n">
        <v>21</v>
      </c>
      <c r="B27" s="5" t="inlineStr">
        <is>
          <t>25801600070</t>
        </is>
      </c>
      <c r="C27" s="6" t="inlineStr">
        <is>
          <t>Phan Thaønh</t>
        </is>
      </c>
      <c r="D27" s="6" t="inlineStr">
        <is>
          <t>Nhaân</t>
        </is>
      </c>
      <c r="E27" s="5" t="inlineStr">
        <is>
          <t>09-Nov-07</t>
        </is>
      </c>
      <c r="F27" s="5" t="inlineStr">
        <is>
          <t>LNH0925ND01</t>
        </is>
      </c>
      <c r="G27" s="105" t="n">
        <v>8415000</v>
      </c>
      <c r="H27">
        <f>VLOOKUP(B27,'[1]TONG HOP'!B$5:G$624,6,0)</f>
        <v/>
      </c>
      <c r="I27" t="n">
        <v>2103750</v>
      </c>
    </row>
    <row r="28">
      <c r="A28" s="5" t="n">
        <v>22</v>
      </c>
      <c r="B28" s="5" t="inlineStr">
        <is>
          <t>25802600107</t>
        </is>
      </c>
      <c r="C28" s="6" t="inlineStr">
        <is>
          <t>Ngoâ Ñoàng</t>
        </is>
      </c>
      <c r="D28" s="6" t="inlineStr">
        <is>
          <t>Taâm</t>
        </is>
      </c>
      <c r="E28" s="5" t="inlineStr">
        <is>
          <t>22-Dec-07</t>
        </is>
      </c>
      <c r="F28" s="5" t="inlineStr">
        <is>
          <t>LNH0925ND01</t>
        </is>
      </c>
      <c r="G28" s="105" t="n">
        <v>1000000</v>
      </c>
    </row>
    <row r="29">
      <c r="A29" s="5" t="n">
        <v>23</v>
      </c>
      <c r="B29" s="20" t="inlineStr">
        <is>
          <t>25802100002</t>
        </is>
      </c>
      <c r="C29" s="6" t="inlineStr">
        <is>
          <t>Nguyeãn Hoaøng</t>
        </is>
      </c>
      <c r="D29" s="6" t="inlineStr">
        <is>
          <t>Anh</t>
        </is>
      </c>
      <c r="E29" s="5" t="inlineStr">
        <is>
          <t>09-Apr-02</t>
        </is>
      </c>
      <c r="F29" s="5" t="inlineStr">
        <is>
          <t>LNH0925NL01</t>
        </is>
      </c>
      <c r="G29" s="105" t="n">
        <v>6120000</v>
      </c>
      <c r="H29" s="19">
        <f>VLOOKUP(B29,'[1]TONG HOP'!B$658:G$658,6,0)</f>
        <v/>
      </c>
      <c r="I29" t="n">
        <v>1530000</v>
      </c>
    </row>
    <row r="30">
      <c r="A30" s="5" t="n">
        <v>24</v>
      </c>
      <c r="B30" s="5" t="inlineStr">
        <is>
          <t>25808600150</t>
        </is>
      </c>
      <c r="C30" s="6" t="inlineStr">
        <is>
          <t>Nguyeãn Thò Ngoïc</t>
        </is>
      </c>
      <c r="D30" s="6" t="inlineStr">
        <is>
          <t>Vi</t>
        </is>
      </c>
      <c r="E30" s="5" t="inlineStr">
        <is>
          <t>31-Jul-07</t>
        </is>
      </c>
      <c r="F30" s="5" t="inlineStr">
        <is>
          <t>LNH0925ND01</t>
        </is>
      </c>
      <c r="G30" s="105" t="n">
        <v>8415000</v>
      </c>
      <c r="H30">
        <f>VLOOKUP(B30,'[1]TONG HOP'!B$5:G$624,6,0)</f>
        <v/>
      </c>
      <c r="I30" t="n">
        <v>2103750</v>
      </c>
    </row>
    <row r="31">
      <c r="A31" s="5" t="n">
        <v>25</v>
      </c>
      <c r="B31" s="5" t="inlineStr">
        <is>
          <t>25808600083</t>
        </is>
      </c>
      <c r="C31" s="6" t="inlineStr">
        <is>
          <t>Nguyeãn Thò Khaùnh</t>
        </is>
      </c>
      <c r="D31" s="6" t="inlineStr">
        <is>
          <t>Nhi</t>
        </is>
      </c>
      <c r="E31" s="5" t="inlineStr">
        <is>
          <t>24-Apr-07</t>
        </is>
      </c>
      <c r="F31" s="5" t="inlineStr">
        <is>
          <t>LNH0925ND01</t>
        </is>
      </c>
      <c r="G31" s="105" t="n">
        <v>8415000</v>
      </c>
      <c r="H31">
        <f>VLOOKUP(B31,'[1]TONG HOP'!B$5:G$624,6,0)</f>
        <v/>
      </c>
      <c r="I31" t="n">
        <v>2103750</v>
      </c>
    </row>
    <row r="32">
      <c r="A32" s="5" t="n">
        <v>26</v>
      </c>
      <c r="B32" s="5" t="inlineStr">
        <is>
          <t>25808700077</t>
        </is>
      </c>
      <c r="C32" s="6" t="inlineStr">
        <is>
          <t>Traàn Thanh</t>
        </is>
      </c>
      <c r="D32" s="6" t="inlineStr">
        <is>
          <t>Phong</t>
        </is>
      </c>
      <c r="E32" s="5" t="inlineStr">
        <is>
          <t>10-Oct-07</t>
        </is>
      </c>
      <c r="F32" s="5" t="inlineStr">
        <is>
          <t>LNH0925ND01</t>
        </is>
      </c>
      <c r="G32" s="105" t="n">
        <v>1000000</v>
      </c>
    </row>
    <row r="33">
      <c r="A33" s="5" t="n">
        <v>27</v>
      </c>
      <c r="B33" s="5" t="inlineStr">
        <is>
          <t>25808600120</t>
        </is>
      </c>
      <c r="C33" s="6" t="inlineStr">
        <is>
          <t>Traàn Nguyeãn Anh</t>
        </is>
      </c>
      <c r="D33" s="6" t="inlineStr">
        <is>
          <t>Thö</t>
        </is>
      </c>
      <c r="E33" s="5" t="inlineStr">
        <is>
          <t>27-May-07</t>
        </is>
      </c>
      <c r="F33" s="5" t="inlineStr">
        <is>
          <t>LNH0925ND01</t>
        </is>
      </c>
      <c r="G33" s="105" t="n">
        <v>8415000</v>
      </c>
      <c r="H33">
        <f>VLOOKUP(B33,'[1]TONG HOP'!B$5:G$624,6,0)</f>
        <v/>
      </c>
      <c r="I33" t="n">
        <v>2103750</v>
      </c>
    </row>
    <row r="34">
      <c r="A34" s="5" t="n">
        <v>28</v>
      </c>
      <c r="B34" s="5" t="inlineStr">
        <is>
          <t>25808900016</t>
        </is>
      </c>
      <c r="C34" s="6" t="inlineStr">
        <is>
          <t>Nguyeãn Thaønh</t>
        </is>
      </c>
      <c r="D34" s="6" t="inlineStr">
        <is>
          <t>Coâng</t>
        </is>
      </c>
      <c r="E34" s="5" t="inlineStr">
        <is>
          <t>26-May-07</t>
        </is>
      </c>
      <c r="F34" s="5" t="inlineStr">
        <is>
          <t>LNH0925ND01</t>
        </is>
      </c>
      <c r="G34" s="105" t="n">
        <v>1000000</v>
      </c>
    </row>
    <row r="35">
      <c r="A35" s="5" t="n">
        <v>29</v>
      </c>
      <c r="B35" s="5" t="inlineStr">
        <is>
          <t>25801100062</t>
        </is>
      </c>
      <c r="C35" s="6" t="inlineStr">
        <is>
          <t>Phaïm Nhaät</t>
        </is>
      </c>
      <c r="D35" s="6" t="inlineStr">
        <is>
          <t>Thieân</t>
        </is>
      </c>
      <c r="E35" s="5" t="inlineStr">
        <is>
          <t>10-Aug-07</t>
        </is>
      </c>
      <c r="F35" s="5" t="inlineStr">
        <is>
          <t>LNH0925ND01</t>
        </is>
      </c>
      <c r="G35" s="105" t="n">
        <v>8415000</v>
      </c>
      <c r="H35">
        <f>VLOOKUP(B35,'[1]TONG HOP'!B$5:G$624,6,0)</f>
        <v/>
      </c>
      <c r="I35" t="n">
        <v>2103750</v>
      </c>
    </row>
    <row r="36">
      <c r="A36" s="5" t="n">
        <v>30</v>
      </c>
      <c r="B36" s="5" t="inlineStr">
        <is>
          <t>25808600065</t>
        </is>
      </c>
      <c r="C36" s="6" t="inlineStr">
        <is>
          <t>Nguyeãn Traø</t>
        </is>
      </c>
      <c r="D36" s="6" t="inlineStr">
        <is>
          <t>My</t>
        </is>
      </c>
      <c r="E36" s="5" t="inlineStr">
        <is>
          <t>13-May-07</t>
        </is>
      </c>
      <c r="F36" s="5" t="inlineStr">
        <is>
          <t>LNH0925ND01</t>
        </is>
      </c>
      <c r="G36" s="105" t="n">
        <v>8415000</v>
      </c>
      <c r="H36">
        <f>VLOOKUP(B36,'[1]TONG HOP'!B$5:G$624,6,0)</f>
        <v/>
      </c>
      <c r="I36" t="n">
        <v>2103750</v>
      </c>
    </row>
    <row r="37">
      <c r="A37" s="5" t="n">
        <v>31</v>
      </c>
      <c r="B37" s="5" t="inlineStr">
        <is>
          <t>25802700127</t>
        </is>
      </c>
      <c r="C37" s="6" t="inlineStr">
        <is>
          <t>Leâ Xuaân</t>
        </is>
      </c>
      <c r="D37" s="6" t="inlineStr">
        <is>
          <t>Höng</t>
        </is>
      </c>
      <c r="E37" s="5" t="inlineStr">
        <is>
          <t>20-Jun-07</t>
        </is>
      </c>
      <c r="F37" s="5" t="inlineStr">
        <is>
          <t>LNH0925ND01</t>
        </is>
      </c>
      <c r="G37" s="105" t="n">
        <v>8415000</v>
      </c>
      <c r="H37">
        <f>VLOOKUP(B37,'[1]TONG HOP'!B$5:G$624,6,0)</f>
        <v/>
      </c>
      <c r="I37" t="n">
        <v>2103750</v>
      </c>
    </row>
    <row r="38">
      <c r="A38" s="5" t="n">
        <v>32</v>
      </c>
      <c r="B38" s="5" t="inlineStr">
        <is>
          <t>25802800205</t>
        </is>
      </c>
      <c r="C38" s="6" t="inlineStr">
        <is>
          <t>Phuøng Theá</t>
        </is>
      </c>
      <c r="D38" s="6" t="inlineStr">
        <is>
          <t>Phong</t>
        </is>
      </c>
      <c r="E38" s="5" t="inlineStr">
        <is>
          <t>24-Dec-07</t>
        </is>
      </c>
      <c r="F38" s="5" t="inlineStr">
        <is>
          <t>LNH0925ND01</t>
        </is>
      </c>
      <c r="G38" s="105" t="n">
        <v>8415000</v>
      </c>
    </row>
    <row r="39">
      <c r="A39" s="5" t="n">
        <v>33</v>
      </c>
      <c r="B39" s="5" t="inlineStr">
        <is>
          <t>25802600109</t>
        </is>
      </c>
      <c r="C39" s="6" t="inlineStr">
        <is>
          <t>Ngoâ Taâm</t>
        </is>
      </c>
      <c r="D39" s="6" t="inlineStr">
        <is>
          <t>Thanh</t>
        </is>
      </c>
      <c r="E39" s="5" t="inlineStr">
        <is>
          <t>12-Jul-07</t>
        </is>
      </c>
      <c r="F39" s="5" t="inlineStr">
        <is>
          <t>LNH0925ND01</t>
        </is>
      </c>
      <c r="G39" s="105" t="n">
        <v>4465000</v>
      </c>
      <c r="H39">
        <f>VLOOKUP(B39,'[1]TONG HOP'!B$5:G$624,6,0)</f>
        <v/>
      </c>
      <c r="I39" t="n">
        <v>2232500</v>
      </c>
    </row>
    <row r="40">
      <c r="A40" s="5" t="n">
        <v>34</v>
      </c>
      <c r="B40" s="5" t="inlineStr">
        <is>
          <t>25802800160</t>
        </is>
      </c>
      <c r="C40" s="6" t="inlineStr">
        <is>
          <t>Cao Nguyeãn Yeán</t>
        </is>
      </c>
      <c r="D40" s="6" t="inlineStr">
        <is>
          <t>Ngoïc</t>
        </is>
      </c>
      <c r="E40" s="5" t="inlineStr">
        <is>
          <t>05-Jan-07</t>
        </is>
      </c>
      <c r="F40" s="5" t="inlineStr">
        <is>
          <t>LNH0925ND01</t>
        </is>
      </c>
      <c r="G40" s="105" t="n">
        <v>8415000</v>
      </c>
    </row>
    <row r="41">
      <c r="A41" s="5" t="n">
        <v>35</v>
      </c>
      <c r="B41" s="5" t="inlineStr">
        <is>
          <t>25820700030</t>
        </is>
      </c>
      <c r="C41" s="6" t="inlineStr">
        <is>
          <t>Traàn Minh</t>
        </is>
      </c>
      <c r="D41" s="6" t="inlineStr">
        <is>
          <t>Phaùt</t>
        </is>
      </c>
      <c r="E41" s="5" t="inlineStr">
        <is>
          <t>06-Mar-07</t>
        </is>
      </c>
      <c r="F41" s="5" t="inlineStr">
        <is>
          <t>LNH0925ND01</t>
        </is>
      </c>
      <c r="G41" s="105" t="n">
        <v>1000000</v>
      </c>
    </row>
    <row r="42">
      <c r="A42" s="5" t="n">
        <v>36</v>
      </c>
      <c r="B42" s="5" t="inlineStr">
        <is>
          <t>25807500079</t>
        </is>
      </c>
      <c r="C42" s="6" t="inlineStr">
        <is>
          <t>Leâ Thaûo Haïnh</t>
        </is>
      </c>
      <c r="D42" s="6" t="inlineStr">
        <is>
          <t>Nguyeân</t>
        </is>
      </c>
      <c r="E42" s="5" t="inlineStr">
        <is>
          <t>23-Dec-07</t>
        </is>
      </c>
      <c r="F42" s="5" t="inlineStr">
        <is>
          <t>LNH0925ND01</t>
        </is>
      </c>
      <c r="G42" s="105" t="n">
        <v>8415000</v>
      </c>
      <c r="H42">
        <f>VLOOKUP(B42,'[1]TONG HOP'!B$5:G$624,6,0)</f>
        <v/>
      </c>
      <c r="I42" t="n">
        <v>2103750</v>
      </c>
    </row>
    <row r="43">
      <c r="A43" s="5" t="n">
        <v>37</v>
      </c>
      <c r="B43" s="5" t="inlineStr">
        <is>
          <t>25803800039</t>
        </is>
      </c>
      <c r="C43" s="6" t="inlineStr">
        <is>
          <t>Laâm Ñinh Baûo</t>
        </is>
      </c>
      <c r="D43" s="6" t="inlineStr">
        <is>
          <t>Nghi</t>
        </is>
      </c>
      <c r="E43" s="5" t="inlineStr">
        <is>
          <t>01-Nov-07</t>
        </is>
      </c>
      <c r="F43" s="5" t="inlineStr">
        <is>
          <t>LNH0925ND01</t>
        </is>
      </c>
      <c r="G43" s="105" t="n">
        <v>8415000</v>
      </c>
      <c r="H43">
        <f>VLOOKUP(B43,'[1]TONG HOP'!B$5:G$624,6,0)</f>
        <v/>
      </c>
      <c r="I43" t="n">
        <v>2103750</v>
      </c>
    </row>
    <row r="44">
      <c r="A44" s="5" t="n">
        <v>38</v>
      </c>
      <c r="B44" s="5" t="inlineStr">
        <is>
          <t>25801100079</t>
        </is>
      </c>
      <c r="C44" s="6" t="inlineStr">
        <is>
          <t>Traàn Thò Bích</t>
        </is>
      </c>
      <c r="D44" s="6" t="inlineStr">
        <is>
          <t>Tuyeàn</t>
        </is>
      </c>
      <c r="E44" s="5" t="inlineStr">
        <is>
          <t>23-May-07</t>
        </is>
      </c>
      <c r="F44" s="5" t="inlineStr">
        <is>
          <t>LNH0925ND01</t>
        </is>
      </c>
      <c r="G44" s="105" t="n">
        <v>8415000</v>
      </c>
    </row>
    <row r="45">
      <c r="A45" s="5" t="n">
        <v>39</v>
      </c>
      <c r="B45" s="5" t="inlineStr">
        <is>
          <t>25807800024</t>
        </is>
      </c>
      <c r="C45" s="6" t="inlineStr">
        <is>
          <t>Hoà Minh</t>
        </is>
      </c>
      <c r="D45" s="6" t="inlineStr">
        <is>
          <t>Duy</t>
        </is>
      </c>
      <c r="E45" s="5" t="inlineStr">
        <is>
          <t>19-Jan-07</t>
        </is>
      </c>
      <c r="F45" s="5" t="inlineStr">
        <is>
          <t>LNH0925ND01</t>
        </is>
      </c>
      <c r="G45" s="105" t="n">
        <v>2100000</v>
      </c>
      <c r="H45">
        <f>VLOOKUP(B45,'[1]TONG HOP'!B$5:G$624,6,0)</f>
        <v/>
      </c>
      <c r="I45" t="n">
        <v>2100000</v>
      </c>
    </row>
    <row r="46">
      <c r="A46" s="5" t="n">
        <v>40</v>
      </c>
      <c r="B46" s="5" t="inlineStr">
        <is>
          <t>25808200070</t>
        </is>
      </c>
      <c r="C46" s="6" t="inlineStr">
        <is>
          <t>Traàn Minh</t>
        </is>
      </c>
      <c r="D46" s="6" t="inlineStr">
        <is>
          <t>Khoa</t>
        </is>
      </c>
      <c r="E46" s="5" t="inlineStr">
        <is>
          <t>20-Dec-07</t>
        </is>
      </c>
      <c r="F46" s="5" t="inlineStr">
        <is>
          <t>LNH0925ND01</t>
        </is>
      </c>
      <c r="G46" s="105" t="n">
        <v>8415000</v>
      </c>
      <c r="H46">
        <f>VLOOKUP(B46,'[1]TONG HOP'!B$5:G$624,6,0)</f>
        <v/>
      </c>
      <c r="I46" t="n">
        <v>2103750</v>
      </c>
    </row>
    <row r="47">
      <c r="A47" s="5" t="n">
        <v>41</v>
      </c>
      <c r="B47" s="5" t="inlineStr">
        <is>
          <t>25801800081</t>
        </is>
      </c>
      <c r="C47" s="6" t="inlineStr">
        <is>
          <t>Voõ Thò Ngoïc</t>
        </is>
      </c>
      <c r="D47" s="6" t="inlineStr">
        <is>
          <t>Traâm</t>
        </is>
      </c>
      <c r="E47" s="5" t="inlineStr">
        <is>
          <t>28-Jan-06</t>
        </is>
      </c>
      <c r="F47" s="5" t="inlineStr">
        <is>
          <t>LNH0925ND01</t>
        </is>
      </c>
      <c r="G47" s="105" t="n">
        <v>1000000</v>
      </c>
    </row>
    <row r="48">
      <c r="A48" s="5" t="n">
        <v>42</v>
      </c>
      <c r="B48" s="5" t="inlineStr">
        <is>
          <t>25801100042</t>
        </is>
      </c>
      <c r="C48" s="6" t="inlineStr">
        <is>
          <t>Nguyeãn Troïng</t>
        </is>
      </c>
      <c r="D48" s="6" t="inlineStr">
        <is>
          <t>Nguyeãn</t>
        </is>
      </c>
      <c r="E48" s="5" t="inlineStr">
        <is>
          <t>29-Dec-07</t>
        </is>
      </c>
      <c r="F48" s="5" t="inlineStr">
        <is>
          <t>LNH0925ND01</t>
        </is>
      </c>
      <c r="G48" s="105" t="n">
        <v>8415000</v>
      </c>
      <c r="H48">
        <f>VLOOKUP(B48,'[1]TONG HOP'!B$5:G$624,6,0)</f>
        <v/>
      </c>
      <c r="I48" t="n">
        <v>2103750</v>
      </c>
    </row>
    <row r="49">
      <c r="A49" s="5" t="n">
        <v>43</v>
      </c>
      <c r="B49" s="5" t="inlineStr">
        <is>
          <t>25808600086</t>
        </is>
      </c>
      <c r="C49" s="6" t="inlineStr">
        <is>
          <t>Taï Thò Tuyeát</t>
        </is>
      </c>
      <c r="D49" s="6" t="inlineStr">
        <is>
          <t>Nhung</t>
        </is>
      </c>
      <c r="E49" s="5" t="inlineStr">
        <is>
          <t>22-May-06</t>
        </is>
      </c>
      <c r="F49" s="5" t="inlineStr">
        <is>
          <t>LNH0925ND01</t>
        </is>
      </c>
      <c r="G49" s="105" t="n">
        <v>8415000</v>
      </c>
      <c r="H49">
        <f>VLOOKUP(B49,'[1]TONG HOP'!B$5:G$624,6,0)</f>
        <v/>
      </c>
      <c r="I49" t="n">
        <v>2103750</v>
      </c>
    </row>
    <row r="50">
      <c r="A50" s="5" t="n">
        <v>44</v>
      </c>
      <c r="B50" s="5" t="inlineStr">
        <is>
          <t>25807900008</t>
        </is>
      </c>
      <c r="C50" s="6" t="inlineStr">
        <is>
          <t>Voõ Khaéc</t>
        </is>
      </c>
      <c r="D50" s="6" t="inlineStr">
        <is>
          <t>Duy</t>
        </is>
      </c>
      <c r="E50" s="5" t="inlineStr">
        <is>
          <t>01-Jun-07</t>
        </is>
      </c>
      <c r="F50" s="5" t="inlineStr">
        <is>
          <t>LNH0925ND01</t>
        </is>
      </c>
      <c r="G50" s="105" t="n">
        <v>8415000</v>
      </c>
      <c r="H50">
        <f>VLOOKUP(B50,'[1]TONG HOP'!B$5:G$624,6,0)</f>
        <v/>
      </c>
      <c r="I50" t="n">
        <v>2103750</v>
      </c>
    </row>
    <row r="51">
      <c r="A51" s="5" t="n">
        <v>45</v>
      </c>
      <c r="B51" s="5" t="inlineStr">
        <is>
          <t>25805800009</t>
        </is>
      </c>
      <c r="C51" s="6" t="inlineStr">
        <is>
          <t>Vuõ Haûi</t>
        </is>
      </c>
      <c r="D51" s="6" t="inlineStr">
        <is>
          <t>Haø</t>
        </is>
      </c>
      <c r="E51" s="5" t="inlineStr">
        <is>
          <t>12-Nov-07</t>
        </is>
      </c>
      <c r="F51" s="5" t="inlineStr">
        <is>
          <t>LNH0925ND01</t>
        </is>
      </c>
      <c r="G51" s="105" t="n">
        <v>8415000</v>
      </c>
      <c r="H51">
        <f>VLOOKUP(B51,'[1]TONG HOP'!B$5:G$624,6,0)</f>
        <v/>
      </c>
      <c r="I51" t="n">
        <v>2103750</v>
      </c>
    </row>
    <row r="52">
      <c r="A52" s="5" t="n">
        <v>46</v>
      </c>
      <c r="B52" s="5" t="inlineStr">
        <is>
          <t>25802600110</t>
        </is>
      </c>
      <c r="C52" s="6" t="inlineStr">
        <is>
          <t>Nguyeãn Traàn Nhaät</t>
        </is>
      </c>
      <c r="D52" s="6" t="inlineStr">
        <is>
          <t>Thanh</t>
        </is>
      </c>
      <c r="E52" s="5" t="inlineStr">
        <is>
          <t>28-Jun-07</t>
        </is>
      </c>
      <c r="F52" s="5" t="inlineStr">
        <is>
          <t>LNH0925ND01</t>
        </is>
      </c>
      <c r="G52" s="105" t="n">
        <v>8000000</v>
      </c>
      <c r="H52">
        <f>VLOOKUP(B52,'[1]TONG HOP'!B$5:G$624,6,0)</f>
        <v/>
      </c>
      <c r="I52" t="n">
        <v>2103750</v>
      </c>
    </row>
    <row r="53">
      <c r="A53" s="5" t="n">
        <v>47</v>
      </c>
      <c r="B53" s="5" t="inlineStr">
        <is>
          <t>25800400110</t>
        </is>
      </c>
      <c r="C53" s="6" t="inlineStr">
        <is>
          <t>Leâ Trung</t>
        </is>
      </c>
      <c r="D53" s="6" t="inlineStr">
        <is>
          <t>Nguyeân</t>
        </is>
      </c>
      <c r="E53" s="5" t="inlineStr">
        <is>
          <t>12-Aug-07</t>
        </is>
      </c>
      <c r="F53" s="5" t="inlineStr">
        <is>
          <t>LNH0925ND01</t>
        </is>
      </c>
      <c r="G53" s="105" t="n">
        <v>8415000</v>
      </c>
      <c r="H53">
        <f>VLOOKUP(B53,'[1]TONG HOP'!B$5:G$624,6,0)</f>
        <v/>
      </c>
      <c r="I53" t="n">
        <v>2103750</v>
      </c>
    </row>
    <row r="54">
      <c r="A54" s="5" t="n">
        <v>48</v>
      </c>
      <c r="B54" s="5" t="inlineStr">
        <is>
          <t>25806000071</t>
        </is>
      </c>
      <c r="C54" s="6" t="inlineStr">
        <is>
          <t>Traàn Gia</t>
        </is>
      </c>
      <c r="D54" s="6" t="inlineStr">
        <is>
          <t>Nghi</t>
        </is>
      </c>
      <c r="E54" s="5" t="inlineStr">
        <is>
          <t>12-Jun-07</t>
        </is>
      </c>
      <c r="F54" s="5" t="inlineStr">
        <is>
          <t>LNH0925ND01</t>
        </is>
      </c>
      <c r="G54" s="105" t="n">
        <v>8415000</v>
      </c>
      <c r="H54">
        <f>VLOOKUP(B54,'[1]TONG HOP'!B$5:G$624,6,0)</f>
        <v/>
      </c>
      <c r="I54" t="n">
        <v>2103750</v>
      </c>
    </row>
    <row r="55">
      <c r="A55" s="5" t="n">
        <v>49</v>
      </c>
      <c r="B55" s="5" t="inlineStr">
        <is>
          <t>25806800071</t>
        </is>
      </c>
      <c r="C55" s="6" t="inlineStr">
        <is>
          <t>Nguyeãn Ngoïc Anh</t>
        </is>
      </c>
      <c r="D55" s="6" t="inlineStr">
        <is>
          <t>Thuøy</t>
        </is>
      </c>
      <c r="E55" s="5" t="inlineStr">
        <is>
          <t>12-Mar-07</t>
        </is>
      </c>
      <c r="F55" s="5" t="inlineStr">
        <is>
          <t>LNH0925ND01</t>
        </is>
      </c>
      <c r="G55" s="105" t="n">
        <v>1000000</v>
      </c>
    </row>
    <row r="56">
      <c r="A56" s="5" t="n">
        <v>50</v>
      </c>
      <c r="B56" s="5" t="inlineStr">
        <is>
          <t>25808900060</t>
        </is>
      </c>
      <c r="C56" s="6" t="inlineStr">
        <is>
          <t>Vuõ Minh</t>
        </is>
      </c>
      <c r="D56" s="6" t="inlineStr">
        <is>
          <t>Khoâi</t>
        </is>
      </c>
      <c r="E56" s="5" t="inlineStr">
        <is>
          <t>20-Mar-07</t>
        </is>
      </c>
      <c r="F56" s="5" t="inlineStr">
        <is>
          <t>LNH0925ND01</t>
        </is>
      </c>
      <c r="G56" s="105" t="n">
        <v>8415000</v>
      </c>
      <c r="H56">
        <f>VLOOKUP(B56,'[1]TONG HOP'!B$5:G$624,6,0)</f>
        <v/>
      </c>
      <c r="I56" t="n">
        <v>2103750</v>
      </c>
    </row>
    <row r="57">
      <c r="A57" s="5" t="n">
        <v>51</v>
      </c>
      <c r="B57" s="5" t="inlineStr">
        <is>
          <t>25820500001</t>
        </is>
      </c>
      <c r="C57" s="6" t="inlineStr">
        <is>
          <t>Buøi Duy</t>
        </is>
      </c>
      <c r="D57" s="6" t="inlineStr">
        <is>
          <t>Baûo</t>
        </is>
      </c>
      <c r="E57" s="5" t="inlineStr">
        <is>
          <t>28-Jul-07</t>
        </is>
      </c>
      <c r="F57" s="5" t="inlineStr">
        <is>
          <t>LNH0925ND01</t>
        </is>
      </c>
      <c r="G57" s="105" t="n">
        <v>8415000</v>
      </c>
      <c r="H57">
        <f>VLOOKUP(B57,'[1]TONG HOP'!B$5:G$624,6,0)</f>
        <v/>
      </c>
      <c r="I57" t="n">
        <v>2103750</v>
      </c>
    </row>
    <row r="58">
      <c r="A58" s="5" t="n">
        <v>52</v>
      </c>
      <c r="B58" s="5" t="inlineStr">
        <is>
          <t>25800500107</t>
        </is>
      </c>
      <c r="C58" s="6" t="inlineStr">
        <is>
          <t>Nguyeãn Phaïm Taán</t>
        </is>
      </c>
      <c r="D58" s="6" t="inlineStr">
        <is>
          <t>Loäc</t>
        </is>
      </c>
      <c r="E58" s="5" t="inlineStr">
        <is>
          <t>01-Nov-07</t>
        </is>
      </c>
      <c r="F58" s="5" t="inlineStr">
        <is>
          <t>LNH0925ND01</t>
        </is>
      </c>
      <c r="G58" s="105" t="n">
        <v>8415000</v>
      </c>
    </row>
    <row r="59">
      <c r="A59" s="5" t="n">
        <v>53</v>
      </c>
      <c r="B59" s="5" t="inlineStr">
        <is>
          <t>25809600013</t>
        </is>
      </c>
      <c r="C59" s="6" t="inlineStr">
        <is>
          <t>Nguyeãn Phuùc</t>
        </is>
      </c>
      <c r="D59" s="6" t="inlineStr">
        <is>
          <t>Ñaït</t>
        </is>
      </c>
      <c r="E59" s="5" t="inlineStr">
        <is>
          <t>26-Nov-07</t>
        </is>
      </c>
      <c r="F59" s="5" t="inlineStr">
        <is>
          <t>LNH0925ND01</t>
        </is>
      </c>
      <c r="G59" s="105" t="n">
        <v>1000000</v>
      </c>
    </row>
    <row r="60">
      <c r="A60" s="5" t="n">
        <v>54</v>
      </c>
      <c r="B60" s="5" t="inlineStr">
        <is>
          <t>25820200083</t>
        </is>
      </c>
      <c r="C60" s="6" t="inlineStr">
        <is>
          <t>Buøi Quang</t>
        </is>
      </c>
      <c r="D60" s="6" t="inlineStr">
        <is>
          <t>Thaéng</t>
        </is>
      </c>
      <c r="E60" s="5" t="inlineStr">
        <is>
          <t>02-Jan-04</t>
        </is>
      </c>
      <c r="F60" s="5" t="inlineStr">
        <is>
          <t>LNH0925ND01</t>
        </is>
      </c>
      <c r="G60" s="105" t="n">
        <v>1000000</v>
      </c>
    </row>
    <row r="61">
      <c r="A61" s="5" t="n">
        <v>55</v>
      </c>
      <c r="B61" s="5" t="inlineStr">
        <is>
          <t>25808700067</t>
        </is>
      </c>
      <c r="C61" s="6" t="inlineStr">
        <is>
          <t>Nguyeãn Thò Yeán</t>
        </is>
      </c>
      <c r="D61" s="6" t="inlineStr">
        <is>
          <t>Nhi</t>
        </is>
      </c>
      <c r="E61" s="5" t="inlineStr">
        <is>
          <t>11-Aug-06</t>
        </is>
      </c>
      <c r="F61" s="5" t="inlineStr">
        <is>
          <t>LNH0925ND01</t>
        </is>
      </c>
      <c r="G61" s="105" t="n">
        <v>1000000</v>
      </c>
    </row>
    <row r="62">
      <c r="A62" s="5" t="n">
        <v>56</v>
      </c>
      <c r="B62" s="5" t="inlineStr">
        <is>
          <t>25802800379</t>
        </is>
      </c>
      <c r="C62" s="6" t="inlineStr">
        <is>
          <t>Nguyen Thien</t>
        </is>
      </c>
      <c r="D62" s="6" t="inlineStr">
        <is>
          <t>Phuc</t>
        </is>
      </c>
      <c r="E62" s="5" t="inlineStr">
        <is>
          <t xml:space="preserve">  -   -</t>
        </is>
      </c>
      <c r="F62" s="5" t="inlineStr">
        <is>
          <t>LNH0925ND01</t>
        </is>
      </c>
      <c r="G62" s="105" t="n">
        <v>8415000</v>
      </c>
      <c r="H62">
        <f>VLOOKUP(B62,'[1]TONG HOP'!B$5:G$624,6,0)</f>
        <v/>
      </c>
      <c r="I62" t="n">
        <v>2103750</v>
      </c>
    </row>
    <row r="63">
      <c r="A63" s="5" t="n">
        <v>57</v>
      </c>
      <c r="B63" s="5" t="inlineStr">
        <is>
          <t>25800400220</t>
        </is>
      </c>
      <c r="C63" s="6" t="inlineStr">
        <is>
          <t>Nguyeãn Traàn Vöông</t>
        </is>
      </c>
      <c r="D63" s="6" t="inlineStr">
        <is>
          <t>Thònh</t>
        </is>
      </c>
      <c r="E63" s="5" t="inlineStr">
        <is>
          <t>14-Aug-07</t>
        </is>
      </c>
      <c r="F63" s="5" t="inlineStr">
        <is>
          <t>LNH0925ND01</t>
        </is>
      </c>
      <c r="G63" s="105" t="n">
        <v>2100000</v>
      </c>
      <c r="H63">
        <f>VLOOKUP(B63,'[1]TONG HOP'!B$5:G$624,6,0)</f>
        <v/>
      </c>
      <c r="I63" t="n">
        <v>2100000</v>
      </c>
    </row>
    <row r="64">
      <c r="A64" s="5" t="n">
        <v>58</v>
      </c>
      <c r="B64" s="5" t="inlineStr">
        <is>
          <t>25802600070</t>
        </is>
      </c>
      <c r="C64" s="6" t="inlineStr">
        <is>
          <t>Nguyeãn Quyønh</t>
        </is>
      </c>
      <c r="D64" s="6" t="inlineStr">
        <is>
          <t>Loan</t>
        </is>
      </c>
      <c r="E64" s="5" t="inlineStr">
        <is>
          <t>06-Sep-07</t>
        </is>
      </c>
      <c r="F64" s="5" t="inlineStr">
        <is>
          <t>LNH0925ND01</t>
        </is>
      </c>
      <c r="G64" s="105" t="n">
        <v>2100000</v>
      </c>
      <c r="H64">
        <f>VLOOKUP(B64,'[1]TONG HOP'!B$5:G$624,6,0)</f>
        <v/>
      </c>
      <c r="I64" t="n">
        <v>2100000</v>
      </c>
    </row>
    <row r="65">
      <c r="A65" s="5" t="n">
        <v>59</v>
      </c>
      <c r="B65" s="5" t="inlineStr">
        <is>
          <t>25808500496</t>
        </is>
      </c>
      <c r="C65" s="6" t="inlineStr">
        <is>
          <t>Nguyeãn Minh</t>
        </is>
      </c>
      <c r="D65" s="6" t="inlineStr">
        <is>
          <t>Nhö</t>
        </is>
      </c>
      <c r="E65" s="5" t="inlineStr">
        <is>
          <t>06-Sep-07</t>
        </is>
      </c>
      <c r="F65" s="5" t="inlineStr">
        <is>
          <t>LNH0925ND01</t>
        </is>
      </c>
      <c r="G65" s="105" t="n">
        <v>2100000</v>
      </c>
    </row>
    <row r="66">
      <c r="A66" s="5" t="n">
        <v>60</v>
      </c>
      <c r="B66" s="5" t="inlineStr">
        <is>
          <t>25802800201</t>
        </is>
      </c>
      <c r="C66" s="6" t="inlineStr">
        <is>
          <t>Cao Vuõ Anh</t>
        </is>
      </c>
      <c r="D66" s="6" t="inlineStr">
        <is>
          <t>Phong</t>
        </is>
      </c>
      <c r="E66" s="5" t="inlineStr">
        <is>
          <t>03-Dec-07</t>
        </is>
      </c>
      <c r="F66" s="5" t="inlineStr">
        <is>
          <t>LNH0925ND01</t>
        </is>
      </c>
      <c r="G66" s="105" t="n">
        <v>2100000</v>
      </c>
      <c r="H66">
        <f>VLOOKUP(B66,'[1]TONG HOP'!B$5:G$624,6,0)</f>
        <v/>
      </c>
      <c r="I66" t="n">
        <v>2100000</v>
      </c>
    </row>
    <row r="67">
      <c r="A67" s="5" t="n">
        <v>61</v>
      </c>
      <c r="B67" s="5" t="inlineStr">
        <is>
          <t>25802800371</t>
        </is>
      </c>
      <c r="C67" s="6" t="inlineStr">
        <is>
          <t>Vuõ Leâ Minh</t>
        </is>
      </c>
      <c r="D67" s="6" t="inlineStr">
        <is>
          <t>Vöông</t>
        </is>
      </c>
      <c r="E67" s="5" t="inlineStr">
        <is>
          <t>17-Oct-07</t>
        </is>
      </c>
      <c r="F67" s="5" t="inlineStr">
        <is>
          <t>LNH0925ND01</t>
        </is>
      </c>
      <c r="G67" s="105" t="n">
        <v>4415000</v>
      </c>
      <c r="H67">
        <f>VLOOKUP(B67,'[1]TONG HOP'!B$5:G$624,6,0)</f>
        <v/>
      </c>
      <c r="I67" t="n">
        <v>2232500</v>
      </c>
    </row>
    <row r="68">
      <c r="A68" s="5" t="n">
        <v>62</v>
      </c>
      <c r="B68" s="5" t="inlineStr">
        <is>
          <t>25802800260</t>
        </is>
      </c>
      <c r="C68" s="6" t="inlineStr">
        <is>
          <t>Traàn Leâ Thuûy</t>
        </is>
      </c>
      <c r="D68" s="6" t="inlineStr">
        <is>
          <t>Tieân</t>
        </is>
      </c>
      <c r="E68" s="5" t="inlineStr">
        <is>
          <t>20-Sep-06</t>
        </is>
      </c>
      <c r="F68" s="5" t="inlineStr">
        <is>
          <t>LNH0925ND01</t>
        </is>
      </c>
      <c r="G68" s="105" t="n">
        <v>4465000</v>
      </c>
    </row>
    <row r="69">
      <c r="A69" s="5" t="n">
        <v>63</v>
      </c>
      <c r="B69" s="5" t="inlineStr">
        <is>
          <t>25802600082</t>
        </is>
      </c>
      <c r="C69" s="6" t="inlineStr">
        <is>
          <t>Döông Nguyeãn Haïnh</t>
        </is>
      </c>
      <c r="D69" s="6" t="inlineStr">
        <is>
          <t>Ngaân</t>
        </is>
      </c>
      <c r="E69" s="5" t="inlineStr">
        <is>
          <t>10-Jun-07</t>
        </is>
      </c>
      <c r="F69" s="5" t="inlineStr">
        <is>
          <t>LNH0925ND01</t>
        </is>
      </c>
      <c r="G69" s="105" t="n">
        <v>4465000</v>
      </c>
      <c r="H69">
        <f>VLOOKUP(B69,'[1]TONG HOP'!B$5:G$624,6,0)</f>
        <v/>
      </c>
      <c r="I69" t="n">
        <v>2232500</v>
      </c>
    </row>
    <row r="70">
      <c r="A70" s="5" t="n">
        <v>64</v>
      </c>
      <c r="B70" s="5" t="inlineStr">
        <is>
          <t>25807000043</t>
        </is>
      </c>
      <c r="C70" s="6" t="inlineStr">
        <is>
          <t>Phan Thò Thuyù</t>
        </is>
      </c>
      <c r="D70" s="6" t="inlineStr">
        <is>
          <t>Vi</t>
        </is>
      </c>
      <c r="E70" s="5" t="inlineStr">
        <is>
          <t>25-Feb-07</t>
        </is>
      </c>
      <c r="F70" s="5" t="inlineStr">
        <is>
          <t>LNH0925ND01</t>
        </is>
      </c>
      <c r="G70" s="105" t="n">
        <v>4465000</v>
      </c>
    </row>
    <row r="71">
      <c r="A71" s="5" t="n">
        <v>65</v>
      </c>
      <c r="B71" s="5" t="inlineStr">
        <is>
          <t>25807800112</t>
        </is>
      </c>
      <c r="C71" s="6" t="inlineStr">
        <is>
          <t>Nguyeãn Hoaøng Minh</t>
        </is>
      </c>
      <c r="D71" s="6" t="inlineStr">
        <is>
          <t>Quang</t>
        </is>
      </c>
      <c r="E71" s="5" t="inlineStr">
        <is>
          <t>13-Oct-07</t>
        </is>
      </c>
      <c r="F71" s="5" t="inlineStr">
        <is>
          <t>LNH0925ND01</t>
        </is>
      </c>
      <c r="G71" s="105" t="n">
        <v>4465000</v>
      </c>
      <c r="H71">
        <f>VLOOKUP(B71,'[1]TONG HOP'!B$5:G$624,6,0)</f>
        <v/>
      </c>
      <c r="I71" t="n">
        <v>2232500</v>
      </c>
    </row>
    <row r="72">
      <c r="A72" s="5" t="n">
        <v>66</v>
      </c>
      <c r="B72" s="5" t="inlineStr">
        <is>
          <t>25805800030</t>
        </is>
      </c>
      <c r="C72" s="6" t="inlineStr">
        <is>
          <t>Ngoâ Ngoïc Minh</t>
        </is>
      </c>
      <c r="D72" s="6" t="inlineStr">
        <is>
          <t>Thö</t>
        </is>
      </c>
      <c r="E72" s="5" t="inlineStr">
        <is>
          <t>02-Mar-07</t>
        </is>
      </c>
      <c r="F72" s="5" t="inlineStr">
        <is>
          <t>LNH0925ND01</t>
        </is>
      </c>
      <c r="G72" s="105" t="n">
        <v>4465000</v>
      </c>
      <c r="H72">
        <f>VLOOKUP(B72,'[1]TONG HOP'!B$5:G$624,6,0)</f>
        <v/>
      </c>
      <c r="I72" t="n">
        <v>2232500</v>
      </c>
    </row>
    <row r="73">
      <c r="A73" s="5" t="n">
        <v>67</v>
      </c>
      <c r="B73" s="5" t="inlineStr">
        <is>
          <t>25808200053</t>
        </is>
      </c>
      <c r="C73" s="6" t="inlineStr">
        <is>
          <t>Thaùi Ngoïc</t>
        </is>
      </c>
      <c r="D73" s="6" t="inlineStr">
        <is>
          <t>Huy</t>
        </is>
      </c>
      <c r="E73" s="5" t="inlineStr">
        <is>
          <t>16-Aug-07</t>
        </is>
      </c>
      <c r="F73" s="5" t="inlineStr">
        <is>
          <t>LNH0925ND01</t>
        </is>
      </c>
      <c r="G73" s="105" t="n">
        <v>4465000</v>
      </c>
      <c r="H73">
        <f>VLOOKUP(B73,'[1]TONG HOP'!B$5:G$624,6,0)</f>
        <v/>
      </c>
      <c r="I73" t="n">
        <v>2232500</v>
      </c>
    </row>
    <row r="74">
      <c r="A74" s="5" t="n">
        <v>68</v>
      </c>
      <c r="B74" s="5" t="inlineStr">
        <is>
          <t>25807000012</t>
        </is>
      </c>
      <c r="C74" s="6" t="inlineStr">
        <is>
          <t>Traàn Ngoïc Minh</t>
        </is>
      </c>
      <c r="D74" s="6" t="inlineStr">
        <is>
          <t>Huyeàn</t>
        </is>
      </c>
      <c r="E74" s="5" t="inlineStr">
        <is>
          <t>20-Apr-07</t>
        </is>
      </c>
      <c r="F74" s="5" t="inlineStr">
        <is>
          <t>LNH0925ND01</t>
        </is>
      </c>
      <c r="G74" s="105" t="n">
        <v>4465000</v>
      </c>
      <c r="H74">
        <f>VLOOKUP(B74,'[1]TONG HOP'!B$5:G$624,6,0)</f>
        <v/>
      </c>
      <c r="I74" t="n">
        <v>2232500</v>
      </c>
    </row>
    <row r="75">
      <c r="A75" s="5" t="n">
        <v>69</v>
      </c>
      <c r="B75" s="5" t="inlineStr">
        <is>
          <t>25808900011</t>
        </is>
      </c>
      <c r="C75" s="6" t="inlineStr">
        <is>
          <t>Döông Hoaøng</t>
        </is>
      </c>
      <c r="D75" s="6" t="inlineStr">
        <is>
          <t>AÂn</t>
        </is>
      </c>
      <c r="E75" s="5" t="inlineStr">
        <is>
          <t>07-Apr-07</t>
        </is>
      </c>
      <c r="F75" s="5" t="inlineStr">
        <is>
          <t>LNH0925ND01</t>
        </is>
      </c>
      <c r="G75" s="105" t="n">
        <v>4465000</v>
      </c>
      <c r="H75">
        <f>VLOOKUP(B75,'[1]TONG HOP'!B$5:G$624,6,0)</f>
        <v/>
      </c>
      <c r="I75" t="n">
        <v>2232500</v>
      </c>
    </row>
    <row r="76">
      <c r="A76" s="5" t="n">
        <v>70</v>
      </c>
      <c r="B76" s="5" t="inlineStr">
        <is>
          <t>25820300030</t>
        </is>
      </c>
      <c r="C76" s="6" t="inlineStr">
        <is>
          <t>Laâm Hoaøng</t>
        </is>
      </c>
      <c r="D76" s="6" t="inlineStr">
        <is>
          <t>Long</t>
        </is>
      </c>
      <c r="E76" s="5" t="inlineStr">
        <is>
          <t>30-Dec-07</t>
        </is>
      </c>
      <c r="F76" s="5" t="inlineStr">
        <is>
          <t>LNH0925ND01</t>
        </is>
      </c>
      <c r="G76" s="105" t="n">
        <v>4465000</v>
      </c>
      <c r="H76">
        <f>VLOOKUP(B76,'[1]TONG HOP'!B$5:G$624,6,0)</f>
        <v/>
      </c>
      <c r="I76" t="n">
        <v>2232500</v>
      </c>
    </row>
    <row r="77">
      <c r="A77" s="5" t="n">
        <v>71</v>
      </c>
      <c r="B77" s="5" t="inlineStr">
        <is>
          <t>25808200028</t>
        </is>
      </c>
      <c r="C77" s="6" t="inlineStr">
        <is>
          <t>Nguyeãn Baù Hoaøng</t>
        </is>
      </c>
      <c r="D77" s="6" t="inlineStr">
        <is>
          <t>Döông</t>
        </is>
      </c>
      <c r="E77" s="5" t="inlineStr">
        <is>
          <t>28-Nov-07</t>
        </is>
      </c>
      <c r="F77" s="5" t="inlineStr">
        <is>
          <t>LNH0925ND01</t>
        </is>
      </c>
      <c r="G77" s="105" t="n">
        <v>4465000</v>
      </c>
      <c r="H77">
        <f>VLOOKUP(B77,'[1]TONG HOP'!B$5:G$624,6,0)</f>
        <v/>
      </c>
      <c r="I77" t="n">
        <v>2232500</v>
      </c>
    </row>
    <row r="78">
      <c r="A78" s="5" t="n">
        <v>72</v>
      </c>
      <c r="B78" s="5" t="inlineStr">
        <is>
          <t>25802800107</t>
        </is>
      </c>
      <c r="C78" s="6" t="inlineStr">
        <is>
          <t>Traàn Vónh</t>
        </is>
      </c>
      <c r="D78" s="6" t="inlineStr">
        <is>
          <t>Khang</t>
        </is>
      </c>
      <c r="E78" s="5" t="inlineStr">
        <is>
          <t>21-Aug-07</t>
        </is>
      </c>
      <c r="F78" s="5" t="inlineStr">
        <is>
          <t>LNH0925ND01</t>
        </is>
      </c>
      <c r="G78" s="105" t="n">
        <v>4465000</v>
      </c>
      <c r="H78">
        <f>VLOOKUP(B78,'[1]TONG HOP'!B$5:G$624,6,0)</f>
        <v/>
      </c>
      <c r="I78" t="n">
        <v>2232500</v>
      </c>
    </row>
    <row r="79">
      <c r="A79" s="5" t="n">
        <v>73</v>
      </c>
      <c r="B79" s="5" t="inlineStr">
        <is>
          <t>25802100038</t>
        </is>
      </c>
      <c r="C79" s="6" t="inlineStr">
        <is>
          <t>Ngoâ Xuaân</t>
        </is>
      </c>
      <c r="D79" s="6" t="inlineStr">
        <is>
          <t>Thieân</t>
        </is>
      </c>
      <c r="E79" s="5" t="inlineStr">
        <is>
          <t>12-Dec-06</t>
        </is>
      </c>
      <c r="F79" s="5" t="inlineStr">
        <is>
          <t>LNH0925ND01</t>
        </is>
      </c>
      <c r="G79" s="105" t="n">
        <v>4465000</v>
      </c>
      <c r="H79">
        <f>VLOOKUP(B79,'[1]TONG HOP'!B$5:G$624,6,0)</f>
        <v/>
      </c>
      <c r="I79" t="n">
        <v>2232500</v>
      </c>
    </row>
    <row r="80">
      <c r="A80" s="5" t="n">
        <v>74</v>
      </c>
      <c r="B80" s="5" t="inlineStr">
        <is>
          <t>25800500056</t>
        </is>
      </c>
      <c r="C80" s="6" t="inlineStr">
        <is>
          <t>Ñoàng Minh</t>
        </is>
      </c>
      <c r="D80" s="6" t="inlineStr">
        <is>
          <t>Hoaøng</t>
        </is>
      </c>
      <c r="E80" s="5" t="inlineStr">
        <is>
          <t>17-Nov-07</t>
        </is>
      </c>
      <c r="F80" s="5" t="inlineStr">
        <is>
          <t>LNH0925ND01</t>
        </is>
      </c>
      <c r="G80" s="105" t="n">
        <v>4940000</v>
      </c>
    </row>
    <row r="81">
      <c r="A81" s="5" t="n">
        <v>75</v>
      </c>
      <c r="B81" s="5" t="inlineStr">
        <is>
          <t>25800600669</t>
        </is>
      </c>
      <c r="C81" s="6" t="inlineStr">
        <is>
          <t>Traàn Thò Hoaøi</t>
        </is>
      </c>
      <c r="D81" s="6" t="inlineStr">
        <is>
          <t>Thöông</t>
        </is>
      </c>
      <c r="E81" s="5" t="inlineStr">
        <is>
          <t>26-Apr-07</t>
        </is>
      </c>
      <c r="F81" s="5" t="inlineStr">
        <is>
          <t>LNH0925ND01</t>
        </is>
      </c>
      <c r="G81" s="105" t="n">
        <v>8415000</v>
      </c>
      <c r="H81">
        <f>VLOOKUP(B81,'[1]TONG HOP'!B$5:G$624,6,0)</f>
        <v/>
      </c>
      <c r="I81" t="n">
        <v>2103750</v>
      </c>
    </row>
    <row r="82">
      <c r="A82" s="5" t="n">
        <v>76</v>
      </c>
      <c r="B82" s="5" t="inlineStr">
        <is>
          <t>25820500002</t>
        </is>
      </c>
      <c r="C82" s="6" t="inlineStr">
        <is>
          <t>Ñaëng Quoác</t>
        </is>
      </c>
      <c r="D82" s="6" t="inlineStr">
        <is>
          <t>Baûo</t>
        </is>
      </c>
      <c r="E82" s="5" t="inlineStr">
        <is>
          <t>11-Nov-07</t>
        </is>
      </c>
      <c r="F82" s="5" t="inlineStr">
        <is>
          <t>LNH0925ND01</t>
        </is>
      </c>
      <c r="G82" s="105" t="n">
        <v>8415000</v>
      </c>
      <c r="H82">
        <f>VLOOKUP(B82,'[1]TONG HOP'!B$5:G$624,6,0)</f>
        <v/>
      </c>
      <c r="I82" t="n">
        <v>2103750</v>
      </c>
    </row>
    <row r="83">
      <c r="A83" s="5" t="n">
        <v>77</v>
      </c>
      <c r="B83" s="5" t="inlineStr">
        <is>
          <t>25808600084</t>
        </is>
      </c>
      <c r="C83" s="6" t="inlineStr">
        <is>
          <t>Lyù Thò Tuyeát</t>
        </is>
      </c>
      <c r="D83" s="6" t="inlineStr">
        <is>
          <t>Nhung</t>
        </is>
      </c>
      <c r="E83" s="5" t="inlineStr">
        <is>
          <t>11-Feb-07</t>
        </is>
      </c>
      <c r="F83" s="5" t="inlineStr">
        <is>
          <t>LNH0925ND01</t>
        </is>
      </c>
      <c r="G83" s="105" t="n">
        <v>8415000</v>
      </c>
      <c r="H83">
        <f>VLOOKUP(B83,'[1]TONG HOP'!B$5:G$624,6,0)</f>
        <v/>
      </c>
      <c r="I83" t="n">
        <v>2103750</v>
      </c>
    </row>
    <row r="84">
      <c r="A84" s="5" t="n">
        <v>78</v>
      </c>
      <c r="B84" s="5" t="inlineStr">
        <is>
          <t>25806300028</t>
        </is>
      </c>
      <c r="C84" s="6" t="inlineStr">
        <is>
          <t>Traàn Hoaøi</t>
        </is>
      </c>
      <c r="D84" s="6" t="inlineStr">
        <is>
          <t>Nam</t>
        </is>
      </c>
      <c r="E84" s="5" t="inlineStr">
        <is>
          <t>24-Jul-07</t>
        </is>
      </c>
      <c r="F84" s="5" t="inlineStr">
        <is>
          <t>LNH0925ND01</t>
        </is>
      </c>
      <c r="G84" s="105" t="n">
        <v>8415000</v>
      </c>
      <c r="H84">
        <f>VLOOKUP(B84,'[1]TONG HOP'!B$5:G$624,6,0)</f>
        <v/>
      </c>
      <c r="I84" t="n">
        <v>2103750</v>
      </c>
    </row>
    <row r="85">
      <c r="A85" s="5" t="n">
        <v>79</v>
      </c>
      <c r="B85" s="5" t="inlineStr">
        <is>
          <t>25820700014</t>
        </is>
      </c>
      <c r="C85" s="6" t="inlineStr">
        <is>
          <t>Nguyeãn Thò Kieàu</t>
        </is>
      </c>
      <c r="D85" s="6" t="inlineStr">
        <is>
          <t>Loan</t>
        </is>
      </c>
      <c r="E85" s="5" t="inlineStr">
        <is>
          <t>04-Oct-07</t>
        </is>
      </c>
      <c r="F85" s="5" t="inlineStr">
        <is>
          <t>LNH0925ND01</t>
        </is>
      </c>
      <c r="G85" s="105" t="n">
        <v>8415000</v>
      </c>
      <c r="H85">
        <f>VLOOKUP(B85,'[1]TONG HOP'!B$5:G$624,6,0)</f>
        <v/>
      </c>
      <c r="I85" t="n">
        <v>2103750</v>
      </c>
    </row>
    <row r="86">
      <c r="A86" s="5" t="n">
        <v>80</v>
      </c>
      <c r="B86" s="5" t="inlineStr">
        <is>
          <t>25809600050</t>
        </is>
      </c>
      <c r="C86" s="6" t="inlineStr">
        <is>
          <t>Nguyeãn Hoaøng Baûo</t>
        </is>
      </c>
      <c r="D86" s="6" t="inlineStr">
        <is>
          <t>Phuùc</t>
        </is>
      </c>
      <c r="E86" s="5" t="inlineStr">
        <is>
          <t>19-May-07</t>
        </is>
      </c>
      <c r="F86" s="5" t="inlineStr">
        <is>
          <t>LNH0925ND01</t>
        </is>
      </c>
      <c r="G86" s="105" t="n">
        <v>8415000</v>
      </c>
      <c r="H86">
        <f>VLOOKUP(B86,'[1]TONG HOP'!B$5:G$624,6,0)</f>
        <v/>
      </c>
      <c r="I86" t="n">
        <v>2103750</v>
      </c>
    </row>
    <row r="87">
      <c r="A87" s="5" t="n">
        <v>81</v>
      </c>
      <c r="B87" s="5" t="inlineStr">
        <is>
          <t>25800500108</t>
        </is>
      </c>
      <c r="C87" s="6" t="inlineStr">
        <is>
          <t>Toâ Taán</t>
        </is>
      </c>
      <c r="D87" s="6" t="inlineStr">
        <is>
          <t>Loäc</t>
        </is>
      </c>
      <c r="E87" s="5" t="inlineStr">
        <is>
          <t>21-Oct-07</t>
        </is>
      </c>
      <c r="F87" s="5" t="inlineStr">
        <is>
          <t>LNH0925ND01</t>
        </is>
      </c>
      <c r="G87" s="105" t="n">
        <v>8415000</v>
      </c>
      <c r="H87">
        <f>VLOOKUP(B87,'[1]TONG HOP'!B$5:G$624,6,0)</f>
        <v/>
      </c>
      <c r="I87" t="n">
        <v>2103750</v>
      </c>
    </row>
    <row r="88">
      <c r="A88" s="5" t="n">
        <v>82</v>
      </c>
      <c r="B88" s="5" t="inlineStr">
        <is>
          <t>25808500135</t>
        </is>
      </c>
      <c r="C88" s="6" t="inlineStr">
        <is>
          <t>Chu Quang</t>
        </is>
      </c>
      <c r="D88" s="6" t="inlineStr">
        <is>
          <t>Huy</t>
        </is>
      </c>
      <c r="E88" s="5" t="inlineStr">
        <is>
          <t>03-Dec-07</t>
        </is>
      </c>
      <c r="F88" s="5" t="inlineStr">
        <is>
          <t>LNH0925ND01</t>
        </is>
      </c>
      <c r="G88" s="105" t="n">
        <v>8415000</v>
      </c>
    </row>
    <row r="89">
      <c r="A89" s="5" t="n">
        <v>83</v>
      </c>
      <c r="B89" s="5" t="inlineStr">
        <is>
          <t>25801400451</t>
        </is>
      </c>
      <c r="C89" s="6" t="inlineStr">
        <is>
          <t>Nguyeãn Thaønh</t>
        </is>
      </c>
      <c r="D89" s="6" t="inlineStr">
        <is>
          <t>Taøi</t>
        </is>
      </c>
      <c r="E89" s="5" t="inlineStr">
        <is>
          <t>08-Jun-06</t>
        </is>
      </c>
      <c r="F89" s="5" t="inlineStr">
        <is>
          <t>LNH0925ND01</t>
        </is>
      </c>
      <c r="G89" s="105" t="n">
        <v>8415000</v>
      </c>
      <c r="H89">
        <f>VLOOKUP(B89,'[1]TONG HOP'!B$5:G$624,6,0)</f>
        <v/>
      </c>
      <c r="I89" t="n">
        <v>2103750</v>
      </c>
    </row>
    <row r="90">
      <c r="A90" s="5" t="n">
        <v>84</v>
      </c>
      <c r="B90" s="5" t="inlineStr">
        <is>
          <t>25802600167</t>
        </is>
      </c>
      <c r="C90" s="6" t="inlineStr">
        <is>
          <t>Leâ Thò Ngoïc</t>
        </is>
      </c>
      <c r="D90" s="6" t="inlineStr">
        <is>
          <t>Vy</t>
        </is>
      </c>
      <c r="E90" s="5" t="inlineStr">
        <is>
          <t>21-Feb-07</t>
        </is>
      </c>
      <c r="F90" s="5" t="inlineStr">
        <is>
          <t>LNH0925ND01</t>
        </is>
      </c>
      <c r="G90" s="105" t="n">
        <v>8415000</v>
      </c>
      <c r="H90">
        <f>VLOOKUP(B90,'[1]TONG HOP'!B$5:G$624,6,0)</f>
        <v/>
      </c>
      <c r="I90" t="n">
        <v>2103750</v>
      </c>
    </row>
    <row r="91">
      <c r="A91" s="5" t="n">
        <v>85</v>
      </c>
      <c r="B91" s="5" t="inlineStr">
        <is>
          <t>25802800355</t>
        </is>
      </c>
      <c r="C91" s="6" t="inlineStr">
        <is>
          <t>Traàn Thanh</t>
        </is>
      </c>
      <c r="D91" s="6" t="inlineStr">
        <is>
          <t>Tín</t>
        </is>
      </c>
      <c r="E91" s="5" t="inlineStr">
        <is>
          <t>06-Sep-07</t>
        </is>
      </c>
      <c r="F91" s="5" t="inlineStr">
        <is>
          <t>LNH0925ND01</t>
        </is>
      </c>
      <c r="G91" s="105" t="n">
        <v>8415000</v>
      </c>
      <c r="H91">
        <f>VLOOKUP(B91,'[1]TONG HOP'!B$5:G$624,6,0)</f>
        <v/>
      </c>
      <c r="I91" t="n">
        <v>2103750</v>
      </c>
    </row>
    <row r="92">
      <c r="A92" s="5" t="n">
        <v>86</v>
      </c>
      <c r="B92" s="5" t="inlineStr">
        <is>
          <t>25802800185</t>
        </is>
      </c>
      <c r="C92" s="6" t="inlineStr">
        <is>
          <t>Chu Yeán</t>
        </is>
      </c>
      <c r="D92" s="6" t="inlineStr">
        <is>
          <t>Nhi</t>
        </is>
      </c>
      <c r="E92" s="5" t="inlineStr">
        <is>
          <t>10-Dec-07</t>
        </is>
      </c>
      <c r="F92" s="5" t="inlineStr">
        <is>
          <t>LNH0925ND01</t>
        </is>
      </c>
      <c r="G92" s="105" t="n">
        <v>8415000</v>
      </c>
      <c r="H92">
        <f>VLOOKUP(B92,'[1]TONG HOP'!B$5:G$624,6,0)</f>
        <v/>
      </c>
      <c r="I92" t="n">
        <v>2103750</v>
      </c>
    </row>
    <row r="93">
      <c r="A93" s="5" t="n">
        <v>87</v>
      </c>
      <c r="B93" s="5" t="inlineStr">
        <is>
          <t>25807500078</t>
        </is>
      </c>
      <c r="C93" s="6" t="inlineStr">
        <is>
          <t>Nguyeãn Hoaøi Nhö</t>
        </is>
      </c>
      <c r="D93" s="6" t="inlineStr">
        <is>
          <t>Ngoïc</t>
        </is>
      </c>
      <c r="E93" s="5" t="inlineStr">
        <is>
          <t>27-May-07</t>
        </is>
      </c>
      <c r="F93" s="5" t="inlineStr">
        <is>
          <t>LNH0925ND01</t>
        </is>
      </c>
      <c r="G93" s="105" t="n">
        <v>8415000</v>
      </c>
      <c r="H93">
        <f>VLOOKUP(B93,'[1]TONG HOP'!B$5:G$624,6,0)</f>
        <v/>
      </c>
      <c r="I93" t="n">
        <v>2103750</v>
      </c>
    </row>
    <row r="94">
      <c r="A94" s="5" t="n">
        <v>88</v>
      </c>
      <c r="B94" s="5" t="inlineStr">
        <is>
          <t>25802100009</t>
        </is>
      </c>
      <c r="C94" s="6" t="inlineStr">
        <is>
          <t>Nguyeãn Vaên</t>
        </is>
      </c>
      <c r="D94" s="6" t="inlineStr">
        <is>
          <t>Ñoâng</t>
        </is>
      </c>
      <c r="E94" s="5" t="inlineStr">
        <is>
          <t>11-Nov-07</t>
        </is>
      </c>
      <c r="F94" s="5" t="inlineStr">
        <is>
          <t>LNH0925ND01</t>
        </is>
      </c>
      <c r="G94" s="105" t="n">
        <v>8415000</v>
      </c>
      <c r="H94">
        <f>VLOOKUP(B94,'[1]TONG HOP'!B$5:G$624,6,0)</f>
        <v/>
      </c>
      <c r="I94" t="n">
        <v>2103750</v>
      </c>
    </row>
    <row r="95">
      <c r="A95" s="5" t="n">
        <v>89</v>
      </c>
      <c r="B95" s="5" t="inlineStr">
        <is>
          <t>25802700104</t>
        </is>
      </c>
      <c r="C95" s="6" t="inlineStr">
        <is>
          <t>Leâ Thò Myõ</t>
        </is>
      </c>
      <c r="D95" s="6" t="inlineStr">
        <is>
          <t>Tuyeàn</t>
        </is>
      </c>
      <c r="E95" s="5" t="inlineStr">
        <is>
          <t>14-Apr-07</t>
        </is>
      </c>
      <c r="F95" s="5" t="inlineStr">
        <is>
          <t>LNH0925ND01</t>
        </is>
      </c>
      <c r="G95" s="105" t="n">
        <v>8415000</v>
      </c>
      <c r="H95">
        <f>VLOOKUP(B95,'[1]TONG HOP'!B$5:G$624,6,0)</f>
        <v/>
      </c>
      <c r="I95" t="n">
        <v>2103750</v>
      </c>
    </row>
    <row r="96">
      <c r="A96" s="5" t="n">
        <v>90</v>
      </c>
      <c r="B96" s="5" t="inlineStr">
        <is>
          <t>25806500029</t>
        </is>
      </c>
      <c r="C96" s="6" t="inlineStr">
        <is>
          <t>Laâm Phuùc</t>
        </is>
      </c>
      <c r="D96" s="6" t="inlineStr">
        <is>
          <t>Nguyeân</t>
        </is>
      </c>
      <c r="E96" s="5" t="inlineStr">
        <is>
          <t>21-Feb-06</t>
        </is>
      </c>
      <c r="F96" s="5" t="inlineStr">
        <is>
          <t>LNH0925ND01</t>
        </is>
      </c>
      <c r="G96" s="105" t="n">
        <v>8415000</v>
      </c>
    </row>
    <row r="97">
      <c r="A97" s="5" t="n">
        <v>91</v>
      </c>
      <c r="B97" s="5" t="inlineStr">
        <is>
          <t>25808600094</t>
        </is>
      </c>
      <c r="C97" s="6" t="inlineStr">
        <is>
          <t>Döông Tuù</t>
        </is>
      </c>
      <c r="D97" s="6" t="inlineStr">
        <is>
          <t>Quaân</t>
        </is>
      </c>
      <c r="E97" s="5" t="inlineStr">
        <is>
          <t>30-Jul-07</t>
        </is>
      </c>
      <c r="F97" s="5" t="inlineStr">
        <is>
          <t>LNH0925ND01</t>
        </is>
      </c>
      <c r="G97" s="105" t="n">
        <v>8415000</v>
      </c>
      <c r="H97">
        <f>VLOOKUP(B97,'[1]TONG HOP'!B$5:G$624,6,0)</f>
        <v/>
      </c>
      <c r="I97" t="n">
        <v>2103750</v>
      </c>
    </row>
    <row r="98">
      <c r="A98" s="5" t="n">
        <v>92</v>
      </c>
      <c r="B98" s="5" t="inlineStr">
        <is>
          <t>25806800058</t>
        </is>
      </c>
      <c r="C98" s="6" t="inlineStr">
        <is>
          <t>Huyønh Hoa Trinh</t>
        </is>
      </c>
      <c r="D98" s="6" t="inlineStr">
        <is>
          <t>Nöõ</t>
        </is>
      </c>
      <c r="E98" s="5" t="inlineStr">
        <is>
          <t>08-Oct-07</t>
        </is>
      </c>
      <c r="F98" s="5" t="inlineStr">
        <is>
          <t>LNH0925ND01</t>
        </is>
      </c>
      <c r="G98" s="105" t="n">
        <v>8415000</v>
      </c>
      <c r="H98">
        <f>VLOOKUP(B98,'[1]TONG HOP'!B$5:G$624,6,0)</f>
        <v/>
      </c>
      <c r="I98" t="n">
        <v>2103750</v>
      </c>
    </row>
    <row r="99">
      <c r="A99" s="5" t="n">
        <v>93</v>
      </c>
      <c r="B99" s="5" t="inlineStr">
        <is>
          <t>25808200079</t>
        </is>
      </c>
      <c r="C99" s="6" t="inlineStr">
        <is>
          <t>Ñaëng Thaùi</t>
        </is>
      </c>
      <c r="D99" s="6" t="inlineStr">
        <is>
          <t>Loäc</t>
        </is>
      </c>
      <c r="E99" s="5" t="inlineStr">
        <is>
          <t>01-Nov-07</t>
        </is>
      </c>
      <c r="F99" s="5" t="inlineStr">
        <is>
          <t>LNH0925ND01</t>
        </is>
      </c>
      <c r="G99" s="105" t="n">
        <v>8415000</v>
      </c>
      <c r="H99">
        <f>VLOOKUP(B99,'[1]TONG HOP'!B$5:G$624,6,0)</f>
        <v/>
      </c>
      <c r="I99" t="n">
        <v>2103750</v>
      </c>
    </row>
    <row r="100">
      <c r="A100" s="5" t="n">
        <v>94</v>
      </c>
      <c r="B100" s="5" t="inlineStr">
        <is>
          <t>25807500161</t>
        </is>
      </c>
      <c r="C100" s="6" t="inlineStr">
        <is>
          <t>Nguyeãn Phöông</t>
        </is>
      </c>
      <c r="D100" s="6" t="inlineStr">
        <is>
          <t>Uyeân</t>
        </is>
      </c>
      <c r="E100" s="5" t="inlineStr">
        <is>
          <t>23-Jul-07</t>
        </is>
      </c>
      <c r="F100" s="5" t="inlineStr">
        <is>
          <t>LNH0925ND01</t>
        </is>
      </c>
      <c r="G100" s="105" t="n">
        <v>4465000</v>
      </c>
      <c r="H100">
        <f>VLOOKUP(B100,'[1]TONG HOP'!B$5:G$624,6,0)</f>
        <v/>
      </c>
      <c r="I100" t="n">
        <v>2232500</v>
      </c>
    </row>
    <row r="101">
      <c r="A101" s="5" t="n">
        <v>95</v>
      </c>
      <c r="B101" s="5" t="inlineStr">
        <is>
          <t>25802700162</t>
        </is>
      </c>
      <c r="C101" s="6" t="inlineStr">
        <is>
          <t>Vuõ Thò Minh</t>
        </is>
      </c>
      <c r="D101" s="6" t="inlineStr">
        <is>
          <t>Thö</t>
        </is>
      </c>
      <c r="E101" s="5" t="inlineStr">
        <is>
          <t>01-May-07</t>
        </is>
      </c>
      <c r="F101" s="5" t="inlineStr">
        <is>
          <t>LNH0925ND01</t>
        </is>
      </c>
      <c r="G101" s="105" t="n">
        <v>8415000</v>
      </c>
    </row>
    <row r="102">
      <c r="A102" s="5" t="n">
        <v>96</v>
      </c>
      <c r="B102" s="5" t="inlineStr">
        <is>
          <t>25800500278</t>
        </is>
      </c>
      <c r="C102" s="6" t="inlineStr">
        <is>
          <t>Phaïm Theá</t>
        </is>
      </c>
      <c r="D102" s="6" t="inlineStr">
        <is>
          <t>Laân</t>
        </is>
      </c>
      <c r="E102" s="5" t="inlineStr">
        <is>
          <t>30-Oct-07</t>
        </is>
      </c>
      <c r="F102" s="5" t="inlineStr">
        <is>
          <t>LNH0925ND01</t>
        </is>
      </c>
      <c r="G102" s="105" t="n">
        <v>8415000</v>
      </c>
      <c r="H102">
        <f>VLOOKUP(B102,'[1]TONG HOP'!B$5:G$624,6,0)</f>
        <v/>
      </c>
      <c r="I102" t="n">
        <v>2103750</v>
      </c>
    </row>
    <row r="103">
      <c r="A103" s="5" t="n">
        <v>97</v>
      </c>
      <c r="B103" s="5" t="inlineStr">
        <is>
          <t>25807500098</t>
        </is>
      </c>
      <c r="C103" s="6" t="inlineStr">
        <is>
          <t>Phan Ngoïc Phuù</t>
        </is>
      </c>
      <c r="D103" s="6" t="inlineStr">
        <is>
          <t>Quí</t>
        </is>
      </c>
      <c r="E103" s="5" t="inlineStr">
        <is>
          <t>12-Sep-07</t>
        </is>
      </c>
      <c r="F103" s="5" t="inlineStr">
        <is>
          <t>LNH0925ND01</t>
        </is>
      </c>
      <c r="G103" s="105" t="n">
        <v>8415000</v>
      </c>
      <c r="H103">
        <f>VLOOKUP(B103,'[1]TONG HOP'!B$5:G$624,6,0)</f>
        <v/>
      </c>
      <c r="I103" t="n">
        <v>2103750</v>
      </c>
    </row>
    <row r="104">
      <c r="A104" s="5" t="n">
        <v>98</v>
      </c>
      <c r="B104" s="5" t="inlineStr">
        <is>
          <t>25802700153</t>
        </is>
      </c>
      <c r="C104" s="6" t="inlineStr">
        <is>
          <t>Leâ Thaùi</t>
        </is>
      </c>
      <c r="D104" s="6" t="inlineStr">
        <is>
          <t>Long</t>
        </is>
      </c>
      <c r="E104" s="5" t="inlineStr">
        <is>
          <t>20-May-07</t>
        </is>
      </c>
      <c r="F104" s="5" t="inlineStr">
        <is>
          <t>LNH0925ND01</t>
        </is>
      </c>
      <c r="G104" s="105" t="n">
        <v>8415000</v>
      </c>
      <c r="H104">
        <f>VLOOKUP(B104,'[1]TONG HOP'!B$5:G$624,6,0)</f>
        <v/>
      </c>
      <c r="I104" t="n">
        <v>2103750</v>
      </c>
    </row>
    <row r="105">
      <c r="A105" s="5" t="n">
        <v>99</v>
      </c>
      <c r="B105" s="5" t="inlineStr">
        <is>
          <t>25808600054</t>
        </is>
      </c>
      <c r="C105" s="6" t="inlineStr">
        <is>
          <t>Ñaëng Thò Thuøy</t>
        </is>
      </c>
      <c r="D105" s="6" t="inlineStr">
        <is>
          <t>Linh</t>
        </is>
      </c>
      <c r="E105" s="5" t="inlineStr">
        <is>
          <t>16-Feb-07</t>
        </is>
      </c>
      <c r="F105" s="5" t="inlineStr">
        <is>
          <t>LNH0925ND01</t>
        </is>
      </c>
      <c r="G105" s="105" t="n">
        <v>8415000</v>
      </c>
      <c r="H105">
        <f>VLOOKUP(B105,'[1]TONG HOP'!B$5:G$624,6,0)</f>
        <v/>
      </c>
      <c r="I105" t="n">
        <v>2103750</v>
      </c>
    </row>
    <row r="106">
      <c r="A106" s="5" t="n">
        <v>100</v>
      </c>
      <c r="B106" s="5" t="inlineStr">
        <is>
          <t>25809300008</t>
        </is>
      </c>
      <c r="C106" s="6" t="inlineStr">
        <is>
          <t>Huyønh Traø Sôn</t>
        </is>
      </c>
      <c r="D106" s="6" t="inlineStr">
        <is>
          <t>Tuøng</t>
        </is>
      </c>
      <c r="E106" s="5" t="inlineStr">
        <is>
          <t>09-Dec-07</t>
        </is>
      </c>
      <c r="F106" s="5" t="inlineStr">
        <is>
          <t>LNH0925ND01</t>
        </is>
      </c>
      <c r="G106" s="105" t="n">
        <v>1000000</v>
      </c>
    </row>
    <row r="107">
      <c r="A107" s="5" t="n">
        <v>101</v>
      </c>
      <c r="B107" s="5" t="inlineStr">
        <is>
          <t>25820700045</t>
        </is>
      </c>
      <c r="C107" s="6" t="inlineStr">
        <is>
          <t>Nguyeãn Caåm</t>
        </is>
      </c>
      <c r="D107" s="6" t="inlineStr">
        <is>
          <t>Tuù</t>
        </is>
      </c>
      <c r="E107" s="5" t="inlineStr">
        <is>
          <t>22-Nov-07</t>
        </is>
      </c>
      <c r="F107" s="5" t="inlineStr">
        <is>
          <t>LNH0925ND01</t>
        </is>
      </c>
      <c r="G107" s="105" t="n">
        <v>1000000</v>
      </c>
    </row>
    <row r="108">
      <c r="A108" s="5" t="n">
        <v>102</v>
      </c>
      <c r="B108" s="5" t="inlineStr">
        <is>
          <t>25800500248</t>
        </is>
      </c>
      <c r="C108" s="6" t="inlineStr">
        <is>
          <t>Vuõ Minh</t>
        </is>
      </c>
      <c r="D108" s="6" t="inlineStr">
        <is>
          <t>Hieáu</t>
        </is>
      </c>
      <c r="E108" s="5" t="inlineStr">
        <is>
          <t>09-Jul-07</t>
        </is>
      </c>
      <c r="F108" s="5" t="inlineStr">
        <is>
          <t>LNH0925ND01</t>
        </is>
      </c>
      <c r="G108" s="105" t="n">
        <v>8415000</v>
      </c>
      <c r="H108">
        <f>VLOOKUP(B108,'[1]TONG HOP'!B$5:G$624,6,0)</f>
        <v/>
      </c>
      <c r="I108" t="n">
        <v>2103750</v>
      </c>
    </row>
    <row r="109">
      <c r="A109" s="5" t="n">
        <v>103</v>
      </c>
      <c r="B109" s="5" t="inlineStr">
        <is>
          <t>25801600178</t>
        </is>
      </c>
      <c r="C109" s="6" t="inlineStr">
        <is>
          <t>Leâ Ngoïc Thaûo</t>
        </is>
      </c>
      <c r="D109" s="6" t="inlineStr">
        <is>
          <t>Vy</t>
        </is>
      </c>
      <c r="E109" s="5" t="inlineStr">
        <is>
          <t>11-Jan-07</t>
        </is>
      </c>
      <c r="F109" s="5" t="inlineStr">
        <is>
          <t>LNH0925ND01</t>
        </is>
      </c>
      <c r="G109" s="105" t="n">
        <v>2100000</v>
      </c>
      <c r="H109">
        <f>VLOOKUP(B109,'[1]TONG HOP'!B$5:G$624,6,0)</f>
        <v/>
      </c>
      <c r="I109" t="n">
        <v>2100000</v>
      </c>
    </row>
    <row r="110">
      <c r="A110" s="5" t="n">
        <v>104</v>
      </c>
      <c r="B110" s="5" t="inlineStr">
        <is>
          <t>25807400009</t>
        </is>
      </c>
      <c r="C110" s="6" t="inlineStr">
        <is>
          <t>Traàn Thanh</t>
        </is>
      </c>
      <c r="D110" s="6" t="inlineStr">
        <is>
          <t>Nhaøn</t>
        </is>
      </c>
      <c r="E110" s="5" t="inlineStr">
        <is>
          <t>24-Aug-07</t>
        </is>
      </c>
      <c r="F110" s="5" t="inlineStr">
        <is>
          <t>LNH0925ND01</t>
        </is>
      </c>
      <c r="G110" s="105" t="n">
        <v>2100000</v>
      </c>
      <c r="H110">
        <f>VLOOKUP(B110,'[1]TONG HOP'!B$5:G$624,6,0)</f>
        <v/>
      </c>
      <c r="I110" t="n">
        <v>2100000</v>
      </c>
    </row>
    <row r="111">
      <c r="A111" s="5" t="n">
        <v>105</v>
      </c>
      <c r="B111" s="5" t="inlineStr">
        <is>
          <t>25806800057</t>
        </is>
      </c>
      <c r="C111" s="6" t="inlineStr">
        <is>
          <t>Leâ Taâm</t>
        </is>
      </c>
      <c r="D111" s="6" t="inlineStr">
        <is>
          <t>Nhö</t>
        </is>
      </c>
      <c r="E111" s="5" t="inlineStr">
        <is>
          <t>01-Feb-07</t>
        </is>
      </c>
      <c r="F111" s="5" t="inlineStr">
        <is>
          <t>LNH0925ND01</t>
        </is>
      </c>
      <c r="G111" s="105" t="n">
        <v>4465000</v>
      </c>
      <c r="H111">
        <f>VLOOKUP(B111,'[1]TONG HOP'!B$5:G$624,6,0)</f>
        <v/>
      </c>
      <c r="I111" t="n">
        <v>2232500</v>
      </c>
    </row>
    <row r="112">
      <c r="A112" s="5" t="n">
        <v>106</v>
      </c>
      <c r="B112" s="5" t="inlineStr">
        <is>
          <t>25806000038</t>
        </is>
      </c>
      <c r="C112" s="6" t="inlineStr">
        <is>
          <t>Nguyeãn Hoà Thu</t>
        </is>
      </c>
      <c r="D112" s="6" t="inlineStr">
        <is>
          <t>Thuûy</t>
        </is>
      </c>
      <c r="E112" s="5" t="inlineStr">
        <is>
          <t>29-Mar-07</t>
        </is>
      </c>
      <c r="F112" s="5" t="inlineStr">
        <is>
          <t>LNH0925ND01</t>
        </is>
      </c>
      <c r="G112" s="105" t="n">
        <v>8415000</v>
      </c>
      <c r="H112">
        <f>VLOOKUP(B112,'[1]TONG HOP'!B$5:G$624,6,0)</f>
        <v/>
      </c>
      <c r="I112" t="n">
        <v>2103750</v>
      </c>
    </row>
    <row r="113">
      <c r="A113" s="5" t="n">
        <v>107</v>
      </c>
      <c r="B113" s="5" t="inlineStr">
        <is>
          <t>25800500025</t>
        </is>
      </c>
      <c r="C113" s="6" t="inlineStr">
        <is>
          <t>Hoaøng Ngoïc</t>
        </is>
      </c>
      <c r="D113" s="6" t="inlineStr">
        <is>
          <t>Duy</t>
        </is>
      </c>
      <c r="E113" s="5" t="inlineStr">
        <is>
          <t>13-Jan-07</t>
        </is>
      </c>
      <c r="F113" s="5" t="inlineStr">
        <is>
          <t>LNH0925ND01</t>
        </is>
      </c>
      <c r="G113" s="105" t="n">
        <v>8415000</v>
      </c>
      <c r="H113">
        <f>VLOOKUP(B113,'[1]TONG HOP'!B$5:G$624,6,0)</f>
        <v/>
      </c>
      <c r="I113" t="n">
        <v>2103750</v>
      </c>
    </row>
    <row r="114">
      <c r="A114" s="5" t="n">
        <v>108</v>
      </c>
      <c r="B114" s="5" t="inlineStr">
        <is>
          <t>25803800060</t>
        </is>
      </c>
      <c r="C114" s="6" t="inlineStr">
        <is>
          <t>Nguyeãn Thuøy</t>
        </is>
      </c>
      <c r="D114" s="6" t="inlineStr">
        <is>
          <t>Trang</t>
        </is>
      </c>
      <c r="E114" s="5" t="inlineStr">
        <is>
          <t>12-Sep-07</t>
        </is>
      </c>
      <c r="F114" s="5" t="inlineStr">
        <is>
          <t>LNH0925ND01</t>
        </is>
      </c>
      <c r="G114" s="105" t="n">
        <v>8415000</v>
      </c>
      <c r="H114">
        <f>VLOOKUP(B114,'[1]TONG HOP'!B$5:G$624,6,0)</f>
        <v/>
      </c>
      <c r="I114" t="n">
        <v>2103750</v>
      </c>
    </row>
    <row r="115">
      <c r="A115" s="5" t="n">
        <v>109</v>
      </c>
      <c r="B115" s="5" t="inlineStr">
        <is>
          <t>25807800074</t>
        </is>
      </c>
      <c r="C115" s="6" t="inlineStr">
        <is>
          <t>Nguyeãn Haûi</t>
        </is>
      </c>
      <c r="D115" s="6" t="inlineStr">
        <is>
          <t>Lónh</t>
        </is>
      </c>
      <c r="E115" s="5" t="inlineStr">
        <is>
          <t>04-Apr-07</t>
        </is>
      </c>
      <c r="F115" s="5" t="inlineStr">
        <is>
          <t>LNH0925ND01</t>
        </is>
      </c>
      <c r="G115" s="105" t="n">
        <v>8415000</v>
      </c>
    </row>
    <row r="116">
      <c r="A116" s="5" t="n">
        <v>110</v>
      </c>
      <c r="B116" s="5" t="inlineStr">
        <is>
          <t>25807700041</t>
        </is>
      </c>
      <c r="C116" s="6" t="inlineStr">
        <is>
          <t>Phan Töû Gia</t>
        </is>
      </c>
      <c r="D116" s="6" t="inlineStr">
        <is>
          <t>Khieâm</t>
        </is>
      </c>
      <c r="E116" s="5" t="inlineStr">
        <is>
          <t>29-Jun-07</t>
        </is>
      </c>
      <c r="F116" s="5" t="inlineStr">
        <is>
          <t>LNH0925ND01</t>
        </is>
      </c>
      <c r="G116" s="105" t="n">
        <v>4940000</v>
      </c>
    </row>
    <row r="117">
      <c r="A117" s="5" t="n">
        <v>111</v>
      </c>
      <c r="B117" s="5" t="inlineStr">
        <is>
          <t>25808300013</t>
        </is>
      </c>
      <c r="C117" s="6" t="inlineStr">
        <is>
          <t>Vi Thò Tuù</t>
        </is>
      </c>
      <c r="D117" s="6" t="inlineStr">
        <is>
          <t>Haûo</t>
        </is>
      </c>
      <c r="E117" s="5" t="inlineStr">
        <is>
          <t>02-Nov-07</t>
        </is>
      </c>
      <c r="F117" s="5" t="inlineStr">
        <is>
          <t>LNH0925ND01</t>
        </is>
      </c>
      <c r="G117" s="105" t="n">
        <v>8415000</v>
      </c>
      <c r="H117">
        <f>VLOOKUP(B117,'[1]TONG HOP'!B$5:G$624,6,0)</f>
        <v/>
      </c>
      <c r="I117" t="n">
        <v>2103750</v>
      </c>
    </row>
    <row r="118">
      <c r="A118" s="5" t="n">
        <v>112</v>
      </c>
      <c r="B118" s="5" t="inlineStr">
        <is>
          <t>25800500096</t>
        </is>
      </c>
      <c r="C118" s="6" t="inlineStr">
        <is>
          <t>Ñoã Chí</t>
        </is>
      </c>
      <c r="D118" s="6" t="inlineStr">
        <is>
          <t>Kieân</t>
        </is>
      </c>
      <c r="E118" s="5" t="inlineStr">
        <is>
          <t>23-Jan-07</t>
        </is>
      </c>
      <c r="F118" s="5" t="inlineStr">
        <is>
          <t>LNH0925ND01</t>
        </is>
      </c>
      <c r="G118" s="105" t="n">
        <v>8415000</v>
      </c>
      <c r="H118">
        <f>VLOOKUP(B118,'[1]TONG HOP'!B$5:G$624,6,0)</f>
        <v/>
      </c>
      <c r="I118" t="n">
        <v>2103750</v>
      </c>
    </row>
    <row r="119">
      <c r="A119" s="5" t="n">
        <v>113</v>
      </c>
      <c r="B119" s="5" t="inlineStr">
        <is>
          <t>25808600135</t>
        </is>
      </c>
      <c r="C119" s="6" t="inlineStr">
        <is>
          <t>Traàn Thò Huyeàn</t>
        </is>
      </c>
      <c r="D119" s="6" t="inlineStr">
        <is>
          <t>Traân</t>
        </is>
      </c>
      <c r="E119" s="5" t="inlineStr">
        <is>
          <t>25-Feb-07</t>
        </is>
      </c>
      <c r="F119" s="5" t="inlineStr">
        <is>
          <t>LNH0925ND01</t>
        </is>
      </c>
      <c r="G119" s="105" t="n">
        <v>8415000</v>
      </c>
      <c r="H119">
        <f>VLOOKUP(B119,'[1]TONG HOP'!B$5:G$624,6,0)</f>
        <v/>
      </c>
      <c r="I119" t="n">
        <v>2103750</v>
      </c>
    </row>
    <row r="120">
      <c r="A120" s="5" t="n">
        <v>114</v>
      </c>
      <c r="B120" s="5" t="inlineStr">
        <is>
          <t>25820700032</t>
        </is>
      </c>
      <c r="C120" s="6" t="inlineStr">
        <is>
          <t>Nguyeãn Haø Linh</t>
        </is>
      </c>
      <c r="D120" s="6" t="inlineStr">
        <is>
          <t>Phöông</t>
        </is>
      </c>
      <c r="E120" s="5" t="inlineStr">
        <is>
          <t>07-Aug-07</t>
        </is>
      </c>
      <c r="F120" s="5" t="inlineStr">
        <is>
          <t>LNH0925ND01</t>
        </is>
      </c>
      <c r="G120" s="105" t="n">
        <v>8415000</v>
      </c>
      <c r="H120">
        <f>VLOOKUP(B120,'[1]TONG HOP'!B$5:G$624,6,0)</f>
        <v/>
      </c>
      <c r="I120" t="n">
        <v>2103750</v>
      </c>
    </row>
    <row r="121">
      <c r="A121" s="5" t="n">
        <v>115</v>
      </c>
      <c r="B121" s="5" t="inlineStr">
        <is>
          <t>25807500126</t>
        </is>
      </c>
      <c r="C121" s="6" t="inlineStr">
        <is>
          <t>Phan Ngoïc Anh</t>
        </is>
      </c>
      <c r="D121" s="6" t="inlineStr">
        <is>
          <t>Thö</t>
        </is>
      </c>
      <c r="E121" s="5" t="inlineStr">
        <is>
          <t>28-Feb-07</t>
        </is>
      </c>
      <c r="F121" s="5" t="inlineStr">
        <is>
          <t>LNH0925ND01</t>
        </is>
      </c>
      <c r="G121" s="105" t="n">
        <v>4465000</v>
      </c>
      <c r="H121">
        <f>VLOOKUP(B121,'[1]TONG HOP'!B$5:G$624,6,0)</f>
        <v/>
      </c>
      <c r="I121" t="n">
        <v>2232500</v>
      </c>
    </row>
    <row r="122">
      <c r="A122" s="5" t="n">
        <v>116</v>
      </c>
      <c r="B122" s="5" t="inlineStr">
        <is>
          <t>25803800020</t>
        </is>
      </c>
      <c r="C122" s="6" t="inlineStr">
        <is>
          <t>Phaïm Minh</t>
        </is>
      </c>
      <c r="D122" s="6" t="inlineStr">
        <is>
          <t>Khang</t>
        </is>
      </c>
      <c r="E122" s="5" t="inlineStr">
        <is>
          <t>21-Apr-07</t>
        </is>
      </c>
      <c r="F122" s="5" t="inlineStr">
        <is>
          <t>LNH0925ND01</t>
        </is>
      </c>
      <c r="G122" s="105" t="n">
        <v>1000000</v>
      </c>
    </row>
    <row r="123">
      <c r="A123" s="5" t="n">
        <v>117</v>
      </c>
      <c r="B123" s="5" t="inlineStr">
        <is>
          <t>25807800073</t>
        </is>
      </c>
      <c r="C123" s="6" t="inlineStr">
        <is>
          <t>Voõ Thanh</t>
        </is>
      </c>
      <c r="D123" s="6" t="inlineStr">
        <is>
          <t>Lieâm</t>
        </is>
      </c>
      <c r="E123" s="5" t="inlineStr">
        <is>
          <t>19-Nov-07</t>
        </is>
      </c>
      <c r="F123" s="5" t="inlineStr">
        <is>
          <t>LNH0925ND01</t>
        </is>
      </c>
      <c r="G123" s="105" t="n">
        <v>8415000</v>
      </c>
      <c r="H123">
        <f>VLOOKUP(B123,'[1]TONG HOP'!B$5:G$624,6,0)</f>
        <v/>
      </c>
      <c r="I123" t="n">
        <v>2103750</v>
      </c>
    </row>
    <row r="124">
      <c r="A124" s="5" t="n">
        <v>118</v>
      </c>
      <c r="B124" s="5" t="inlineStr">
        <is>
          <t>25800500134</t>
        </is>
      </c>
      <c r="C124" s="6" t="inlineStr">
        <is>
          <t>Huyønh Nguyeãn Laâm</t>
        </is>
      </c>
      <c r="D124" s="6" t="inlineStr">
        <is>
          <t>Phong</t>
        </is>
      </c>
      <c r="E124" s="5" t="inlineStr">
        <is>
          <t>25-Dec-07</t>
        </is>
      </c>
      <c r="F124" s="5" t="inlineStr">
        <is>
          <t>LNH0925ND01</t>
        </is>
      </c>
      <c r="G124" s="105" t="n">
        <v>8415000</v>
      </c>
      <c r="H124">
        <f>VLOOKUP(B124,'[1]TONG HOP'!B$5:G$624,6,0)</f>
        <v/>
      </c>
      <c r="I124" t="n">
        <v>2103750</v>
      </c>
    </row>
    <row r="125">
      <c r="A125" s="5" t="n">
        <v>119</v>
      </c>
      <c r="B125" s="5" t="inlineStr">
        <is>
          <t>25808200049</t>
        </is>
      </c>
      <c r="C125" s="6" t="inlineStr">
        <is>
          <t>Nguyeãn Tuaán</t>
        </is>
      </c>
      <c r="D125" s="6" t="inlineStr">
        <is>
          <t>Huøng</t>
        </is>
      </c>
      <c r="E125" s="5" t="inlineStr">
        <is>
          <t>18-Oct-07</t>
        </is>
      </c>
      <c r="F125" s="5" t="inlineStr">
        <is>
          <t>LNH0925ND01</t>
        </is>
      </c>
      <c r="G125" s="105" t="n">
        <v>8415000</v>
      </c>
      <c r="H125">
        <f>VLOOKUP(B125,'[1]TONG HOP'!B$5:G$624,6,0)</f>
        <v/>
      </c>
      <c r="I125" t="n">
        <v>2103750</v>
      </c>
    </row>
    <row r="126">
      <c r="A126" s="5" t="n">
        <v>120</v>
      </c>
      <c r="B126" s="5" t="inlineStr">
        <is>
          <t>25800500112</t>
        </is>
      </c>
      <c r="C126" s="6" t="inlineStr">
        <is>
          <t>Leâ Hoaøi</t>
        </is>
      </c>
      <c r="D126" s="6" t="inlineStr">
        <is>
          <t>Nam</t>
        </is>
      </c>
      <c r="E126" s="5" t="inlineStr">
        <is>
          <t>15-May-07</t>
        </is>
      </c>
      <c r="F126" s="5" t="inlineStr">
        <is>
          <t>LNH0925ND01</t>
        </is>
      </c>
      <c r="G126" s="105" t="n">
        <v>4940000</v>
      </c>
    </row>
    <row r="127">
      <c r="A127" s="5" t="n">
        <v>121</v>
      </c>
      <c r="B127" s="5" t="inlineStr">
        <is>
          <t>25808900140</t>
        </is>
      </c>
      <c r="C127" s="6" t="inlineStr">
        <is>
          <t>Nguyeãn Ñöùc</t>
        </is>
      </c>
      <c r="D127" s="6" t="inlineStr">
        <is>
          <t>Tröôøng</t>
        </is>
      </c>
      <c r="E127" s="5" t="inlineStr">
        <is>
          <t>24-Feb-07</t>
        </is>
      </c>
      <c r="F127" s="5" t="inlineStr">
        <is>
          <t>LNH0925ND01</t>
        </is>
      </c>
      <c r="G127" s="105" t="n">
        <v>1000000</v>
      </c>
    </row>
    <row r="128">
      <c r="A128" s="5" t="n">
        <v>122</v>
      </c>
      <c r="B128" s="5" t="inlineStr">
        <is>
          <t>25805900035</t>
        </is>
      </c>
      <c r="C128" s="6" t="inlineStr">
        <is>
          <t>Chu Laäp</t>
        </is>
      </c>
      <c r="D128" s="6" t="inlineStr">
        <is>
          <t>Quoác</t>
        </is>
      </c>
      <c r="E128" s="5" t="inlineStr">
        <is>
          <t>23-Dec-07</t>
        </is>
      </c>
      <c r="F128" s="5" t="inlineStr">
        <is>
          <t>LNH0925ND01</t>
        </is>
      </c>
      <c r="G128" s="105" t="n">
        <v>4465000</v>
      </c>
      <c r="H128">
        <f>VLOOKUP(B128,'[1]TONG HOP'!B$5:G$624,6,0)</f>
        <v/>
      </c>
      <c r="I128" t="n">
        <v>2232500</v>
      </c>
    </row>
    <row r="129">
      <c r="A129" s="5" t="n">
        <v>123</v>
      </c>
      <c r="B129" s="5" t="inlineStr">
        <is>
          <t>25801800021</t>
        </is>
      </c>
      <c r="C129" s="6" t="inlineStr">
        <is>
          <t>Voõ Thaûo</t>
        </is>
      </c>
      <c r="D129" s="6" t="inlineStr">
        <is>
          <t>Huyeàn</t>
        </is>
      </c>
      <c r="E129" s="5" t="inlineStr">
        <is>
          <t>03-Dec-05</t>
        </is>
      </c>
      <c r="F129" s="5" t="inlineStr">
        <is>
          <t>LNH0925ND01</t>
        </is>
      </c>
      <c r="G129" s="105" t="n">
        <v>8415000</v>
      </c>
      <c r="H129">
        <f>VLOOKUP(B129,'[1]TONG HOP'!B$5:G$624,6,0)</f>
        <v/>
      </c>
      <c r="I129" t="n">
        <v>2103750</v>
      </c>
    </row>
    <row r="130">
      <c r="A130" s="5" t="n">
        <v>124</v>
      </c>
      <c r="B130" s="5" t="inlineStr">
        <is>
          <t>25800500121</t>
        </is>
      </c>
      <c r="C130" s="6" t="inlineStr">
        <is>
          <t>Nguyeãn Chænh</t>
        </is>
      </c>
      <c r="D130" s="6" t="inlineStr">
        <is>
          <t>Nghieâm</t>
        </is>
      </c>
      <c r="E130" s="5" t="inlineStr">
        <is>
          <t>02-Dec-07</t>
        </is>
      </c>
      <c r="F130" s="5" t="inlineStr">
        <is>
          <t>LNH0925ND01</t>
        </is>
      </c>
      <c r="G130" s="105" t="n">
        <v>8415000</v>
      </c>
      <c r="H130">
        <f>VLOOKUP(B130,'[1]TONG HOP'!B$5:G$624,6,0)</f>
        <v/>
      </c>
      <c r="I130" t="n">
        <v>2103750</v>
      </c>
    </row>
    <row r="131">
      <c r="A131" s="5" t="n">
        <v>125</v>
      </c>
      <c r="B131" s="5" t="inlineStr">
        <is>
          <t>25802800274</t>
        </is>
      </c>
      <c r="C131" s="6" t="inlineStr">
        <is>
          <t>Leâ Hoaøng Baûo</t>
        </is>
      </c>
      <c r="D131" s="6" t="inlineStr">
        <is>
          <t>Traân</t>
        </is>
      </c>
      <c r="E131" s="5" t="inlineStr">
        <is>
          <t>22-Jul-07</t>
        </is>
      </c>
      <c r="F131" s="5" t="inlineStr">
        <is>
          <t>LNH0925ND01</t>
        </is>
      </c>
      <c r="G131" s="105" t="n">
        <v>8415000</v>
      </c>
      <c r="H131">
        <f>VLOOKUP(B131,'[1]TONG HOP'!B$5:G$624,6,0)</f>
        <v/>
      </c>
      <c r="I131" t="n">
        <v>2103750</v>
      </c>
    </row>
    <row r="132">
      <c r="A132" s="5" t="n">
        <v>126</v>
      </c>
      <c r="B132" s="5" t="inlineStr">
        <is>
          <t>25802600056</t>
        </is>
      </c>
      <c r="C132" s="6" t="inlineStr">
        <is>
          <t>Nguyeãn Duy</t>
        </is>
      </c>
      <c r="D132" s="6" t="inlineStr">
        <is>
          <t>Khang</t>
        </is>
      </c>
      <c r="E132" s="5" t="inlineStr">
        <is>
          <t>23-Mar-07</t>
        </is>
      </c>
      <c r="F132" s="5" t="inlineStr">
        <is>
          <t>LNH0925ND01</t>
        </is>
      </c>
      <c r="G132" s="105" t="n">
        <v>8415000</v>
      </c>
      <c r="H132">
        <f>VLOOKUP(B132,'[1]TONG HOP'!B$5:G$624,6,0)</f>
        <v/>
      </c>
      <c r="I132" t="n">
        <v>2103750</v>
      </c>
    </row>
    <row r="133">
      <c r="A133" s="5" t="n">
        <v>127</v>
      </c>
      <c r="B133" s="5" t="inlineStr">
        <is>
          <t>25809600015</t>
        </is>
      </c>
      <c r="C133" s="6" t="inlineStr">
        <is>
          <t>Leâ Duy Haûi</t>
        </is>
      </c>
      <c r="D133" s="6" t="inlineStr">
        <is>
          <t>Ñaêng</t>
        </is>
      </c>
      <c r="E133" s="5" t="inlineStr">
        <is>
          <t>21-Dec-06</t>
        </is>
      </c>
      <c r="F133" s="5" t="inlineStr">
        <is>
          <t>LNH0925ND01</t>
        </is>
      </c>
      <c r="G133" s="105" t="n">
        <v>8415000</v>
      </c>
    </row>
    <row r="134">
      <c r="A134" s="5" t="n">
        <v>128</v>
      </c>
      <c r="B134" s="5" t="inlineStr">
        <is>
          <t>25802800114</t>
        </is>
      </c>
      <c r="C134" s="6" t="inlineStr">
        <is>
          <t>Vuõ Buøi Ñaêng</t>
        </is>
      </c>
      <c r="D134" s="6" t="inlineStr">
        <is>
          <t>Khoa</t>
        </is>
      </c>
      <c r="E134" s="5" t="inlineStr">
        <is>
          <t>28-Apr-07</t>
        </is>
      </c>
      <c r="F134" s="5" t="inlineStr">
        <is>
          <t>LNH0925ND01</t>
        </is>
      </c>
      <c r="G134" s="105" t="n">
        <v>8415000</v>
      </c>
      <c r="H134">
        <f>VLOOKUP(B134,'[1]TONG HOP'!B$5:G$624,6,0)</f>
        <v/>
      </c>
      <c r="I134" t="n">
        <v>2103750</v>
      </c>
    </row>
    <row r="135">
      <c r="A135" s="5" t="n">
        <v>129</v>
      </c>
      <c r="B135" s="5" t="inlineStr">
        <is>
          <t>25805900069</t>
        </is>
      </c>
      <c r="C135" s="6" t="inlineStr">
        <is>
          <t>Buøi Nguyeãn Minh</t>
        </is>
      </c>
      <c r="D135" s="6" t="inlineStr">
        <is>
          <t>Anh</t>
        </is>
      </c>
      <c r="E135" s="5" t="inlineStr">
        <is>
          <t>28-Jun-04</t>
        </is>
      </c>
      <c r="F135" s="5" t="inlineStr">
        <is>
          <t>LNH0925ND01</t>
        </is>
      </c>
      <c r="G135" s="105" t="n">
        <v>1000000</v>
      </c>
    </row>
    <row r="136">
      <c r="A136" s="5" t="n">
        <v>130</v>
      </c>
      <c r="B136" s="5" t="inlineStr">
        <is>
          <t>25820200021</t>
        </is>
      </c>
      <c r="C136" s="6" t="inlineStr">
        <is>
          <t>Phan</t>
        </is>
      </c>
      <c r="D136" s="6" t="inlineStr">
        <is>
          <t>Haøo</t>
        </is>
      </c>
      <c r="E136" s="5" t="inlineStr">
        <is>
          <t>23-Nov-07</t>
        </is>
      </c>
      <c r="F136" s="5" t="inlineStr">
        <is>
          <t>LNH0925ND01</t>
        </is>
      </c>
      <c r="G136" s="105" t="n">
        <v>1000000</v>
      </c>
    </row>
    <row r="137">
      <c r="A137" s="5" t="n">
        <v>131</v>
      </c>
      <c r="B137" s="5" t="inlineStr">
        <is>
          <t>25805900036</t>
        </is>
      </c>
      <c r="C137" s="6" t="inlineStr">
        <is>
          <t>Buøi Huyønh</t>
        </is>
      </c>
      <c r="D137" s="6" t="inlineStr">
        <is>
          <t>Quyeân</t>
        </is>
      </c>
      <c r="E137" s="5" t="inlineStr">
        <is>
          <t>04-Oct-07</t>
        </is>
      </c>
      <c r="F137" s="5" t="inlineStr">
        <is>
          <t>LNH0925ND01</t>
        </is>
      </c>
      <c r="G137" s="105" t="n">
        <v>8415000</v>
      </c>
      <c r="H137">
        <f>VLOOKUP(B137,'[1]TONG HOP'!B$5:G$624,6,0)</f>
        <v/>
      </c>
      <c r="I137" t="n">
        <v>2103750</v>
      </c>
    </row>
    <row r="138">
      <c r="A138" s="5" t="n">
        <v>132</v>
      </c>
      <c r="B138" s="5" t="inlineStr">
        <is>
          <t>25802800138</t>
        </is>
      </c>
      <c r="C138" s="6" t="inlineStr">
        <is>
          <t>Leâ Nguyeãn Höõu</t>
        </is>
      </c>
      <c r="D138" s="6" t="inlineStr">
        <is>
          <t>Loäc</t>
        </is>
      </c>
      <c r="E138" s="5" t="inlineStr">
        <is>
          <t>15-Feb-07</t>
        </is>
      </c>
      <c r="F138" s="5" t="inlineStr">
        <is>
          <t>LNH0925ND01</t>
        </is>
      </c>
      <c r="G138" s="105" t="n">
        <v>1000000</v>
      </c>
    </row>
    <row r="139">
      <c r="A139" s="5" t="n">
        <v>133</v>
      </c>
      <c r="B139" s="5" t="inlineStr">
        <is>
          <t>25808600190</t>
        </is>
      </c>
      <c r="C139" s="6" t="inlineStr">
        <is>
          <t>Dinh Viet</t>
        </is>
      </c>
      <c r="D139" s="6" t="inlineStr">
        <is>
          <t>Nguyen</t>
        </is>
      </c>
      <c r="E139" s="5" t="inlineStr">
        <is>
          <t xml:space="preserve">  -   -</t>
        </is>
      </c>
      <c r="F139" s="5" t="inlineStr">
        <is>
          <t>LNH0925ND01</t>
        </is>
      </c>
      <c r="G139" s="105" t="n">
        <v>4465000</v>
      </c>
      <c r="H139">
        <f>VLOOKUP(B139,'[1]TONG HOP'!B$5:G$624,6,0)</f>
        <v/>
      </c>
      <c r="I139" t="n">
        <v>2232500</v>
      </c>
    </row>
    <row r="140">
      <c r="A140" s="5" t="n">
        <v>134</v>
      </c>
      <c r="B140" s="5" t="inlineStr">
        <is>
          <t>25806100240</t>
        </is>
      </c>
      <c r="C140" s="6" t="inlineStr">
        <is>
          <t>Buøi Thò Nguyeät</t>
        </is>
      </c>
      <c r="D140" s="6" t="inlineStr">
        <is>
          <t>Haèng</t>
        </is>
      </c>
      <c r="E140" s="5" t="inlineStr">
        <is>
          <t>29-Oct-07</t>
        </is>
      </c>
      <c r="F140" s="5" t="inlineStr">
        <is>
          <t>LNH0925ND01</t>
        </is>
      </c>
      <c r="G140" s="105" t="n">
        <v>4465000</v>
      </c>
      <c r="H140">
        <f>VLOOKUP(B140,'[1]TONG HOP'!B$5:G$624,6,0)</f>
        <v/>
      </c>
      <c r="I140" t="n">
        <v>2232500</v>
      </c>
    </row>
    <row r="141">
      <c r="A141" s="5" t="n">
        <v>135</v>
      </c>
      <c r="B141" s="5" t="inlineStr">
        <is>
          <t>25807500093</t>
        </is>
      </c>
      <c r="C141" s="6" t="inlineStr">
        <is>
          <t>Voõ Thaønh</t>
        </is>
      </c>
      <c r="D141" s="6" t="inlineStr">
        <is>
          <t>Phaùt</t>
        </is>
      </c>
      <c r="E141" s="5" t="inlineStr">
        <is>
          <t>09-Aug-07</t>
        </is>
      </c>
      <c r="F141" s="5" t="inlineStr">
        <is>
          <t>LNH0925ND01</t>
        </is>
      </c>
      <c r="G141" s="105" t="n">
        <v>4465000</v>
      </c>
      <c r="H141">
        <f>VLOOKUP(B141,'[1]TONG HOP'!B$5:G$624,6,0)</f>
        <v/>
      </c>
      <c r="I141" t="n">
        <v>2232500</v>
      </c>
    </row>
    <row r="142">
      <c r="A142" s="5" t="n">
        <v>136</v>
      </c>
      <c r="B142" s="5" t="inlineStr">
        <is>
          <t>25807900018</t>
        </is>
      </c>
      <c r="C142" s="6" t="inlineStr">
        <is>
          <t>Leâ Döông Gia</t>
        </is>
      </c>
      <c r="D142" s="6" t="inlineStr">
        <is>
          <t>Huy</t>
        </is>
      </c>
      <c r="E142" s="5" t="inlineStr">
        <is>
          <t>04-Jan-07</t>
        </is>
      </c>
      <c r="F142" s="5" t="inlineStr">
        <is>
          <t>LNH0925ND01</t>
        </is>
      </c>
      <c r="G142" s="105" t="n">
        <v>4940000</v>
      </c>
    </row>
    <row r="143">
      <c r="A143" s="5" t="n">
        <v>137</v>
      </c>
      <c r="B143" s="5" t="inlineStr">
        <is>
          <t>25808700079</t>
        </is>
      </c>
      <c r="C143" s="6" t="inlineStr">
        <is>
          <t>Ñaëng Hieåu</t>
        </is>
      </c>
      <c r="D143" s="6" t="inlineStr">
        <is>
          <t>Phuùc</t>
        </is>
      </c>
      <c r="E143" s="5" t="inlineStr">
        <is>
          <t>30-Jan-07</t>
        </is>
      </c>
      <c r="F143" s="5" t="inlineStr">
        <is>
          <t>LNH0925ND01</t>
        </is>
      </c>
      <c r="G143" s="105" t="n">
        <v>8415000</v>
      </c>
      <c r="H143">
        <f>VLOOKUP(B143,'[1]TONG HOP'!B$5:G$624,6,0)</f>
        <v/>
      </c>
      <c r="I143" t="n">
        <v>2103750</v>
      </c>
    </row>
    <row r="144">
      <c r="A144" s="5" t="n">
        <v>138</v>
      </c>
      <c r="B144" s="5" t="inlineStr">
        <is>
          <t>25806800034</t>
        </is>
      </c>
      <c r="C144" s="6" t="inlineStr">
        <is>
          <t>Nguyeãn Huyønh Gia</t>
        </is>
      </c>
      <c r="D144" s="6" t="inlineStr">
        <is>
          <t>Linh</t>
        </is>
      </c>
      <c r="E144" s="5" t="inlineStr">
        <is>
          <t>03-Dec-07</t>
        </is>
      </c>
      <c r="F144" s="5" t="inlineStr">
        <is>
          <t>LNH0925ND01</t>
        </is>
      </c>
      <c r="G144" s="105" t="n">
        <v>8415000</v>
      </c>
      <c r="H144">
        <f>VLOOKUP(B144,'[1]TONG HOP'!B$5:G$624,6,0)</f>
        <v/>
      </c>
      <c r="I144" t="n">
        <v>2103750</v>
      </c>
    </row>
    <row r="145">
      <c r="A145" s="5" t="n">
        <v>139</v>
      </c>
      <c r="B145" s="5" t="inlineStr">
        <is>
          <t>25802800250</t>
        </is>
      </c>
      <c r="C145" s="6" t="inlineStr">
        <is>
          <t>Mai Thanh</t>
        </is>
      </c>
      <c r="D145" s="6" t="inlineStr">
        <is>
          <t>Thuùy</t>
        </is>
      </c>
      <c r="E145" s="5" t="inlineStr">
        <is>
          <t>15-Jun-07</t>
        </is>
      </c>
      <c r="F145" s="5" t="inlineStr">
        <is>
          <t>LNH0925ND01</t>
        </is>
      </c>
      <c r="G145" s="105" t="n">
        <v>5415000</v>
      </c>
      <c r="H145">
        <f>VLOOKUP(B145,'[1]TONG HOP'!B$5:G$624,6,0)</f>
        <v/>
      </c>
      <c r="I145" t="n">
        <v>2232500</v>
      </c>
    </row>
    <row r="146">
      <c r="A146" s="5" t="n">
        <v>140</v>
      </c>
      <c r="B146" s="5" t="inlineStr">
        <is>
          <t>25807500153</t>
        </is>
      </c>
      <c r="C146" s="6" t="inlineStr">
        <is>
          <t>Buøi Anh</t>
        </is>
      </c>
      <c r="D146" s="6" t="inlineStr">
        <is>
          <t>Tuù</t>
        </is>
      </c>
      <c r="E146" s="5" t="inlineStr">
        <is>
          <t>13-Jun-07</t>
        </is>
      </c>
      <c r="F146" s="5" t="inlineStr">
        <is>
          <t>LNH0925ND01</t>
        </is>
      </c>
      <c r="G146" s="105" t="n">
        <v>4465000</v>
      </c>
    </row>
    <row r="147">
      <c r="A147" s="5" t="n">
        <v>141</v>
      </c>
      <c r="B147" s="5" t="inlineStr">
        <is>
          <t>25802400010</t>
        </is>
      </c>
      <c r="C147" s="6" t="inlineStr">
        <is>
          <t>Nguyeãn Thò Thaûo</t>
        </is>
      </c>
      <c r="D147" s="6" t="inlineStr">
        <is>
          <t>Linh</t>
        </is>
      </c>
      <c r="E147" s="5" t="inlineStr">
        <is>
          <t>22-Jan-07</t>
        </is>
      </c>
      <c r="F147" s="5" t="inlineStr">
        <is>
          <t>LNH0925ND01</t>
        </is>
      </c>
      <c r="G147" s="105" t="n">
        <v>4940000</v>
      </c>
    </row>
    <row r="148">
      <c r="A148" s="5" t="n">
        <v>142</v>
      </c>
      <c r="B148" s="5" t="inlineStr">
        <is>
          <t>25808600137</t>
        </is>
      </c>
      <c r="C148" s="6" t="inlineStr">
        <is>
          <t>Löông Thò Tuyeát</t>
        </is>
      </c>
      <c r="D148" s="6" t="inlineStr">
        <is>
          <t>Trinh</t>
        </is>
      </c>
      <c r="E148" s="5" t="inlineStr">
        <is>
          <t>04-Jul-07</t>
        </is>
      </c>
      <c r="F148" s="5" t="inlineStr">
        <is>
          <t>LNH0925ND01</t>
        </is>
      </c>
      <c r="G148" s="105" t="n">
        <v>8415000</v>
      </c>
    </row>
    <row r="149">
      <c r="A149" s="5" t="n">
        <v>143</v>
      </c>
      <c r="B149" s="5" t="inlineStr">
        <is>
          <t>25807500011</t>
        </is>
      </c>
      <c r="C149" s="6" t="inlineStr">
        <is>
          <t>Buøi Gia</t>
        </is>
      </c>
      <c r="D149" s="6" t="inlineStr">
        <is>
          <t>Baûo</t>
        </is>
      </c>
      <c r="E149" s="5" t="inlineStr">
        <is>
          <t>16-Mar-07</t>
        </is>
      </c>
      <c r="F149" s="5" t="inlineStr">
        <is>
          <t>LNH0925ND01</t>
        </is>
      </c>
      <c r="G149" s="105" t="n">
        <v>8415000</v>
      </c>
      <c r="H149">
        <f>VLOOKUP(B149,'[1]TONG HOP'!B$5:G$624,6,0)</f>
        <v/>
      </c>
      <c r="I149" t="n">
        <v>2103750</v>
      </c>
    </row>
    <row r="150">
      <c r="A150" s="5" t="n">
        <v>144</v>
      </c>
      <c r="B150" s="5" t="inlineStr">
        <is>
          <t>25808900066</t>
        </is>
      </c>
      <c r="C150" s="6" t="inlineStr">
        <is>
          <t>Nguyeãn Vaên</t>
        </is>
      </c>
      <c r="D150" s="6" t="inlineStr">
        <is>
          <t>Lai</t>
        </is>
      </c>
      <c r="E150" s="5" t="inlineStr">
        <is>
          <t>20-Apr-07</t>
        </is>
      </c>
      <c r="F150" s="5" t="inlineStr">
        <is>
          <t>LNH0925ND01</t>
        </is>
      </c>
      <c r="G150" s="105" t="n">
        <v>3000000</v>
      </c>
    </row>
    <row r="151">
      <c r="A151" s="5" t="n">
        <v>145</v>
      </c>
      <c r="B151" s="5" t="inlineStr">
        <is>
          <t>25807500115</t>
        </is>
      </c>
      <c r="C151" s="6" t="inlineStr">
        <is>
          <t>Huyønh</t>
        </is>
      </c>
      <c r="D151" s="6" t="inlineStr">
        <is>
          <t>Thaân</t>
        </is>
      </c>
      <c r="E151" s="5" t="inlineStr">
        <is>
          <t>20-Jun-07</t>
        </is>
      </c>
      <c r="F151" s="5" t="inlineStr">
        <is>
          <t>LNH0925ND01</t>
        </is>
      </c>
      <c r="G151" s="105" t="n">
        <v>8415000</v>
      </c>
      <c r="H151">
        <f>VLOOKUP(B151,'[1]TONG HOP'!B$5:G$624,6,0)</f>
        <v/>
      </c>
      <c r="I151" t="n">
        <v>2103750</v>
      </c>
    </row>
    <row r="152">
      <c r="A152" s="5" t="n">
        <v>146</v>
      </c>
      <c r="B152" s="5" t="inlineStr">
        <is>
          <t>25807900049</t>
        </is>
      </c>
      <c r="C152" s="6" t="inlineStr">
        <is>
          <t>Traàn Höõu</t>
        </is>
      </c>
      <c r="D152" s="6" t="inlineStr">
        <is>
          <t>Thaønh</t>
        </is>
      </c>
      <c r="E152" s="5" t="inlineStr">
        <is>
          <t>21-Feb-07</t>
        </is>
      </c>
      <c r="F152" s="5" t="inlineStr">
        <is>
          <t>LNH0925ND01</t>
        </is>
      </c>
      <c r="G152" s="105" t="n">
        <v>8415000</v>
      </c>
    </row>
    <row r="153">
      <c r="A153" s="5" t="n">
        <v>147</v>
      </c>
      <c r="B153" s="5" t="inlineStr">
        <is>
          <t>25808600181</t>
        </is>
      </c>
      <c r="C153" s="6" t="inlineStr">
        <is>
          <t>Nguyeãn Thò Dieäu</t>
        </is>
      </c>
      <c r="D153" s="6" t="inlineStr">
        <is>
          <t>Linh</t>
        </is>
      </c>
      <c r="E153" s="5" t="inlineStr">
        <is>
          <t>10-May-05</t>
        </is>
      </c>
      <c r="F153" s="5" t="inlineStr">
        <is>
          <t>LNH0925ND01</t>
        </is>
      </c>
      <c r="G153" s="105" t="n">
        <v>1000000</v>
      </c>
    </row>
    <row r="154">
      <c r="A154" s="5" t="n">
        <v>148</v>
      </c>
      <c r="B154" s="5" t="inlineStr">
        <is>
          <t>25800400077</t>
        </is>
      </c>
      <c r="C154" s="6" t="inlineStr">
        <is>
          <t>Nguyeãn Ñaêng</t>
        </is>
      </c>
      <c r="D154" s="6" t="inlineStr">
        <is>
          <t>Khoa</t>
        </is>
      </c>
      <c r="E154" s="5" t="inlineStr">
        <is>
          <t>21-Jan-07</t>
        </is>
      </c>
      <c r="F154" s="5" t="inlineStr">
        <is>
          <t>LNH0925ND01</t>
        </is>
      </c>
      <c r="G154" s="105" t="n">
        <v>8415000</v>
      </c>
      <c r="H154">
        <f>VLOOKUP(B154,'[1]TONG HOP'!B$5:G$624,6,0)</f>
        <v/>
      </c>
      <c r="I154" t="n">
        <v>2103750</v>
      </c>
    </row>
    <row r="155">
      <c r="A155" s="5" t="n">
        <v>149</v>
      </c>
      <c r="B155" s="5" t="inlineStr">
        <is>
          <t>25800400256</t>
        </is>
      </c>
      <c r="C155" s="6" t="inlineStr">
        <is>
          <t>Tröông Hoàng</t>
        </is>
      </c>
      <c r="D155" s="6" t="inlineStr">
        <is>
          <t>Khaõi</t>
        </is>
      </c>
      <c r="E155" s="5" t="inlineStr">
        <is>
          <t>30-May-07</t>
        </is>
      </c>
      <c r="F155" s="5" t="inlineStr">
        <is>
          <t>LNH0925ND01</t>
        </is>
      </c>
      <c r="G155" s="105" t="n">
        <v>2100000</v>
      </c>
      <c r="H155">
        <f>VLOOKUP(B155,'[1]TONG HOP'!B$5:G$624,6,0)</f>
        <v/>
      </c>
      <c r="I155" t="n">
        <v>2100000</v>
      </c>
    </row>
    <row r="156">
      <c r="A156" s="5" t="n">
        <v>150</v>
      </c>
      <c r="B156" s="5" t="inlineStr">
        <is>
          <t>25806400021</t>
        </is>
      </c>
      <c r="C156" s="6" t="inlineStr">
        <is>
          <t>Leâ Ngoïc Quyønh</t>
        </is>
      </c>
      <c r="D156" s="6" t="inlineStr">
        <is>
          <t>Trang</t>
        </is>
      </c>
      <c r="E156" s="5" t="inlineStr">
        <is>
          <t>28-Mar-07</t>
        </is>
      </c>
      <c r="F156" s="5" t="inlineStr">
        <is>
          <t>LNH0925ND01</t>
        </is>
      </c>
      <c r="G156" s="105" t="n">
        <v>8415000</v>
      </c>
      <c r="H156">
        <f>VLOOKUP(B156,'[1]TONG HOP'!B$5:G$624,6,0)</f>
        <v/>
      </c>
      <c r="I156" t="n">
        <v>2103750</v>
      </c>
    </row>
    <row r="157">
      <c r="A157" s="5" t="n">
        <v>151</v>
      </c>
      <c r="B157" s="5" t="inlineStr">
        <is>
          <t>25809600021</t>
        </is>
      </c>
      <c r="C157" s="6" t="inlineStr">
        <is>
          <t>Nguyeãn Gia</t>
        </is>
      </c>
      <c r="D157" s="6" t="inlineStr">
        <is>
          <t>Höng</t>
        </is>
      </c>
      <c r="E157" s="5" t="inlineStr">
        <is>
          <t>16-Mar-07</t>
        </is>
      </c>
      <c r="F157" s="5" t="inlineStr">
        <is>
          <t>LNH0925ND01</t>
        </is>
      </c>
      <c r="G157" s="105" t="n">
        <v>8415000</v>
      </c>
      <c r="H157">
        <f>VLOOKUP(B157,'[1]TONG HOP'!B$5:G$624,6,0)</f>
        <v/>
      </c>
      <c r="I157" t="n">
        <v>2103750</v>
      </c>
    </row>
    <row r="158">
      <c r="A158" s="5" t="n">
        <v>152</v>
      </c>
      <c r="B158" s="5" t="inlineStr">
        <is>
          <t>25808700023</t>
        </is>
      </c>
      <c r="C158" s="6" t="inlineStr">
        <is>
          <t>Phuøng Thanh</t>
        </is>
      </c>
      <c r="D158" s="6" t="inlineStr">
        <is>
          <t>Haèng</t>
        </is>
      </c>
      <c r="E158" s="5" t="inlineStr">
        <is>
          <t>14-May-07</t>
        </is>
      </c>
      <c r="F158" s="5" t="inlineStr">
        <is>
          <t>LNH0925ND01</t>
        </is>
      </c>
      <c r="G158" s="105" t="n">
        <v>8415000</v>
      </c>
      <c r="H158">
        <f>VLOOKUP(B158,'[1]TONG HOP'!B$5:G$624,6,0)</f>
        <v/>
      </c>
      <c r="I158" t="n">
        <v>2103750</v>
      </c>
    </row>
    <row r="159">
      <c r="A159" s="5" t="n">
        <v>153</v>
      </c>
      <c r="B159" s="5" t="inlineStr">
        <is>
          <t>25801700057</t>
        </is>
      </c>
      <c r="C159" s="6" t="inlineStr">
        <is>
          <t>Nguyeãn Thò Thuûy</t>
        </is>
      </c>
      <c r="D159" s="6" t="inlineStr">
        <is>
          <t>Tieân</t>
        </is>
      </c>
      <c r="E159" s="5" t="inlineStr">
        <is>
          <t>23-Nov-01</t>
        </is>
      </c>
      <c r="F159" s="5" t="inlineStr">
        <is>
          <t>LNH0925ND01</t>
        </is>
      </c>
      <c r="G159" s="105" t="n">
        <v>8415000</v>
      </c>
    </row>
    <row r="160">
      <c r="A160" s="5" t="n">
        <v>154</v>
      </c>
      <c r="B160" s="5" t="inlineStr">
        <is>
          <t>25802800245</t>
        </is>
      </c>
      <c r="C160" s="6" t="inlineStr">
        <is>
          <t>Traàn Anh</t>
        </is>
      </c>
      <c r="D160" s="6" t="inlineStr">
        <is>
          <t>Thi</t>
        </is>
      </c>
      <c r="E160" s="5" t="inlineStr">
        <is>
          <t>05-Sep-07</t>
        </is>
      </c>
      <c r="F160" s="5" t="inlineStr">
        <is>
          <t>LNH0925ND01</t>
        </is>
      </c>
      <c r="G160" s="105" t="n">
        <v>7540000</v>
      </c>
    </row>
    <row r="161">
      <c r="A161" s="5" t="n">
        <v>155</v>
      </c>
      <c r="B161" s="5" t="inlineStr">
        <is>
          <t>25800500075</t>
        </is>
      </c>
      <c r="C161" s="6" t="inlineStr">
        <is>
          <t>Leâ Troïng</t>
        </is>
      </c>
      <c r="D161" s="6" t="inlineStr">
        <is>
          <t>Kha</t>
        </is>
      </c>
      <c r="E161" s="5" t="inlineStr">
        <is>
          <t>23-Jun-07</t>
        </is>
      </c>
      <c r="F161" s="5" t="inlineStr">
        <is>
          <t>LNH0925ND01</t>
        </is>
      </c>
      <c r="G161" s="105" t="n">
        <v>8415000</v>
      </c>
      <c r="H161">
        <f>VLOOKUP(B161,'[1]TONG HOP'!B$5:G$624,6,0)</f>
        <v/>
      </c>
      <c r="I161" t="n">
        <v>2103750</v>
      </c>
    </row>
    <row r="162">
      <c r="A162" s="5" t="n">
        <v>156</v>
      </c>
      <c r="B162" s="5" t="inlineStr">
        <is>
          <t>25820300020</t>
        </is>
      </c>
      <c r="C162" s="6" t="inlineStr">
        <is>
          <t>Nguyeãn</t>
        </is>
      </c>
      <c r="D162" s="6" t="inlineStr">
        <is>
          <t>Huyønh</t>
        </is>
      </c>
      <c r="E162" s="5" t="inlineStr">
        <is>
          <t>14-May-07</t>
        </is>
      </c>
      <c r="F162" s="5" t="inlineStr">
        <is>
          <t>LNH0925ND01</t>
        </is>
      </c>
      <c r="G162" s="105" t="n">
        <v>8415000</v>
      </c>
      <c r="H162">
        <f>VLOOKUP(B162,'[1]TONG HOP'!B$5:G$624,6,0)</f>
        <v/>
      </c>
      <c r="I162" t="n">
        <v>2103750</v>
      </c>
    </row>
    <row r="163">
      <c r="A163" s="5" t="n">
        <v>157</v>
      </c>
      <c r="B163" s="5" t="inlineStr">
        <is>
          <t>25808600039</t>
        </is>
      </c>
      <c r="C163" s="6" t="inlineStr">
        <is>
          <t>Ñinh Nguyeãn Nhöït</t>
        </is>
      </c>
      <c r="D163" s="6" t="inlineStr">
        <is>
          <t>Huy</t>
        </is>
      </c>
      <c r="E163" s="5" t="inlineStr">
        <is>
          <t>04-Aug-06</t>
        </is>
      </c>
      <c r="F163" s="5" t="inlineStr">
        <is>
          <t>LNH0925ND01</t>
        </is>
      </c>
      <c r="G163" s="105" t="n">
        <v>8415000</v>
      </c>
      <c r="H163">
        <f>VLOOKUP(B163,'[1]TONG HOP'!B$5:G$624,6,0)</f>
        <v/>
      </c>
      <c r="I163" t="n">
        <v>2103750</v>
      </c>
    </row>
    <row r="164">
      <c r="A164" s="5" t="n">
        <v>158</v>
      </c>
      <c r="B164" s="5" t="inlineStr">
        <is>
          <t>25802800347</t>
        </is>
      </c>
      <c r="C164" s="6" t="inlineStr">
        <is>
          <t>Hoaøng Minh</t>
        </is>
      </c>
      <c r="D164" s="6" t="inlineStr">
        <is>
          <t>Quaân</t>
        </is>
      </c>
      <c r="E164" s="5" t="inlineStr">
        <is>
          <t>08-May-07</t>
        </is>
      </c>
      <c r="F164" s="5" t="inlineStr">
        <is>
          <t>LNH0925ND01</t>
        </is>
      </c>
      <c r="G164" s="105" t="n">
        <v>8415000</v>
      </c>
      <c r="H164">
        <f>VLOOKUP(B164,'[1]TONG HOP'!B$5:G$624,6,0)</f>
        <v/>
      </c>
      <c r="I164" t="n">
        <v>2103750</v>
      </c>
    </row>
    <row r="165">
      <c r="A165" s="5" t="n">
        <v>159</v>
      </c>
      <c r="B165" s="5" t="inlineStr">
        <is>
          <t>25801800063</t>
        </is>
      </c>
      <c r="C165" s="6" t="inlineStr">
        <is>
          <t>Nguyeãn Thanh</t>
        </is>
      </c>
      <c r="D165" s="6" t="inlineStr">
        <is>
          <t>Thaûo</t>
        </is>
      </c>
      <c r="E165" s="5" t="inlineStr">
        <is>
          <t>16-Apr-07</t>
        </is>
      </c>
      <c r="F165" s="5" t="inlineStr">
        <is>
          <t>LNH0925ND01</t>
        </is>
      </c>
      <c r="G165" s="105" t="n">
        <v>4465000</v>
      </c>
      <c r="H165">
        <f>VLOOKUP(B165,'[1]TONG HOP'!B$5:G$624,6,0)</f>
        <v/>
      </c>
      <c r="I165" t="n">
        <v>2232500</v>
      </c>
    </row>
    <row r="166">
      <c r="A166" s="5" t="n">
        <v>160</v>
      </c>
      <c r="B166" s="5" t="inlineStr">
        <is>
          <t>25803800098</t>
        </is>
      </c>
      <c r="C166" s="6" t="inlineStr">
        <is>
          <t>Höùa Myõ</t>
        </is>
      </c>
      <c r="D166" s="6" t="inlineStr">
        <is>
          <t>Linh</t>
        </is>
      </c>
      <c r="E166" s="5" t="inlineStr">
        <is>
          <t>04-Nov-07</t>
        </is>
      </c>
      <c r="F166" s="5" t="inlineStr">
        <is>
          <t>LNH0925ND01</t>
        </is>
      </c>
      <c r="G166" s="105" t="n">
        <v>8415000</v>
      </c>
      <c r="H166">
        <f>VLOOKUP(B166,'[1]TONG HOP'!B$5:G$624,6,0)</f>
        <v/>
      </c>
      <c r="I166" t="n">
        <v>2103750</v>
      </c>
    </row>
    <row r="167">
      <c r="A167" s="5" t="n">
        <v>161</v>
      </c>
      <c r="B167" s="40" t="inlineStr">
        <is>
          <t>25807800101</t>
        </is>
      </c>
      <c r="C167" s="6" t="inlineStr">
        <is>
          <t>Hoà Minh</t>
        </is>
      </c>
      <c r="D167" s="6" t="inlineStr">
        <is>
          <t>Nhöït</t>
        </is>
      </c>
      <c r="E167" s="5" t="inlineStr">
        <is>
          <t>18-Jul-07</t>
        </is>
      </c>
      <c r="F167" s="5" t="inlineStr">
        <is>
          <t>LNH0925ND01</t>
        </is>
      </c>
      <c r="G167" s="105" t="n">
        <v>1000000</v>
      </c>
      <c r="J167" t="inlineStr">
        <is>
          <t>chuyển HP EDU</t>
        </is>
      </c>
    </row>
    <row r="168">
      <c r="A168" s="5" t="n">
        <v>162</v>
      </c>
      <c r="B168" s="5" t="inlineStr">
        <is>
          <t>25805900021</t>
        </is>
      </c>
      <c r="C168" s="6" t="inlineStr">
        <is>
          <t>Nguyeãn Thò Xuaân</t>
        </is>
      </c>
      <c r="D168" s="6" t="inlineStr">
        <is>
          <t>Mai</t>
        </is>
      </c>
      <c r="E168" s="5" t="inlineStr">
        <is>
          <t>03-Sep-07</t>
        </is>
      </c>
      <c r="F168" s="5" t="inlineStr">
        <is>
          <t>LNH0925ND01</t>
        </is>
      </c>
      <c r="G168" s="105" t="n">
        <v>8415000</v>
      </c>
      <c r="H168">
        <f>VLOOKUP(B168,'[1]TONG HOP'!B$5:G$624,6,0)</f>
        <v/>
      </c>
      <c r="I168" t="n">
        <v>2103750</v>
      </c>
    </row>
    <row r="169">
      <c r="A169" s="5" t="n">
        <v>163</v>
      </c>
      <c r="B169" s="5" t="inlineStr">
        <is>
          <t>25803800045</t>
        </is>
      </c>
      <c r="C169" s="6" t="inlineStr">
        <is>
          <t>Traàn Ngoïc Kieàu</t>
        </is>
      </c>
      <c r="D169" s="6" t="inlineStr">
        <is>
          <t>Oanh</t>
        </is>
      </c>
      <c r="E169" s="5" t="inlineStr">
        <is>
          <t>04-Aug-05</t>
        </is>
      </c>
      <c r="F169" s="5" t="inlineStr">
        <is>
          <t>LNH0925ND01</t>
        </is>
      </c>
      <c r="G169" s="105" t="n">
        <v>4465000</v>
      </c>
      <c r="H169">
        <f>VLOOKUP(B169,'[1]TONG HOP'!B$5:G$624,6,0)</f>
        <v/>
      </c>
      <c r="I169" t="n">
        <v>2232500</v>
      </c>
    </row>
    <row r="170">
      <c r="A170" s="5" t="n">
        <v>164</v>
      </c>
      <c r="B170" s="5" t="inlineStr">
        <is>
          <t>25805900029</t>
        </is>
      </c>
      <c r="C170" s="6" t="inlineStr">
        <is>
          <t>Döông Huyønh Thanh</t>
        </is>
      </c>
      <c r="D170" s="6" t="inlineStr">
        <is>
          <t>Nhö</t>
        </is>
      </c>
      <c r="E170" s="5" t="inlineStr">
        <is>
          <t>11-Jan-07</t>
        </is>
      </c>
      <c r="F170" s="5" t="inlineStr">
        <is>
          <t>LNH0925ND01</t>
        </is>
      </c>
      <c r="G170" s="105" t="n">
        <v>8415000</v>
      </c>
      <c r="H170">
        <f>VLOOKUP(B170,'[1]TONG HOP'!B$5:G$624,6,0)</f>
        <v/>
      </c>
      <c r="I170" t="n">
        <v>2103750</v>
      </c>
    </row>
    <row r="171">
      <c r="A171" s="5" t="n">
        <v>165</v>
      </c>
      <c r="B171" s="5" t="inlineStr">
        <is>
          <t>25800500109</t>
        </is>
      </c>
      <c r="C171" s="6" t="inlineStr">
        <is>
          <t>Nguyeãn Huyønh Nhöït</t>
        </is>
      </c>
      <c r="D171" s="6" t="inlineStr">
        <is>
          <t>Minh</t>
        </is>
      </c>
      <c r="E171" s="5" t="inlineStr">
        <is>
          <t>30-Aug-07</t>
        </is>
      </c>
      <c r="F171" s="5" t="inlineStr">
        <is>
          <t>LNH0925ND01</t>
        </is>
      </c>
      <c r="G171" s="105" t="n">
        <v>8415000</v>
      </c>
      <c r="H171">
        <f>VLOOKUP(B171,'[1]TONG HOP'!B$5:G$624,6,0)</f>
        <v/>
      </c>
      <c r="I171" t="n">
        <v>2103750</v>
      </c>
    </row>
    <row r="172">
      <c r="A172" s="5" t="n">
        <v>166</v>
      </c>
      <c r="B172" s="40" t="inlineStr">
        <is>
          <t>25808900151</t>
        </is>
      </c>
      <c r="C172" s="6" t="inlineStr">
        <is>
          <t>Tröông Baûo</t>
        </is>
      </c>
      <c r="D172" s="6" t="inlineStr">
        <is>
          <t>Vinh</t>
        </is>
      </c>
      <c r="E172" s="5" t="inlineStr">
        <is>
          <t>09-Aug-07</t>
        </is>
      </c>
      <c r="F172" s="5" t="inlineStr">
        <is>
          <t>LNH0925ND01</t>
        </is>
      </c>
      <c r="G172" s="105" t="n">
        <v>1000000</v>
      </c>
      <c r="J172" t="inlineStr">
        <is>
          <t>chuyển HP EDU</t>
        </is>
      </c>
    </row>
    <row r="173">
      <c r="A173" s="5" t="n">
        <v>167</v>
      </c>
      <c r="B173" s="5" t="inlineStr">
        <is>
          <t>25807800158</t>
        </is>
      </c>
      <c r="C173" s="6" t="inlineStr">
        <is>
          <t>Ñoã Thanh</t>
        </is>
      </c>
      <c r="D173" s="6" t="inlineStr">
        <is>
          <t>Tuøng</t>
        </is>
      </c>
      <c r="E173" s="5" t="inlineStr">
        <is>
          <t>24-Apr-07</t>
        </is>
      </c>
      <c r="F173" s="5" t="inlineStr">
        <is>
          <t>LNH0925ND01</t>
        </is>
      </c>
      <c r="G173" s="105" t="n">
        <v>8415000</v>
      </c>
      <c r="H173">
        <f>VLOOKUP(B173,'[1]TONG HOP'!B$5:G$624,6,0)</f>
        <v/>
      </c>
      <c r="I173" t="n">
        <v>2103750</v>
      </c>
    </row>
    <row r="174">
      <c r="A174" s="5" t="n">
        <v>168</v>
      </c>
      <c r="B174" s="5" t="inlineStr">
        <is>
          <t>25801700013</t>
        </is>
      </c>
      <c r="C174" s="6" t="inlineStr">
        <is>
          <t>Traàn Vaên Anh</t>
        </is>
      </c>
      <c r="D174" s="6" t="inlineStr">
        <is>
          <t>Ñöùc</t>
        </is>
      </c>
      <c r="E174" s="5" t="inlineStr">
        <is>
          <t>01-May-07</t>
        </is>
      </c>
      <c r="F174" s="5" t="inlineStr">
        <is>
          <t>LNH0925ND01</t>
        </is>
      </c>
      <c r="G174" s="105" t="n">
        <v>8415000</v>
      </c>
      <c r="H174">
        <f>VLOOKUP(B174,'[1]TONG HOP'!B$5:G$624,6,0)</f>
        <v/>
      </c>
      <c r="I174" t="n">
        <v>2103750</v>
      </c>
    </row>
    <row r="175">
      <c r="A175" s="5" t="n">
        <v>169</v>
      </c>
      <c r="B175" s="5" t="inlineStr">
        <is>
          <t>25805900005</t>
        </is>
      </c>
      <c r="C175" s="6" t="inlineStr">
        <is>
          <t>Nguyeãn Chí</t>
        </is>
      </c>
      <c r="D175" s="6" t="inlineStr">
        <is>
          <t>Beàn</t>
        </is>
      </c>
      <c r="E175" s="5" t="inlineStr">
        <is>
          <t>29-Oct-07</t>
        </is>
      </c>
      <c r="F175" s="5" t="inlineStr">
        <is>
          <t>LNH0925ND01</t>
        </is>
      </c>
      <c r="G175" s="105" t="n">
        <v>8415000</v>
      </c>
      <c r="H175">
        <f>VLOOKUP(B175,'[1]TONG HOP'!B$5:G$624,6,0)</f>
        <v/>
      </c>
      <c r="I175" t="n">
        <v>2103750</v>
      </c>
    </row>
    <row r="176">
      <c r="A176" s="5" t="n">
        <v>170</v>
      </c>
      <c r="B176" s="5" t="inlineStr">
        <is>
          <t>25806800005</t>
        </is>
      </c>
      <c r="C176" s="6" t="inlineStr">
        <is>
          <t>Tröông Thò Thuùy</t>
        </is>
      </c>
      <c r="D176" s="6" t="inlineStr">
        <is>
          <t>An</t>
        </is>
      </c>
      <c r="E176" s="5" t="inlineStr">
        <is>
          <t>11-Aug-07</t>
        </is>
      </c>
      <c r="F176" s="5" t="inlineStr">
        <is>
          <t>LNH0925ND01</t>
        </is>
      </c>
      <c r="G176" s="105" t="n">
        <v>8415000</v>
      </c>
      <c r="H176">
        <f>VLOOKUP(B176,'[1]TONG HOP'!B$5:G$624,6,0)</f>
        <v/>
      </c>
      <c r="I176" t="n">
        <v>2103750</v>
      </c>
    </row>
    <row r="177">
      <c r="A177" s="5" t="n">
        <v>171</v>
      </c>
      <c r="B177" s="5" t="inlineStr">
        <is>
          <t>25806300022</t>
        </is>
      </c>
      <c r="C177" s="6" t="inlineStr">
        <is>
          <t>Nguyeãn Tuaán</t>
        </is>
      </c>
      <c r="D177" s="6" t="inlineStr">
        <is>
          <t>Kieät</t>
        </is>
      </c>
      <c r="E177" s="5" t="inlineStr">
        <is>
          <t>08-Jan-07</t>
        </is>
      </c>
      <c r="F177" s="5" t="inlineStr">
        <is>
          <t>LNH0925ND01</t>
        </is>
      </c>
      <c r="G177" s="105" t="n">
        <v>1000000</v>
      </c>
    </row>
    <row r="178">
      <c r="A178" s="5" t="n">
        <v>172</v>
      </c>
      <c r="B178" s="5" t="inlineStr">
        <is>
          <t>25807800030</t>
        </is>
      </c>
      <c r="C178" s="6" t="inlineStr">
        <is>
          <t>Nguyeãn Baù Coâng</t>
        </is>
      </c>
      <c r="D178" s="6" t="inlineStr">
        <is>
          <t>Ñònh</t>
        </is>
      </c>
      <c r="E178" s="5" t="inlineStr">
        <is>
          <t>22-Jul-07</t>
        </is>
      </c>
      <c r="F178" s="5" t="inlineStr">
        <is>
          <t>LNH0925ND01</t>
        </is>
      </c>
      <c r="G178" s="105" t="n">
        <v>8415000</v>
      </c>
      <c r="H178">
        <f>VLOOKUP(B178,'[1]TONG HOP'!B$5:G$624,6,0)</f>
        <v/>
      </c>
      <c r="I178" t="n">
        <v>2103750</v>
      </c>
    </row>
    <row r="179">
      <c r="A179" s="5" t="n">
        <v>173</v>
      </c>
      <c r="B179" s="5" t="inlineStr">
        <is>
          <t>25806400003</t>
        </is>
      </c>
      <c r="C179" s="6" t="inlineStr">
        <is>
          <t>Ñoã</t>
        </is>
      </c>
      <c r="D179" s="6" t="inlineStr">
        <is>
          <t>Duaãn</t>
        </is>
      </c>
      <c r="E179" s="5" t="inlineStr">
        <is>
          <t>16-Oct-07</t>
        </is>
      </c>
      <c r="F179" s="5" t="inlineStr">
        <is>
          <t>LNH0925ND01</t>
        </is>
      </c>
      <c r="G179" s="105" t="n">
        <v>8415000</v>
      </c>
      <c r="H179">
        <f>VLOOKUP(B179,'[1]TONG HOP'!B$5:G$624,6,0)</f>
        <v/>
      </c>
      <c r="I179" t="n">
        <v>2103750</v>
      </c>
    </row>
    <row r="180">
      <c r="A180" s="5" t="n">
        <v>174</v>
      </c>
      <c r="B180" s="5" t="inlineStr">
        <is>
          <t>25808900091</t>
        </is>
      </c>
      <c r="C180" s="6" t="inlineStr">
        <is>
          <t>Döông Thò Tuyeát</t>
        </is>
      </c>
      <c r="D180" s="6" t="inlineStr">
        <is>
          <t>Nhi</t>
        </is>
      </c>
      <c r="E180" s="5" t="inlineStr">
        <is>
          <t>19-Jul-07</t>
        </is>
      </c>
      <c r="F180" s="5" t="inlineStr">
        <is>
          <t>LNH0925ND01</t>
        </is>
      </c>
      <c r="G180" s="105" t="n">
        <v>8415000</v>
      </c>
      <c r="H180">
        <f>VLOOKUP(B180,'[1]TONG HOP'!B$5:G$624,6,0)</f>
        <v/>
      </c>
      <c r="I180" t="n">
        <v>2103750</v>
      </c>
    </row>
    <row r="181">
      <c r="A181" s="5" t="n">
        <v>175</v>
      </c>
      <c r="B181" s="5" t="inlineStr">
        <is>
          <t>25807500215</t>
        </is>
      </c>
      <c r="C181" s="6" t="inlineStr">
        <is>
          <t>Tröông Ngoïc Nhaõ</t>
        </is>
      </c>
      <c r="D181" s="6" t="inlineStr">
        <is>
          <t>Ñoan</t>
        </is>
      </c>
      <c r="E181" s="5" t="inlineStr">
        <is>
          <t>06-Dec-07</t>
        </is>
      </c>
      <c r="F181" s="5" t="inlineStr">
        <is>
          <t>LNH0925ND01</t>
        </is>
      </c>
      <c r="G181" s="105" t="n">
        <v>8145000</v>
      </c>
      <c r="H181">
        <f>VLOOKUP(B181,'[1]TONG HOP'!B$5:G$624,6,0)</f>
        <v/>
      </c>
      <c r="I181" t="n">
        <v>2103750</v>
      </c>
    </row>
    <row r="182">
      <c r="A182" s="5" t="n">
        <v>176</v>
      </c>
      <c r="B182" s="5" t="inlineStr">
        <is>
          <t>25801200041</t>
        </is>
      </c>
      <c r="C182" s="6" t="inlineStr">
        <is>
          <t>Nguyeãn Thò Töôøng</t>
        </is>
      </c>
      <c r="D182" s="6" t="inlineStr">
        <is>
          <t>Vy</t>
        </is>
      </c>
      <c r="E182" s="5" t="inlineStr">
        <is>
          <t>25-Jan-07</t>
        </is>
      </c>
      <c r="F182" s="5" t="inlineStr">
        <is>
          <t>LNH0925ND01</t>
        </is>
      </c>
      <c r="G182" s="105" t="n">
        <v>8415000</v>
      </c>
      <c r="H182">
        <f>VLOOKUP(B182,'[1]TONG HOP'!B$5:G$624,6,0)</f>
        <v/>
      </c>
      <c r="I182" t="n">
        <v>2103750</v>
      </c>
    </row>
    <row r="183">
      <c r="A183" s="5" t="n">
        <v>177</v>
      </c>
      <c r="B183" s="5" t="inlineStr">
        <is>
          <t>25808200100</t>
        </is>
      </c>
      <c r="C183" s="6" t="inlineStr">
        <is>
          <t>Phaïm Taán</t>
        </is>
      </c>
      <c r="D183" s="6" t="inlineStr">
        <is>
          <t>Phaùt</t>
        </is>
      </c>
      <c r="E183" s="5" t="inlineStr">
        <is>
          <t>07-Oct-07</t>
        </is>
      </c>
      <c r="F183" s="5" t="inlineStr">
        <is>
          <t>LNH0925ND01</t>
        </is>
      </c>
      <c r="G183" s="105" t="n">
        <v>8415000</v>
      </c>
      <c r="H183">
        <f>VLOOKUP(B183,'[1]TONG HOP'!B$5:G$624,6,0)</f>
        <v/>
      </c>
      <c r="I183" t="n">
        <v>2103750</v>
      </c>
    </row>
    <row r="184">
      <c r="A184" s="5" t="n">
        <v>178</v>
      </c>
      <c r="B184" s="5" t="inlineStr">
        <is>
          <t>25808300060</t>
        </is>
      </c>
      <c r="C184" s="6" t="inlineStr">
        <is>
          <t>Ñaëng Ngoïc Tuù</t>
        </is>
      </c>
      <c r="D184" s="6" t="inlineStr">
        <is>
          <t>Uyeân</t>
        </is>
      </c>
      <c r="E184" s="5" t="inlineStr">
        <is>
          <t>25-Aug-06</t>
        </is>
      </c>
      <c r="F184" s="5" t="inlineStr">
        <is>
          <t>LNH0925ND01</t>
        </is>
      </c>
      <c r="G184" s="105" t="n">
        <v>2100000</v>
      </c>
      <c r="H184">
        <f>VLOOKUP(B184,'[1]TONG HOP'!B$5:G$624,6,0)</f>
        <v/>
      </c>
      <c r="I184" t="n">
        <v>2100000</v>
      </c>
    </row>
    <row r="185">
      <c r="A185" s="5" t="n">
        <v>179</v>
      </c>
      <c r="B185" s="5" t="inlineStr">
        <is>
          <t>25809600002</t>
        </is>
      </c>
      <c r="C185" s="6" t="inlineStr">
        <is>
          <t>Nguyeãn Traàn Tuaán</t>
        </is>
      </c>
      <c r="D185" s="6" t="inlineStr">
        <is>
          <t>Anh</t>
        </is>
      </c>
      <c r="E185" s="5" t="inlineStr">
        <is>
          <t>14-Jun-06</t>
        </is>
      </c>
      <c r="F185" s="5" t="inlineStr">
        <is>
          <t>LNH0925ND01</t>
        </is>
      </c>
      <c r="G185" s="105" t="n">
        <v>2100000</v>
      </c>
      <c r="H185">
        <f>VLOOKUP(B185,'[1]TONG HOP'!B$5:G$624,6,0)</f>
        <v/>
      </c>
      <c r="I185" t="n">
        <v>2100000</v>
      </c>
    </row>
    <row r="186">
      <c r="A186" s="5" t="n">
        <v>180</v>
      </c>
      <c r="B186" s="5" t="inlineStr">
        <is>
          <t>25801000044</t>
        </is>
      </c>
      <c r="C186" s="6" t="inlineStr">
        <is>
          <t>Phaïm Hoaøng Trang</t>
        </is>
      </c>
      <c r="D186" s="6" t="inlineStr">
        <is>
          <t>Nguyeân</t>
        </is>
      </c>
      <c r="E186" s="5" t="inlineStr">
        <is>
          <t>15-Jan-07</t>
        </is>
      </c>
      <c r="F186" s="5" t="inlineStr">
        <is>
          <t>LNH0925ND01</t>
        </is>
      </c>
      <c r="G186" s="105" t="n">
        <v>8415000</v>
      </c>
      <c r="H186">
        <f>VLOOKUP(B186,'[1]TONG HOP'!B$5:G$624,6,0)</f>
        <v/>
      </c>
      <c r="I186" t="n">
        <v>2103750</v>
      </c>
    </row>
    <row r="187">
      <c r="A187" s="5" t="n">
        <v>181</v>
      </c>
      <c r="B187" s="5" t="inlineStr">
        <is>
          <t>25800500120</t>
        </is>
      </c>
      <c r="C187" s="6" t="inlineStr">
        <is>
          <t>Nguyeãn Chính</t>
        </is>
      </c>
      <c r="D187" s="6" t="inlineStr">
        <is>
          <t>Nghóa</t>
        </is>
      </c>
      <c r="E187" s="5" t="inlineStr">
        <is>
          <t>02-Jun-07</t>
        </is>
      </c>
      <c r="F187" s="5" t="inlineStr">
        <is>
          <t>LNH0925ND01</t>
        </is>
      </c>
      <c r="G187" s="105" t="n">
        <v>1000000</v>
      </c>
    </row>
    <row r="188">
      <c r="A188" s="5" t="n">
        <v>182</v>
      </c>
      <c r="B188" s="5" t="inlineStr">
        <is>
          <t>25808200093</t>
        </is>
      </c>
      <c r="C188" s="6" t="inlineStr">
        <is>
          <t>Nguyeãn Khaéc</t>
        </is>
      </c>
      <c r="D188" s="6" t="inlineStr">
        <is>
          <t>Nguyeân</t>
        </is>
      </c>
      <c r="E188" s="5" t="inlineStr">
        <is>
          <t>06-Feb-07</t>
        </is>
      </c>
      <c r="F188" s="5" t="inlineStr">
        <is>
          <t>LNH0925ND01</t>
        </is>
      </c>
      <c r="G188" s="105" t="n">
        <v>8415000</v>
      </c>
      <c r="H188">
        <f>VLOOKUP(B188,'[1]TONG HOP'!B$5:G$624,6,0)</f>
        <v/>
      </c>
      <c r="I188" t="n">
        <v>2103750</v>
      </c>
    </row>
    <row r="189">
      <c r="A189" s="5" t="n">
        <v>183</v>
      </c>
      <c r="B189" s="5" t="inlineStr">
        <is>
          <t>25802600074</t>
        </is>
      </c>
      <c r="C189" s="6" t="inlineStr">
        <is>
          <t>Huyønh Thanh</t>
        </is>
      </c>
      <c r="D189" s="6" t="inlineStr">
        <is>
          <t>Luaân</t>
        </is>
      </c>
      <c r="E189" s="5" t="inlineStr">
        <is>
          <t>02-Oct-06</t>
        </is>
      </c>
      <c r="F189" s="5" t="inlineStr">
        <is>
          <t>LNH0925ND01</t>
        </is>
      </c>
      <c r="G189" s="105" t="n">
        <v>4465000</v>
      </c>
      <c r="H189">
        <f>VLOOKUP(B189,'[1]TONG HOP'!B$5:G$624,6,0)</f>
        <v/>
      </c>
      <c r="I189" t="n">
        <v>2232500</v>
      </c>
    </row>
    <row r="190">
      <c r="A190" s="5" t="n">
        <v>184</v>
      </c>
      <c r="B190" s="5" t="inlineStr">
        <is>
          <t>25808900012</t>
        </is>
      </c>
      <c r="C190" s="6" t="inlineStr">
        <is>
          <t>Phan Hoaøng Gia</t>
        </is>
      </c>
      <c r="D190" s="6" t="inlineStr">
        <is>
          <t>Baûo</t>
        </is>
      </c>
      <c r="E190" s="5" t="inlineStr">
        <is>
          <t>26-Feb-07</t>
        </is>
      </c>
      <c r="F190" s="5" t="inlineStr">
        <is>
          <t>LNH0925ND01</t>
        </is>
      </c>
      <c r="G190" s="105" t="n">
        <v>1000000</v>
      </c>
    </row>
    <row r="191">
      <c r="A191" s="5" t="n">
        <v>185</v>
      </c>
      <c r="B191" s="5" t="inlineStr">
        <is>
          <t>25800500215</t>
        </is>
      </c>
      <c r="C191" s="6" t="inlineStr">
        <is>
          <t>Nguyeãn Xuaân</t>
        </is>
      </c>
      <c r="D191" s="6" t="inlineStr">
        <is>
          <t>Tröôøng</t>
        </is>
      </c>
      <c r="E191" s="5" t="inlineStr">
        <is>
          <t>22-Nov-07</t>
        </is>
      </c>
      <c r="F191" s="5" t="inlineStr">
        <is>
          <t>LNH0925ND01</t>
        </is>
      </c>
      <c r="G191" s="105" t="n">
        <v>8415000</v>
      </c>
    </row>
    <row r="192">
      <c r="A192" s="5" t="n">
        <v>186</v>
      </c>
      <c r="B192" s="5" t="inlineStr">
        <is>
          <t>25803000304</t>
        </is>
      </c>
      <c r="C192" s="6" t="inlineStr">
        <is>
          <t>Nguyeãn Thò Thuøy</t>
        </is>
      </c>
      <c r="D192" s="6" t="inlineStr">
        <is>
          <t>Linh</t>
        </is>
      </c>
      <c r="E192" s="5" t="inlineStr">
        <is>
          <t>09-Mar-07</t>
        </is>
      </c>
      <c r="F192" s="5" t="inlineStr">
        <is>
          <t>LNH0925ND01</t>
        </is>
      </c>
      <c r="G192" s="105" t="n">
        <v>8415000</v>
      </c>
      <c r="H192">
        <f>VLOOKUP(B192,'[1]TONG HOP'!B$5:G$624,6,0)</f>
        <v/>
      </c>
      <c r="I192" t="n">
        <v>2103750</v>
      </c>
    </row>
    <row r="193">
      <c r="A193" s="5" t="n">
        <v>187</v>
      </c>
      <c r="B193" s="5" t="inlineStr">
        <is>
          <t>25808100019</t>
        </is>
      </c>
      <c r="C193" s="6" t="inlineStr">
        <is>
          <t>Traàn Gia</t>
        </is>
      </c>
      <c r="D193" s="6" t="inlineStr">
        <is>
          <t>Huy</t>
        </is>
      </c>
      <c r="E193" s="5" t="inlineStr">
        <is>
          <t>19-Oct-07</t>
        </is>
      </c>
      <c r="F193" s="5" t="inlineStr">
        <is>
          <t>LNH0925ND01</t>
        </is>
      </c>
      <c r="G193" s="105" t="n">
        <v>8415000</v>
      </c>
      <c r="H193">
        <f>VLOOKUP(B193,'[1]TONG HOP'!B$5:G$624,6,0)</f>
        <v/>
      </c>
      <c r="I193" t="n">
        <v>2103750</v>
      </c>
    </row>
    <row r="194">
      <c r="A194" s="5" t="n">
        <v>188</v>
      </c>
      <c r="B194" s="5" t="inlineStr">
        <is>
          <t>25803000375</t>
        </is>
      </c>
      <c r="C194" s="6" t="inlineStr">
        <is>
          <t>Döông Kim</t>
        </is>
      </c>
      <c r="D194" s="6" t="inlineStr">
        <is>
          <t>Ngaân</t>
        </is>
      </c>
      <c r="E194" s="5" t="inlineStr">
        <is>
          <t>12-Oct-07</t>
        </is>
      </c>
      <c r="F194" s="5" t="inlineStr">
        <is>
          <t>LNH0925ND01</t>
        </is>
      </c>
      <c r="G194" s="105" t="n">
        <v>1000000</v>
      </c>
    </row>
    <row r="195">
      <c r="A195" s="5" t="n">
        <v>189</v>
      </c>
      <c r="B195" s="5" t="inlineStr">
        <is>
          <t>25801200018</t>
        </is>
      </c>
      <c r="C195" s="6" t="inlineStr">
        <is>
          <t>Nguyeãn Thò Hoaøng</t>
        </is>
      </c>
      <c r="D195" s="6" t="inlineStr">
        <is>
          <t>Kieàu</t>
        </is>
      </c>
      <c r="E195" s="5" t="inlineStr">
        <is>
          <t>18-Feb-07</t>
        </is>
      </c>
      <c r="F195" s="5" t="inlineStr">
        <is>
          <t>LNH0925ND01</t>
        </is>
      </c>
      <c r="G195" s="105" t="n">
        <v>8415000</v>
      </c>
      <c r="H195">
        <f>VLOOKUP(B195,'[1]TONG HOP'!B$5:G$624,6,0)</f>
        <v/>
      </c>
      <c r="I195" t="n">
        <v>2103750</v>
      </c>
    </row>
    <row r="196">
      <c r="A196" s="5" t="n">
        <v>190</v>
      </c>
      <c r="B196" s="5" t="inlineStr">
        <is>
          <t>25809500009</t>
        </is>
      </c>
      <c r="C196" s="6" t="inlineStr">
        <is>
          <t>Nguyeãn Höõu</t>
        </is>
      </c>
      <c r="D196" s="6" t="inlineStr">
        <is>
          <t>Phuùc</t>
        </is>
      </c>
      <c r="E196" s="5" t="inlineStr">
        <is>
          <t>29-Nov-07</t>
        </is>
      </c>
      <c r="F196" s="5" t="inlineStr">
        <is>
          <t>LNH0925ND01</t>
        </is>
      </c>
      <c r="G196" s="105" t="n">
        <v>1000000</v>
      </c>
    </row>
    <row r="197">
      <c r="A197" s="5" t="n">
        <v>191</v>
      </c>
      <c r="B197" s="5" t="inlineStr">
        <is>
          <t>25800400244</t>
        </is>
      </c>
      <c r="C197" s="6" t="inlineStr">
        <is>
          <t>Nguyeãn Ñaêng</t>
        </is>
      </c>
      <c r="D197" s="6" t="inlineStr">
        <is>
          <t>Khang</t>
        </is>
      </c>
      <c r="E197" s="5" t="inlineStr">
        <is>
          <t>31-Mar-07</t>
        </is>
      </c>
      <c r="F197" s="5" t="inlineStr">
        <is>
          <t>LNH0925ND01</t>
        </is>
      </c>
      <c r="G197" s="105" t="n">
        <v>8415000</v>
      </c>
      <c r="H197">
        <f>VLOOKUP(B197,'[1]TONG HOP'!B$5:G$624,6,0)</f>
        <v/>
      </c>
      <c r="I197" t="n">
        <v>2103750</v>
      </c>
    </row>
    <row r="198">
      <c r="A198" s="5" t="n">
        <v>192</v>
      </c>
      <c r="B198" s="5" t="inlineStr">
        <is>
          <t>25807800151</t>
        </is>
      </c>
      <c r="C198" s="6" t="inlineStr">
        <is>
          <t>Nguyeãn Phöôùc</t>
        </is>
      </c>
      <c r="D198" s="6" t="inlineStr">
        <is>
          <t>Trung</t>
        </is>
      </c>
      <c r="E198" s="5" t="inlineStr">
        <is>
          <t>04-Dec-07</t>
        </is>
      </c>
      <c r="F198" s="5" t="inlineStr">
        <is>
          <t>LNH0925ND01</t>
        </is>
      </c>
      <c r="G198" s="105" t="n">
        <v>8415000</v>
      </c>
      <c r="H198">
        <f>VLOOKUP(B198,'[1]TONG HOP'!B$5:G$624,6,0)</f>
        <v/>
      </c>
      <c r="I198" t="n">
        <v>2103750</v>
      </c>
    </row>
    <row r="199">
      <c r="A199" s="5" t="n">
        <v>193</v>
      </c>
      <c r="B199" s="5" t="inlineStr">
        <is>
          <t>25808200002</t>
        </is>
      </c>
      <c r="C199" s="6" t="inlineStr">
        <is>
          <t>Nguyeãn Tröôøng</t>
        </is>
      </c>
      <c r="D199" s="6" t="inlineStr">
        <is>
          <t>An</t>
        </is>
      </c>
      <c r="E199" s="5" t="inlineStr">
        <is>
          <t>11-Feb-07</t>
        </is>
      </c>
      <c r="F199" s="5" t="inlineStr">
        <is>
          <t>LNH0925ND01</t>
        </is>
      </c>
      <c r="G199" s="105" t="n">
        <v>8415000</v>
      </c>
      <c r="H199">
        <f>VLOOKUP(B199,'[1]TONG HOP'!B$5:G$624,6,0)</f>
        <v/>
      </c>
      <c r="I199" t="n">
        <v>2103750</v>
      </c>
    </row>
    <row r="200">
      <c r="A200" s="5" t="n">
        <v>194</v>
      </c>
      <c r="B200" s="40" t="inlineStr">
        <is>
          <t>25808200066</t>
        </is>
      </c>
      <c r="C200" s="6" t="inlineStr">
        <is>
          <t>Nguyeãn Ñaëng</t>
        </is>
      </c>
      <c r="D200" s="6" t="inlineStr">
        <is>
          <t>Khoa</t>
        </is>
      </c>
      <c r="E200" s="5" t="inlineStr">
        <is>
          <t>19-Jun-07</t>
        </is>
      </c>
      <c r="F200" s="5" t="inlineStr">
        <is>
          <t>LNH0925ND01</t>
        </is>
      </c>
      <c r="G200" s="105" t="n">
        <v>1000000</v>
      </c>
      <c r="J200" t="inlineStr">
        <is>
          <t>Chuyển HP EDU</t>
        </is>
      </c>
    </row>
    <row r="201">
      <c r="A201" s="5" t="n">
        <v>195</v>
      </c>
      <c r="B201" s="5" t="inlineStr">
        <is>
          <t>25808900082</t>
        </is>
      </c>
      <c r="C201" s="6" t="inlineStr">
        <is>
          <t>Nguyeãn Ngoïc Baûo</t>
        </is>
      </c>
      <c r="D201" s="6" t="inlineStr">
        <is>
          <t>Nghi</t>
        </is>
      </c>
      <c r="E201" s="5" t="inlineStr">
        <is>
          <t>05-Jun-07</t>
        </is>
      </c>
      <c r="F201" s="5" t="inlineStr">
        <is>
          <t>LNH0925ND01</t>
        </is>
      </c>
      <c r="G201" s="105" t="n">
        <v>1000000</v>
      </c>
    </row>
    <row r="202">
      <c r="A202" s="5" t="n">
        <v>196</v>
      </c>
      <c r="B202" s="5" t="inlineStr">
        <is>
          <t>25805900103</t>
        </is>
      </c>
      <c r="C202" s="6" t="inlineStr">
        <is>
          <t>Leâ Myõ</t>
        </is>
      </c>
      <c r="D202" s="6" t="inlineStr">
        <is>
          <t>Nhaøn</t>
        </is>
      </c>
      <c r="E202" s="5" t="inlineStr">
        <is>
          <t>11-Aug-07</t>
        </is>
      </c>
      <c r="F202" s="5" t="inlineStr">
        <is>
          <t>LNH0925ND01</t>
        </is>
      </c>
      <c r="G202" s="105" t="n">
        <v>8415000</v>
      </c>
      <c r="H202">
        <f>VLOOKUP(B202,'[1]TONG HOP'!B$5:G$624,6,0)</f>
        <v/>
      </c>
      <c r="I202" t="n">
        <v>2103750</v>
      </c>
    </row>
    <row r="203">
      <c r="A203" s="5" t="n">
        <v>197</v>
      </c>
      <c r="B203" s="5" t="inlineStr">
        <is>
          <t>25820700021</t>
        </is>
      </c>
      <c r="C203" s="6" t="inlineStr">
        <is>
          <t>Ngoâ Thò Baûo</t>
        </is>
      </c>
      <c r="D203" s="6" t="inlineStr">
        <is>
          <t>Ngoïc</t>
        </is>
      </c>
      <c r="E203" s="5" t="inlineStr">
        <is>
          <t>29-Nov-07</t>
        </is>
      </c>
      <c r="F203" s="5" t="inlineStr">
        <is>
          <t>LNH0925ND01</t>
        </is>
      </c>
      <c r="G203" s="105" t="n">
        <v>8415000</v>
      </c>
      <c r="H203">
        <f>VLOOKUP(B203,'[1]TONG HOP'!B$5:G$624,6,0)</f>
        <v/>
      </c>
      <c r="I203" t="n">
        <v>2103750</v>
      </c>
    </row>
    <row r="204">
      <c r="A204" s="5" t="n">
        <v>198</v>
      </c>
      <c r="B204" s="5" t="inlineStr">
        <is>
          <t>25806000094</t>
        </is>
      </c>
      <c r="C204" s="6" t="inlineStr">
        <is>
          <t>Nguyeãn Thanh</t>
        </is>
      </c>
      <c r="D204" s="6" t="inlineStr">
        <is>
          <t>Ngaân</t>
        </is>
      </c>
      <c r="E204" s="5" t="inlineStr">
        <is>
          <t>21-May-07</t>
        </is>
      </c>
      <c r="F204" s="5" t="inlineStr">
        <is>
          <t>LNH0925ND01</t>
        </is>
      </c>
      <c r="G204" s="105" t="n">
        <v>8415000</v>
      </c>
      <c r="H204">
        <f>VLOOKUP(B204,'[1]TONG HOP'!B$5:G$624,6,0)</f>
        <v/>
      </c>
      <c r="I204" t="n">
        <v>2103750</v>
      </c>
    </row>
    <row r="205">
      <c r="A205" s="5" t="n">
        <v>199</v>
      </c>
      <c r="B205" s="5" t="inlineStr">
        <is>
          <t>25802800290</t>
        </is>
      </c>
      <c r="C205" s="6" t="inlineStr">
        <is>
          <t>Ngoâ Baûo</t>
        </is>
      </c>
      <c r="D205" s="6" t="inlineStr">
        <is>
          <t>Uyeân</t>
        </is>
      </c>
      <c r="E205" s="5" t="inlineStr">
        <is>
          <t>16-May-07</t>
        </is>
      </c>
      <c r="F205" s="5" t="inlineStr">
        <is>
          <t>LNH0925ND01</t>
        </is>
      </c>
      <c r="G205" s="105" t="n">
        <v>8415000</v>
      </c>
      <c r="H205">
        <f>VLOOKUP(B205,'[1]TONG HOP'!B$5:G$624,6,0)</f>
        <v/>
      </c>
      <c r="I205" t="n">
        <v>2103750</v>
      </c>
    </row>
    <row r="206">
      <c r="A206" s="5" t="n">
        <v>200</v>
      </c>
      <c r="B206" s="5" t="inlineStr">
        <is>
          <t>25807500072</t>
        </is>
      </c>
      <c r="C206" s="6" t="inlineStr">
        <is>
          <t>Phan Thò</t>
        </is>
      </c>
      <c r="D206" s="6" t="inlineStr">
        <is>
          <t>Möøng</t>
        </is>
      </c>
      <c r="E206" s="5" t="inlineStr">
        <is>
          <t>26-Aug-84</t>
        </is>
      </c>
      <c r="F206" s="5" t="inlineStr">
        <is>
          <t>LNH0925ND01</t>
        </is>
      </c>
      <c r="G206" s="105" t="n">
        <v>8415000</v>
      </c>
      <c r="H206">
        <f>VLOOKUP(B206,'[1]TONG HOP'!B$5:G$624,6,0)</f>
        <v/>
      </c>
      <c r="I206" t="n">
        <v>2103750</v>
      </c>
    </row>
    <row r="207">
      <c r="A207" s="5" t="n">
        <v>201</v>
      </c>
      <c r="B207" s="5" t="inlineStr">
        <is>
          <t>25809100020</t>
        </is>
      </c>
      <c r="C207" s="6" t="inlineStr">
        <is>
          <t>Phaïm Huyønh Hai</t>
        </is>
      </c>
      <c r="D207" s="6" t="inlineStr">
        <is>
          <t>Tyû</t>
        </is>
      </c>
      <c r="E207" s="5" t="inlineStr">
        <is>
          <t>10-Jun-07</t>
        </is>
      </c>
      <c r="F207" s="5" t="inlineStr">
        <is>
          <t>LNH0925ND01</t>
        </is>
      </c>
      <c r="G207" s="105" t="n">
        <v>8415000</v>
      </c>
      <c r="H207">
        <f>VLOOKUP(B207,'[1]TONG HOP'!B$5:G$624,6,0)</f>
        <v/>
      </c>
      <c r="I207" t="n">
        <v>2103750</v>
      </c>
    </row>
    <row r="208">
      <c r="A208" s="5" t="n">
        <v>202</v>
      </c>
      <c r="B208" s="5" t="inlineStr">
        <is>
          <t>25802400028</t>
        </is>
      </c>
      <c r="C208" s="6" t="inlineStr">
        <is>
          <t>Nguyeãn Thò Xuaân</t>
        </is>
      </c>
      <c r="D208" s="6" t="inlineStr">
        <is>
          <t>Thaûo</t>
        </is>
      </c>
      <c r="E208" s="5" t="inlineStr">
        <is>
          <t>11-Aug-06</t>
        </is>
      </c>
      <c r="F208" s="5" t="inlineStr">
        <is>
          <t>LNH0925ND01</t>
        </is>
      </c>
      <c r="G208" s="105" t="n">
        <v>8415000</v>
      </c>
    </row>
    <row r="209">
      <c r="A209" s="5" t="n">
        <v>203</v>
      </c>
      <c r="B209" s="5" t="inlineStr">
        <is>
          <t>25806800036</t>
        </is>
      </c>
      <c r="C209" s="6" t="inlineStr">
        <is>
          <t>Nguyeãn Ngoïc</t>
        </is>
      </c>
      <c r="D209" s="6" t="inlineStr">
        <is>
          <t>Mi</t>
        </is>
      </c>
      <c r="E209" s="5" t="inlineStr">
        <is>
          <t>10-Nov-07</t>
        </is>
      </c>
      <c r="F209" s="5" t="inlineStr">
        <is>
          <t>LNH0925ND01</t>
        </is>
      </c>
      <c r="G209" s="105" t="n">
        <v>1000000</v>
      </c>
    </row>
    <row r="210">
      <c r="A210" s="5" t="n">
        <v>204</v>
      </c>
      <c r="B210" s="5" t="inlineStr">
        <is>
          <t>25808900092</t>
        </is>
      </c>
      <c r="C210" s="6" t="inlineStr">
        <is>
          <t>Traàn Yeán</t>
        </is>
      </c>
      <c r="D210" s="6" t="inlineStr">
        <is>
          <t>Nhi</t>
        </is>
      </c>
      <c r="E210" s="5" t="inlineStr">
        <is>
          <t>14-Nov-07</t>
        </is>
      </c>
      <c r="F210" s="5" t="inlineStr">
        <is>
          <t>LNH0925ND01</t>
        </is>
      </c>
      <c r="G210" s="105" t="n">
        <v>8415000</v>
      </c>
      <c r="H210">
        <f>VLOOKUP(B210,'[1]TONG HOP'!B$5:G$624,6,0)</f>
        <v/>
      </c>
      <c r="I210" t="n">
        <v>2103750</v>
      </c>
    </row>
    <row r="211">
      <c r="A211" s="5" t="n">
        <v>205</v>
      </c>
      <c r="B211" s="5" t="inlineStr">
        <is>
          <t>25802800095</t>
        </is>
      </c>
      <c r="C211" s="6" t="inlineStr">
        <is>
          <t>Taï Quang</t>
        </is>
      </c>
      <c r="D211" s="6" t="inlineStr">
        <is>
          <t>Huy</t>
        </is>
      </c>
      <c r="E211" s="5" t="inlineStr">
        <is>
          <t>14-Nov-07</t>
        </is>
      </c>
      <c r="F211" s="5" t="inlineStr">
        <is>
          <t>LNH0925ND01</t>
        </is>
      </c>
      <c r="G211" s="105" t="n">
        <v>8415000</v>
      </c>
    </row>
    <row r="212">
      <c r="A212" s="5" t="n">
        <v>206</v>
      </c>
      <c r="B212" s="5" t="inlineStr">
        <is>
          <t>25802700134</t>
        </is>
      </c>
      <c r="C212" s="6" t="inlineStr">
        <is>
          <t>Phan Baûo</t>
        </is>
      </c>
      <c r="D212" s="6" t="inlineStr">
        <is>
          <t>Luaân</t>
        </is>
      </c>
      <c r="E212" s="5" t="inlineStr">
        <is>
          <t>24-Sep-07</t>
        </is>
      </c>
      <c r="F212" s="5" t="inlineStr">
        <is>
          <t>LNH0925ND01</t>
        </is>
      </c>
      <c r="G212" s="105" t="n">
        <v>8415000</v>
      </c>
      <c r="H212">
        <f>VLOOKUP(B212,'[1]TONG HOP'!B$5:G$624,6,0)</f>
        <v/>
      </c>
      <c r="I212" t="n">
        <v>2103750</v>
      </c>
    </row>
    <row r="213">
      <c r="A213" s="5" t="n">
        <v>207</v>
      </c>
      <c r="B213" s="5" t="inlineStr">
        <is>
          <t>25808700026</t>
        </is>
      </c>
      <c r="C213" s="6" t="inlineStr">
        <is>
          <t>Nguyeãn Phaïm Minh</t>
        </is>
      </c>
      <c r="D213" s="6" t="inlineStr">
        <is>
          <t>Hieáu</t>
        </is>
      </c>
      <c r="E213" s="5" t="inlineStr">
        <is>
          <t>17-Dec-07</t>
        </is>
      </c>
      <c r="F213" s="5" t="inlineStr">
        <is>
          <t>LNH0925ND01</t>
        </is>
      </c>
      <c r="G213" s="105" t="n">
        <v>8415000</v>
      </c>
      <c r="H213">
        <f>VLOOKUP(B213,'[1]TONG HOP'!B$5:G$624,6,0)</f>
        <v/>
      </c>
      <c r="I213" t="n">
        <v>2103750</v>
      </c>
    </row>
    <row r="214">
      <c r="A214" s="5" t="n">
        <v>208</v>
      </c>
      <c r="B214" s="5" t="inlineStr">
        <is>
          <t>25806000007</t>
        </is>
      </c>
      <c r="C214" s="6" t="inlineStr">
        <is>
          <t>Nguyeãn Quoác</t>
        </is>
      </c>
      <c r="D214" s="6" t="inlineStr">
        <is>
          <t>Duy</t>
        </is>
      </c>
      <c r="E214" s="5" t="inlineStr">
        <is>
          <t>27-Dec-07</t>
        </is>
      </c>
      <c r="F214" s="5" t="inlineStr">
        <is>
          <t>LNH0925ND01</t>
        </is>
      </c>
      <c r="G214" s="105" t="n">
        <v>8415000</v>
      </c>
      <c r="H214">
        <f>VLOOKUP(B214,'[1]TONG HOP'!B$5:G$624,6,0)</f>
        <v/>
      </c>
      <c r="I214" t="n">
        <v>2103750</v>
      </c>
    </row>
    <row r="215">
      <c r="A215" s="5" t="n">
        <v>209</v>
      </c>
      <c r="B215" s="5" t="inlineStr">
        <is>
          <t>25802700078</t>
        </is>
      </c>
      <c r="C215" s="6" t="inlineStr">
        <is>
          <t>Nguyeãn Leâ Phöông</t>
        </is>
      </c>
      <c r="D215" s="6" t="inlineStr">
        <is>
          <t>Thaûo</t>
        </is>
      </c>
      <c r="E215" s="5" t="inlineStr">
        <is>
          <t>26-Oct-07</t>
        </is>
      </c>
      <c r="F215" s="5" t="inlineStr">
        <is>
          <t>LNH0925ND01</t>
        </is>
      </c>
      <c r="G215" s="105" t="n">
        <v>1000000</v>
      </c>
    </row>
    <row r="216">
      <c r="A216" s="5" t="n">
        <v>210</v>
      </c>
      <c r="B216" s="5" t="inlineStr">
        <is>
          <t>25802300306</t>
        </is>
      </c>
      <c r="C216" s="6" t="inlineStr">
        <is>
          <t>Leâ Ngoïc Kieàu</t>
        </is>
      </c>
      <c r="D216" s="6" t="inlineStr">
        <is>
          <t>Vy</t>
        </is>
      </c>
      <c r="E216" s="5" t="inlineStr">
        <is>
          <t>20-Aug-07</t>
        </is>
      </c>
      <c r="F216" s="5" t="inlineStr">
        <is>
          <t>LNH0925ND01</t>
        </is>
      </c>
      <c r="G216" s="105" t="n">
        <v>8415000</v>
      </c>
      <c r="H216">
        <f>VLOOKUP(B216,'[1]TONG HOP'!B$5:G$624,6,0)</f>
        <v/>
      </c>
      <c r="I216" t="n">
        <v>2103750</v>
      </c>
    </row>
    <row r="217">
      <c r="A217" s="5" t="n">
        <v>211</v>
      </c>
      <c r="B217" s="5" t="inlineStr">
        <is>
          <t>25800500277</t>
        </is>
      </c>
      <c r="C217" s="6" t="inlineStr">
        <is>
          <t>Vuõ Ñöùc</t>
        </is>
      </c>
      <c r="D217" s="6" t="inlineStr">
        <is>
          <t>Hoøa</t>
        </is>
      </c>
      <c r="E217" s="5" t="inlineStr">
        <is>
          <t>23-Jan-07</t>
        </is>
      </c>
      <c r="F217" s="5" t="inlineStr">
        <is>
          <t>LNH0925ND01</t>
        </is>
      </c>
      <c r="G217" s="105" t="n">
        <v>5000000</v>
      </c>
      <c r="H217">
        <f>VLOOKUP(B217,'[1]TONG HOP'!B$5:G$624,6,0)</f>
        <v/>
      </c>
      <c r="I217" t="n">
        <v>2232500</v>
      </c>
    </row>
    <row r="218">
      <c r="A218" s="5" t="n">
        <v>212</v>
      </c>
      <c r="B218" s="5" t="inlineStr">
        <is>
          <t>25808800046</t>
        </is>
      </c>
      <c r="C218" s="6" t="inlineStr">
        <is>
          <t>Buøi Ñöùc</t>
        </is>
      </c>
      <c r="D218" s="6" t="inlineStr">
        <is>
          <t>Thaéng</t>
        </is>
      </c>
      <c r="E218" s="5" t="inlineStr">
        <is>
          <t>17-Feb-07</t>
        </is>
      </c>
      <c r="F218" s="5" t="inlineStr">
        <is>
          <t>LNH0925ND01</t>
        </is>
      </c>
      <c r="G218" s="105" t="n">
        <v>1000000</v>
      </c>
    </row>
    <row r="219">
      <c r="A219" s="5" t="n">
        <v>213</v>
      </c>
      <c r="B219" s="5" t="inlineStr">
        <is>
          <t>25800500098</t>
        </is>
      </c>
      <c r="C219" s="6" t="inlineStr">
        <is>
          <t>Ñaøm Anh</t>
        </is>
      </c>
      <c r="D219" s="6" t="inlineStr">
        <is>
          <t>Kieät</t>
        </is>
      </c>
      <c r="E219" s="5" t="inlineStr">
        <is>
          <t>04-Oct-07</t>
        </is>
      </c>
      <c r="F219" s="5" t="inlineStr">
        <is>
          <t>LNH0925ND01</t>
        </is>
      </c>
      <c r="G219" s="105" t="n">
        <v>8415008</v>
      </c>
      <c r="H219">
        <f>VLOOKUP(B219,'[1]TONG HOP'!B$5:G$624,6,0)</f>
        <v/>
      </c>
      <c r="I219" t="n">
        <v>2103750</v>
      </c>
    </row>
    <row r="220">
      <c r="A220" s="5" t="n">
        <v>214</v>
      </c>
      <c r="B220" s="5" t="inlineStr">
        <is>
          <t>25801100058</t>
        </is>
      </c>
      <c r="C220" s="6" t="inlineStr">
        <is>
          <t>Traàn Minh</t>
        </is>
      </c>
      <c r="D220" s="6" t="inlineStr">
        <is>
          <t>Quí</t>
        </is>
      </c>
      <c r="E220" s="5" t="inlineStr">
        <is>
          <t>16-Jan-07</t>
        </is>
      </c>
      <c r="F220" s="5" t="inlineStr">
        <is>
          <t>LNH0925ND01</t>
        </is>
      </c>
      <c r="G220" s="105" t="n">
        <v>1465000</v>
      </c>
    </row>
    <row r="221">
      <c r="A221" s="5" t="n">
        <v>215</v>
      </c>
      <c r="B221" s="5" t="inlineStr">
        <is>
          <t>25820300026</t>
        </is>
      </c>
      <c r="C221" s="6" t="inlineStr">
        <is>
          <t>Phaïm Nguyeãn Ñaêng</t>
        </is>
      </c>
      <c r="D221" s="6" t="inlineStr">
        <is>
          <t>Khoa</t>
        </is>
      </c>
      <c r="E221" s="5" t="inlineStr">
        <is>
          <t>14-Dec-07</t>
        </is>
      </c>
      <c r="F221" s="5" t="inlineStr">
        <is>
          <t>LNH0925ND01</t>
        </is>
      </c>
      <c r="G221" s="105" t="n">
        <v>8415000</v>
      </c>
      <c r="H221">
        <f>VLOOKUP(B221,'[1]TONG HOP'!B$5:G$624,6,0)</f>
        <v/>
      </c>
      <c r="I221" t="n">
        <v>2103750</v>
      </c>
    </row>
    <row r="222">
      <c r="A222" s="5" t="n">
        <v>216</v>
      </c>
      <c r="B222" s="5" t="inlineStr">
        <is>
          <t>25807000019</t>
        </is>
      </c>
      <c r="C222" s="6" t="inlineStr">
        <is>
          <t>Vaên Thaønh</t>
        </is>
      </c>
      <c r="D222" s="6" t="inlineStr">
        <is>
          <t>Nhöït</t>
        </is>
      </c>
      <c r="E222" s="5" t="inlineStr">
        <is>
          <t>18-Jan-07</t>
        </is>
      </c>
      <c r="F222" s="5" t="inlineStr">
        <is>
          <t>LNH0925ND01</t>
        </is>
      </c>
      <c r="G222" s="105" t="n">
        <v>2100000</v>
      </c>
      <c r="H222">
        <f>VLOOKUP(B222,'[1]TONG HOP'!B$5:G$624,6,0)</f>
        <v/>
      </c>
      <c r="I222" t="n">
        <v>2100000</v>
      </c>
    </row>
    <row r="223">
      <c r="A223" s="5" t="n">
        <v>217</v>
      </c>
      <c r="B223" s="5" t="inlineStr">
        <is>
          <t>25808900070</t>
        </is>
      </c>
      <c r="C223" s="6" t="inlineStr">
        <is>
          <t>Traàn Khaùnh</t>
        </is>
      </c>
      <c r="D223" s="6" t="inlineStr">
        <is>
          <t>Linh</t>
        </is>
      </c>
      <c r="E223" s="5" t="inlineStr">
        <is>
          <t>15-Apr-07</t>
        </is>
      </c>
      <c r="F223" s="5" t="inlineStr">
        <is>
          <t>LNH0925ND01</t>
        </is>
      </c>
      <c r="G223" s="105" t="n">
        <v>2100000</v>
      </c>
    </row>
    <row r="224">
      <c r="A224" s="5" t="n">
        <v>218</v>
      </c>
      <c r="B224" s="5" t="inlineStr">
        <is>
          <t>25801700022</t>
        </is>
      </c>
      <c r="C224" s="6" t="inlineStr">
        <is>
          <t>Phaïm Hoaøng</t>
        </is>
      </c>
      <c r="D224" s="6" t="inlineStr">
        <is>
          <t>Khang</t>
        </is>
      </c>
      <c r="E224" s="5" t="inlineStr">
        <is>
          <t>11-Apr-07</t>
        </is>
      </c>
      <c r="F224" s="5" t="inlineStr">
        <is>
          <t>LNH0925ND01</t>
        </is>
      </c>
      <c r="G224" s="105" t="n">
        <v>2100000</v>
      </c>
    </row>
    <row r="225">
      <c r="A225" s="5" t="n">
        <v>219</v>
      </c>
      <c r="B225" s="5" t="inlineStr">
        <is>
          <t>25800500081</t>
        </is>
      </c>
      <c r="C225" s="6" t="inlineStr">
        <is>
          <t>Phan Minh</t>
        </is>
      </c>
      <c r="D225" s="6" t="inlineStr">
        <is>
          <t>Khang</t>
        </is>
      </c>
      <c r="E225" s="5" t="inlineStr">
        <is>
          <t>13-Sep-07</t>
        </is>
      </c>
      <c r="F225" s="5" t="inlineStr">
        <is>
          <t>LNH0925ND01</t>
        </is>
      </c>
      <c r="G225" s="105" t="n">
        <v>2100000</v>
      </c>
      <c r="H225">
        <f>VLOOKUP(B225,'[1]TONG HOP'!B$5:G$624,6,0)</f>
        <v/>
      </c>
      <c r="I225" t="n">
        <v>2100000</v>
      </c>
    </row>
    <row r="226">
      <c r="A226" s="5" t="n">
        <v>220</v>
      </c>
      <c r="B226" s="5" t="inlineStr">
        <is>
          <t>25807900051</t>
        </is>
      </c>
      <c r="C226" s="6" t="inlineStr">
        <is>
          <t>Traàn Chí</t>
        </is>
      </c>
      <c r="D226" s="6" t="inlineStr">
        <is>
          <t>Thieän</t>
        </is>
      </c>
      <c r="E226" s="5" t="inlineStr">
        <is>
          <t>01-Jan-07</t>
        </is>
      </c>
      <c r="F226" s="5" t="inlineStr">
        <is>
          <t>LNH0925ND01</t>
        </is>
      </c>
      <c r="G226" s="105" t="n">
        <v>2100000</v>
      </c>
      <c r="H226">
        <f>VLOOKUP(B226,'[1]TONG HOP'!B$5:G$624,6,0)</f>
        <v/>
      </c>
      <c r="I226" t="n">
        <v>2100000</v>
      </c>
    </row>
    <row r="227">
      <c r="A227" s="5" t="n">
        <v>221</v>
      </c>
      <c r="B227" s="5" t="inlineStr">
        <is>
          <t>25808200109</t>
        </is>
      </c>
      <c r="C227" s="6" t="inlineStr">
        <is>
          <t>Phaïm Hoaøng</t>
        </is>
      </c>
      <c r="D227" s="6" t="inlineStr">
        <is>
          <t>Sôn</t>
        </is>
      </c>
      <c r="E227" s="5" t="inlineStr">
        <is>
          <t>01-Jun-07</t>
        </is>
      </c>
      <c r="F227" s="5" t="inlineStr">
        <is>
          <t>LNH0925ND01</t>
        </is>
      </c>
      <c r="G227" s="105" t="n">
        <v>2100000</v>
      </c>
      <c r="H227">
        <f>VLOOKUP(B227,'[1]TONG HOP'!B$5:G$624,6,0)</f>
        <v/>
      </c>
      <c r="I227" t="n">
        <v>2100000</v>
      </c>
    </row>
    <row r="228">
      <c r="A228" s="5" t="n">
        <v>222</v>
      </c>
      <c r="B228" s="5" t="inlineStr">
        <is>
          <t>25802800122</t>
        </is>
      </c>
      <c r="C228" s="6" t="inlineStr">
        <is>
          <t>Nguyeãn Tuaán</t>
        </is>
      </c>
      <c r="D228" s="6" t="inlineStr">
        <is>
          <t>Kieät</t>
        </is>
      </c>
      <c r="E228" s="5" t="inlineStr">
        <is>
          <t>25-Jun-07</t>
        </is>
      </c>
      <c r="F228" s="5" t="inlineStr">
        <is>
          <t>LNH0925ND01</t>
        </is>
      </c>
      <c r="G228" s="105" t="n">
        <v>2100000</v>
      </c>
      <c r="H228">
        <f>VLOOKUP(B228,'[1]TONG HOP'!B$5:G$624,6,0)</f>
        <v/>
      </c>
      <c r="I228" t="n">
        <v>2100000</v>
      </c>
    </row>
    <row r="229">
      <c r="A229" s="5" t="n">
        <v>223</v>
      </c>
      <c r="B229" s="5" t="inlineStr">
        <is>
          <t>25808200082</t>
        </is>
      </c>
      <c r="C229" s="6" t="inlineStr">
        <is>
          <t>Nguyeãn Trung</t>
        </is>
      </c>
      <c r="D229" s="6" t="inlineStr">
        <is>
          <t>Luaân</t>
        </is>
      </c>
      <c r="E229" s="5" t="inlineStr">
        <is>
          <t>10-Oct-07</t>
        </is>
      </c>
      <c r="F229" s="5" t="inlineStr">
        <is>
          <t>LNH0925ND01</t>
        </is>
      </c>
      <c r="G229" s="105" t="n">
        <v>2100000</v>
      </c>
      <c r="H229">
        <f>VLOOKUP(B229,'[1]TONG HOP'!B$5:G$624,6,0)</f>
        <v/>
      </c>
      <c r="I229" t="n">
        <v>2100000</v>
      </c>
    </row>
    <row r="230">
      <c r="A230" s="5" t="n">
        <v>224</v>
      </c>
      <c r="B230" s="5" t="inlineStr">
        <is>
          <t>25806800029</t>
        </is>
      </c>
      <c r="C230" s="6" t="inlineStr">
        <is>
          <t>Kieàu Anh</t>
        </is>
      </c>
      <c r="D230" s="6" t="inlineStr">
        <is>
          <t>Khoâi</t>
        </is>
      </c>
      <c r="E230" s="5" t="inlineStr">
        <is>
          <t>16-Jul-07</t>
        </is>
      </c>
      <c r="F230" s="5" t="inlineStr">
        <is>
          <t>LNH0925ND01</t>
        </is>
      </c>
      <c r="G230" s="105" t="n">
        <v>2100000</v>
      </c>
    </row>
    <row r="231">
      <c r="A231" s="5" t="n">
        <v>225</v>
      </c>
      <c r="B231" s="5" t="inlineStr">
        <is>
          <t>25800500072</t>
        </is>
      </c>
      <c r="C231" s="6" t="inlineStr">
        <is>
          <t>Nguyeãn</t>
        </is>
      </c>
      <c r="D231" s="6" t="inlineStr">
        <is>
          <t>Höng</t>
        </is>
      </c>
      <c r="E231" s="5" t="inlineStr">
        <is>
          <t>11-Jun-07</t>
        </is>
      </c>
      <c r="F231" s="5" t="inlineStr">
        <is>
          <t>LNH0925ND01</t>
        </is>
      </c>
      <c r="G231" s="105" t="n">
        <v>2600000</v>
      </c>
    </row>
    <row r="232">
      <c r="A232" s="5" t="n">
        <v>226</v>
      </c>
      <c r="B232" s="5" t="inlineStr">
        <is>
          <t>25801900288</t>
        </is>
      </c>
      <c r="C232" s="6" t="inlineStr">
        <is>
          <t>Buøi Anh</t>
        </is>
      </c>
      <c r="D232" s="6" t="inlineStr">
        <is>
          <t>Thö</t>
        </is>
      </c>
      <c r="E232" s="5" t="inlineStr">
        <is>
          <t>09-Jan-07</t>
        </is>
      </c>
      <c r="F232" s="5" t="inlineStr">
        <is>
          <t>LNH0925ND01</t>
        </is>
      </c>
      <c r="G232" s="105" t="n">
        <v>8415000</v>
      </c>
      <c r="H232">
        <f>VLOOKUP(B232,'[1]TONG HOP'!B$5:G$624,6,0)</f>
        <v/>
      </c>
      <c r="I232" t="n">
        <v>2103750</v>
      </c>
    </row>
    <row r="233">
      <c r="A233" s="5" t="n">
        <v>227</v>
      </c>
      <c r="B233" s="5" t="inlineStr">
        <is>
          <t>25808200221</t>
        </is>
      </c>
      <c r="C233" s="6" t="inlineStr">
        <is>
          <t>Buøi Ñaëng Quang</t>
        </is>
      </c>
      <c r="D233" s="6" t="inlineStr">
        <is>
          <t>Minh</t>
        </is>
      </c>
      <c r="E233" s="5" t="inlineStr">
        <is>
          <t>16-Jan-07</t>
        </is>
      </c>
      <c r="F233" s="5" t="inlineStr">
        <is>
          <t>LNH0925ND01</t>
        </is>
      </c>
      <c r="G233" s="105" t="n">
        <v>4000000</v>
      </c>
    </row>
    <row r="234">
      <c r="A234" s="5" t="n">
        <v>228</v>
      </c>
      <c r="B234" s="5" t="inlineStr">
        <is>
          <t>25800400020</t>
        </is>
      </c>
      <c r="C234" s="6" t="inlineStr">
        <is>
          <t>Loâ Khaùnh</t>
        </is>
      </c>
      <c r="D234" s="6" t="inlineStr">
        <is>
          <t>Chöông</t>
        </is>
      </c>
      <c r="E234" s="5" t="inlineStr">
        <is>
          <t>23-Nov-07</t>
        </is>
      </c>
      <c r="F234" s="5" t="inlineStr">
        <is>
          <t>LNH0925ND01</t>
        </is>
      </c>
      <c r="G234" s="105" t="n">
        <v>4465000</v>
      </c>
      <c r="H234">
        <f>VLOOKUP(B234,'[1]TONG HOP'!B$5:G$624,6,0)</f>
        <v/>
      </c>
      <c r="I234" t="n">
        <v>2232500</v>
      </c>
    </row>
    <row r="235">
      <c r="A235" s="5" t="n">
        <v>229</v>
      </c>
      <c r="B235" s="5" t="inlineStr">
        <is>
          <t>25806000044</t>
        </is>
      </c>
      <c r="C235" s="6" t="inlineStr">
        <is>
          <t>Mai Lan</t>
        </is>
      </c>
      <c r="D235" s="6" t="inlineStr">
        <is>
          <t>Vy</t>
        </is>
      </c>
      <c r="E235" s="5" t="inlineStr">
        <is>
          <t>21-Feb-07</t>
        </is>
      </c>
      <c r="F235" s="5" t="inlineStr">
        <is>
          <t>LNH0925ND01</t>
        </is>
      </c>
      <c r="G235" s="105" t="n">
        <v>4465000</v>
      </c>
      <c r="H235">
        <f>VLOOKUP(B235,'[1]TONG HOP'!B$5:G$624,6,0)</f>
        <v/>
      </c>
      <c r="I235" t="n">
        <v>2232500</v>
      </c>
    </row>
    <row r="236">
      <c r="A236" s="5" t="n">
        <v>230</v>
      </c>
      <c r="B236" s="5" t="inlineStr">
        <is>
          <t>25803000403</t>
        </is>
      </c>
      <c r="C236" s="6" t="inlineStr">
        <is>
          <t>Nguyeãn Ngoïc Maån</t>
        </is>
      </c>
      <c r="D236" s="6" t="inlineStr">
        <is>
          <t>Nghi</t>
        </is>
      </c>
      <c r="E236" s="5" t="inlineStr">
        <is>
          <t>19-Mar-07</t>
        </is>
      </c>
      <c r="F236" s="5" t="inlineStr">
        <is>
          <t>LNH0925ND01</t>
        </is>
      </c>
      <c r="G236" s="105" t="n">
        <v>4465000</v>
      </c>
      <c r="H236">
        <f>VLOOKUP(B236,'[1]TONG HOP'!B$5:G$624,6,0)</f>
        <v/>
      </c>
      <c r="I236" t="n">
        <v>2232500</v>
      </c>
    </row>
    <row r="237">
      <c r="A237" s="5" t="n">
        <v>231</v>
      </c>
      <c r="B237" s="5" t="inlineStr">
        <is>
          <t>25806000082</t>
        </is>
      </c>
      <c r="C237" s="6" t="inlineStr">
        <is>
          <t>Nguyeãn Tuù</t>
        </is>
      </c>
      <c r="D237" s="6" t="inlineStr">
        <is>
          <t>Trinh</t>
        </is>
      </c>
      <c r="E237" s="5" t="inlineStr">
        <is>
          <t>18-Feb-07</t>
        </is>
      </c>
      <c r="F237" s="5" t="inlineStr">
        <is>
          <t>LNH0925ND01</t>
        </is>
      </c>
      <c r="G237" s="105" t="n">
        <v>4465000</v>
      </c>
    </row>
    <row r="238">
      <c r="A238" s="5" t="n">
        <v>232</v>
      </c>
      <c r="B238" s="5" t="inlineStr">
        <is>
          <t>25805900032</t>
        </is>
      </c>
      <c r="C238" s="6" t="inlineStr">
        <is>
          <t>Nguyeãn Leâ</t>
        </is>
      </c>
      <c r="D238" s="6" t="inlineStr">
        <is>
          <t>Phaùt</t>
        </is>
      </c>
      <c r="E238" s="5" t="inlineStr">
        <is>
          <t>27-Jun-07</t>
        </is>
      </c>
      <c r="F238" s="5" t="inlineStr">
        <is>
          <t>LNH0925ND01</t>
        </is>
      </c>
      <c r="G238" s="105" t="n">
        <v>4465000</v>
      </c>
      <c r="H238">
        <f>VLOOKUP(B238,'[1]TONG HOP'!B$5:G$624,6,0)</f>
        <v/>
      </c>
      <c r="I238" t="n">
        <v>2232500</v>
      </c>
    </row>
    <row r="239">
      <c r="A239" s="5" t="n">
        <v>233</v>
      </c>
      <c r="B239" s="5" t="inlineStr">
        <is>
          <t>25808900095</t>
        </is>
      </c>
      <c r="C239" s="6" t="inlineStr">
        <is>
          <t>Nguyeãn Höõu</t>
        </is>
      </c>
      <c r="D239" s="6" t="inlineStr">
        <is>
          <t>Phaùt</t>
        </is>
      </c>
      <c r="E239" s="5" t="inlineStr">
        <is>
          <t>28-Nov-06</t>
        </is>
      </c>
      <c r="F239" s="5" t="inlineStr">
        <is>
          <t>LNH0925ND01</t>
        </is>
      </c>
      <c r="G239" s="105" t="n">
        <v>4465000</v>
      </c>
      <c r="H239">
        <f>VLOOKUP(B239,'[1]TONG HOP'!B$5:G$624,6,0)</f>
        <v/>
      </c>
      <c r="I239" t="n">
        <v>2232500</v>
      </c>
    </row>
    <row r="240">
      <c r="A240" s="5" t="n">
        <v>234</v>
      </c>
      <c r="B240" s="5" t="inlineStr">
        <is>
          <t>25807800199</t>
        </is>
      </c>
      <c r="C240" s="6" t="inlineStr">
        <is>
          <t>Traàn Vónh</t>
        </is>
      </c>
      <c r="D240" s="6" t="inlineStr">
        <is>
          <t>Phuùc</t>
        </is>
      </c>
      <c r="E240" s="5" t="inlineStr">
        <is>
          <t>28-Sep-07</t>
        </is>
      </c>
      <c r="F240" s="5" t="inlineStr">
        <is>
          <t>LNH0925ND01</t>
        </is>
      </c>
      <c r="G240" s="105" t="n">
        <v>4465000</v>
      </c>
      <c r="H240">
        <f>VLOOKUP(B240,'[1]TONG HOP'!B$5:G$624,6,0)</f>
        <v/>
      </c>
      <c r="I240" t="n">
        <v>2232500</v>
      </c>
    </row>
    <row r="241">
      <c r="A241" s="5" t="n">
        <v>235</v>
      </c>
      <c r="B241" s="5" t="inlineStr">
        <is>
          <t>25820500007</t>
        </is>
      </c>
      <c r="C241" s="6" t="inlineStr">
        <is>
          <t>Traàn Vuõ Anh</t>
        </is>
      </c>
      <c r="D241" s="6" t="inlineStr">
        <is>
          <t>Kieät</t>
        </is>
      </c>
      <c r="E241" s="5" t="inlineStr">
        <is>
          <t>15-Sep-07</t>
        </is>
      </c>
      <c r="F241" s="5" t="inlineStr">
        <is>
          <t>LNH0925ND01</t>
        </is>
      </c>
      <c r="G241" s="105" t="n">
        <v>4465000</v>
      </c>
      <c r="H241">
        <f>VLOOKUP(B241,'[1]TONG HOP'!B$5:G$624,6,0)</f>
        <v/>
      </c>
      <c r="I241" t="n">
        <v>2232500</v>
      </c>
    </row>
    <row r="242">
      <c r="A242" s="5" t="n">
        <v>236</v>
      </c>
      <c r="B242" s="5" t="inlineStr">
        <is>
          <t>25801100105</t>
        </is>
      </c>
      <c r="C242" s="6" t="inlineStr">
        <is>
          <t>Voõ Anh</t>
        </is>
      </c>
      <c r="D242" s="6" t="inlineStr">
        <is>
          <t>Tuaán</t>
        </is>
      </c>
      <c r="E242" s="5" t="inlineStr">
        <is>
          <t>17-Jul-07</t>
        </is>
      </c>
      <c r="F242" s="5" t="inlineStr">
        <is>
          <t>LNH0925ND01</t>
        </is>
      </c>
      <c r="G242" s="105" t="n">
        <v>4465000</v>
      </c>
      <c r="H242">
        <f>VLOOKUP(B242,'[1]TONG HOP'!B$5:G$624,6,0)</f>
        <v/>
      </c>
      <c r="I242" t="n">
        <v>2232500</v>
      </c>
    </row>
    <row r="243">
      <c r="A243" s="5" t="n">
        <v>237</v>
      </c>
      <c r="B243" s="5" t="inlineStr">
        <is>
          <t>25808900055</t>
        </is>
      </c>
      <c r="C243" s="6" t="inlineStr">
        <is>
          <t>Huyønh Ngoïc Nguyeân</t>
        </is>
      </c>
      <c r="D243" s="6" t="inlineStr">
        <is>
          <t>Khanh</t>
        </is>
      </c>
      <c r="E243" s="5" t="inlineStr">
        <is>
          <t>02-Jan-07</t>
        </is>
      </c>
      <c r="F243" s="5" t="inlineStr">
        <is>
          <t>LNH0925ND01</t>
        </is>
      </c>
      <c r="G243" s="105" t="n">
        <v>4465000</v>
      </c>
      <c r="H243">
        <f>VLOOKUP(B243,'[1]TONG HOP'!B$5:G$624,6,0)</f>
        <v/>
      </c>
      <c r="I243" t="n">
        <v>2232500</v>
      </c>
    </row>
    <row r="244">
      <c r="A244" s="5" t="n">
        <v>238</v>
      </c>
      <c r="B244" s="5" t="inlineStr">
        <is>
          <t>25808600139</t>
        </is>
      </c>
      <c r="C244" s="6" t="inlineStr">
        <is>
          <t>Nguyeãn Thanh</t>
        </is>
      </c>
      <c r="D244" s="6" t="inlineStr">
        <is>
          <t>Truùc</t>
        </is>
      </c>
      <c r="E244" s="5" t="inlineStr">
        <is>
          <t>25-May-07</t>
        </is>
      </c>
      <c r="F244" s="5" t="inlineStr">
        <is>
          <t>LNH0925ND01</t>
        </is>
      </c>
      <c r="G244" s="105" t="n">
        <v>4465000</v>
      </c>
      <c r="H244">
        <f>VLOOKUP(B244,'[1]TONG HOP'!B$5:G$624,6,0)</f>
        <v/>
      </c>
      <c r="I244" t="n">
        <v>2232500</v>
      </c>
    </row>
    <row r="245">
      <c r="A245" s="5" t="n">
        <v>239</v>
      </c>
      <c r="B245" s="5" t="inlineStr">
        <is>
          <t>25800400145</t>
        </is>
      </c>
      <c r="C245" s="6" t="inlineStr">
        <is>
          <t>Leâ Ñaêng</t>
        </is>
      </c>
      <c r="D245" s="6" t="inlineStr">
        <is>
          <t>Thieân</t>
        </is>
      </c>
      <c r="E245" s="5" t="inlineStr">
        <is>
          <t>10-Oct-07</t>
        </is>
      </c>
      <c r="F245" s="5" t="inlineStr">
        <is>
          <t>LNH0925ND01</t>
        </is>
      </c>
      <c r="G245" s="105" t="n">
        <v>4465000</v>
      </c>
      <c r="H245">
        <f>VLOOKUP(B245,'[1]TONG HOP'!B$5:G$624,6,0)</f>
        <v/>
      </c>
      <c r="I245" t="n">
        <v>2232500</v>
      </c>
    </row>
    <row r="246">
      <c r="A246" s="5" t="n">
        <v>240</v>
      </c>
      <c r="B246" s="5" t="inlineStr">
        <is>
          <t>25801000013</t>
        </is>
      </c>
      <c r="C246" s="6" t="inlineStr">
        <is>
          <t>Traàn Ñaëng Kim</t>
        </is>
      </c>
      <c r="D246" s="6" t="inlineStr">
        <is>
          <t>Ngaân</t>
        </is>
      </c>
      <c r="E246" s="5" t="inlineStr">
        <is>
          <t>17-Oct-07</t>
        </is>
      </c>
      <c r="F246" s="5" t="inlineStr">
        <is>
          <t>LNH0925ND01</t>
        </is>
      </c>
      <c r="G246" s="105" t="n">
        <v>4465000</v>
      </c>
      <c r="H246">
        <f>VLOOKUP(B246,'[1]TONG HOP'!B$5:G$624,6,0)</f>
        <v/>
      </c>
      <c r="I246" t="n">
        <v>2232500</v>
      </c>
    </row>
    <row r="247">
      <c r="A247" s="5" t="n">
        <v>241</v>
      </c>
      <c r="B247" s="5" t="inlineStr">
        <is>
          <t>25801600005</t>
        </is>
      </c>
      <c r="C247" s="6" t="inlineStr">
        <is>
          <t>Ngoâ Khaéc Vaân</t>
        </is>
      </c>
      <c r="D247" s="6" t="inlineStr">
        <is>
          <t>Anh</t>
        </is>
      </c>
      <c r="E247" s="5" t="inlineStr">
        <is>
          <t>18-Mar-07</t>
        </is>
      </c>
      <c r="F247" s="5" t="inlineStr">
        <is>
          <t>LNH0925ND01</t>
        </is>
      </c>
      <c r="G247" s="105" t="n">
        <v>4465000</v>
      </c>
      <c r="H247">
        <f>VLOOKUP(B247,'[1]TONG HOP'!B$5:G$624,6,0)</f>
        <v/>
      </c>
      <c r="I247" t="n">
        <v>2232500</v>
      </c>
    </row>
    <row r="248">
      <c r="A248" s="5" t="n">
        <v>242</v>
      </c>
      <c r="B248" s="5" t="inlineStr">
        <is>
          <t>25801800033</t>
        </is>
      </c>
      <c r="C248" s="6" t="inlineStr">
        <is>
          <t>Ñoaøn Ñaéc</t>
        </is>
      </c>
      <c r="D248" s="6" t="inlineStr">
        <is>
          <t>Maïnh</t>
        </is>
      </c>
      <c r="E248" s="5" t="inlineStr">
        <is>
          <t>24-Sep-07</t>
        </is>
      </c>
      <c r="F248" s="5" t="inlineStr">
        <is>
          <t>LNH0925ND01</t>
        </is>
      </c>
      <c r="G248" s="105" t="n">
        <v>4465000</v>
      </c>
    </row>
    <row r="249">
      <c r="A249" s="5" t="n">
        <v>243</v>
      </c>
      <c r="B249" s="5" t="inlineStr">
        <is>
          <t>25806800008</t>
        </is>
      </c>
      <c r="C249" s="6" t="inlineStr">
        <is>
          <t>Baøng Thanh</t>
        </is>
      </c>
      <c r="D249" s="6" t="inlineStr">
        <is>
          <t>Baûo</t>
        </is>
      </c>
      <c r="E249" s="5" t="inlineStr">
        <is>
          <t>06-Feb-07</t>
        </is>
      </c>
      <c r="F249" s="5" t="inlineStr">
        <is>
          <t>LNH0925ND01</t>
        </is>
      </c>
      <c r="G249" s="105" t="n">
        <v>4465000</v>
      </c>
      <c r="H249">
        <f>VLOOKUP(B249,'[1]TONG HOP'!B$5:G$624,6,0)</f>
        <v/>
      </c>
      <c r="I249" t="n">
        <v>2232500</v>
      </c>
    </row>
    <row r="250">
      <c r="A250" s="5" t="n">
        <v>244</v>
      </c>
      <c r="B250" s="5" t="inlineStr">
        <is>
          <t>25808200180</t>
        </is>
      </c>
      <c r="C250" s="6" t="inlineStr">
        <is>
          <t>Traàn Phöôùc</t>
        </is>
      </c>
      <c r="D250" s="6" t="inlineStr">
        <is>
          <t>Ñaït</t>
        </is>
      </c>
      <c r="E250" s="5" t="inlineStr">
        <is>
          <t>03-Jan-07</t>
        </is>
      </c>
      <c r="F250" s="5" t="inlineStr">
        <is>
          <t>LNH0925ND01</t>
        </is>
      </c>
      <c r="G250" s="105" t="n">
        <v>4465000</v>
      </c>
      <c r="H250">
        <f>VLOOKUP(B250,'[1]TONG HOP'!B$5:G$624,6,0)</f>
        <v/>
      </c>
      <c r="I250" t="n">
        <v>2232500</v>
      </c>
    </row>
    <row r="251">
      <c r="A251" s="5" t="n">
        <v>245</v>
      </c>
      <c r="B251" s="5" t="inlineStr">
        <is>
          <t>25800400130</t>
        </is>
      </c>
      <c r="C251" s="6" t="inlineStr">
        <is>
          <t>Nguyeãn Löu Ñoâng</t>
        </is>
      </c>
      <c r="D251" s="6" t="inlineStr">
        <is>
          <t>Quaân</t>
        </is>
      </c>
      <c r="E251" s="5" t="inlineStr">
        <is>
          <t>27-Jun-07</t>
        </is>
      </c>
      <c r="F251" s="5" t="inlineStr">
        <is>
          <t>LNH0925ND01</t>
        </is>
      </c>
      <c r="G251" s="105" t="n">
        <v>4465000</v>
      </c>
      <c r="H251">
        <f>VLOOKUP(B251,'[1]TONG HOP'!B$5:G$624,6,0)</f>
        <v/>
      </c>
      <c r="I251" t="n">
        <v>2232500</v>
      </c>
    </row>
    <row r="252">
      <c r="A252" s="5" t="n">
        <v>246</v>
      </c>
      <c r="B252" s="5" t="inlineStr">
        <is>
          <t>25802800014</t>
        </is>
      </c>
      <c r="C252" s="6" t="inlineStr">
        <is>
          <t>Buøi Voõ Thieân</t>
        </is>
      </c>
      <c r="D252" s="6" t="inlineStr">
        <is>
          <t>AÂn</t>
        </is>
      </c>
      <c r="E252" s="5" t="inlineStr">
        <is>
          <t>01-Jan-07</t>
        </is>
      </c>
      <c r="F252" s="5" t="inlineStr">
        <is>
          <t>LNH0925ND01</t>
        </is>
      </c>
      <c r="G252" s="105" t="n">
        <v>4465000</v>
      </c>
      <c r="H252">
        <f>VLOOKUP(B252,'[1]TONG HOP'!B$5:G$624,6,0)</f>
        <v/>
      </c>
      <c r="I252" t="n">
        <v>2232500</v>
      </c>
    </row>
    <row r="253">
      <c r="A253" s="5" t="n">
        <v>247</v>
      </c>
      <c r="B253" s="5" t="inlineStr">
        <is>
          <t>25808200061</t>
        </is>
      </c>
      <c r="C253" s="6" t="inlineStr">
        <is>
          <t>Nguyeãn Huy</t>
        </is>
      </c>
      <c r="D253" s="6" t="inlineStr">
        <is>
          <t>Kha</t>
        </is>
      </c>
      <c r="E253" s="5" t="inlineStr">
        <is>
          <t>01-Jan-07</t>
        </is>
      </c>
      <c r="F253" s="5" t="inlineStr">
        <is>
          <t>LNH0925ND01</t>
        </is>
      </c>
      <c r="G253" s="105" t="n">
        <v>4940000</v>
      </c>
    </row>
    <row r="254">
      <c r="A254" s="5" t="n">
        <v>248</v>
      </c>
      <c r="B254" s="5" t="inlineStr">
        <is>
          <t>25808200014</t>
        </is>
      </c>
      <c r="C254" s="6" t="inlineStr">
        <is>
          <t>Ñinh Ñaêng</t>
        </is>
      </c>
      <c r="D254" s="6" t="inlineStr">
        <is>
          <t>Baûo</t>
        </is>
      </c>
      <c r="E254" s="5" t="inlineStr">
        <is>
          <t>23-Jun-07</t>
        </is>
      </c>
      <c r="F254" s="5" t="inlineStr">
        <is>
          <t>LNH0925ND01</t>
        </is>
      </c>
      <c r="G254" s="105" t="n">
        <v>4940000</v>
      </c>
    </row>
    <row r="255">
      <c r="A255" s="5" t="n">
        <v>249</v>
      </c>
      <c r="B255" s="5" t="inlineStr">
        <is>
          <t>25806300036</t>
        </is>
      </c>
      <c r="C255" s="6" t="inlineStr">
        <is>
          <t>Huyønh Minh</t>
        </is>
      </c>
      <c r="D255" s="6" t="inlineStr">
        <is>
          <t>Trí</t>
        </is>
      </c>
      <c r="E255" s="5" t="inlineStr">
        <is>
          <t>01-Oct-07</t>
        </is>
      </c>
      <c r="F255" s="5" t="inlineStr">
        <is>
          <t>LNH0925ND01</t>
        </is>
      </c>
      <c r="G255" s="105" t="n">
        <v>4940000</v>
      </c>
    </row>
    <row r="256">
      <c r="A256" s="5" t="n">
        <v>250</v>
      </c>
      <c r="B256" s="5" t="inlineStr">
        <is>
          <t>25802800041</t>
        </is>
      </c>
      <c r="C256" s="6" t="inlineStr">
        <is>
          <t>Nguyeãn Quoác</t>
        </is>
      </c>
      <c r="D256" s="6" t="inlineStr">
        <is>
          <t>Ñaït</t>
        </is>
      </c>
      <c r="E256" s="5" t="inlineStr">
        <is>
          <t>02-Feb-06</t>
        </is>
      </c>
      <c r="F256" s="5" t="inlineStr">
        <is>
          <t>LNH0925ND01</t>
        </is>
      </c>
      <c r="G256" s="105" t="n">
        <v>8415000</v>
      </c>
      <c r="H256">
        <f>VLOOKUP(B256,'[1]TONG HOP'!B$5:G$624,6,0)</f>
        <v/>
      </c>
      <c r="I256" t="n">
        <v>2103750</v>
      </c>
    </row>
    <row r="257">
      <c r="A257" s="5" t="n">
        <v>251</v>
      </c>
      <c r="B257" s="5" t="inlineStr">
        <is>
          <t>25808200072</t>
        </is>
      </c>
      <c r="C257" s="6" t="inlineStr">
        <is>
          <t>Hoàng Vaên</t>
        </is>
      </c>
      <c r="D257" s="6" t="inlineStr">
        <is>
          <t>Kieân</t>
        </is>
      </c>
      <c r="E257" s="5" t="inlineStr">
        <is>
          <t>10-Nov-07</t>
        </is>
      </c>
      <c r="F257" s="5" t="inlineStr">
        <is>
          <t>LNH0925ND01</t>
        </is>
      </c>
      <c r="G257" s="105" t="n">
        <v>5000000</v>
      </c>
      <c r="H257">
        <f>VLOOKUP(B257,'[1]TONG HOP'!B$5:G$624,6,0)</f>
        <v/>
      </c>
      <c r="I257" t="n">
        <v>2232500</v>
      </c>
    </row>
    <row r="258">
      <c r="A258" s="5" t="n">
        <v>252</v>
      </c>
      <c r="B258" s="5" t="inlineStr">
        <is>
          <t>25807900003</t>
        </is>
      </c>
      <c r="C258" s="6" t="inlineStr">
        <is>
          <t>Leâ Gia</t>
        </is>
      </c>
      <c r="D258" s="6" t="inlineStr">
        <is>
          <t>Baûo</t>
        </is>
      </c>
      <c r="E258" s="5" t="inlineStr">
        <is>
          <t>16-Feb-07</t>
        </is>
      </c>
      <c r="F258" s="5" t="inlineStr">
        <is>
          <t>LNH0925ND01</t>
        </is>
      </c>
      <c r="G258" s="105" t="n">
        <v>8415000</v>
      </c>
      <c r="H258">
        <f>VLOOKUP(B258,'[1]TONG HOP'!B$5:G$624,6,0)</f>
        <v/>
      </c>
      <c r="I258" t="n">
        <v>2103750</v>
      </c>
    </row>
    <row r="259">
      <c r="A259" s="5" t="n">
        <v>253</v>
      </c>
      <c r="B259" s="5" t="inlineStr">
        <is>
          <t>25808700011</t>
        </is>
      </c>
      <c r="C259" s="6" t="inlineStr">
        <is>
          <t>Laâm Ngoïc Thuøy</t>
        </is>
      </c>
      <c r="D259" s="6" t="inlineStr">
        <is>
          <t>Döông</t>
        </is>
      </c>
      <c r="E259" s="5" t="inlineStr">
        <is>
          <t>03-Jul-07</t>
        </is>
      </c>
      <c r="F259" s="5" t="inlineStr">
        <is>
          <t>LNH0925ND01</t>
        </is>
      </c>
      <c r="G259" s="105" t="n">
        <v>8415000</v>
      </c>
      <c r="H259">
        <f>VLOOKUP(B259,'[1]TONG HOP'!B$5:G$624,6,0)</f>
        <v/>
      </c>
      <c r="I259" t="n">
        <v>2103750</v>
      </c>
    </row>
    <row r="260">
      <c r="A260" s="5" t="n">
        <v>254</v>
      </c>
      <c r="B260" s="5" t="inlineStr">
        <is>
          <t>25803800021</t>
        </is>
      </c>
      <c r="C260" s="6" t="inlineStr">
        <is>
          <t>Ñoã Quoác</t>
        </is>
      </c>
      <c r="D260" s="6" t="inlineStr">
        <is>
          <t>Khaùnh</t>
        </is>
      </c>
      <c r="E260" s="5" t="inlineStr">
        <is>
          <t>20-May-07</t>
        </is>
      </c>
      <c r="F260" s="5" t="inlineStr">
        <is>
          <t>LNH0925ND01</t>
        </is>
      </c>
      <c r="G260" s="105" t="n">
        <v>8415000</v>
      </c>
      <c r="H260">
        <f>VLOOKUP(B260,'[1]TONG HOP'!B$5:G$624,6,0)</f>
        <v/>
      </c>
      <c r="I260" t="n">
        <v>2103750</v>
      </c>
    </row>
    <row r="261">
      <c r="A261" s="5" t="n">
        <v>255</v>
      </c>
      <c r="B261" s="5" t="inlineStr">
        <is>
          <t>25808200067</t>
        </is>
      </c>
      <c r="C261" s="6" t="inlineStr">
        <is>
          <t>Nguyeãn Ngoïc Ñaêng</t>
        </is>
      </c>
      <c r="D261" s="6" t="inlineStr">
        <is>
          <t>Khoa</t>
        </is>
      </c>
      <c r="E261" s="5" t="inlineStr">
        <is>
          <t>16-May-07</t>
        </is>
      </c>
      <c r="F261" s="5" t="inlineStr">
        <is>
          <t>LNH0925ND01</t>
        </is>
      </c>
      <c r="G261" s="105" t="n">
        <v>8415000</v>
      </c>
      <c r="H261">
        <f>VLOOKUP(B261,'[1]TONG HOP'!B$5:G$624,6,0)</f>
        <v/>
      </c>
      <c r="I261" t="n">
        <v>2103750</v>
      </c>
    </row>
    <row r="262">
      <c r="A262" s="5" t="n">
        <v>256</v>
      </c>
      <c r="B262" s="5" t="inlineStr">
        <is>
          <t>25820500009</t>
        </is>
      </c>
      <c r="C262" s="6" t="inlineStr">
        <is>
          <t>Huyønh Uyeån</t>
        </is>
      </c>
      <c r="D262" s="6" t="inlineStr">
        <is>
          <t>My</t>
        </is>
      </c>
      <c r="E262" s="5" t="inlineStr">
        <is>
          <t>08-Apr-07</t>
        </is>
      </c>
      <c r="F262" s="5" t="inlineStr">
        <is>
          <t>LNH0925ND01</t>
        </is>
      </c>
      <c r="G262" s="105" t="n">
        <v>7540000</v>
      </c>
    </row>
    <row r="263">
      <c r="A263" s="5" t="n">
        <v>257</v>
      </c>
      <c r="B263" s="5" t="inlineStr">
        <is>
          <t>25800400152</t>
        </is>
      </c>
      <c r="C263" s="6" t="inlineStr">
        <is>
          <t>Ñaøo Quoác</t>
        </is>
      </c>
      <c r="D263" s="6" t="inlineStr">
        <is>
          <t>Thuaän</t>
        </is>
      </c>
      <c r="E263" s="5" t="inlineStr">
        <is>
          <t>09-May-07</t>
        </is>
      </c>
      <c r="F263" s="5" t="inlineStr">
        <is>
          <t>LNH0925ND01</t>
        </is>
      </c>
      <c r="G263" s="105" t="n">
        <v>8415000</v>
      </c>
      <c r="H263">
        <f>VLOOKUP(B263,'[1]TONG HOP'!B$5:G$624,6,0)</f>
        <v/>
      </c>
      <c r="I263" t="n">
        <v>2103750</v>
      </c>
    </row>
    <row r="264">
      <c r="A264" s="5" t="n">
        <v>258</v>
      </c>
      <c r="B264" s="5" t="inlineStr">
        <is>
          <t>25801800082</t>
        </is>
      </c>
      <c r="C264" s="6" t="inlineStr">
        <is>
          <t>Nguyeãn Anh</t>
        </is>
      </c>
      <c r="D264" s="6" t="inlineStr">
        <is>
          <t>Tuaán</t>
        </is>
      </c>
      <c r="E264" s="5" t="inlineStr">
        <is>
          <t>02-Jan-07</t>
        </is>
      </c>
      <c r="F264" s="5" t="inlineStr">
        <is>
          <t>LNH0925ND01</t>
        </is>
      </c>
      <c r="G264" s="105" t="n">
        <v>8415000</v>
      </c>
      <c r="H264">
        <f>VLOOKUP(B264,'[1]TONG HOP'!B$5:G$624,6,0)</f>
        <v/>
      </c>
      <c r="I264" t="n">
        <v>2103750</v>
      </c>
    </row>
    <row r="265">
      <c r="A265" s="5" t="n">
        <v>259</v>
      </c>
      <c r="B265" s="5" t="inlineStr">
        <is>
          <t>25802800087</t>
        </is>
      </c>
      <c r="C265" s="6" t="inlineStr">
        <is>
          <t>Höôùng Huyønh Gia</t>
        </is>
      </c>
      <c r="D265" s="6" t="inlineStr">
        <is>
          <t>Huy</t>
        </is>
      </c>
      <c r="E265" s="5" t="inlineStr">
        <is>
          <t>12-Jul-07</t>
        </is>
      </c>
      <c r="F265" s="5" t="inlineStr">
        <is>
          <t>LNH0925ND01</t>
        </is>
      </c>
      <c r="G265" s="105" t="n">
        <v>8415000</v>
      </c>
      <c r="H265">
        <f>VLOOKUP(B265,'[1]TONG HOP'!B$5:G$624,6,0)</f>
        <v/>
      </c>
      <c r="I265" t="n">
        <v>2103750</v>
      </c>
    </row>
    <row r="266">
      <c r="A266" s="5" t="n">
        <v>260</v>
      </c>
      <c r="B266" s="5" t="inlineStr">
        <is>
          <t>25808700099</t>
        </is>
      </c>
      <c r="C266" s="6" t="inlineStr">
        <is>
          <t>Leâ Nguyeãn Myõ</t>
        </is>
      </c>
      <c r="D266" s="6" t="inlineStr">
        <is>
          <t>Thöôøng</t>
        </is>
      </c>
      <c r="E266" s="5" t="inlineStr">
        <is>
          <t>24-Mar-07</t>
        </is>
      </c>
      <c r="F266" s="5" t="inlineStr">
        <is>
          <t>LNH0925ND01</t>
        </is>
      </c>
      <c r="G266" s="105" t="n">
        <v>8415000</v>
      </c>
      <c r="H266">
        <f>VLOOKUP(B266,'[1]TONG HOP'!B$5:G$624,6,0)</f>
        <v/>
      </c>
      <c r="I266" t="n">
        <v>2103750</v>
      </c>
    </row>
    <row r="267">
      <c r="A267" s="5" t="n">
        <v>261</v>
      </c>
      <c r="B267" s="5" t="inlineStr">
        <is>
          <t>25807500063</t>
        </is>
      </c>
      <c r="C267" s="6" t="inlineStr">
        <is>
          <t>Ngoâ Ngoïc</t>
        </is>
      </c>
      <c r="D267" s="6" t="inlineStr">
        <is>
          <t>Long</t>
        </is>
      </c>
      <c r="E267" s="5" t="inlineStr">
        <is>
          <t>29-Dec-07</t>
        </is>
      </c>
      <c r="F267" s="5" t="inlineStr">
        <is>
          <t>LNH0925ND01</t>
        </is>
      </c>
      <c r="G267" s="105" t="n">
        <v>8415000</v>
      </c>
      <c r="H267">
        <f>VLOOKUP(B267,'[1]TONG HOP'!B$5:G$624,6,0)</f>
        <v/>
      </c>
      <c r="I267" t="n">
        <v>2103750</v>
      </c>
    </row>
    <row r="268">
      <c r="A268" s="5" t="n">
        <v>262</v>
      </c>
      <c r="B268" s="5" t="inlineStr">
        <is>
          <t>25808600160</t>
        </is>
      </c>
      <c r="C268" s="6" t="inlineStr">
        <is>
          <t>Nguyeãn Thò Nhö</t>
        </is>
      </c>
      <c r="D268" s="6" t="inlineStr">
        <is>
          <t>YÙ</t>
        </is>
      </c>
      <c r="E268" s="5" t="inlineStr">
        <is>
          <t>11-Mar-07</t>
        </is>
      </c>
      <c r="F268" s="5" t="inlineStr">
        <is>
          <t>LNH0925ND01</t>
        </is>
      </c>
      <c r="G268" s="105" t="n">
        <v>8415000</v>
      </c>
      <c r="H268">
        <f>VLOOKUP(B268,'[1]TONG HOP'!B$5:G$624,6,0)</f>
        <v/>
      </c>
      <c r="I268" t="n">
        <v>2103750</v>
      </c>
    </row>
    <row r="269">
      <c r="A269" s="5" t="n">
        <v>263</v>
      </c>
      <c r="B269" s="5" t="inlineStr">
        <is>
          <t>25808200139</t>
        </is>
      </c>
      <c r="C269" s="6" t="inlineStr">
        <is>
          <t>Löông Maïnh</t>
        </is>
      </c>
      <c r="D269" s="6" t="inlineStr">
        <is>
          <t>Tuaán</t>
        </is>
      </c>
      <c r="E269" s="5" t="inlineStr">
        <is>
          <t>18-Oct-07</t>
        </is>
      </c>
      <c r="F269" s="5" t="inlineStr">
        <is>
          <t>LNH0925ND01</t>
        </is>
      </c>
      <c r="G269" s="105" t="n">
        <v>8415000</v>
      </c>
      <c r="H269">
        <f>VLOOKUP(B269,'[1]TONG HOP'!B$5:G$624,6,0)</f>
        <v/>
      </c>
      <c r="I269" t="n">
        <v>2103750</v>
      </c>
    </row>
    <row r="270">
      <c r="A270" s="5" t="n">
        <v>264</v>
      </c>
      <c r="B270" s="5" t="inlineStr">
        <is>
          <t>25808700114</t>
        </is>
      </c>
      <c r="C270" s="6" t="inlineStr">
        <is>
          <t>Nguyeãn Höõu</t>
        </is>
      </c>
      <c r="D270" s="6" t="inlineStr">
        <is>
          <t>Tröôøng</t>
        </is>
      </c>
      <c r="E270" s="5" t="inlineStr">
        <is>
          <t>18-Aug-07</t>
        </is>
      </c>
      <c r="F270" s="5" t="inlineStr">
        <is>
          <t>LNH0925ND01</t>
        </is>
      </c>
      <c r="G270" s="105" t="n">
        <v>8415000</v>
      </c>
      <c r="H270">
        <f>VLOOKUP(B270,'[1]TONG HOP'!B$5:G$624,6,0)</f>
        <v/>
      </c>
      <c r="I270" t="n">
        <v>2103750</v>
      </c>
    </row>
    <row r="271">
      <c r="A271" s="5" t="n">
        <v>265</v>
      </c>
      <c r="B271" s="5" t="inlineStr">
        <is>
          <t>25808200051</t>
        </is>
      </c>
      <c r="C271" s="6" t="inlineStr">
        <is>
          <t>Lö Gia</t>
        </is>
      </c>
      <c r="D271" s="6" t="inlineStr">
        <is>
          <t>Huy</t>
        </is>
      </c>
      <c r="E271" s="5" t="inlineStr">
        <is>
          <t>16-Nov-07</t>
        </is>
      </c>
      <c r="F271" s="5" t="inlineStr">
        <is>
          <t>LNH0925ND01</t>
        </is>
      </c>
      <c r="G271" s="105" t="n">
        <v>8415000</v>
      </c>
      <c r="H271">
        <f>VLOOKUP(B271,'[1]TONG HOP'!B$5:G$624,6,0)</f>
        <v/>
      </c>
      <c r="I271" t="n">
        <v>2103750</v>
      </c>
    </row>
    <row r="272">
      <c r="A272" s="5" t="n">
        <v>266</v>
      </c>
      <c r="B272" s="5" t="inlineStr">
        <is>
          <t>25800500135</t>
        </is>
      </c>
      <c r="C272" s="6" t="inlineStr">
        <is>
          <t>Leâ Thanh</t>
        </is>
      </c>
      <c r="D272" s="6" t="inlineStr">
        <is>
          <t>Phong</t>
        </is>
      </c>
      <c r="E272" s="5" t="inlineStr">
        <is>
          <t>23-Nov-07</t>
        </is>
      </c>
      <c r="F272" s="5" t="inlineStr">
        <is>
          <t>LNH0925ND01</t>
        </is>
      </c>
      <c r="G272" s="105" t="n">
        <v>8415000</v>
      </c>
    </row>
    <row r="273">
      <c r="A273" s="5" t="n">
        <v>267</v>
      </c>
      <c r="B273" s="5" t="inlineStr">
        <is>
          <t>25807500032</t>
        </is>
      </c>
      <c r="C273" s="6" t="inlineStr">
        <is>
          <t>Traàn Ngoïc</t>
        </is>
      </c>
      <c r="D273" s="6" t="inlineStr">
        <is>
          <t>Hieáu</t>
        </is>
      </c>
      <c r="E273" s="5" t="inlineStr">
        <is>
          <t>05-Dec-07</t>
        </is>
      </c>
      <c r="F273" s="5" t="inlineStr">
        <is>
          <t>LNH0925ND01</t>
        </is>
      </c>
      <c r="G273" s="105" t="n">
        <v>8415000</v>
      </c>
      <c r="H273">
        <f>VLOOKUP(B273,'[1]TONG HOP'!B$5:G$624,6,0)</f>
        <v/>
      </c>
      <c r="I273" t="n">
        <v>2103750</v>
      </c>
    </row>
    <row r="274">
      <c r="A274" s="5" t="n">
        <v>268</v>
      </c>
      <c r="B274" s="5" t="inlineStr">
        <is>
          <t>25820300043</t>
        </is>
      </c>
      <c r="C274" s="6" t="inlineStr">
        <is>
          <t>Traàn Taán</t>
        </is>
      </c>
      <c r="D274" s="6" t="inlineStr">
        <is>
          <t>Phaùt</t>
        </is>
      </c>
      <c r="E274" s="5" t="inlineStr">
        <is>
          <t>09-Mar-07</t>
        </is>
      </c>
      <c r="F274" s="5" t="inlineStr">
        <is>
          <t>LNH0925ND01</t>
        </is>
      </c>
      <c r="G274" s="105" t="n">
        <v>8415000</v>
      </c>
      <c r="H274">
        <f>VLOOKUP(B274,'[1]TONG HOP'!B$5:G$624,6,0)</f>
        <v/>
      </c>
      <c r="I274" t="n">
        <v>2103750</v>
      </c>
    </row>
    <row r="275">
      <c r="A275" s="5" t="n">
        <v>269</v>
      </c>
      <c r="B275" s="5" t="inlineStr">
        <is>
          <t>25820100030</t>
        </is>
      </c>
      <c r="C275" s="6" t="inlineStr">
        <is>
          <t>Phan Vuõ Gia</t>
        </is>
      </c>
      <c r="D275" s="6" t="inlineStr">
        <is>
          <t>Minh</t>
        </is>
      </c>
      <c r="E275" s="5" t="inlineStr">
        <is>
          <t>12-Jan-07</t>
        </is>
      </c>
      <c r="F275" s="5" t="inlineStr">
        <is>
          <t>LNH0925ND01</t>
        </is>
      </c>
      <c r="G275" s="105" t="n">
        <v>8415000</v>
      </c>
      <c r="H275">
        <f>VLOOKUP(B275,'[1]TONG HOP'!B$5:G$624,6,0)</f>
        <v/>
      </c>
      <c r="I275" t="n">
        <v>2103750</v>
      </c>
    </row>
    <row r="276">
      <c r="A276" s="5" t="n">
        <v>270</v>
      </c>
      <c r="B276" s="5" t="inlineStr">
        <is>
          <t>25800500155</t>
        </is>
      </c>
      <c r="C276" s="6" t="inlineStr">
        <is>
          <t>Phaïm Duy</t>
        </is>
      </c>
      <c r="D276" s="6" t="inlineStr">
        <is>
          <t>Taân</t>
        </is>
      </c>
      <c r="E276" s="5" t="inlineStr">
        <is>
          <t>06-May-07</t>
        </is>
      </c>
      <c r="F276" s="5" t="inlineStr">
        <is>
          <t>LNH0925ND01</t>
        </is>
      </c>
      <c r="G276" s="105" t="n">
        <v>8415000</v>
      </c>
      <c r="H276">
        <f>VLOOKUP(B276,'[1]TONG HOP'!B$5:G$624,6,0)</f>
        <v/>
      </c>
      <c r="I276" t="n">
        <v>2103750</v>
      </c>
    </row>
    <row r="277">
      <c r="A277" s="5" t="n">
        <v>271</v>
      </c>
      <c r="B277" s="5" t="inlineStr">
        <is>
          <t>25802800157</t>
        </is>
      </c>
      <c r="C277" s="6" t="inlineStr">
        <is>
          <t>Nguyeãn Taán</t>
        </is>
      </c>
      <c r="D277" s="6" t="inlineStr">
        <is>
          <t>Nghóa</t>
        </is>
      </c>
      <c r="E277" s="5" t="inlineStr">
        <is>
          <t>19-Nov-06</t>
        </is>
      </c>
      <c r="F277" s="5" t="inlineStr">
        <is>
          <t>LNH0925ND01</t>
        </is>
      </c>
      <c r="G277" s="105" t="n">
        <v>8415000</v>
      </c>
      <c r="H277">
        <f>VLOOKUP(B277,'[1]TONG HOP'!B$5:G$624,6,0)</f>
        <v/>
      </c>
      <c r="I277" t="n">
        <v>2103750</v>
      </c>
    </row>
    <row r="278">
      <c r="A278" s="5" t="n">
        <v>272</v>
      </c>
      <c r="B278" s="5" t="inlineStr">
        <is>
          <t>25805900043</t>
        </is>
      </c>
      <c r="C278" s="6" t="inlineStr">
        <is>
          <t>Nguyeãn Phöông</t>
        </is>
      </c>
      <c r="D278" s="6" t="inlineStr">
        <is>
          <t>Thaûo</t>
        </is>
      </c>
      <c r="E278" s="5" t="inlineStr">
        <is>
          <t>23-Jan-07</t>
        </is>
      </c>
      <c r="F278" s="5" t="inlineStr">
        <is>
          <t>LNH0925ND01</t>
        </is>
      </c>
      <c r="G278" s="105" t="n">
        <v>8415000</v>
      </c>
      <c r="H278">
        <f>VLOOKUP(B278,'[1]TONG HOP'!B$5:G$624,6,0)</f>
        <v/>
      </c>
      <c r="I278" t="n">
        <v>2103750</v>
      </c>
    </row>
    <row r="279">
      <c r="A279" s="5" t="n">
        <v>273</v>
      </c>
      <c r="B279" s="5" t="inlineStr">
        <is>
          <t>25807900073</t>
        </is>
      </c>
      <c r="C279" s="6" t="inlineStr">
        <is>
          <t>Tröông Taán</t>
        </is>
      </c>
      <c r="D279" s="6" t="inlineStr">
        <is>
          <t>Long</t>
        </is>
      </c>
      <c r="E279" s="5" t="inlineStr">
        <is>
          <t>20-Oct-07</t>
        </is>
      </c>
      <c r="F279" s="5" t="inlineStr">
        <is>
          <t>LNH0925ND01</t>
        </is>
      </c>
      <c r="G279" s="105" t="n">
        <v>8415000</v>
      </c>
      <c r="H279">
        <f>VLOOKUP(B279,'[1]TONG HOP'!B$5:G$624,6,0)</f>
        <v/>
      </c>
      <c r="I279" t="n">
        <v>2103750</v>
      </c>
    </row>
    <row r="280">
      <c r="A280" s="5" t="n">
        <v>274</v>
      </c>
      <c r="B280" s="5" t="inlineStr">
        <is>
          <t>25807400005</t>
        </is>
      </c>
      <c r="C280" s="6" t="inlineStr">
        <is>
          <t>Nguyeãn Vaên Huy</t>
        </is>
      </c>
      <c r="D280" s="6" t="inlineStr">
        <is>
          <t>Hoaøng</t>
        </is>
      </c>
      <c r="E280" s="5" t="inlineStr">
        <is>
          <t>10-Dec-07</t>
        </is>
      </c>
      <c r="F280" s="5" t="inlineStr">
        <is>
          <t>LNH0925ND01</t>
        </is>
      </c>
      <c r="G280" s="105" t="n">
        <v>8415000</v>
      </c>
    </row>
    <row r="281">
      <c r="A281" s="5" t="n">
        <v>275</v>
      </c>
      <c r="B281" s="5" t="inlineStr">
        <is>
          <t>25820100028</t>
        </is>
      </c>
      <c r="C281" s="6" t="inlineStr">
        <is>
          <t>Traàn Nguyeãn Hoaøng</t>
        </is>
      </c>
      <c r="D281" s="6" t="inlineStr">
        <is>
          <t>Long</t>
        </is>
      </c>
      <c r="E281" s="5" t="inlineStr">
        <is>
          <t>26-Nov-07</t>
        </is>
      </c>
      <c r="F281" s="5" t="inlineStr">
        <is>
          <t>LNH0925ND01</t>
        </is>
      </c>
      <c r="G281" s="105" t="n">
        <v>8415000</v>
      </c>
      <c r="H281">
        <f>VLOOKUP(B281,'[1]TONG HOP'!B$5:G$624,6,0)</f>
        <v/>
      </c>
      <c r="I281" t="n">
        <v>2103750</v>
      </c>
    </row>
    <row r="282">
      <c r="A282" s="5" t="n">
        <v>276</v>
      </c>
      <c r="B282" s="5" t="inlineStr">
        <is>
          <t>25820200112</t>
        </is>
      </c>
      <c r="C282" s="6" t="inlineStr">
        <is>
          <t>Buøi Quang</t>
        </is>
      </c>
      <c r="D282" s="6" t="inlineStr">
        <is>
          <t>Minh</t>
        </is>
      </c>
      <c r="E282" s="5" t="inlineStr">
        <is>
          <t>15-Dec-07</t>
        </is>
      </c>
      <c r="F282" s="5" t="inlineStr">
        <is>
          <t>LNH0925ND01</t>
        </is>
      </c>
      <c r="G282" s="105" t="n">
        <v>8415000</v>
      </c>
      <c r="H282">
        <f>VLOOKUP(B282,'[1]TONG HOP'!B$5:G$624,6,0)</f>
        <v/>
      </c>
      <c r="I282" t="n">
        <v>2103750</v>
      </c>
    </row>
    <row r="283">
      <c r="A283" s="5" t="n">
        <v>277</v>
      </c>
      <c r="B283" s="5" t="inlineStr">
        <is>
          <t>25803800007</t>
        </is>
      </c>
      <c r="C283" s="6" t="inlineStr">
        <is>
          <t>Nguyeãn Laâm Thieân</t>
        </is>
      </c>
      <c r="D283" s="6" t="inlineStr">
        <is>
          <t>Baûo</t>
        </is>
      </c>
      <c r="E283" s="5" t="inlineStr">
        <is>
          <t>14-Mar-07</t>
        </is>
      </c>
      <c r="F283" s="5" t="inlineStr">
        <is>
          <t>LNH0925ND01</t>
        </is>
      </c>
      <c r="G283" s="105" t="n">
        <v>8415000</v>
      </c>
      <c r="H283">
        <f>VLOOKUP(B283,'[1]TONG HOP'!B$5:G$624,6,0)</f>
        <v/>
      </c>
      <c r="I283" t="n">
        <v>2103750</v>
      </c>
    </row>
    <row r="284">
      <c r="A284" s="5" t="n">
        <v>278</v>
      </c>
      <c r="B284" s="5" t="inlineStr">
        <is>
          <t>25802800145</t>
        </is>
      </c>
      <c r="C284" s="6" t="inlineStr">
        <is>
          <t>Kieàu Coâng</t>
        </is>
      </c>
      <c r="D284" s="6" t="inlineStr">
        <is>
          <t>Minh</t>
        </is>
      </c>
      <c r="E284" s="5" t="inlineStr">
        <is>
          <t>12-Oct-06</t>
        </is>
      </c>
      <c r="F284" s="5" t="inlineStr">
        <is>
          <t>LNH0925ND01</t>
        </is>
      </c>
      <c r="G284" s="105" t="n">
        <v>8415000</v>
      </c>
      <c r="H284">
        <f>VLOOKUP(B284,'[1]TONG HOP'!B$5:G$624,6,0)</f>
        <v/>
      </c>
      <c r="I284" t="n">
        <v>2103750</v>
      </c>
    </row>
    <row r="285">
      <c r="A285" s="5" t="n">
        <v>279</v>
      </c>
      <c r="B285" s="5" t="inlineStr">
        <is>
          <t>25808600069</t>
        </is>
      </c>
      <c r="C285" s="6" t="inlineStr">
        <is>
          <t>Nguyeãn Ngoïc Thanh</t>
        </is>
      </c>
      <c r="D285" s="6" t="inlineStr">
        <is>
          <t>Ngaân</t>
        </is>
      </c>
      <c r="E285" s="5" t="inlineStr">
        <is>
          <t>21-Dec-07</t>
        </is>
      </c>
      <c r="F285" s="5" t="inlineStr">
        <is>
          <t>LNH0925ND01</t>
        </is>
      </c>
      <c r="G285" s="105" t="n">
        <v>8415000</v>
      </c>
      <c r="H285">
        <f>VLOOKUP(B285,'[1]TONG HOP'!B$5:G$624,6,0)</f>
        <v/>
      </c>
      <c r="I285" t="n">
        <v>2103750</v>
      </c>
    </row>
    <row r="286">
      <c r="A286" s="5" t="n">
        <v>280</v>
      </c>
      <c r="B286" s="5" t="inlineStr">
        <is>
          <t>25805900008</t>
        </is>
      </c>
      <c r="C286" s="6" t="inlineStr">
        <is>
          <t>Huyønh Taán</t>
        </is>
      </c>
      <c r="D286" s="6" t="inlineStr">
        <is>
          <t>Duõng</t>
        </is>
      </c>
      <c r="E286" s="5" t="inlineStr">
        <is>
          <t>18-Oct-07</t>
        </is>
      </c>
      <c r="F286" s="5" t="inlineStr">
        <is>
          <t>LNH0925ND01</t>
        </is>
      </c>
      <c r="G286" s="105" t="n">
        <v>8415000</v>
      </c>
    </row>
    <row r="287">
      <c r="A287" s="5" t="n">
        <v>281</v>
      </c>
      <c r="B287" s="5" t="inlineStr">
        <is>
          <t>25808900004</t>
        </is>
      </c>
      <c r="C287" s="6" t="inlineStr">
        <is>
          <t>Ñaøo Duy</t>
        </is>
      </c>
      <c r="D287" s="6" t="inlineStr">
        <is>
          <t>Anh</t>
        </is>
      </c>
      <c r="E287" s="5" t="inlineStr">
        <is>
          <t>02-Mar-07</t>
        </is>
      </c>
      <c r="F287" s="5" t="inlineStr">
        <is>
          <t>LNH0925ND01</t>
        </is>
      </c>
      <c r="G287" s="105" t="n">
        <v>8415000</v>
      </c>
      <c r="H287">
        <f>VLOOKUP(B287,'[1]TONG HOP'!B$5:G$624,6,0)</f>
        <v/>
      </c>
      <c r="I287" t="n">
        <v>2103750</v>
      </c>
    </row>
    <row r="288">
      <c r="A288" s="5" t="n">
        <v>282</v>
      </c>
      <c r="B288" s="5" t="inlineStr">
        <is>
          <t>25801100118</t>
        </is>
      </c>
      <c r="C288" s="6" t="inlineStr">
        <is>
          <t>Thaùi Nguyeãn Nam</t>
        </is>
      </c>
      <c r="D288" s="6" t="inlineStr">
        <is>
          <t>Khaùnh</t>
        </is>
      </c>
      <c r="E288" s="5" t="inlineStr">
        <is>
          <t>07-Nov-07</t>
        </is>
      </c>
      <c r="F288" s="5" t="inlineStr">
        <is>
          <t>LNH0925ND01</t>
        </is>
      </c>
      <c r="G288" s="105" t="n">
        <v>8415000</v>
      </c>
      <c r="H288">
        <f>VLOOKUP(B288,'[1]TONG HOP'!B$5:G$624,6,0)</f>
        <v/>
      </c>
      <c r="I288" t="n">
        <v>2103750</v>
      </c>
    </row>
    <row r="289">
      <c r="A289" s="5" t="n">
        <v>283</v>
      </c>
      <c r="B289" s="5" t="inlineStr">
        <is>
          <t>25808200223</t>
        </is>
      </c>
      <c r="C289" s="6" t="inlineStr">
        <is>
          <t>Nguyeãn Thanh</t>
        </is>
      </c>
      <c r="D289" s="6" t="inlineStr">
        <is>
          <t>Phong</t>
        </is>
      </c>
      <c r="E289" s="5" t="inlineStr">
        <is>
          <t>20-Oct-07</t>
        </is>
      </c>
      <c r="F289" s="5" t="inlineStr">
        <is>
          <t>LNH0925ND01</t>
        </is>
      </c>
      <c r="G289" s="105" t="n">
        <v>8415000</v>
      </c>
      <c r="H289">
        <f>VLOOKUP(B289,'[1]TONG HOP'!B$5:G$624,6,0)</f>
        <v/>
      </c>
      <c r="I289" t="n">
        <v>2103750</v>
      </c>
    </row>
    <row r="290">
      <c r="A290" s="5" t="n">
        <v>284</v>
      </c>
      <c r="B290" s="5" t="inlineStr">
        <is>
          <t>25802800389</t>
        </is>
      </c>
      <c r="C290" s="6" t="inlineStr">
        <is>
          <t>Nguyeãn Tuaán</t>
        </is>
      </c>
      <c r="D290" s="6" t="inlineStr">
        <is>
          <t>Khoâi</t>
        </is>
      </c>
      <c r="E290" s="5" t="inlineStr">
        <is>
          <t>31-Jul-07</t>
        </is>
      </c>
      <c r="F290" s="5" t="inlineStr">
        <is>
          <t>LNH0925ND01</t>
        </is>
      </c>
      <c r="G290" s="105" t="n">
        <v>8415000</v>
      </c>
    </row>
    <row r="291">
      <c r="A291" s="5" t="n">
        <v>285</v>
      </c>
      <c r="B291" s="5" t="inlineStr">
        <is>
          <t>25820700063</t>
        </is>
      </c>
      <c r="C291" s="6" t="inlineStr">
        <is>
          <t>Nguyeãn Thò Xuaân</t>
        </is>
      </c>
      <c r="D291" s="6" t="inlineStr">
        <is>
          <t>Hoàng</t>
        </is>
      </c>
      <c r="E291" s="5" t="inlineStr">
        <is>
          <t>19-Mar-07</t>
        </is>
      </c>
      <c r="F291" s="5" t="inlineStr">
        <is>
          <t>LNH0925ND01</t>
        </is>
      </c>
      <c r="G291" s="105" t="n">
        <v>8415000</v>
      </c>
      <c r="H291">
        <f>VLOOKUP(B291,'[1]TONG HOP'!B$5:G$624,6,0)</f>
        <v/>
      </c>
      <c r="I291" t="n">
        <v>2103750</v>
      </c>
    </row>
    <row r="292">
      <c r="A292" s="5" t="n">
        <v>286</v>
      </c>
      <c r="B292" s="5" t="inlineStr">
        <is>
          <t>25808600060</t>
        </is>
      </c>
      <c r="C292" s="6" t="inlineStr">
        <is>
          <t>Nguyeãn Taán</t>
        </is>
      </c>
      <c r="D292" s="6" t="inlineStr">
        <is>
          <t>Loäc</t>
        </is>
      </c>
      <c r="E292" s="5" t="inlineStr">
        <is>
          <t>27-Jun-06</t>
        </is>
      </c>
      <c r="F292" s="5" t="inlineStr">
        <is>
          <t>LNH0925ND01</t>
        </is>
      </c>
      <c r="G292" s="105" t="n">
        <v>8415000</v>
      </c>
    </row>
    <row r="293">
      <c r="A293" s="5" t="n">
        <v>287</v>
      </c>
      <c r="B293" s="5" t="inlineStr">
        <is>
          <t>25802800392</t>
        </is>
      </c>
      <c r="C293" s="6" t="inlineStr">
        <is>
          <t>Nguyeãn Chí</t>
        </is>
      </c>
      <c r="D293" s="6" t="inlineStr">
        <is>
          <t>Thaønh</t>
        </is>
      </c>
      <c r="E293" s="5" t="inlineStr">
        <is>
          <t>12-Jul-07</t>
        </is>
      </c>
      <c r="F293" s="5" t="inlineStr">
        <is>
          <t>LNH0925ND01</t>
        </is>
      </c>
      <c r="G293" s="105" t="n">
        <v>8415000</v>
      </c>
      <c r="H293">
        <f>VLOOKUP(B293,'[1]TONG HOP'!B$5:G$624,6,0)</f>
        <v/>
      </c>
      <c r="I293" t="n">
        <v>2103750</v>
      </c>
    </row>
    <row r="294">
      <c r="A294" s="5" t="n">
        <v>288</v>
      </c>
      <c r="B294" s="5" t="inlineStr">
        <is>
          <t>25801800161</t>
        </is>
      </c>
      <c r="C294" s="6" t="inlineStr">
        <is>
          <t>Nguyeãn Thò Kieàu</t>
        </is>
      </c>
      <c r="D294" s="6" t="inlineStr">
        <is>
          <t>Vy</t>
        </is>
      </c>
      <c r="E294" s="5" t="inlineStr">
        <is>
          <t>14-Oct-07</t>
        </is>
      </c>
      <c r="F294" s="5" t="inlineStr">
        <is>
          <t>LNH0925ND01</t>
        </is>
      </c>
      <c r="G294" s="105" t="n">
        <v>8415000</v>
      </c>
      <c r="H294">
        <f>VLOOKUP(B294,'[1]TONG HOP'!B$5:G$624,6,0)</f>
        <v/>
      </c>
      <c r="I294" t="n">
        <v>2103750</v>
      </c>
    </row>
    <row r="295">
      <c r="A295" s="5" t="n">
        <v>289</v>
      </c>
      <c r="B295" s="5" t="inlineStr">
        <is>
          <t>25806000015</t>
        </is>
      </c>
      <c r="C295" s="6" t="inlineStr">
        <is>
          <t>Ñoã Ngoïc Thaûo</t>
        </is>
      </c>
      <c r="D295" s="6" t="inlineStr">
        <is>
          <t>Linh</t>
        </is>
      </c>
      <c r="E295" s="5" t="inlineStr">
        <is>
          <t>09-Apr-07</t>
        </is>
      </c>
      <c r="F295" s="5" t="inlineStr">
        <is>
          <t>LNH0925ND01</t>
        </is>
      </c>
      <c r="G295" s="105" t="n">
        <v>8415000</v>
      </c>
      <c r="H295">
        <f>VLOOKUP(B295,'[1]TONG HOP'!B$5:G$624,6,0)</f>
        <v/>
      </c>
      <c r="I295" t="n">
        <v>2103750</v>
      </c>
    </row>
    <row r="296">
      <c r="A296" s="5" t="n">
        <v>290</v>
      </c>
      <c r="B296" s="5" t="inlineStr">
        <is>
          <t>25808700038</t>
        </is>
      </c>
      <c r="C296" s="6" t="inlineStr">
        <is>
          <t>Leâ Minh</t>
        </is>
      </c>
      <c r="D296" s="6" t="inlineStr">
        <is>
          <t>Khoâi</t>
        </is>
      </c>
      <c r="E296" s="5" t="inlineStr">
        <is>
          <t>15-Dec-07</t>
        </is>
      </c>
      <c r="F296" s="5" t="inlineStr">
        <is>
          <t>LNH0925ND01</t>
        </is>
      </c>
      <c r="G296" s="105" t="n">
        <v>8415000</v>
      </c>
    </row>
    <row r="297">
      <c r="A297" s="5" t="n">
        <v>291</v>
      </c>
      <c r="B297" s="5" t="inlineStr">
        <is>
          <t>25801700029</t>
        </is>
      </c>
      <c r="C297" s="6" t="inlineStr">
        <is>
          <t>Taân Vónh Baûo</t>
        </is>
      </c>
      <c r="D297" s="6" t="inlineStr">
        <is>
          <t>Long</t>
        </is>
      </c>
      <c r="E297" s="5" t="inlineStr">
        <is>
          <t>01-Jan-07</t>
        </is>
      </c>
      <c r="F297" s="5" t="inlineStr">
        <is>
          <t>LNH0925ND01</t>
        </is>
      </c>
      <c r="G297" s="105" t="n">
        <v>8415000</v>
      </c>
      <c r="H297">
        <f>VLOOKUP(B297,'[1]TONG HOP'!B$5:G$624,6,0)</f>
        <v/>
      </c>
      <c r="I297" t="n">
        <v>2103750</v>
      </c>
    </row>
    <row r="298">
      <c r="A298" s="5" t="n">
        <v>292</v>
      </c>
      <c r="B298" s="5" t="inlineStr">
        <is>
          <t>25807800070</t>
        </is>
      </c>
      <c r="C298" s="6" t="inlineStr">
        <is>
          <t>Leâ Höõu</t>
        </is>
      </c>
      <c r="D298" s="6" t="inlineStr">
        <is>
          <t>Kieät</t>
        </is>
      </c>
      <c r="E298" s="5" t="inlineStr">
        <is>
          <t>16-Oct-07</t>
        </is>
      </c>
      <c r="F298" s="5" t="inlineStr">
        <is>
          <t>LNH0925ND01</t>
        </is>
      </c>
      <c r="G298" s="105" t="n">
        <v>8415000</v>
      </c>
      <c r="H298">
        <f>VLOOKUP(B298,'[1]TONG HOP'!B$5:G$624,6,0)</f>
        <v/>
      </c>
      <c r="I298" t="n">
        <v>2103750</v>
      </c>
    </row>
    <row r="299">
      <c r="A299" s="5" t="n">
        <v>293</v>
      </c>
      <c r="B299" s="5" t="inlineStr">
        <is>
          <t>25808700068</t>
        </is>
      </c>
      <c r="C299" s="6" t="inlineStr">
        <is>
          <t>Traàn Thò Ngoïc</t>
        </is>
      </c>
      <c r="D299" s="6" t="inlineStr">
        <is>
          <t>Nhi</t>
        </is>
      </c>
      <c r="E299" s="5" t="inlineStr">
        <is>
          <t>09-Jan-07</t>
        </is>
      </c>
      <c r="F299" s="5" t="inlineStr">
        <is>
          <t>LNH0925ND01</t>
        </is>
      </c>
      <c r="G299" s="105" t="n">
        <v>8415000</v>
      </c>
      <c r="H299">
        <f>VLOOKUP(B299,'[1]TONG HOP'!B$5:G$624,6,0)</f>
        <v/>
      </c>
      <c r="I299" t="n">
        <v>2103750</v>
      </c>
    </row>
    <row r="300">
      <c r="A300" s="5" t="n">
        <v>294</v>
      </c>
      <c r="B300" s="5" t="inlineStr">
        <is>
          <t>25802100043</t>
        </is>
      </c>
      <c r="C300" s="6" t="inlineStr">
        <is>
          <t>Nguyeãn Trung</t>
        </is>
      </c>
      <c r="D300" s="6" t="inlineStr">
        <is>
          <t>Vaên</t>
        </is>
      </c>
      <c r="E300" s="5" t="inlineStr">
        <is>
          <t>15-May-07</t>
        </is>
      </c>
      <c r="F300" s="5" t="inlineStr">
        <is>
          <t>LNH0925ND01</t>
        </is>
      </c>
      <c r="G300" s="105" t="n">
        <v>8415000</v>
      </c>
      <c r="H300">
        <f>VLOOKUP(B300,'[1]TONG HOP'!B$5:G$624,6,0)</f>
        <v/>
      </c>
      <c r="I300" t="n">
        <v>2103750</v>
      </c>
    </row>
    <row r="301">
      <c r="A301" s="5" t="n">
        <v>295</v>
      </c>
      <c r="B301" s="5" t="inlineStr">
        <is>
          <t>25806500014</t>
        </is>
      </c>
      <c r="C301" s="6" t="inlineStr">
        <is>
          <t>Nguyeãn Thanh Ngoïc</t>
        </is>
      </c>
      <c r="D301" s="6" t="inlineStr">
        <is>
          <t>Thaûo</t>
        </is>
      </c>
      <c r="E301" s="5" t="inlineStr">
        <is>
          <t>14-Jan-07</t>
        </is>
      </c>
      <c r="F301" s="5" t="inlineStr">
        <is>
          <t>LNH0925ND01</t>
        </is>
      </c>
      <c r="G301" s="105" t="n">
        <v>8415000</v>
      </c>
      <c r="H301">
        <f>VLOOKUP(B301,'[1]TONG HOP'!B$5:G$624,6,0)</f>
        <v/>
      </c>
      <c r="I301" t="n">
        <v>2103750</v>
      </c>
    </row>
    <row r="302">
      <c r="A302" s="5" t="n">
        <v>296</v>
      </c>
      <c r="B302" s="5" t="inlineStr">
        <is>
          <t>25801100123</t>
        </is>
      </c>
      <c r="C302" s="6" t="inlineStr">
        <is>
          <t>Nguyeãn Ngoïc Anh</t>
        </is>
      </c>
      <c r="D302" s="6" t="inlineStr">
        <is>
          <t>Huy</t>
        </is>
      </c>
      <c r="E302" s="5" t="inlineStr">
        <is>
          <t>21-Apr-07</t>
        </is>
      </c>
      <c r="F302" s="5" t="inlineStr">
        <is>
          <t>LNH0925ND01</t>
        </is>
      </c>
      <c r="G302" s="105" t="n">
        <v>8415000</v>
      </c>
      <c r="H302">
        <f>VLOOKUP(B302,'[1]TONG HOP'!B$5:G$624,6,0)</f>
        <v/>
      </c>
      <c r="I302" t="n">
        <v>2103750</v>
      </c>
    </row>
    <row r="303">
      <c r="A303" s="5" t="n">
        <v>297</v>
      </c>
      <c r="B303" s="5" t="inlineStr">
        <is>
          <t>25805800025</t>
        </is>
      </c>
      <c r="C303" s="6" t="inlineStr">
        <is>
          <t>Thaùi Gia</t>
        </is>
      </c>
      <c r="D303" s="6" t="inlineStr">
        <is>
          <t>Phuù</t>
        </is>
      </c>
      <c r="E303" s="5" t="inlineStr">
        <is>
          <t>28-Apr-07</t>
        </is>
      </c>
      <c r="F303" s="5" t="inlineStr">
        <is>
          <t>LNH0925ND01</t>
        </is>
      </c>
      <c r="G303" s="105" t="n">
        <v>8415000</v>
      </c>
      <c r="H303">
        <f>VLOOKUP(B303,'[1]TONG HOP'!B$5:G$624,6,0)</f>
        <v/>
      </c>
      <c r="I303" t="n">
        <v>2103750</v>
      </c>
    </row>
    <row r="304">
      <c r="A304" s="5" t="n">
        <v>298</v>
      </c>
      <c r="B304" s="5" t="inlineStr">
        <is>
          <t>25801200035</t>
        </is>
      </c>
      <c r="C304" s="6" t="inlineStr">
        <is>
          <t>Traàn Quoác</t>
        </is>
      </c>
      <c r="D304" s="6" t="inlineStr">
        <is>
          <t>Toaøn</t>
        </is>
      </c>
      <c r="E304" s="5" t="inlineStr">
        <is>
          <t>28-Feb-07</t>
        </is>
      </c>
      <c r="F304" s="5" t="inlineStr">
        <is>
          <t>LNH0925ND01</t>
        </is>
      </c>
      <c r="G304" s="105" t="n">
        <v>8415000</v>
      </c>
      <c r="H304">
        <f>VLOOKUP(B304,'[1]TONG HOP'!B$5:G$624,6,0)</f>
        <v/>
      </c>
      <c r="I304" t="n">
        <v>2103750</v>
      </c>
    </row>
    <row r="305">
      <c r="A305" s="5" t="n">
        <v>299</v>
      </c>
      <c r="B305" s="5" t="inlineStr">
        <is>
          <t>25802400025</t>
        </is>
      </c>
      <c r="C305" s="6" t="inlineStr">
        <is>
          <t>Ngoâ Buøi Nhaät</t>
        </is>
      </c>
      <c r="D305" s="6" t="inlineStr">
        <is>
          <t>Taâm</t>
        </is>
      </c>
      <c r="E305" s="5" t="inlineStr">
        <is>
          <t>24-Oct-07</t>
        </is>
      </c>
      <c r="F305" s="5" t="inlineStr">
        <is>
          <t>LNH0925ND01</t>
        </is>
      </c>
      <c r="G305" s="105" t="n">
        <v>8415000</v>
      </c>
      <c r="H305">
        <f>VLOOKUP(B305,'[1]TONG HOP'!B$5:G$624,6,0)</f>
        <v/>
      </c>
      <c r="I305" t="n">
        <v>2103750</v>
      </c>
    </row>
    <row r="306">
      <c r="A306" s="5" t="n">
        <v>300</v>
      </c>
      <c r="B306" s="5" t="inlineStr">
        <is>
          <t>25808900096</t>
        </is>
      </c>
      <c r="C306" s="6" t="inlineStr">
        <is>
          <t>Ñinh Cao</t>
        </is>
      </c>
      <c r="D306" s="6" t="inlineStr">
        <is>
          <t>Phong</t>
        </is>
      </c>
      <c r="E306" s="5" t="inlineStr">
        <is>
          <t>24-Oct-07</t>
        </is>
      </c>
      <c r="F306" s="5" t="inlineStr">
        <is>
          <t>LNH0925ND01</t>
        </is>
      </c>
      <c r="G306" s="105" t="n">
        <v>4465000</v>
      </c>
    </row>
    <row r="307">
      <c r="A307" s="5" t="n">
        <v>301</v>
      </c>
      <c r="B307" s="5" t="inlineStr">
        <is>
          <t>25800500043</t>
        </is>
      </c>
      <c r="C307" s="6" t="inlineStr">
        <is>
          <t>Nguyeãn Tröôøng</t>
        </is>
      </c>
      <c r="D307" s="6" t="inlineStr">
        <is>
          <t>Haûi</t>
        </is>
      </c>
      <c r="E307" s="5" t="inlineStr">
        <is>
          <t>17-Apr-07</t>
        </is>
      </c>
      <c r="F307" s="5" t="inlineStr">
        <is>
          <t>LNH0925ND01</t>
        </is>
      </c>
      <c r="G307" s="105" t="n">
        <v>1000000</v>
      </c>
    </row>
    <row r="308">
      <c r="A308" s="5" t="n">
        <v>302</v>
      </c>
      <c r="B308" s="5" t="inlineStr">
        <is>
          <t>25801800014</t>
        </is>
      </c>
      <c r="C308" s="6" t="inlineStr">
        <is>
          <t>Nguyeãn Thò Thu</t>
        </is>
      </c>
      <c r="D308" s="6" t="inlineStr">
        <is>
          <t>Haèng</t>
        </is>
      </c>
      <c r="E308" s="5" t="inlineStr">
        <is>
          <t>22-Nov-07</t>
        </is>
      </c>
      <c r="F308" s="5" t="inlineStr">
        <is>
          <t>LNH0925ND01</t>
        </is>
      </c>
      <c r="G308" s="105" t="n">
        <v>8415000</v>
      </c>
      <c r="H308">
        <f>VLOOKUP(B308,'[1]TONG HOP'!B$5:G$624,6,0)</f>
        <v/>
      </c>
      <c r="I308" t="n">
        <v>2103750</v>
      </c>
    </row>
    <row r="309">
      <c r="A309" s="5" t="n">
        <v>303</v>
      </c>
      <c r="B309" s="5" t="inlineStr">
        <is>
          <t>25809600077</t>
        </is>
      </c>
      <c r="C309" s="6" t="inlineStr">
        <is>
          <t>Leâ Thaønh</t>
        </is>
      </c>
      <c r="D309" s="6" t="inlineStr">
        <is>
          <t>Vieät</t>
        </is>
      </c>
      <c r="E309" s="5" t="inlineStr">
        <is>
          <t>18-Nov-07</t>
        </is>
      </c>
      <c r="F309" s="5" t="inlineStr">
        <is>
          <t>LNH0925ND01</t>
        </is>
      </c>
      <c r="G309" s="105" t="n">
        <v>5000000</v>
      </c>
      <c r="H309">
        <f>VLOOKUP(B309,'[1]TONG HOP'!B$5:G$624,6,0)</f>
        <v/>
      </c>
      <c r="I309" t="n">
        <v>2232500</v>
      </c>
    </row>
    <row r="310">
      <c r="A310" s="5" t="n">
        <v>304</v>
      </c>
      <c r="B310" s="5" t="inlineStr">
        <is>
          <t>25807800143</t>
        </is>
      </c>
      <c r="C310" s="6" t="inlineStr">
        <is>
          <t>Phaïm Nguyeãn Minh</t>
        </is>
      </c>
      <c r="D310" s="6" t="inlineStr">
        <is>
          <t>Tieán</t>
        </is>
      </c>
      <c r="E310" s="5" t="inlineStr">
        <is>
          <t>26-Apr-06</t>
        </is>
      </c>
      <c r="F310" s="5" t="inlineStr">
        <is>
          <t>LNH0925ND01</t>
        </is>
      </c>
      <c r="G310" s="105" t="n">
        <v>8415000</v>
      </c>
      <c r="H310">
        <f>VLOOKUP(B310,'[1]TONG HOP'!B$5:G$624,6,0)</f>
        <v/>
      </c>
      <c r="I310" t="n">
        <v>2103750</v>
      </c>
    </row>
    <row r="311">
      <c r="A311" s="5" t="n">
        <v>305</v>
      </c>
      <c r="B311" s="5" t="inlineStr">
        <is>
          <t>25805800015</t>
        </is>
      </c>
      <c r="C311" s="6" t="inlineStr">
        <is>
          <t>Löông Taán</t>
        </is>
      </c>
      <c r="D311" s="6" t="inlineStr">
        <is>
          <t>Khoa</t>
        </is>
      </c>
      <c r="E311" s="5" t="inlineStr">
        <is>
          <t>27-Oct-07</t>
        </is>
      </c>
      <c r="F311" s="5" t="inlineStr">
        <is>
          <t>LNH0925ND01</t>
        </is>
      </c>
      <c r="G311" s="105" t="n">
        <v>8415000</v>
      </c>
      <c r="H311">
        <f>VLOOKUP(B311,'[1]TONG HOP'!B$5:G$624,6,0)</f>
        <v/>
      </c>
      <c r="I311" t="n">
        <v>2103750</v>
      </c>
    </row>
    <row r="312">
      <c r="A312" s="5" t="n">
        <v>306</v>
      </c>
      <c r="B312" s="5" t="inlineStr">
        <is>
          <t>25802800073</t>
        </is>
      </c>
      <c r="C312" s="6" t="inlineStr">
        <is>
          <t>Leâ Thò Thanh</t>
        </is>
      </c>
      <c r="D312" s="6" t="inlineStr">
        <is>
          <t>Hoa</t>
        </is>
      </c>
      <c r="E312" s="5" t="inlineStr">
        <is>
          <t>21-Sep-06</t>
        </is>
      </c>
      <c r="F312" s="5" t="inlineStr">
        <is>
          <t>LNH0925ND01</t>
        </is>
      </c>
      <c r="G312" s="105" t="n">
        <v>1000000</v>
      </c>
    </row>
    <row r="313">
      <c r="A313" s="5" t="n">
        <v>307</v>
      </c>
      <c r="B313" s="5" t="inlineStr">
        <is>
          <t>25805900012</t>
        </is>
      </c>
      <c r="C313" s="6" t="inlineStr">
        <is>
          <t>Trònh Thò Dieäu</t>
        </is>
      </c>
      <c r="D313" s="6" t="inlineStr">
        <is>
          <t>Haèng</t>
        </is>
      </c>
      <c r="E313" s="5" t="inlineStr">
        <is>
          <t>20-Oct-07</t>
        </is>
      </c>
      <c r="F313" s="5" t="inlineStr">
        <is>
          <t>LNH0925ND01</t>
        </is>
      </c>
      <c r="G313" s="105" t="n">
        <v>8415000</v>
      </c>
      <c r="H313">
        <f>VLOOKUP(B313,'[1]TONG HOP'!B$5:G$624,6,0)</f>
        <v/>
      </c>
      <c r="I313" t="n">
        <v>2103750</v>
      </c>
    </row>
    <row r="314">
      <c r="A314" s="5" t="n">
        <v>308</v>
      </c>
      <c r="B314" s="5" t="inlineStr">
        <is>
          <t>25807800212</t>
        </is>
      </c>
      <c r="C314" s="6" t="inlineStr">
        <is>
          <t>Nguyeãn Gia</t>
        </is>
      </c>
      <c r="D314" s="6" t="inlineStr">
        <is>
          <t>Khöông</t>
        </is>
      </c>
      <c r="E314" s="5" t="inlineStr">
        <is>
          <t>26-Feb-07</t>
        </is>
      </c>
      <c r="F314" s="5" t="inlineStr">
        <is>
          <t>LNH0925ND01</t>
        </is>
      </c>
      <c r="G314" s="105" t="n">
        <v>8415000</v>
      </c>
      <c r="H314">
        <f>VLOOKUP(B314,'[1]TONG HOP'!B$5:G$624,6,0)</f>
        <v/>
      </c>
      <c r="I314" t="n">
        <v>2103750</v>
      </c>
    </row>
    <row r="315">
      <c r="A315" s="5" t="n">
        <v>309</v>
      </c>
      <c r="B315" s="5" t="inlineStr">
        <is>
          <t>25808700009</t>
        </is>
      </c>
      <c r="C315" s="6" t="inlineStr">
        <is>
          <t>Nguyeãn Ngoïc</t>
        </is>
      </c>
      <c r="D315" s="6" t="inlineStr">
        <is>
          <t>Dieäp</t>
        </is>
      </c>
      <c r="E315" s="5" t="inlineStr">
        <is>
          <t>22-Sep-07</t>
        </is>
      </c>
      <c r="F315" s="5" t="inlineStr">
        <is>
          <t>LNH0925ND01</t>
        </is>
      </c>
      <c r="G315" s="105" t="n">
        <v>8415000</v>
      </c>
      <c r="H315">
        <f>VLOOKUP(B315,'[1]TONG HOP'!B$5:G$624,6,0)</f>
        <v/>
      </c>
      <c r="I315" t="n">
        <v>2103750</v>
      </c>
    </row>
    <row r="316">
      <c r="A316" s="5" t="n">
        <v>310</v>
      </c>
      <c r="B316" s="5" t="inlineStr">
        <is>
          <t>25807700087</t>
        </is>
      </c>
      <c r="C316" s="6" t="inlineStr">
        <is>
          <t>Leâ Thaønh</t>
        </is>
      </c>
      <c r="D316" s="6" t="inlineStr">
        <is>
          <t>Ñaït</t>
        </is>
      </c>
      <c r="E316" s="5" t="inlineStr">
        <is>
          <t>01-Oct-07</t>
        </is>
      </c>
      <c r="F316" s="5" t="inlineStr">
        <is>
          <t>LNH0925ND01</t>
        </is>
      </c>
      <c r="G316" s="105" t="n">
        <v>8415000</v>
      </c>
      <c r="H316">
        <f>VLOOKUP(B316,'[1]TONG HOP'!B$5:G$624,6,0)</f>
        <v/>
      </c>
      <c r="I316" t="n">
        <v>2103750</v>
      </c>
    </row>
    <row r="317">
      <c r="A317" s="5" t="n">
        <v>311</v>
      </c>
      <c r="B317" s="5" t="inlineStr">
        <is>
          <t>25801700102</t>
        </is>
      </c>
      <c r="C317" s="6" t="inlineStr">
        <is>
          <t>Traàn Ngoïc</t>
        </is>
      </c>
      <c r="D317" s="6" t="inlineStr">
        <is>
          <t>Linh</t>
        </is>
      </c>
      <c r="E317" s="5" t="inlineStr">
        <is>
          <t>14-Feb-07</t>
        </is>
      </c>
      <c r="F317" s="5" t="inlineStr">
        <is>
          <t>LNH0925ND01</t>
        </is>
      </c>
      <c r="G317" s="105" t="n">
        <v>8415000</v>
      </c>
      <c r="H317">
        <f>VLOOKUP(B317,'[1]TONG HOP'!B$5:G$624,6,0)</f>
        <v/>
      </c>
      <c r="I317" t="n">
        <v>2103750</v>
      </c>
    </row>
    <row r="318">
      <c r="A318" s="5" t="n">
        <v>312</v>
      </c>
      <c r="B318" s="5" t="inlineStr">
        <is>
          <t>25802800133</t>
        </is>
      </c>
      <c r="C318" s="6" t="inlineStr">
        <is>
          <t>Ñoã Leâ Thanh</t>
        </is>
      </c>
      <c r="D318" s="6" t="inlineStr">
        <is>
          <t>Loan</t>
        </is>
      </c>
      <c r="E318" s="5" t="inlineStr">
        <is>
          <t>30-Mar-07</t>
        </is>
      </c>
      <c r="F318" s="5" t="inlineStr">
        <is>
          <t>LNH0925ND01</t>
        </is>
      </c>
      <c r="G318" s="105" t="n">
        <v>8415000</v>
      </c>
      <c r="H318">
        <f>VLOOKUP(B318,'[1]TONG HOP'!B$5:G$624,6,0)</f>
        <v/>
      </c>
      <c r="I318" t="n">
        <v>2103750</v>
      </c>
    </row>
    <row r="319">
      <c r="A319" s="5" t="n">
        <v>313</v>
      </c>
      <c r="B319" s="5" t="inlineStr">
        <is>
          <t>25807900054</t>
        </is>
      </c>
      <c r="C319" s="6" t="inlineStr">
        <is>
          <t>Mai Thanh</t>
        </is>
      </c>
      <c r="D319" s="6" t="inlineStr">
        <is>
          <t>Thôm</t>
        </is>
      </c>
      <c r="E319" s="5" t="inlineStr">
        <is>
          <t>02-Apr-07</t>
        </is>
      </c>
      <c r="F319" s="5" t="inlineStr">
        <is>
          <t>LNH0925ND01</t>
        </is>
      </c>
      <c r="G319" s="105" t="n">
        <v>8415000</v>
      </c>
      <c r="H319">
        <f>VLOOKUP(B319,'[1]TONG HOP'!B$5:G$624,6,0)</f>
        <v/>
      </c>
      <c r="I319" t="n">
        <v>2103750</v>
      </c>
    </row>
    <row r="320">
      <c r="A320" s="5" t="n">
        <v>314</v>
      </c>
      <c r="B320" s="5" t="inlineStr">
        <is>
          <t>25801100080</t>
        </is>
      </c>
      <c r="C320" s="6" t="inlineStr">
        <is>
          <t>Tröông Quang</t>
        </is>
      </c>
      <c r="D320" s="6" t="inlineStr">
        <is>
          <t>Vinh</t>
        </is>
      </c>
      <c r="E320" s="5" t="inlineStr">
        <is>
          <t>05-Oct-07</t>
        </is>
      </c>
      <c r="F320" s="5" t="inlineStr">
        <is>
          <t>LNH0925ND01</t>
        </is>
      </c>
      <c r="G320" s="105" t="n">
        <v>4465000</v>
      </c>
    </row>
    <row r="321">
      <c r="A321" s="5" t="n">
        <v>315</v>
      </c>
      <c r="B321" s="5" t="inlineStr">
        <is>
          <t>25802600104</t>
        </is>
      </c>
      <c r="C321" s="6" t="inlineStr">
        <is>
          <t>Traàn Khaùnh</t>
        </is>
      </c>
      <c r="D321" s="6" t="inlineStr">
        <is>
          <t>Quyønh</t>
        </is>
      </c>
      <c r="E321" s="5" t="inlineStr">
        <is>
          <t>23-Jan-07</t>
        </is>
      </c>
      <c r="F321" s="5" t="inlineStr">
        <is>
          <t>LNH0925ND01</t>
        </is>
      </c>
      <c r="G321" s="105" t="n">
        <v>1000000</v>
      </c>
    </row>
    <row r="322">
      <c r="A322" s="5" t="n">
        <v>316</v>
      </c>
      <c r="B322" s="5" t="inlineStr">
        <is>
          <t>25807800099</t>
        </is>
      </c>
      <c r="C322" s="6" t="inlineStr">
        <is>
          <t>Ñoã Leâ Hoaøng</t>
        </is>
      </c>
      <c r="D322" s="6" t="inlineStr">
        <is>
          <t>Nhaân</t>
        </is>
      </c>
      <c r="E322" s="5" t="inlineStr">
        <is>
          <t>12-Dec-07</t>
        </is>
      </c>
      <c r="F322" s="5" t="inlineStr">
        <is>
          <t>LNH0925ND01</t>
        </is>
      </c>
      <c r="G322" s="105" t="n">
        <v>8415000</v>
      </c>
      <c r="H322">
        <f>VLOOKUP(B322,'[1]TONG HOP'!B$5:G$624,6,0)</f>
        <v/>
      </c>
      <c r="I322" t="n">
        <v>2103750</v>
      </c>
    </row>
    <row r="323">
      <c r="A323" s="5" t="n">
        <v>317</v>
      </c>
      <c r="B323" s="5" t="inlineStr">
        <is>
          <t>25801200039</t>
        </is>
      </c>
      <c r="C323" s="6" t="inlineStr">
        <is>
          <t>Huyønh Traàn Thaûo</t>
        </is>
      </c>
      <c r="D323" s="6" t="inlineStr">
        <is>
          <t>Vy</t>
        </is>
      </c>
      <c r="E323" s="5" t="inlineStr">
        <is>
          <t>28-Mar-07</t>
        </is>
      </c>
      <c r="F323" s="5" t="inlineStr">
        <is>
          <t>LNH0925ND01</t>
        </is>
      </c>
      <c r="G323" s="105" t="n">
        <v>8415000</v>
      </c>
      <c r="H323">
        <f>VLOOKUP(B323,'[1]TONG HOP'!B$5:G$624,6,0)</f>
        <v/>
      </c>
      <c r="I323" t="n">
        <v>2103750</v>
      </c>
    </row>
    <row r="324">
      <c r="A324" s="5" t="n">
        <v>318</v>
      </c>
      <c r="B324" s="5" t="inlineStr">
        <is>
          <t>25808600134</t>
        </is>
      </c>
      <c r="C324" s="6" t="inlineStr">
        <is>
          <t>Phaïm Nguyeãn Huyeàn</t>
        </is>
      </c>
      <c r="D324" s="6" t="inlineStr">
        <is>
          <t>Traân</t>
        </is>
      </c>
      <c r="E324" s="5" t="inlineStr">
        <is>
          <t>02-Jan-07</t>
        </is>
      </c>
      <c r="F324" s="5" t="inlineStr">
        <is>
          <t>LNH0925ND01</t>
        </is>
      </c>
      <c r="G324" s="105" t="n">
        <v>8415000</v>
      </c>
      <c r="H324">
        <f>VLOOKUP(B324,'[1]TONG HOP'!B$5:G$624,6,0)</f>
        <v/>
      </c>
      <c r="I324" t="n">
        <v>2103750</v>
      </c>
    </row>
    <row r="325">
      <c r="A325" s="5" t="n">
        <v>319</v>
      </c>
      <c r="B325" s="5" t="inlineStr">
        <is>
          <t>25806800053</t>
        </is>
      </c>
      <c r="C325" s="6" t="inlineStr">
        <is>
          <t>Ñoaøn Ngoïc Yeán</t>
        </is>
      </c>
      <c r="D325" s="6" t="inlineStr">
        <is>
          <t>Nhi</t>
        </is>
      </c>
      <c r="E325" s="5" t="inlineStr">
        <is>
          <t>07-May-07</t>
        </is>
      </c>
      <c r="F325" s="5" t="inlineStr">
        <is>
          <t>LNH0925ND01</t>
        </is>
      </c>
      <c r="G325" s="105" t="n">
        <v>8415000</v>
      </c>
      <c r="H325">
        <f>VLOOKUP(B325,'[1]TONG HOP'!B$5:G$624,6,0)</f>
        <v/>
      </c>
      <c r="I325" t="n">
        <v>2103750</v>
      </c>
    </row>
    <row r="326">
      <c r="A326" s="5" t="n">
        <v>320</v>
      </c>
      <c r="B326" s="5" t="inlineStr">
        <is>
          <t>25802100030</t>
        </is>
      </c>
      <c r="C326" s="6" t="inlineStr">
        <is>
          <t>Chaâu Leâ Thuaän</t>
        </is>
      </c>
      <c r="D326" s="6" t="inlineStr">
        <is>
          <t>Phaùt</t>
        </is>
      </c>
      <c r="E326" s="5" t="inlineStr">
        <is>
          <t>03-Apr-07</t>
        </is>
      </c>
      <c r="F326" s="5" t="inlineStr">
        <is>
          <t>LNH0925ND01</t>
        </is>
      </c>
      <c r="G326" s="105" t="n">
        <v>8415000</v>
      </c>
      <c r="H326">
        <f>VLOOKUP(B326,'[1]TONG HOP'!B$5:G$624,6,0)</f>
        <v/>
      </c>
      <c r="I326" t="n">
        <v>2103750</v>
      </c>
    </row>
    <row r="327">
      <c r="A327" s="5" t="n">
        <v>321</v>
      </c>
      <c r="B327" s="5" t="inlineStr">
        <is>
          <t>25820100031</t>
        </is>
      </c>
      <c r="C327" s="6" t="inlineStr">
        <is>
          <t>Ñaëng Traàn Haûi</t>
        </is>
      </c>
      <c r="D327" s="6" t="inlineStr">
        <is>
          <t>Nam</t>
        </is>
      </c>
      <c r="E327" s="5" t="inlineStr">
        <is>
          <t>08-Nov-07</t>
        </is>
      </c>
      <c r="F327" s="5" t="inlineStr">
        <is>
          <t>LNH0925ND01</t>
        </is>
      </c>
      <c r="G327" s="105" t="n">
        <v>8415000</v>
      </c>
      <c r="H327">
        <f>VLOOKUP(B327,'[1]TONG HOP'!B$5:G$624,6,0)</f>
        <v/>
      </c>
      <c r="I327" t="n">
        <v>2103750</v>
      </c>
    </row>
    <row r="328">
      <c r="A328" s="5" t="n">
        <v>322</v>
      </c>
      <c r="B328" s="5" t="inlineStr">
        <is>
          <t>25802800300</t>
        </is>
      </c>
      <c r="C328" s="6" t="inlineStr">
        <is>
          <t>Traàn Nguyeãn Phöông</t>
        </is>
      </c>
      <c r="D328" s="6" t="inlineStr">
        <is>
          <t>Vy</t>
        </is>
      </c>
      <c r="E328" s="5" t="inlineStr">
        <is>
          <t>24-May-07</t>
        </is>
      </c>
      <c r="F328" s="5" t="inlineStr">
        <is>
          <t>LNH0925ND01</t>
        </is>
      </c>
      <c r="G328" s="105" t="n">
        <v>8415000</v>
      </c>
      <c r="H328">
        <f>VLOOKUP(B328,'[1]TONG HOP'!B$5:G$624,6,0)</f>
        <v/>
      </c>
      <c r="I328" t="n">
        <v>2103750</v>
      </c>
    </row>
    <row r="329">
      <c r="A329" s="5" t="n">
        <v>323</v>
      </c>
      <c r="B329" s="5" t="inlineStr">
        <is>
          <t>25807500132</t>
        </is>
      </c>
      <c r="C329" s="6" t="inlineStr">
        <is>
          <t>Traàn Hoaøng</t>
        </is>
      </c>
      <c r="D329" s="6" t="inlineStr">
        <is>
          <t>Tieán</t>
        </is>
      </c>
      <c r="E329" s="5" t="inlineStr">
        <is>
          <t>09-Feb-07</t>
        </is>
      </c>
      <c r="F329" s="5" t="inlineStr">
        <is>
          <t>LNH0925ND01</t>
        </is>
      </c>
      <c r="G329" s="105" t="n">
        <v>8415000</v>
      </c>
      <c r="H329">
        <f>VLOOKUP(B329,'[1]TONG HOP'!B$5:G$624,6,0)</f>
        <v/>
      </c>
      <c r="I329" t="n">
        <v>2103750</v>
      </c>
    </row>
    <row r="330">
      <c r="A330" s="5" t="n">
        <v>324</v>
      </c>
      <c r="B330" s="5" t="inlineStr">
        <is>
          <t>25802100015</t>
        </is>
      </c>
      <c r="C330" s="6" t="inlineStr">
        <is>
          <t>Traàn Gia</t>
        </is>
      </c>
      <c r="D330" s="6" t="inlineStr">
        <is>
          <t>Huy</t>
        </is>
      </c>
      <c r="E330" s="5" t="inlineStr">
        <is>
          <t>15-Dec-07</t>
        </is>
      </c>
      <c r="F330" s="5" t="inlineStr">
        <is>
          <t>LNH0925ND01</t>
        </is>
      </c>
      <c r="G330" s="105" t="n">
        <v>1000000</v>
      </c>
    </row>
    <row r="331">
      <c r="A331" s="5" t="n">
        <v>325</v>
      </c>
      <c r="B331" s="5" t="inlineStr">
        <is>
          <t>25809600004</t>
        </is>
      </c>
      <c r="C331" s="6" t="inlineStr">
        <is>
          <t>Tröông Huyønh Tuaán</t>
        </is>
      </c>
      <c r="D331" s="6" t="inlineStr">
        <is>
          <t>Anh</t>
        </is>
      </c>
      <c r="E331" s="5" t="inlineStr">
        <is>
          <t>27-Jul-07</t>
        </is>
      </c>
      <c r="F331" s="5" t="inlineStr">
        <is>
          <t>LNH0925ND01</t>
        </is>
      </c>
      <c r="G331" s="105" t="n">
        <v>1000000</v>
      </c>
    </row>
    <row r="332">
      <c r="A332" s="5" t="n">
        <v>326</v>
      </c>
      <c r="B332" s="5" t="inlineStr">
        <is>
          <t>25808200147</t>
        </is>
      </c>
      <c r="C332" s="6" t="inlineStr">
        <is>
          <t>Nguyeãn Anh</t>
        </is>
      </c>
      <c r="D332" s="6" t="inlineStr">
        <is>
          <t>Vuõ</t>
        </is>
      </c>
      <c r="E332" s="5" t="inlineStr">
        <is>
          <t>22-Nov-07</t>
        </is>
      </c>
      <c r="F332" s="5" t="inlineStr">
        <is>
          <t>LNH0925ND01</t>
        </is>
      </c>
      <c r="G332" s="105" t="n">
        <v>8415000</v>
      </c>
      <c r="H332">
        <f>VLOOKUP(B332,'[1]TONG HOP'!B$5:G$624,6,0)</f>
        <v/>
      </c>
      <c r="I332" t="n">
        <v>2103750</v>
      </c>
    </row>
    <row r="333">
      <c r="A333" s="5" t="n">
        <v>327</v>
      </c>
      <c r="B333" s="5" t="inlineStr">
        <is>
          <t>25802600171</t>
        </is>
      </c>
      <c r="C333" s="6" t="inlineStr">
        <is>
          <t>Buøi Ngoïc Haûi</t>
        </is>
      </c>
      <c r="D333" s="6" t="inlineStr">
        <is>
          <t>Linh</t>
        </is>
      </c>
      <c r="E333" s="5" t="inlineStr">
        <is>
          <t>28-Nov-07</t>
        </is>
      </c>
      <c r="F333" s="5" t="inlineStr">
        <is>
          <t>LNH0925ND01</t>
        </is>
      </c>
      <c r="G333" s="105" t="n">
        <v>8415000</v>
      </c>
      <c r="H333">
        <f>VLOOKUP(B333,'[1]TONG HOP'!B$5:G$624,6,0)</f>
        <v/>
      </c>
      <c r="I333" t="n">
        <v>2103750</v>
      </c>
    </row>
    <row r="334">
      <c r="A334" s="5" t="n">
        <v>328</v>
      </c>
      <c r="B334" s="5" t="inlineStr">
        <is>
          <t>25820100017</t>
        </is>
      </c>
      <c r="C334" s="6" t="inlineStr">
        <is>
          <t>Traàn Huyønh Quang</t>
        </is>
      </c>
      <c r="D334" s="6" t="inlineStr">
        <is>
          <t>Huy</t>
        </is>
      </c>
      <c r="E334" s="5" t="inlineStr">
        <is>
          <t>13-Oct-07</t>
        </is>
      </c>
      <c r="F334" s="5" t="inlineStr">
        <is>
          <t>LNH0925ND01</t>
        </is>
      </c>
      <c r="G334" s="105" t="n">
        <v>8415000</v>
      </c>
      <c r="H334">
        <f>VLOOKUP(B334,'[1]TONG HOP'!B$5:G$624,6,0)</f>
        <v/>
      </c>
      <c r="I334" t="n">
        <v>2103750</v>
      </c>
    </row>
    <row r="335">
      <c r="A335" s="5" t="n">
        <v>329</v>
      </c>
      <c r="B335" s="5" t="inlineStr">
        <is>
          <t>25800500163</t>
        </is>
      </c>
      <c r="C335" s="6" t="inlineStr">
        <is>
          <t>Leâ Theá</t>
        </is>
      </c>
      <c r="D335" s="6" t="inlineStr">
        <is>
          <t>Thaéng</t>
        </is>
      </c>
      <c r="E335" s="5" t="inlineStr">
        <is>
          <t>10-Feb-07</t>
        </is>
      </c>
      <c r="F335" s="5" t="inlineStr">
        <is>
          <t>LNH0925ND01</t>
        </is>
      </c>
      <c r="G335" s="105" t="n">
        <v>1000000</v>
      </c>
    </row>
    <row r="336">
      <c r="A336" s="5" t="n">
        <v>330</v>
      </c>
      <c r="B336" s="5" t="inlineStr">
        <is>
          <t>25807900030</t>
        </is>
      </c>
      <c r="C336" s="6" t="inlineStr">
        <is>
          <t>Traàn Minh</t>
        </is>
      </c>
      <c r="D336" s="6" t="inlineStr">
        <is>
          <t>Khoâi</t>
        </is>
      </c>
      <c r="E336" s="5" t="inlineStr">
        <is>
          <t>28-Nov-07</t>
        </is>
      </c>
      <c r="F336" s="5" t="inlineStr">
        <is>
          <t>LNH0925ND01</t>
        </is>
      </c>
      <c r="G336" s="105" t="n">
        <v>1000000</v>
      </c>
    </row>
    <row r="337">
      <c r="A337" s="5" t="n">
        <v>331</v>
      </c>
      <c r="B337" s="5" t="inlineStr">
        <is>
          <t>25802800134</t>
        </is>
      </c>
      <c r="C337" s="6" t="inlineStr">
        <is>
          <t>Traàn Vaên Ñaëng</t>
        </is>
      </c>
      <c r="D337" s="6" t="inlineStr">
        <is>
          <t>Long</t>
        </is>
      </c>
      <c r="E337" s="5" t="inlineStr">
        <is>
          <t>24-Oct-07</t>
        </is>
      </c>
      <c r="F337" s="5" t="inlineStr">
        <is>
          <t>LNH0925ND01</t>
        </is>
      </c>
      <c r="G337" s="105" t="n">
        <v>8415000</v>
      </c>
      <c r="H337">
        <f>VLOOKUP(B337,'[1]TONG HOP'!B$5:G$624,6,0)</f>
        <v/>
      </c>
      <c r="I337" t="n">
        <v>2103750</v>
      </c>
    </row>
    <row r="338">
      <c r="A338" s="5" t="n">
        <v>332</v>
      </c>
      <c r="B338" s="5" t="inlineStr">
        <is>
          <t>25807500001</t>
        </is>
      </c>
      <c r="C338" s="6" t="inlineStr">
        <is>
          <t>Ñoaøn Ngoïc Hoaøi</t>
        </is>
      </c>
      <c r="D338" s="6" t="inlineStr">
        <is>
          <t>An</t>
        </is>
      </c>
      <c r="E338" s="5" t="inlineStr">
        <is>
          <t>14-Oct-07</t>
        </is>
      </c>
      <c r="F338" s="5" t="inlineStr">
        <is>
          <t>LNH0925ND01</t>
        </is>
      </c>
      <c r="G338" s="105" t="n">
        <v>8415000</v>
      </c>
      <c r="H338">
        <f>VLOOKUP(B338,'[1]TONG HOP'!B$5:G$624,6,0)</f>
        <v/>
      </c>
      <c r="I338" t="n">
        <v>2103750</v>
      </c>
    </row>
    <row r="339">
      <c r="A339" s="5" t="n">
        <v>333</v>
      </c>
      <c r="B339" s="5" t="inlineStr">
        <is>
          <t>25808700161</t>
        </is>
      </c>
      <c r="C339" s="6" t="inlineStr">
        <is>
          <t>An Trang Vaøng</t>
        </is>
      </c>
      <c r="D339" s="6" t="inlineStr">
        <is>
          <t>Anh</t>
        </is>
      </c>
      <c r="E339" s="5" t="inlineStr">
        <is>
          <t>15-Nov-07</t>
        </is>
      </c>
      <c r="F339" s="5" t="inlineStr">
        <is>
          <t>LNH0925ND01</t>
        </is>
      </c>
      <c r="G339" s="105" t="n">
        <v>8415000</v>
      </c>
      <c r="H339">
        <f>VLOOKUP(B339,'[1]TONG HOP'!B$5:G$624,6,0)</f>
        <v/>
      </c>
      <c r="I339" t="n">
        <v>2103750</v>
      </c>
    </row>
    <row r="340">
      <c r="A340" s="5" t="n">
        <v>334</v>
      </c>
      <c r="B340" s="5" t="inlineStr">
        <is>
          <t>25802700022</t>
        </is>
      </c>
      <c r="C340" s="6" t="inlineStr">
        <is>
          <t>Nguyeãn Phaïm Ngoïc</t>
        </is>
      </c>
      <c r="D340" s="6" t="inlineStr">
        <is>
          <t>Haân</t>
        </is>
      </c>
      <c r="E340" s="5" t="inlineStr">
        <is>
          <t>24-Dec-06</t>
        </is>
      </c>
      <c r="F340" s="5" t="inlineStr">
        <is>
          <t>LNH0925ND01</t>
        </is>
      </c>
      <c r="G340" s="105" t="n">
        <v>8415000</v>
      </c>
      <c r="H340">
        <f>VLOOKUP(B340,'[1]TONG HOP'!B$5:G$624,6,0)</f>
        <v/>
      </c>
      <c r="I340" t="n">
        <v>2103750</v>
      </c>
    </row>
    <row r="341">
      <c r="A341" s="5" t="n">
        <v>335</v>
      </c>
      <c r="B341" s="5" t="inlineStr">
        <is>
          <t>25820200041</t>
        </is>
      </c>
      <c r="C341" s="6" t="inlineStr">
        <is>
          <t>Tsìn Huyønh Phuùc</t>
        </is>
      </c>
      <c r="D341" s="6" t="inlineStr">
        <is>
          <t>Nguyeân</t>
        </is>
      </c>
      <c r="E341" s="5" t="inlineStr">
        <is>
          <t>10-Sep-07</t>
        </is>
      </c>
      <c r="F341" s="5" t="inlineStr">
        <is>
          <t>LNH0925ND01</t>
        </is>
      </c>
      <c r="G341" s="105" t="n">
        <v>8415000</v>
      </c>
      <c r="H341">
        <f>VLOOKUP(B341,'[1]TONG HOP'!B$5:G$624,6,0)</f>
        <v/>
      </c>
      <c r="I341" t="n">
        <v>2103750</v>
      </c>
    </row>
    <row r="342">
      <c r="A342" s="5" t="n">
        <v>336</v>
      </c>
      <c r="B342" s="5" t="inlineStr">
        <is>
          <t>25807000021</t>
        </is>
      </c>
      <c r="C342" s="6" t="inlineStr">
        <is>
          <t>Buøi Tieán</t>
        </is>
      </c>
      <c r="D342" s="6" t="inlineStr">
        <is>
          <t>Phaùt</t>
        </is>
      </c>
      <c r="E342" s="5" t="inlineStr">
        <is>
          <t>06-Feb-07</t>
        </is>
      </c>
      <c r="F342" s="5" t="inlineStr">
        <is>
          <t>LNH0925ND01</t>
        </is>
      </c>
      <c r="G342" s="105" t="n">
        <v>8415000</v>
      </c>
      <c r="H342">
        <f>VLOOKUP(B342,'[1]TONG HOP'!B$5:G$624,6,0)</f>
        <v/>
      </c>
      <c r="I342" t="n">
        <v>2103750</v>
      </c>
    </row>
    <row r="343">
      <c r="A343" s="5" t="n">
        <v>337</v>
      </c>
      <c r="B343" s="5" t="inlineStr">
        <is>
          <t>25801200021</t>
        </is>
      </c>
      <c r="C343" s="6" t="inlineStr">
        <is>
          <t>Traàn Quang</t>
        </is>
      </c>
      <c r="D343" s="6" t="inlineStr">
        <is>
          <t>Minh</t>
        </is>
      </c>
      <c r="E343" s="5" t="inlineStr">
        <is>
          <t>08-May-07</t>
        </is>
      </c>
      <c r="F343" s="5" t="inlineStr">
        <is>
          <t>LNH0925ND01</t>
        </is>
      </c>
      <c r="G343" s="105" t="n">
        <v>8415000</v>
      </c>
      <c r="H343">
        <f>VLOOKUP(B343,'[1]TONG HOP'!B$5:G$624,6,0)</f>
        <v/>
      </c>
      <c r="I343" t="n">
        <v>2103750</v>
      </c>
    </row>
    <row r="344">
      <c r="A344" s="5" t="n">
        <v>338</v>
      </c>
      <c r="B344" s="5" t="inlineStr">
        <is>
          <t>25801700103</t>
        </is>
      </c>
      <c r="C344" s="6" t="inlineStr">
        <is>
          <t>Phaïm Trung</t>
        </is>
      </c>
      <c r="D344" s="6" t="inlineStr">
        <is>
          <t>Nghóa</t>
        </is>
      </c>
      <c r="E344" s="5" t="inlineStr">
        <is>
          <t>12-Jun-07</t>
        </is>
      </c>
      <c r="F344" s="5" t="inlineStr">
        <is>
          <t>LNH0925ND01</t>
        </is>
      </c>
      <c r="G344" s="105" t="n">
        <v>4500000</v>
      </c>
      <c r="H344">
        <f>VLOOKUP(B344,'[1]TONG HOP'!B$5:G$624,6,0)</f>
        <v/>
      </c>
      <c r="I344" t="n">
        <v>2232500</v>
      </c>
    </row>
    <row r="345">
      <c r="A345" s="5" t="n">
        <v>339</v>
      </c>
      <c r="B345" s="5" t="inlineStr">
        <is>
          <t>25802600097</t>
        </is>
      </c>
      <c r="C345" s="6" t="inlineStr">
        <is>
          <t>Phaïm Cao Thaùi An</t>
        </is>
      </c>
      <c r="D345" s="6" t="inlineStr">
        <is>
          <t>Nhieân</t>
        </is>
      </c>
      <c r="E345" s="5" t="inlineStr">
        <is>
          <t>15-Apr-07</t>
        </is>
      </c>
      <c r="F345" s="5" t="inlineStr">
        <is>
          <t>LNH0925ND01</t>
        </is>
      </c>
      <c r="G345" s="105" t="n">
        <v>8415000</v>
      </c>
      <c r="H345">
        <f>VLOOKUP(B345,'[1]TONG HOP'!B$5:G$624,6,0)</f>
        <v/>
      </c>
      <c r="I345" t="n">
        <v>2103750</v>
      </c>
    </row>
    <row r="346">
      <c r="A346" s="5" t="n">
        <v>340</v>
      </c>
      <c r="B346" s="5" t="inlineStr">
        <is>
          <t>25807500082</t>
        </is>
      </c>
      <c r="C346" s="6" t="inlineStr">
        <is>
          <t>Nguyeãn Höõu</t>
        </is>
      </c>
      <c r="D346" s="6" t="inlineStr">
        <is>
          <t>Nhaân</t>
        </is>
      </c>
      <c r="E346" s="5" t="inlineStr">
        <is>
          <t>31-Dec-07</t>
        </is>
      </c>
      <c r="F346" s="5" t="inlineStr">
        <is>
          <t>LNH0925ND01</t>
        </is>
      </c>
      <c r="G346" s="105" t="n">
        <v>1000000</v>
      </c>
    </row>
    <row r="347">
      <c r="A347" s="5" t="n">
        <v>341</v>
      </c>
      <c r="B347" s="5" t="inlineStr">
        <is>
          <t>25808700072</t>
        </is>
      </c>
      <c r="C347" s="6" t="inlineStr">
        <is>
          <t>Nguyeãn Hoaøng</t>
        </is>
      </c>
      <c r="D347" s="6" t="inlineStr">
        <is>
          <t>Nhöït</t>
        </is>
      </c>
      <c r="E347" s="5" t="inlineStr">
        <is>
          <t>11-Oct-07</t>
        </is>
      </c>
      <c r="F347" s="5" t="inlineStr">
        <is>
          <t>LNH0925ND01</t>
        </is>
      </c>
      <c r="G347" s="105" t="n">
        <v>8415000</v>
      </c>
      <c r="H347">
        <f>VLOOKUP(B347,'[1]TONG HOP'!B$5:G$624,6,0)</f>
        <v/>
      </c>
      <c r="I347" t="n">
        <v>2103750</v>
      </c>
    </row>
    <row r="348">
      <c r="A348" s="5" t="n">
        <v>342</v>
      </c>
      <c r="B348" s="5" t="inlineStr">
        <is>
          <t>25802800258</t>
        </is>
      </c>
      <c r="C348" s="6" t="inlineStr">
        <is>
          <t>Nguyeãn Coâng</t>
        </is>
      </c>
      <c r="D348" s="6" t="inlineStr">
        <is>
          <t>Thöôøng</t>
        </is>
      </c>
      <c r="E348" s="5" t="inlineStr">
        <is>
          <t>15-Jan-07</t>
        </is>
      </c>
      <c r="F348" s="5" t="inlineStr">
        <is>
          <t>LNH0925ND01</t>
        </is>
      </c>
      <c r="G348" s="105" t="n">
        <v>8415000</v>
      </c>
      <c r="H348">
        <f>VLOOKUP(B348,'[1]TONG HOP'!B$5:G$624,6,0)</f>
        <v/>
      </c>
      <c r="I348" t="n">
        <v>2103750</v>
      </c>
    </row>
    <row r="349">
      <c r="A349" s="5" t="n">
        <v>343</v>
      </c>
      <c r="B349" s="5" t="inlineStr">
        <is>
          <t>25805800048</t>
        </is>
      </c>
      <c r="C349" s="6" t="inlineStr">
        <is>
          <t>Traàn Chí</t>
        </is>
      </c>
      <c r="D349" s="6" t="inlineStr">
        <is>
          <t>Huy</t>
        </is>
      </c>
      <c r="E349" s="5" t="inlineStr">
        <is>
          <t>09-Oct-07</t>
        </is>
      </c>
      <c r="F349" s="5" t="inlineStr">
        <is>
          <t>LNH0925ND01</t>
        </is>
      </c>
      <c r="G349" s="105" t="n">
        <v>8415000</v>
      </c>
      <c r="H349">
        <f>VLOOKUP(B349,'[1]TONG HOP'!B$5:G$624,6,0)</f>
        <v/>
      </c>
      <c r="I349" t="n">
        <v>2103750</v>
      </c>
    </row>
    <row r="350">
      <c r="A350" s="5" t="n">
        <v>344</v>
      </c>
      <c r="B350" s="5" t="inlineStr">
        <is>
          <t>25820300093</t>
        </is>
      </c>
      <c r="C350" s="6" t="inlineStr">
        <is>
          <t>Nguyeãn Thanh</t>
        </is>
      </c>
      <c r="D350" s="6" t="inlineStr">
        <is>
          <t>Phuù</t>
        </is>
      </c>
      <c r="E350" s="5" t="inlineStr">
        <is>
          <t>19-Dec-07</t>
        </is>
      </c>
      <c r="F350" s="5" t="inlineStr">
        <is>
          <t>LNH0925ND01</t>
        </is>
      </c>
      <c r="G350" s="105" t="n">
        <v>8415000</v>
      </c>
      <c r="H350">
        <f>VLOOKUP(B350,'[1]TONG HOP'!B$5:G$624,6,0)</f>
        <v/>
      </c>
      <c r="I350" t="n">
        <v>2103750</v>
      </c>
    </row>
    <row r="351">
      <c r="A351" s="5" t="n">
        <v>345</v>
      </c>
      <c r="B351" s="5" t="inlineStr">
        <is>
          <t>25801000025</t>
        </is>
      </c>
      <c r="C351" s="6" t="inlineStr">
        <is>
          <t>Nguyeãn Nhaät</t>
        </is>
      </c>
      <c r="D351" s="6" t="inlineStr">
        <is>
          <t>Duy</t>
        </is>
      </c>
      <c r="E351" s="5" t="inlineStr">
        <is>
          <t>08-Aug-07</t>
        </is>
      </c>
      <c r="F351" s="5" t="inlineStr">
        <is>
          <t>LNH0925ND01</t>
        </is>
      </c>
      <c r="G351" s="105" t="n">
        <v>1000000</v>
      </c>
    </row>
    <row r="352">
      <c r="A352" s="5" t="n">
        <v>346</v>
      </c>
      <c r="B352" s="5" t="inlineStr">
        <is>
          <t>25808200010</t>
        </is>
      </c>
      <c r="C352" s="6" t="inlineStr">
        <is>
          <t>Thöôïng Hoaøi</t>
        </is>
      </c>
      <c r="D352" s="6" t="inlineStr">
        <is>
          <t>AÂn</t>
        </is>
      </c>
      <c r="E352" s="5" t="inlineStr">
        <is>
          <t>02-Nov-07</t>
        </is>
      </c>
      <c r="F352" s="5" t="inlineStr">
        <is>
          <t>LNH0925ND01</t>
        </is>
      </c>
      <c r="G352" s="105" t="n">
        <v>8415000</v>
      </c>
      <c r="H352">
        <f>VLOOKUP(B352,'[1]TONG HOP'!B$5:G$624,6,0)</f>
        <v/>
      </c>
      <c r="I352" t="n">
        <v>2103750</v>
      </c>
    </row>
    <row r="353">
      <c r="A353" s="5" t="n">
        <v>347</v>
      </c>
      <c r="B353" s="5" t="inlineStr">
        <is>
          <t>25802700081</t>
        </is>
      </c>
      <c r="C353" s="6" t="inlineStr">
        <is>
          <t>Döông Nguyeãn Ngoïc</t>
        </is>
      </c>
      <c r="D353" s="6" t="inlineStr">
        <is>
          <t>Thaéng</t>
        </is>
      </c>
      <c r="E353" s="5" t="inlineStr">
        <is>
          <t>21-May-07</t>
        </is>
      </c>
      <c r="F353" s="5" t="inlineStr">
        <is>
          <t>LNH0925ND01</t>
        </is>
      </c>
      <c r="G353" s="105" t="n">
        <v>8415000</v>
      </c>
      <c r="H353">
        <f>VLOOKUP(B353,'[1]TONG HOP'!B$5:G$624,6,0)</f>
        <v/>
      </c>
      <c r="I353" t="n">
        <v>2103750</v>
      </c>
    </row>
    <row r="354">
      <c r="A354" s="5" t="n">
        <v>348</v>
      </c>
      <c r="B354" s="5" t="inlineStr">
        <is>
          <t>25808700190</t>
        </is>
      </c>
      <c r="C354" s="6" t="inlineStr">
        <is>
          <t>Leâ Minh</t>
        </is>
      </c>
      <c r="D354" s="6" t="inlineStr">
        <is>
          <t>Long</t>
        </is>
      </c>
      <c r="E354" s="5" t="inlineStr">
        <is>
          <t>28-Mar-07</t>
        </is>
      </c>
      <c r="F354" s="5" t="inlineStr">
        <is>
          <t>LNH0925ND01</t>
        </is>
      </c>
      <c r="G354" s="105" t="n">
        <v>1000000</v>
      </c>
    </row>
    <row r="355">
      <c r="A355" s="5" t="n">
        <v>349</v>
      </c>
      <c r="B355" s="5" t="inlineStr">
        <is>
          <t>25808700110</t>
        </is>
      </c>
      <c r="C355" s="6" t="inlineStr">
        <is>
          <t>Traàn Baûo</t>
        </is>
      </c>
      <c r="D355" s="6" t="inlineStr">
        <is>
          <t>Traân</t>
        </is>
      </c>
      <c r="E355" s="5" t="inlineStr">
        <is>
          <t>07-Dec-07</t>
        </is>
      </c>
      <c r="F355" s="5" t="inlineStr">
        <is>
          <t>LNH0925ND01</t>
        </is>
      </c>
      <c r="G355" s="105" t="n">
        <v>8415000</v>
      </c>
      <c r="H355">
        <f>VLOOKUP(B355,'[1]TONG HOP'!B$5:G$624,6,0)</f>
        <v/>
      </c>
      <c r="I355" t="n">
        <v>2103750</v>
      </c>
    </row>
    <row r="356">
      <c r="A356" s="5" t="n">
        <v>350</v>
      </c>
      <c r="B356" s="5" t="inlineStr">
        <is>
          <t>25802700054</t>
        </is>
      </c>
      <c r="C356" s="6" t="inlineStr">
        <is>
          <t>Leâ Thò Tuyeát</t>
        </is>
      </c>
      <c r="D356" s="6" t="inlineStr">
        <is>
          <t>Ngaân</t>
        </is>
      </c>
      <c r="E356" s="5" t="inlineStr">
        <is>
          <t>22-Jul-07</t>
        </is>
      </c>
      <c r="F356" s="5" t="inlineStr">
        <is>
          <t>LNH0925ND01</t>
        </is>
      </c>
      <c r="G356" s="105" t="n">
        <v>4465000</v>
      </c>
      <c r="H356">
        <f>VLOOKUP(B356,'[1]TONG HOP'!B$5:G$624,6,0)</f>
        <v/>
      </c>
      <c r="I356" t="n">
        <v>2232500</v>
      </c>
    </row>
    <row r="357">
      <c r="A357" s="5" t="n">
        <v>351</v>
      </c>
      <c r="B357" s="5" t="inlineStr">
        <is>
          <t>25801800072</t>
        </is>
      </c>
      <c r="C357" s="6" t="inlineStr">
        <is>
          <t>Nguyeãn Ngoïc Baûo</t>
        </is>
      </c>
      <c r="D357" s="6" t="inlineStr">
        <is>
          <t>Thy</t>
        </is>
      </c>
      <c r="E357" s="5" t="inlineStr">
        <is>
          <t>20-Jan-07</t>
        </is>
      </c>
      <c r="F357" s="5" t="inlineStr">
        <is>
          <t>LNH0925ND01</t>
        </is>
      </c>
      <c r="G357" s="105" t="n">
        <v>4465000</v>
      </c>
      <c r="H357">
        <f>VLOOKUP(B357,'[1]TONG HOP'!B$5:G$624,6,0)</f>
        <v/>
      </c>
      <c r="I357" t="n">
        <v>2232500</v>
      </c>
    </row>
    <row r="358">
      <c r="A358" s="5" t="n">
        <v>352</v>
      </c>
      <c r="B358" s="5" t="inlineStr">
        <is>
          <t>25800601138</t>
        </is>
      </c>
      <c r="C358" s="6" t="inlineStr">
        <is>
          <t>Nguyeãn Vaên</t>
        </is>
      </c>
      <c r="D358" s="6" t="inlineStr">
        <is>
          <t>Lôïi</t>
        </is>
      </c>
      <c r="E358" s="5" t="inlineStr">
        <is>
          <t>18-Feb-07</t>
        </is>
      </c>
      <c r="F358" s="5" t="inlineStr">
        <is>
          <t>LNH0925ND01</t>
        </is>
      </c>
      <c r="G358" s="105" t="n">
        <v>8415000</v>
      </c>
      <c r="H358">
        <f>VLOOKUP(B358,'[1]TONG HOP'!B$5:G$624,6,0)</f>
        <v/>
      </c>
      <c r="I358" t="n">
        <v>2103750</v>
      </c>
    </row>
    <row r="359">
      <c r="A359" s="5" t="n">
        <v>353</v>
      </c>
      <c r="B359" s="5" t="inlineStr">
        <is>
          <t>25802800047</t>
        </is>
      </c>
      <c r="C359" s="6" t="inlineStr">
        <is>
          <t>Nguyeãn Haûi</t>
        </is>
      </c>
      <c r="D359" s="6" t="inlineStr">
        <is>
          <t>Ñaêng</t>
        </is>
      </c>
      <c r="E359" s="5" t="inlineStr">
        <is>
          <t>01-Jan-07</t>
        </is>
      </c>
      <c r="F359" s="5" t="inlineStr">
        <is>
          <t>LNH0925ND01</t>
        </is>
      </c>
      <c r="G359" s="105" t="n">
        <v>9415000</v>
      </c>
    </row>
    <row r="360">
      <c r="A360" s="5" t="n">
        <v>354</v>
      </c>
      <c r="B360" s="5" t="inlineStr">
        <is>
          <t>25806800059</t>
        </is>
      </c>
      <c r="C360" s="6" t="inlineStr">
        <is>
          <t>Nguyeãn</t>
        </is>
      </c>
      <c r="D360" s="6" t="inlineStr">
        <is>
          <t>Phong</t>
        </is>
      </c>
      <c r="E360" s="5" t="inlineStr">
        <is>
          <t>22-Oct-07</t>
        </is>
      </c>
      <c r="F360" s="5" t="inlineStr">
        <is>
          <t>LNH0925ND01</t>
        </is>
      </c>
      <c r="G360" s="105" t="n">
        <v>1000000</v>
      </c>
    </row>
    <row r="361">
      <c r="A361" s="5" t="n">
        <v>355</v>
      </c>
      <c r="B361" s="5" t="inlineStr">
        <is>
          <t>25801100007</t>
        </is>
      </c>
      <c r="C361" s="6" t="inlineStr">
        <is>
          <t>Phan Minh</t>
        </is>
      </c>
      <c r="D361" s="6" t="inlineStr">
        <is>
          <t>Chieán</t>
        </is>
      </c>
      <c r="E361" s="5" t="inlineStr">
        <is>
          <t>17-Jan-07</t>
        </is>
      </c>
      <c r="F361" s="5" t="inlineStr">
        <is>
          <t>LNH0925ND01</t>
        </is>
      </c>
      <c r="G361" s="105" t="n">
        <v>8415000</v>
      </c>
      <c r="H361">
        <f>VLOOKUP(B361,'[1]TONG HOP'!B$5:G$624,6,0)</f>
        <v/>
      </c>
      <c r="I361" t="n">
        <v>2103750</v>
      </c>
    </row>
    <row r="362">
      <c r="A362" s="5" t="n">
        <v>356</v>
      </c>
      <c r="B362" s="5" t="inlineStr">
        <is>
          <t>25800400273</t>
        </is>
      </c>
      <c r="C362" s="6" t="inlineStr">
        <is>
          <t>Nguyeãn Duy</t>
        </is>
      </c>
      <c r="D362" s="6" t="inlineStr">
        <is>
          <t>An</t>
        </is>
      </c>
      <c r="E362" s="5" t="inlineStr">
        <is>
          <t>22-Mar-07</t>
        </is>
      </c>
      <c r="F362" s="5" t="inlineStr">
        <is>
          <t>LNH0925ND01</t>
        </is>
      </c>
      <c r="G362" s="105" t="n">
        <v>4465000</v>
      </c>
      <c r="H362">
        <f>VLOOKUP(B362,'[1]TONG HOP'!B$5:G$624,6,0)</f>
        <v/>
      </c>
      <c r="I362" t="n">
        <v>2232500</v>
      </c>
    </row>
    <row r="363">
      <c r="A363" s="5" t="n">
        <v>357</v>
      </c>
      <c r="B363" s="5" t="inlineStr">
        <is>
          <t>25820300019</t>
        </is>
      </c>
      <c r="C363" s="6" t="inlineStr">
        <is>
          <t>Traàn Quoác</t>
        </is>
      </c>
      <c r="D363" s="6" t="inlineStr">
        <is>
          <t>Huy</t>
        </is>
      </c>
      <c r="E363" s="5" t="inlineStr">
        <is>
          <t>16-Mar-07</t>
        </is>
      </c>
      <c r="F363" s="5" t="inlineStr">
        <is>
          <t>LNH0925ND01</t>
        </is>
      </c>
      <c r="G363" s="105" t="n">
        <v>8415000</v>
      </c>
      <c r="H363">
        <f>VLOOKUP(B363,'[1]TONG HOP'!B$5:G$624,6,0)</f>
        <v/>
      </c>
      <c r="I363" t="n">
        <v>2103750</v>
      </c>
    </row>
    <row r="364">
      <c r="A364" s="5" t="n">
        <v>358</v>
      </c>
      <c r="B364" s="5" t="inlineStr">
        <is>
          <t>25801100076</t>
        </is>
      </c>
      <c r="C364" s="6" t="inlineStr">
        <is>
          <t>Traàn Huyønh Vaïn</t>
        </is>
      </c>
      <c r="D364" s="6" t="inlineStr">
        <is>
          <t>Trí</t>
        </is>
      </c>
      <c r="E364" s="5" t="inlineStr">
        <is>
          <t>10-Oct-07</t>
        </is>
      </c>
      <c r="F364" s="5" t="inlineStr">
        <is>
          <t>LNH0925ND01</t>
        </is>
      </c>
      <c r="G364" s="105" t="n">
        <v>8415000</v>
      </c>
      <c r="H364">
        <f>VLOOKUP(B364,'[1]TONG HOP'!B$5:G$624,6,0)</f>
        <v/>
      </c>
      <c r="I364" t="n">
        <v>2103750</v>
      </c>
    </row>
    <row r="365">
      <c r="A365" s="5" t="n">
        <v>359</v>
      </c>
      <c r="B365" s="5" t="inlineStr">
        <is>
          <t>25807500017</t>
        </is>
      </c>
      <c r="C365" s="6" t="inlineStr">
        <is>
          <t>Ñoã Tieán</t>
        </is>
      </c>
      <c r="D365" s="6" t="inlineStr">
        <is>
          <t>Döông</t>
        </is>
      </c>
      <c r="E365" s="5" t="inlineStr">
        <is>
          <t>20-Jul-07</t>
        </is>
      </c>
      <c r="F365" s="5" t="inlineStr">
        <is>
          <t>LNH0925ND01</t>
        </is>
      </c>
      <c r="G365" s="105" t="n">
        <v>8415000</v>
      </c>
      <c r="H365">
        <f>VLOOKUP(B365,'[1]TONG HOP'!B$5:G$624,6,0)</f>
        <v/>
      </c>
      <c r="I365" t="n">
        <v>2103750</v>
      </c>
    </row>
    <row r="366">
      <c r="A366" s="5" t="n">
        <v>360</v>
      </c>
      <c r="B366" s="5" t="inlineStr">
        <is>
          <t>25808200141</t>
        </is>
      </c>
      <c r="C366" s="6" t="inlineStr">
        <is>
          <t>Nguyeãn Thaùi</t>
        </is>
      </c>
      <c r="D366" s="6" t="inlineStr">
        <is>
          <t>Tuaán</t>
        </is>
      </c>
      <c r="E366" s="5" t="inlineStr">
        <is>
          <t>27-Jan-07</t>
        </is>
      </c>
      <c r="F366" s="5" t="inlineStr">
        <is>
          <t>LNH0925ND01</t>
        </is>
      </c>
      <c r="G366" s="105" t="n">
        <v>2100000</v>
      </c>
    </row>
    <row r="367">
      <c r="A367" s="5" t="n">
        <v>361</v>
      </c>
      <c r="B367" s="5" t="inlineStr">
        <is>
          <t>25807500033</t>
        </is>
      </c>
      <c r="C367" s="6" t="inlineStr">
        <is>
          <t>Phaïm Minh</t>
        </is>
      </c>
      <c r="D367" s="6" t="inlineStr">
        <is>
          <t>Hoøa</t>
        </is>
      </c>
      <c r="E367" s="5" t="inlineStr">
        <is>
          <t>21-Nov-07</t>
        </is>
      </c>
      <c r="F367" s="5" t="inlineStr">
        <is>
          <t>LNH0925ND01</t>
        </is>
      </c>
      <c r="G367" s="105" t="n">
        <v>8415000</v>
      </c>
      <c r="H367">
        <f>VLOOKUP(B367,'[1]TONG HOP'!B$5:G$624,6,0)</f>
        <v/>
      </c>
      <c r="I367" t="n">
        <v>2103750</v>
      </c>
    </row>
    <row r="368">
      <c r="A368" s="5" t="n">
        <v>362</v>
      </c>
      <c r="B368" s="5" t="inlineStr">
        <is>
          <t>25802700094</t>
        </is>
      </c>
      <c r="C368" s="6" t="inlineStr">
        <is>
          <t>Buøi Thò Ngoïc</t>
        </is>
      </c>
      <c r="D368" s="6" t="inlineStr">
        <is>
          <t>Traâm</t>
        </is>
      </c>
      <c r="E368" s="5" t="inlineStr">
        <is>
          <t>19-Dec-07</t>
        </is>
      </c>
      <c r="F368" s="5" t="inlineStr">
        <is>
          <t>LNH0925ND01</t>
        </is>
      </c>
      <c r="G368" s="105" t="n">
        <v>4465000</v>
      </c>
      <c r="H368">
        <f>VLOOKUP(B368,'[1]TONG HOP'!B$5:G$624,6,0)</f>
        <v/>
      </c>
      <c r="I368" t="n">
        <v>2232500</v>
      </c>
    </row>
    <row r="369">
      <c r="A369" s="5" t="n">
        <v>363</v>
      </c>
      <c r="B369" s="5" t="inlineStr">
        <is>
          <t>25807500151</t>
        </is>
      </c>
      <c r="C369" s="6" t="inlineStr">
        <is>
          <t>Nguyeãn Phaïm Hoaøng</t>
        </is>
      </c>
      <c r="D369" s="6" t="inlineStr">
        <is>
          <t>Trung</t>
        </is>
      </c>
      <c r="E369" s="5" t="inlineStr">
        <is>
          <t>22-Jan-07</t>
        </is>
      </c>
      <c r="F369" s="5" t="inlineStr">
        <is>
          <t>LNH0925ND01</t>
        </is>
      </c>
      <c r="G369" s="105" t="n">
        <v>8415000</v>
      </c>
      <c r="H369">
        <f>VLOOKUP(B369,'[1]TONG HOP'!B$5:G$624,6,0)</f>
        <v/>
      </c>
      <c r="I369" t="n">
        <v>2103750</v>
      </c>
    </row>
    <row r="370">
      <c r="A370" s="5" t="n">
        <v>364</v>
      </c>
      <c r="B370" s="5" t="inlineStr">
        <is>
          <t>25820200008</t>
        </is>
      </c>
      <c r="C370" s="6" t="inlineStr">
        <is>
          <t>Huyønh Phuù</t>
        </is>
      </c>
      <c r="D370" s="6" t="inlineStr">
        <is>
          <t>Cöôøng</t>
        </is>
      </c>
      <c r="E370" s="5" t="inlineStr">
        <is>
          <t>06-Dec-07</t>
        </is>
      </c>
      <c r="F370" s="5" t="inlineStr">
        <is>
          <t>LNH0925ND01</t>
        </is>
      </c>
      <c r="G370" s="105" t="n">
        <v>8415000</v>
      </c>
      <c r="H370">
        <f>VLOOKUP(B370,'[1]TONG HOP'!B$5:G$624,6,0)</f>
        <v/>
      </c>
      <c r="I370" t="n">
        <v>2103750</v>
      </c>
    </row>
    <row r="371">
      <c r="A371" s="5" t="n">
        <v>365</v>
      </c>
      <c r="B371" s="5" t="inlineStr">
        <is>
          <t>25820200126</t>
        </is>
      </c>
      <c r="C371" s="6" t="inlineStr">
        <is>
          <t>Vuõ Ñình Hoaøng</t>
        </is>
      </c>
      <c r="D371" s="6" t="inlineStr">
        <is>
          <t>Khang</t>
        </is>
      </c>
      <c r="E371" s="5" t="inlineStr">
        <is>
          <t>31-Aug-07</t>
        </is>
      </c>
      <c r="F371" s="5" t="inlineStr">
        <is>
          <t>LNH0925ND01</t>
        </is>
      </c>
      <c r="G371" s="105" t="n">
        <v>1000000</v>
      </c>
    </row>
    <row r="372">
      <c r="A372" s="5" t="n">
        <v>366</v>
      </c>
      <c r="B372" s="5" t="inlineStr">
        <is>
          <t>25807500227</t>
        </is>
      </c>
      <c r="C372" s="6" t="inlineStr">
        <is>
          <t>Nguyeãn Ngoïc Phöông</t>
        </is>
      </c>
      <c r="D372" s="6" t="inlineStr">
        <is>
          <t>Traân</t>
        </is>
      </c>
      <c r="E372" s="5" t="inlineStr">
        <is>
          <t>17-Nov-07</t>
        </is>
      </c>
      <c r="F372" s="5" t="inlineStr">
        <is>
          <t>LNH0925ND01</t>
        </is>
      </c>
      <c r="G372" s="105" t="n">
        <v>8415000</v>
      </c>
      <c r="H372">
        <f>VLOOKUP(B372,'[1]TONG HOP'!B$5:G$624,6,0)</f>
        <v/>
      </c>
      <c r="I372" t="n">
        <v>2103750</v>
      </c>
    </row>
    <row r="373">
      <c r="A373" s="5" t="n">
        <v>367</v>
      </c>
      <c r="B373" s="5" t="inlineStr">
        <is>
          <t>25805800021</t>
        </is>
      </c>
      <c r="C373" s="6" t="inlineStr">
        <is>
          <t>Ñinh Ngoïc Phöông</t>
        </is>
      </c>
      <c r="D373" s="6" t="inlineStr">
        <is>
          <t>Ngaân</t>
        </is>
      </c>
      <c r="E373" s="5" t="inlineStr">
        <is>
          <t>21-Nov-07</t>
        </is>
      </c>
      <c r="F373" s="5" t="inlineStr">
        <is>
          <t>LNH0925ND01</t>
        </is>
      </c>
      <c r="G373" s="105" t="n">
        <v>8415000</v>
      </c>
    </row>
    <row r="374">
      <c r="A374" s="5" t="n">
        <v>368</v>
      </c>
      <c r="B374" s="5" t="inlineStr">
        <is>
          <t>25801300018</t>
        </is>
      </c>
      <c r="C374" s="6" t="inlineStr">
        <is>
          <t>Nguyeãn Hoaøng</t>
        </is>
      </c>
      <c r="D374" s="6" t="inlineStr">
        <is>
          <t>Nam</t>
        </is>
      </c>
      <c r="E374" s="5" t="inlineStr">
        <is>
          <t>17-Jul-07</t>
        </is>
      </c>
      <c r="F374" s="5" t="inlineStr">
        <is>
          <t>LNH0925ND01</t>
        </is>
      </c>
      <c r="G374" s="105" t="n">
        <v>1000000</v>
      </c>
    </row>
    <row r="375">
      <c r="A375" s="5" t="n">
        <v>369</v>
      </c>
      <c r="B375" s="5" t="inlineStr">
        <is>
          <t>25801900115</t>
        </is>
      </c>
      <c r="C375" s="6" t="inlineStr">
        <is>
          <t>Leâ Phuù</t>
        </is>
      </c>
      <c r="D375" s="6" t="inlineStr">
        <is>
          <t>Phuùc</t>
        </is>
      </c>
      <c r="E375" s="5" t="inlineStr">
        <is>
          <t>20-Aug-05</t>
        </is>
      </c>
      <c r="F375" s="5" t="inlineStr">
        <is>
          <t>LNH0925ND01</t>
        </is>
      </c>
      <c r="G375" s="105" t="n">
        <v>8415000</v>
      </c>
      <c r="H375">
        <f>VLOOKUP(B375,'[1]TONG HOP'!B$5:G$624,6,0)</f>
        <v/>
      </c>
      <c r="I375" t="n">
        <v>2103750</v>
      </c>
    </row>
    <row r="376">
      <c r="A376" s="5" t="n">
        <v>370</v>
      </c>
      <c r="B376" s="5" t="inlineStr">
        <is>
          <t>25802400055</t>
        </is>
      </c>
      <c r="C376" s="6" t="inlineStr">
        <is>
          <t>Voõ Minh</t>
        </is>
      </c>
      <c r="D376" s="6" t="inlineStr">
        <is>
          <t>Quaân</t>
        </is>
      </c>
      <c r="E376" s="5" t="inlineStr">
        <is>
          <t>13-Sep-02</t>
        </is>
      </c>
      <c r="F376" s="5" t="inlineStr">
        <is>
          <t>LNH0925ND01</t>
        </is>
      </c>
      <c r="G376" s="105" t="n">
        <v>1000000</v>
      </c>
    </row>
    <row r="377">
      <c r="A377" s="5" t="n">
        <v>371</v>
      </c>
      <c r="B377" s="5" t="inlineStr">
        <is>
          <t>25801300024</t>
        </is>
      </c>
      <c r="C377" s="6" t="inlineStr">
        <is>
          <t>Leâ Huyønh Khaùnh</t>
        </is>
      </c>
      <c r="D377" s="6" t="inlineStr">
        <is>
          <t>Nguyeân</t>
        </is>
      </c>
      <c r="E377" s="5" t="inlineStr">
        <is>
          <t>10-Jul-07</t>
        </is>
      </c>
      <c r="F377" s="5" t="inlineStr">
        <is>
          <t>LNH0925ND01</t>
        </is>
      </c>
      <c r="G377" s="105" t="n">
        <v>8415000</v>
      </c>
      <c r="H377">
        <f>VLOOKUP(B377,'[1]TONG HOP'!B$5:G$624,6,0)</f>
        <v/>
      </c>
      <c r="I377" t="n">
        <v>2103750</v>
      </c>
    </row>
    <row r="378">
      <c r="A378" s="5" t="n">
        <v>372</v>
      </c>
      <c r="B378" s="5" t="inlineStr">
        <is>
          <t>25808200117</t>
        </is>
      </c>
      <c r="C378" s="6" t="inlineStr">
        <is>
          <t>Nguyeãn Thuaän</t>
        </is>
      </c>
      <c r="D378" s="6" t="inlineStr">
        <is>
          <t>Thanh</t>
        </is>
      </c>
      <c r="E378" s="5" t="inlineStr">
        <is>
          <t>10-Feb-07</t>
        </is>
      </c>
      <c r="F378" s="5" t="inlineStr">
        <is>
          <t>LNH0925ND01</t>
        </is>
      </c>
      <c r="G378" s="105" t="n">
        <v>8415000</v>
      </c>
      <c r="H378">
        <f>VLOOKUP(B378,'[1]TONG HOP'!B$5:G$624,6,0)</f>
        <v/>
      </c>
      <c r="I378" t="n">
        <v>2103750</v>
      </c>
    </row>
    <row r="379">
      <c r="A379" s="5" t="n">
        <v>373</v>
      </c>
      <c r="B379" s="5" t="inlineStr">
        <is>
          <t>25806300031</t>
        </is>
      </c>
      <c r="C379" s="6" t="inlineStr">
        <is>
          <t>Nguyeãn Minh</t>
        </is>
      </c>
      <c r="D379" s="6" t="inlineStr">
        <is>
          <t>Nhaät</t>
        </is>
      </c>
      <c r="E379" s="5" t="inlineStr">
        <is>
          <t>31-Jul-07</t>
        </is>
      </c>
      <c r="F379" s="5" t="inlineStr">
        <is>
          <t>LNH0925ND01</t>
        </is>
      </c>
      <c r="G379" s="105" t="n">
        <v>8450000</v>
      </c>
      <c r="H379">
        <f>VLOOKUP(B379,'[1]TONG HOP'!B$5:G$624,6,0)</f>
        <v/>
      </c>
      <c r="I379" t="n">
        <v>2103750</v>
      </c>
    </row>
    <row r="380">
      <c r="A380" s="5" t="n">
        <v>374</v>
      </c>
      <c r="B380" s="5" t="inlineStr">
        <is>
          <t>25807000017</t>
        </is>
      </c>
      <c r="C380" s="6" t="inlineStr">
        <is>
          <t>Nguyeãn Thanh</t>
        </is>
      </c>
      <c r="D380" s="6" t="inlineStr">
        <is>
          <t>Ngaân</t>
        </is>
      </c>
      <c r="E380" s="5" t="inlineStr">
        <is>
          <t>31-Oct-06</t>
        </is>
      </c>
      <c r="F380" s="5" t="inlineStr">
        <is>
          <t>LNH0925ND01</t>
        </is>
      </c>
      <c r="G380" s="105" t="n">
        <v>8415000</v>
      </c>
      <c r="H380">
        <f>VLOOKUP(B380,'[1]TONG HOP'!B$5:G$624,6,0)</f>
        <v/>
      </c>
      <c r="I380" t="n">
        <v>2103750</v>
      </c>
    </row>
    <row r="381">
      <c r="A381" s="5" t="n">
        <v>375</v>
      </c>
      <c r="B381" s="5" t="inlineStr">
        <is>
          <t>25802800021</t>
        </is>
      </c>
      <c r="C381" s="6" t="inlineStr">
        <is>
          <t>Traàn Ngoïc</t>
        </is>
      </c>
      <c r="D381" s="6" t="inlineStr">
        <is>
          <t>Bích</t>
        </is>
      </c>
      <c r="E381" s="5" t="inlineStr">
        <is>
          <t>23-Oct-06</t>
        </is>
      </c>
      <c r="F381" s="5" t="inlineStr">
        <is>
          <t>LNH0925ND01</t>
        </is>
      </c>
      <c r="G381" s="105" t="n">
        <v>5000000</v>
      </c>
      <c r="H381">
        <f>VLOOKUP(B381,'[1]TONG HOP'!B$5:G$624,6,0)</f>
        <v/>
      </c>
      <c r="I381" t="n">
        <v>2232500</v>
      </c>
    </row>
    <row r="382">
      <c r="A382" s="5" t="n">
        <v>376</v>
      </c>
      <c r="B382" s="5" t="inlineStr">
        <is>
          <t>25802800167</t>
        </is>
      </c>
      <c r="C382" s="6" t="inlineStr">
        <is>
          <t>Nguyeãn Traàn Phöông</t>
        </is>
      </c>
      <c r="D382" s="6" t="inlineStr">
        <is>
          <t>Ngoïc</t>
        </is>
      </c>
      <c r="E382" s="5" t="inlineStr">
        <is>
          <t>20-Jun-07</t>
        </is>
      </c>
      <c r="F382" s="5" t="inlineStr">
        <is>
          <t>LNH0925ND01</t>
        </is>
      </c>
      <c r="G382" s="105" t="n">
        <v>4940000</v>
      </c>
    </row>
    <row r="383">
      <c r="A383" s="5" t="n">
        <v>377</v>
      </c>
      <c r="B383" s="5" t="inlineStr">
        <is>
          <t>25802800280</t>
        </is>
      </c>
      <c r="C383" s="6" t="inlineStr">
        <is>
          <t>Traàn Cao</t>
        </is>
      </c>
      <c r="D383" s="6" t="inlineStr">
        <is>
          <t>Troïng</t>
        </is>
      </c>
      <c r="E383" s="5" t="inlineStr">
        <is>
          <t>27-Jul-07</t>
        </is>
      </c>
      <c r="F383" s="5" t="inlineStr">
        <is>
          <t>LNH0925ND01</t>
        </is>
      </c>
      <c r="G383" s="105" t="n">
        <v>1000000</v>
      </c>
    </row>
    <row r="384">
      <c r="A384" s="5" t="n">
        <v>378</v>
      </c>
      <c r="B384" s="20" t="inlineStr">
        <is>
          <t>25800500311</t>
        </is>
      </c>
      <c r="C384" s="6" t="inlineStr">
        <is>
          <t>Trieäu Gia</t>
        </is>
      </c>
      <c r="D384" s="6" t="inlineStr">
        <is>
          <t>Khang</t>
        </is>
      </c>
      <c r="E384" s="5" t="inlineStr">
        <is>
          <t>22-Feb-07</t>
        </is>
      </c>
      <c r="F384" s="5" t="inlineStr">
        <is>
          <t>LNH0925NL01</t>
        </is>
      </c>
      <c r="G384" s="105" t="n">
        <v>8415000</v>
      </c>
      <c r="H384" s="19">
        <f>VLOOKUP(B384,'[1]TONG HOP'!B$5:G$624,6,0)</f>
        <v/>
      </c>
      <c r="I384" t="n">
        <v>1530000</v>
      </c>
    </row>
    <row r="385">
      <c r="A385" s="5" t="n">
        <v>379</v>
      </c>
      <c r="B385" s="5" t="inlineStr">
        <is>
          <t>25808200104</t>
        </is>
      </c>
      <c r="C385" s="6" t="inlineStr">
        <is>
          <t>Toân Thaát Döông</t>
        </is>
      </c>
      <c r="D385" s="6" t="inlineStr">
        <is>
          <t>Quang</t>
        </is>
      </c>
      <c r="E385" s="5" t="inlineStr">
        <is>
          <t>21-Feb-07</t>
        </is>
      </c>
      <c r="F385" s="5" t="inlineStr">
        <is>
          <t>LNH0925ND01</t>
        </is>
      </c>
      <c r="G385" s="105" t="n">
        <v>8415000</v>
      </c>
      <c r="H385">
        <f>VLOOKUP(B385,'[1]TONG HOP'!B$5:G$624,6,0)</f>
        <v/>
      </c>
      <c r="I385" t="n">
        <v>2103750</v>
      </c>
    </row>
    <row r="386">
      <c r="A386" s="5" t="n">
        <v>380</v>
      </c>
      <c r="B386" s="5" t="inlineStr">
        <is>
          <t>25800500149</t>
        </is>
      </c>
      <c r="C386" s="6" t="inlineStr">
        <is>
          <t>Nguyeãn Ngoïc Ñöùc</t>
        </is>
      </c>
      <c r="D386" s="6" t="inlineStr">
        <is>
          <t>Taøi</t>
        </is>
      </c>
      <c r="E386" s="5" t="inlineStr">
        <is>
          <t>11-Sep-07</t>
        </is>
      </c>
      <c r="F386" s="5" t="inlineStr">
        <is>
          <t>LNH0925ND01</t>
        </is>
      </c>
      <c r="G386" s="105" t="n">
        <v>8415000</v>
      </c>
      <c r="H386">
        <f>VLOOKUP(B386,'[1]TONG HOP'!B$5:G$624,6,0)</f>
        <v/>
      </c>
      <c r="I386" t="n">
        <v>2103750</v>
      </c>
    </row>
    <row r="387">
      <c r="A387" s="5" t="n">
        <v>381</v>
      </c>
      <c r="B387" s="5" t="inlineStr">
        <is>
          <t>25802800410</t>
        </is>
      </c>
      <c r="C387" s="6" t="inlineStr">
        <is>
          <t>Ñoã Chí</t>
        </is>
      </c>
      <c r="D387" s="6" t="inlineStr">
        <is>
          <t>Coâng</t>
        </is>
      </c>
      <c r="E387" s="5" t="inlineStr">
        <is>
          <t>03-Nov-07</t>
        </is>
      </c>
      <c r="F387" s="5" t="inlineStr">
        <is>
          <t>LNH0925ND01</t>
        </is>
      </c>
      <c r="G387" s="105" t="n">
        <v>1000000</v>
      </c>
    </row>
    <row r="388">
      <c r="A388" s="5" t="n">
        <v>382</v>
      </c>
      <c r="B388" s="5" t="inlineStr">
        <is>
          <t>25802800055</t>
        </is>
      </c>
      <c r="C388" s="6" t="inlineStr">
        <is>
          <t>Nguyeãn Xuaân Hoaøng</t>
        </is>
      </c>
      <c r="D388" s="6" t="inlineStr">
        <is>
          <t>Haø</t>
        </is>
      </c>
      <c r="E388" s="5" t="inlineStr">
        <is>
          <t>04-Jun-07</t>
        </is>
      </c>
      <c r="F388" s="5" t="inlineStr">
        <is>
          <t>LNH0925ND01</t>
        </is>
      </c>
      <c r="G388" s="105" t="n">
        <v>8415000</v>
      </c>
      <c r="H388">
        <f>VLOOKUP(B388,'[1]TONG HOP'!B$5:G$624,6,0)</f>
        <v/>
      </c>
      <c r="I388" t="n">
        <v>2103750</v>
      </c>
    </row>
    <row r="389">
      <c r="A389" s="5" t="n">
        <v>383</v>
      </c>
      <c r="B389" s="5" t="inlineStr">
        <is>
          <t>25809600068</t>
        </is>
      </c>
      <c r="C389" s="6" t="inlineStr">
        <is>
          <t>Voõ Vieät</t>
        </is>
      </c>
      <c r="D389" s="6" t="inlineStr">
        <is>
          <t>Trí</t>
        </is>
      </c>
      <c r="E389" s="5" t="inlineStr">
        <is>
          <t>03-Jan-07</t>
        </is>
      </c>
      <c r="F389" s="5" t="inlineStr">
        <is>
          <t>LNH0925ND01</t>
        </is>
      </c>
      <c r="G389" s="105" t="n">
        <v>8415000</v>
      </c>
      <c r="H389">
        <f>VLOOKUP(B389,'[1]TONG HOP'!B$5:G$624,6,0)</f>
        <v/>
      </c>
      <c r="I389" t="n">
        <v>2103750</v>
      </c>
    </row>
    <row r="390">
      <c r="A390" s="5" t="n">
        <v>384</v>
      </c>
      <c r="B390" s="5" t="inlineStr">
        <is>
          <t>25802100071</t>
        </is>
      </c>
      <c r="C390" s="6" t="inlineStr">
        <is>
          <t>Nguyeãn Vinh</t>
        </is>
      </c>
      <c r="D390" s="6" t="inlineStr">
        <is>
          <t>Quang</t>
        </is>
      </c>
      <c r="E390" s="5" t="inlineStr">
        <is>
          <t>30-Nov-07</t>
        </is>
      </c>
      <c r="F390" s="5" t="inlineStr">
        <is>
          <t>LNH0925ND01</t>
        </is>
      </c>
      <c r="G390" s="105" t="n">
        <v>8415000</v>
      </c>
      <c r="H390">
        <f>VLOOKUP(B390,'[1]TONG HOP'!B$5:G$624,6,0)</f>
        <v/>
      </c>
      <c r="I390" t="n">
        <v>2103750</v>
      </c>
    </row>
    <row r="391">
      <c r="A391" s="5" t="n">
        <v>385</v>
      </c>
      <c r="B391" s="5" t="inlineStr">
        <is>
          <t>25808300046</t>
        </is>
      </c>
      <c r="C391" s="6" t="inlineStr">
        <is>
          <t>Laâm Thanh</t>
        </is>
      </c>
      <c r="D391" s="6" t="inlineStr">
        <is>
          <t>Thuùy</t>
        </is>
      </c>
      <c r="E391" s="5" t="inlineStr">
        <is>
          <t>25-Oct-07</t>
        </is>
      </c>
      <c r="F391" s="5" t="inlineStr">
        <is>
          <t>LNH0925ND01</t>
        </is>
      </c>
      <c r="G391" s="105" t="n">
        <v>2100000</v>
      </c>
      <c r="H391">
        <f>VLOOKUP(B391,'[1]TONG HOP'!B$5:G$624,6,0)</f>
        <v/>
      </c>
      <c r="I391" t="n">
        <v>2100000</v>
      </c>
    </row>
    <row r="392">
      <c r="A392" s="5" t="n">
        <v>386</v>
      </c>
      <c r="B392" s="5" t="inlineStr">
        <is>
          <t>25807900026</t>
        </is>
      </c>
      <c r="C392" s="6" t="inlineStr">
        <is>
          <t>Phan Taán Gia</t>
        </is>
      </c>
      <c r="D392" s="6" t="inlineStr">
        <is>
          <t>Khang</t>
        </is>
      </c>
      <c r="E392" s="5" t="inlineStr">
        <is>
          <t>30-Dec-07</t>
        </is>
      </c>
      <c r="F392" s="5" t="inlineStr">
        <is>
          <t>LNH0925ND01</t>
        </is>
      </c>
      <c r="G392" s="105" t="n">
        <v>2100000</v>
      </c>
      <c r="H392">
        <f>VLOOKUP(B392,'[1]TONG HOP'!B$5:G$624,6,0)</f>
        <v/>
      </c>
      <c r="I392" t="n">
        <v>2100000</v>
      </c>
    </row>
    <row r="393">
      <c r="A393" s="5" t="n">
        <v>387</v>
      </c>
      <c r="B393" s="5" t="inlineStr">
        <is>
          <t>25803000333</t>
        </is>
      </c>
      <c r="C393" s="6" t="inlineStr">
        <is>
          <t>Ñaëng Ngoïc Quyønh</t>
        </is>
      </c>
      <c r="D393" s="6" t="inlineStr">
        <is>
          <t>Mai</t>
        </is>
      </c>
      <c r="E393" s="5" t="inlineStr">
        <is>
          <t>09-Jan-07</t>
        </is>
      </c>
      <c r="F393" s="5" t="inlineStr">
        <is>
          <t>LNH0925ND01</t>
        </is>
      </c>
      <c r="G393" s="105" t="n">
        <v>2100000</v>
      </c>
    </row>
    <row r="394">
      <c r="A394" s="5" t="n">
        <v>388</v>
      </c>
      <c r="B394" s="5" t="inlineStr">
        <is>
          <t>25807900062</t>
        </is>
      </c>
      <c r="C394" s="6" t="inlineStr">
        <is>
          <t>Phaïm Vaên</t>
        </is>
      </c>
      <c r="D394" s="6" t="inlineStr">
        <is>
          <t>Vöôïng</t>
        </is>
      </c>
      <c r="E394" s="5" t="inlineStr">
        <is>
          <t>10-Jan-07</t>
        </is>
      </c>
      <c r="F394" s="5" t="inlineStr">
        <is>
          <t>LNH0925ND01</t>
        </is>
      </c>
      <c r="G394" s="105" t="n">
        <v>2100000</v>
      </c>
      <c r="H394">
        <f>VLOOKUP(B394,'[1]TONG HOP'!B$5:G$624,6,0)</f>
        <v/>
      </c>
      <c r="I394" t="n">
        <v>2100000</v>
      </c>
    </row>
    <row r="395">
      <c r="A395" s="5" t="n">
        <v>389</v>
      </c>
      <c r="B395" s="5" t="inlineStr">
        <is>
          <t>25820200036</t>
        </is>
      </c>
      <c r="C395" s="6" t="inlineStr">
        <is>
          <t>Voõ Hoaøng Anh</t>
        </is>
      </c>
      <c r="D395" s="6" t="inlineStr">
        <is>
          <t>Kieät</t>
        </is>
      </c>
      <c r="E395" s="5" t="inlineStr">
        <is>
          <t>15-May-07</t>
        </is>
      </c>
      <c r="F395" s="5" t="inlineStr">
        <is>
          <t>LNH0925ND01</t>
        </is>
      </c>
      <c r="G395" s="105" t="n">
        <v>2100000</v>
      </c>
      <c r="H395">
        <f>VLOOKUP(B395,'[1]TONG HOP'!B$5:G$624,6,0)</f>
        <v/>
      </c>
      <c r="I395" t="n">
        <v>2100000</v>
      </c>
    </row>
    <row r="396">
      <c r="A396" s="5" t="n">
        <v>390</v>
      </c>
      <c r="B396" s="5" t="inlineStr">
        <is>
          <t>25806800024</t>
        </is>
      </c>
      <c r="C396" s="6" t="inlineStr">
        <is>
          <t>Phan Thò Kim</t>
        </is>
      </c>
      <c r="D396" s="6" t="inlineStr">
        <is>
          <t>Hieàn</t>
        </is>
      </c>
      <c r="E396" s="5" t="inlineStr">
        <is>
          <t>11-Jul-07</t>
        </is>
      </c>
      <c r="F396" s="5" t="inlineStr">
        <is>
          <t>LNH0925ND01</t>
        </is>
      </c>
      <c r="G396" s="105" t="n">
        <v>2100000</v>
      </c>
      <c r="H396">
        <f>VLOOKUP(B396,'[1]TONG HOP'!B$5:G$624,6,0)</f>
        <v/>
      </c>
      <c r="I396" t="n">
        <v>2100000</v>
      </c>
    </row>
    <row r="397">
      <c r="A397" s="5" t="n">
        <v>391</v>
      </c>
      <c r="B397" s="5" t="inlineStr">
        <is>
          <t>25802700084</t>
        </is>
      </c>
      <c r="C397" s="6" t="inlineStr">
        <is>
          <t>Voõ Phöôùc</t>
        </is>
      </c>
      <c r="D397" s="6" t="inlineStr">
        <is>
          <t>Thònh</t>
        </is>
      </c>
      <c r="E397" s="5" t="inlineStr">
        <is>
          <t>08-Mar-07</t>
        </is>
      </c>
      <c r="F397" s="5" t="inlineStr">
        <is>
          <t>LNH0925ND01</t>
        </is>
      </c>
      <c r="G397" s="105" t="n">
        <v>2100000</v>
      </c>
      <c r="H397">
        <f>VLOOKUP(B397,'[1]TONG HOP'!B$5:G$624,6,0)</f>
        <v/>
      </c>
      <c r="I397" t="n">
        <v>2100000</v>
      </c>
    </row>
    <row r="398">
      <c r="A398" s="5" t="n">
        <v>392</v>
      </c>
      <c r="B398" s="5" t="inlineStr">
        <is>
          <t>25806000099</t>
        </is>
      </c>
      <c r="C398" s="6" t="inlineStr">
        <is>
          <t>Huyønh Thò Nhaõ</t>
        </is>
      </c>
      <c r="D398" s="6" t="inlineStr">
        <is>
          <t>Phöông</t>
        </is>
      </c>
      <c r="E398" s="5" t="inlineStr">
        <is>
          <t>21-Jan-07</t>
        </is>
      </c>
      <c r="F398" s="5" t="inlineStr">
        <is>
          <t>LNH0925ND01</t>
        </is>
      </c>
      <c r="G398" s="105" t="n">
        <v>8415000</v>
      </c>
    </row>
    <row r="399">
      <c r="A399" s="5" t="n">
        <v>393</v>
      </c>
      <c r="B399" s="5" t="inlineStr">
        <is>
          <t>25800500136</t>
        </is>
      </c>
      <c r="C399" s="6" t="inlineStr">
        <is>
          <t>Nguyeãn Anh</t>
        </is>
      </c>
      <c r="D399" s="6" t="inlineStr">
        <is>
          <t>Phong</t>
        </is>
      </c>
      <c r="E399" s="5" t="inlineStr">
        <is>
          <t>30-Aug-07</t>
        </is>
      </c>
      <c r="F399" s="5" t="inlineStr">
        <is>
          <t>LNH0925ND01</t>
        </is>
      </c>
      <c r="G399" s="105" t="n">
        <v>8415000</v>
      </c>
      <c r="H399">
        <f>VLOOKUP(B399,'[1]TONG HOP'!B$5:G$624,6,0)</f>
        <v/>
      </c>
      <c r="I399" t="n">
        <v>2103750</v>
      </c>
    </row>
    <row r="400">
      <c r="A400" s="5" t="n">
        <v>394</v>
      </c>
      <c r="B400" s="5" t="inlineStr">
        <is>
          <t>25801800015</t>
        </is>
      </c>
      <c r="C400" s="6" t="inlineStr">
        <is>
          <t>Ñaëng Nguyeãn Gia</t>
        </is>
      </c>
      <c r="D400" s="6" t="inlineStr">
        <is>
          <t>Haân</t>
        </is>
      </c>
      <c r="E400" s="5" t="inlineStr">
        <is>
          <t>31-Jul-07</t>
        </is>
      </c>
      <c r="F400" s="5" t="inlineStr">
        <is>
          <t>LNH0925ND01</t>
        </is>
      </c>
      <c r="G400" s="105" t="n">
        <v>4465000</v>
      </c>
      <c r="H400">
        <f>VLOOKUP(B400,'[1]TONG HOP'!B$5:G$624,6,0)</f>
        <v/>
      </c>
      <c r="I400" t="n">
        <v>2232500</v>
      </c>
    </row>
    <row r="401">
      <c r="A401" s="5" t="n">
        <v>395</v>
      </c>
      <c r="B401" s="5" t="inlineStr">
        <is>
          <t>25800500253</t>
        </is>
      </c>
      <c r="C401" s="6" t="inlineStr">
        <is>
          <t>Haø Höõu</t>
        </is>
      </c>
      <c r="D401" s="6" t="inlineStr">
        <is>
          <t>Minh</t>
        </is>
      </c>
      <c r="E401" s="5" t="inlineStr">
        <is>
          <t>19-Jun-07</t>
        </is>
      </c>
      <c r="F401" s="5" t="inlineStr">
        <is>
          <t>LNH0925ND01</t>
        </is>
      </c>
      <c r="G401" s="105" t="n">
        <v>4465000</v>
      </c>
      <c r="H401">
        <f>VLOOKUP(B401,'[1]TONG HOP'!B$5:G$624,6,0)</f>
        <v/>
      </c>
      <c r="I401" t="n">
        <v>2232500</v>
      </c>
    </row>
    <row r="402">
      <c r="A402" s="5" t="n">
        <v>396</v>
      </c>
      <c r="B402" s="5" t="inlineStr">
        <is>
          <t>25820700044</t>
        </is>
      </c>
      <c r="C402" s="6" t="inlineStr">
        <is>
          <t>Nguyeãn Ngoïc Baûo</t>
        </is>
      </c>
      <c r="D402" s="6" t="inlineStr">
        <is>
          <t>Traâm</t>
        </is>
      </c>
      <c r="E402" s="5" t="inlineStr">
        <is>
          <t>31-Mar-07</t>
        </is>
      </c>
      <c r="F402" s="5" t="inlineStr">
        <is>
          <t>LNH0925ND01</t>
        </is>
      </c>
      <c r="G402" s="105" t="n">
        <v>4465000</v>
      </c>
    </row>
    <row r="403">
      <c r="A403" s="5" t="n">
        <v>397</v>
      </c>
      <c r="B403" s="5" t="inlineStr">
        <is>
          <t>25808500293</t>
        </is>
      </c>
      <c r="C403" s="6" t="inlineStr">
        <is>
          <t>Bui Anh</t>
        </is>
      </c>
      <c r="D403" s="6" t="inlineStr">
        <is>
          <t>Quaân</t>
        </is>
      </c>
      <c r="E403" s="5" t="inlineStr">
        <is>
          <t xml:space="preserve">  -   -</t>
        </is>
      </c>
      <c r="F403" s="5" t="inlineStr">
        <is>
          <t>LNH0925ND01</t>
        </is>
      </c>
      <c r="G403" s="105" t="n">
        <v>4465000</v>
      </c>
      <c r="H403">
        <f>VLOOKUP(B403,'[1]TONG HOP'!B$519:G$519,6,0)</f>
        <v/>
      </c>
      <c r="I403" t="n">
        <v>2232500</v>
      </c>
    </row>
    <row r="404">
      <c r="A404" s="5" t="n">
        <v>398</v>
      </c>
      <c r="B404" s="5" t="inlineStr">
        <is>
          <t>25803800008</t>
        </is>
      </c>
      <c r="C404" s="6" t="inlineStr">
        <is>
          <t>Traàn Quoác</t>
        </is>
      </c>
      <c r="D404" s="6" t="inlineStr">
        <is>
          <t>Baûo</t>
        </is>
      </c>
      <c r="E404" s="5" t="inlineStr">
        <is>
          <t>10-Dec-06</t>
        </is>
      </c>
      <c r="F404" s="5" t="inlineStr">
        <is>
          <t>LNH0925ND01</t>
        </is>
      </c>
      <c r="G404" s="105" t="n">
        <v>4465000</v>
      </c>
    </row>
    <row r="405">
      <c r="A405" s="5" t="n">
        <v>399</v>
      </c>
      <c r="B405" s="5" t="inlineStr">
        <is>
          <t>25807900052</t>
        </is>
      </c>
      <c r="C405" s="6" t="inlineStr">
        <is>
          <t>Traàn Minh</t>
        </is>
      </c>
      <c r="D405" s="6" t="inlineStr">
        <is>
          <t>Thieän</t>
        </is>
      </c>
      <c r="E405" s="5" t="inlineStr">
        <is>
          <t>09-May-07</t>
        </is>
      </c>
      <c r="F405" s="5" t="inlineStr">
        <is>
          <t>LNH0925ND01</t>
        </is>
      </c>
      <c r="G405" s="105" t="n">
        <v>4465000</v>
      </c>
      <c r="H405">
        <f>VLOOKUP(B405,'[1]TONG HOP'!B$5:G$624,6,0)</f>
        <v/>
      </c>
      <c r="I405" t="n">
        <v>2232500</v>
      </c>
    </row>
    <row r="406">
      <c r="A406" s="5" t="n">
        <v>400</v>
      </c>
      <c r="B406" s="5" t="inlineStr">
        <is>
          <t>25801400076</t>
        </is>
      </c>
      <c r="C406" s="6" t="inlineStr">
        <is>
          <t>Laâm Kieán</t>
        </is>
      </c>
      <c r="D406" s="6" t="inlineStr">
        <is>
          <t>Haøo</t>
        </is>
      </c>
      <c r="E406" s="5" t="inlineStr">
        <is>
          <t>07-Dec-07</t>
        </is>
      </c>
      <c r="F406" s="5" t="inlineStr">
        <is>
          <t>LNH0925ND01</t>
        </is>
      </c>
      <c r="G406" s="105" t="n">
        <v>4465000</v>
      </c>
      <c r="H406">
        <f>VLOOKUP(B406,'[1]TONG HOP'!B$5:G$624,6,0)</f>
        <v/>
      </c>
      <c r="I406" t="n">
        <v>2232500</v>
      </c>
    </row>
    <row r="407">
      <c r="A407" s="5" t="n">
        <v>401</v>
      </c>
      <c r="B407" s="5" t="inlineStr">
        <is>
          <t>25802700181</t>
        </is>
      </c>
      <c r="C407" s="6" t="inlineStr">
        <is>
          <t>Nguyeãn Khaéc</t>
        </is>
      </c>
      <c r="D407" s="6" t="inlineStr">
        <is>
          <t>UÙc</t>
        </is>
      </c>
      <c r="E407" s="5" t="inlineStr">
        <is>
          <t>25-Dec-07</t>
        </is>
      </c>
      <c r="F407" s="5" t="inlineStr">
        <is>
          <t>LNH0925ND01</t>
        </is>
      </c>
      <c r="G407" s="105" t="n">
        <v>4465000</v>
      </c>
      <c r="H407">
        <f>VLOOKUP(B407,'[1]TONG HOP'!B$5:G$624,6,0)</f>
        <v/>
      </c>
      <c r="I407" t="n">
        <v>2232500</v>
      </c>
    </row>
    <row r="408">
      <c r="A408" s="5" t="n">
        <v>402</v>
      </c>
      <c r="B408" s="5" t="inlineStr">
        <is>
          <t>25807000055</t>
        </is>
      </c>
      <c r="C408" s="6" t="inlineStr">
        <is>
          <t>Traàn Minh</t>
        </is>
      </c>
      <c r="D408" s="6" t="inlineStr">
        <is>
          <t>Maãn</t>
        </is>
      </c>
      <c r="E408" s="5" t="inlineStr">
        <is>
          <t>14-Sep-07</t>
        </is>
      </c>
      <c r="F408" s="5" t="inlineStr">
        <is>
          <t>LNH0925ND01</t>
        </is>
      </c>
      <c r="G408" s="105" t="n">
        <v>4465000</v>
      </c>
      <c r="H408">
        <f>VLOOKUP(B408,'[1]TONG HOP'!B$5:G$624,6,0)</f>
        <v/>
      </c>
      <c r="I408" t="n">
        <v>2232500</v>
      </c>
    </row>
    <row r="409">
      <c r="A409" s="5" t="n">
        <v>403</v>
      </c>
      <c r="B409" s="5" t="inlineStr">
        <is>
          <t>25808700053</t>
        </is>
      </c>
      <c r="C409" s="6" t="inlineStr">
        <is>
          <t>Ñaëng Coâng</t>
        </is>
      </c>
      <c r="D409" s="6" t="inlineStr">
        <is>
          <t>Minh</t>
        </is>
      </c>
      <c r="E409" s="5" t="inlineStr">
        <is>
          <t>25-Sep-07</t>
        </is>
      </c>
      <c r="F409" s="5" t="inlineStr">
        <is>
          <t>LNH0925ND01</t>
        </is>
      </c>
      <c r="G409" s="105" t="n">
        <v>4465000</v>
      </c>
      <c r="H409">
        <f>VLOOKUP(B409,'[1]TONG HOP'!B$5:G$624,6,0)</f>
        <v/>
      </c>
      <c r="I409" t="n">
        <v>2232500</v>
      </c>
    </row>
    <row r="410">
      <c r="A410" s="5" t="n">
        <v>404</v>
      </c>
      <c r="B410" s="5" t="inlineStr">
        <is>
          <t>25808200036</t>
        </is>
      </c>
      <c r="C410" s="6" t="inlineStr">
        <is>
          <t>Nguyeãn Haûi</t>
        </is>
      </c>
      <c r="D410" s="6" t="inlineStr">
        <is>
          <t>Ñaêng</t>
        </is>
      </c>
      <c r="E410" s="5" t="inlineStr">
        <is>
          <t>12-Jul-07</t>
        </is>
      </c>
      <c r="F410" s="5" t="inlineStr">
        <is>
          <t>LNH0925ND01</t>
        </is>
      </c>
      <c r="G410" s="105" t="n">
        <v>4465000</v>
      </c>
      <c r="H410">
        <f>VLOOKUP(B410,'[1]TONG HOP'!B$5:G$624,6,0)</f>
        <v/>
      </c>
      <c r="I410" t="n">
        <v>2232500</v>
      </c>
    </row>
    <row r="411">
      <c r="A411" s="5" t="n">
        <v>405</v>
      </c>
      <c r="B411" s="5" t="inlineStr">
        <is>
          <t>25806300003</t>
        </is>
      </c>
      <c r="C411" s="6" t="inlineStr">
        <is>
          <t>Mai Khaùnh</t>
        </is>
      </c>
      <c r="D411" s="6" t="inlineStr">
        <is>
          <t>Duy</t>
        </is>
      </c>
      <c r="E411" s="5" t="inlineStr">
        <is>
          <t>18-Nov-07</t>
        </is>
      </c>
      <c r="F411" s="5" t="inlineStr">
        <is>
          <t>LNH0925ND01</t>
        </is>
      </c>
      <c r="G411" s="105" t="n">
        <v>5000000</v>
      </c>
      <c r="H411">
        <f>VLOOKUP(B411,'[1]TONG HOP'!B$5:G$624,6,0)</f>
        <v/>
      </c>
      <c r="I411" t="n">
        <v>2232500</v>
      </c>
    </row>
    <row r="412">
      <c r="A412" s="5" t="n">
        <v>406</v>
      </c>
      <c r="B412" s="5" t="inlineStr">
        <is>
          <t>25802600022</t>
        </is>
      </c>
      <c r="C412" s="6" t="inlineStr">
        <is>
          <t>Huyønh Quang</t>
        </is>
      </c>
      <c r="D412" s="6" t="inlineStr">
        <is>
          <t>Duy</t>
        </is>
      </c>
      <c r="E412" s="5" t="inlineStr">
        <is>
          <t>08-Sep-07</t>
        </is>
      </c>
      <c r="F412" s="5" t="inlineStr">
        <is>
          <t>LNH0925ND01</t>
        </is>
      </c>
      <c r="G412" s="105" t="n">
        <v>4465000</v>
      </c>
      <c r="H412">
        <f>VLOOKUP(B412,'[1]TONG HOP'!B$5:G$624,6,0)</f>
        <v/>
      </c>
      <c r="I412" t="n">
        <v>2232500</v>
      </c>
    </row>
    <row r="413">
      <c r="A413" s="5" t="n">
        <v>407</v>
      </c>
      <c r="B413" s="5" t="inlineStr">
        <is>
          <t>25802800025</t>
        </is>
      </c>
      <c r="C413" s="6" t="inlineStr">
        <is>
          <t>Traàn Vuõ Baûo</t>
        </is>
      </c>
      <c r="D413" s="6" t="inlineStr">
        <is>
          <t>Chaâu</t>
        </is>
      </c>
      <c r="E413" s="5" t="inlineStr">
        <is>
          <t>26-Oct-07</t>
        </is>
      </c>
      <c r="F413" s="5" t="inlineStr">
        <is>
          <t>LNH0925ND01</t>
        </is>
      </c>
      <c r="G413" s="105" t="n">
        <v>4465000</v>
      </c>
      <c r="H413">
        <f>VLOOKUP(B413,'[1]TONG HOP'!B$5:G$624,6,0)</f>
        <v/>
      </c>
      <c r="I413" t="n">
        <v>2232500</v>
      </c>
    </row>
    <row r="414">
      <c r="A414" s="5" t="n">
        <v>408</v>
      </c>
      <c r="B414" s="5" t="inlineStr">
        <is>
          <t>25807700083</t>
        </is>
      </c>
      <c r="C414" s="6" t="inlineStr">
        <is>
          <t>Buøi Xuaân</t>
        </is>
      </c>
      <c r="D414" s="6" t="inlineStr">
        <is>
          <t>Vónh</t>
        </is>
      </c>
      <c r="E414" s="5" t="inlineStr">
        <is>
          <t>25-Nov-07</t>
        </is>
      </c>
      <c r="F414" s="5" t="inlineStr">
        <is>
          <t>LNH0925ND01</t>
        </is>
      </c>
      <c r="G414" s="105" t="n">
        <v>4465000</v>
      </c>
      <c r="H414">
        <f>VLOOKUP(B414,'[1]TONG HOP'!B$5:G$624,6,0)</f>
        <v/>
      </c>
      <c r="I414" t="n">
        <v>2232500</v>
      </c>
    </row>
    <row r="415">
      <c r="A415" s="5" t="n">
        <v>409</v>
      </c>
      <c r="B415" s="5" t="inlineStr">
        <is>
          <t>25808300043</t>
        </is>
      </c>
      <c r="C415" s="6" t="inlineStr">
        <is>
          <t>Y</t>
        </is>
      </c>
      <c r="D415" s="6" t="inlineStr">
        <is>
          <t>Theâ</t>
        </is>
      </c>
      <c r="E415" s="5" t="inlineStr">
        <is>
          <t>10-Jun-93</t>
        </is>
      </c>
      <c r="F415" s="5" t="inlineStr">
        <is>
          <t>LNH0925ND01</t>
        </is>
      </c>
      <c r="G415" s="105" t="n">
        <v>4465000</v>
      </c>
    </row>
    <row r="416">
      <c r="A416" s="5" t="n">
        <v>410</v>
      </c>
      <c r="B416" s="5" t="inlineStr">
        <is>
          <t>25801900315</t>
        </is>
      </c>
      <c r="C416" s="6" t="inlineStr">
        <is>
          <t>Buøi Ñöùc</t>
        </is>
      </c>
      <c r="D416" s="6" t="inlineStr">
        <is>
          <t>Duõng</t>
        </is>
      </c>
      <c r="E416" s="5" t="inlineStr">
        <is>
          <t>27-Sep-07</t>
        </is>
      </c>
      <c r="F416" s="5" t="inlineStr">
        <is>
          <t>LNH0925ND01</t>
        </is>
      </c>
      <c r="G416" s="105" t="n">
        <v>4465000</v>
      </c>
    </row>
    <row r="417">
      <c r="A417" s="5" t="n">
        <v>411</v>
      </c>
      <c r="B417" s="5" t="inlineStr">
        <is>
          <t>25802700050</t>
        </is>
      </c>
      <c r="C417" s="6" t="inlineStr">
        <is>
          <t>Vuõ Nguyeãn Hoaøng</t>
        </is>
      </c>
      <c r="D417" s="6" t="inlineStr">
        <is>
          <t>Minh</t>
        </is>
      </c>
      <c r="E417" s="5" t="inlineStr">
        <is>
          <t>24-Apr-07</t>
        </is>
      </c>
      <c r="F417" s="5" t="inlineStr">
        <is>
          <t>LNH0925ND01</t>
        </is>
      </c>
      <c r="G417" s="105" t="n">
        <v>4940000</v>
      </c>
    </row>
    <row r="418">
      <c r="A418" s="5" t="n">
        <v>412</v>
      </c>
      <c r="B418" s="5" t="inlineStr">
        <is>
          <t>25808200027</t>
        </is>
      </c>
      <c r="C418" s="6" t="inlineStr">
        <is>
          <t>Haø Haûi</t>
        </is>
      </c>
      <c r="D418" s="6" t="inlineStr">
        <is>
          <t>Döông</t>
        </is>
      </c>
      <c r="E418" s="5" t="inlineStr">
        <is>
          <t>24-Nov-07</t>
        </is>
      </c>
      <c r="F418" s="5" t="inlineStr">
        <is>
          <t>LNH0925ND01</t>
        </is>
      </c>
      <c r="G418" s="105" t="n">
        <v>8415000</v>
      </c>
      <c r="H418">
        <f>VLOOKUP(B418,'[1]TONG HOP'!B$5:G$624,6,0)</f>
        <v/>
      </c>
      <c r="I418" t="n">
        <v>2103750</v>
      </c>
    </row>
    <row r="419">
      <c r="A419" s="5" t="n">
        <v>413</v>
      </c>
      <c r="B419" s="5" t="inlineStr">
        <is>
          <t>25802600042</t>
        </is>
      </c>
      <c r="C419" s="6" t="inlineStr">
        <is>
          <t>Chaâu Ngoïc</t>
        </is>
      </c>
      <c r="D419" s="6" t="inlineStr">
        <is>
          <t>Haân</t>
        </is>
      </c>
      <c r="E419" s="5" t="inlineStr">
        <is>
          <t>01-Aug-07</t>
        </is>
      </c>
      <c r="F419" s="5" t="inlineStr">
        <is>
          <t>LNH0925ND01</t>
        </is>
      </c>
      <c r="G419" s="105" t="n">
        <v>8415000</v>
      </c>
      <c r="H419">
        <f>VLOOKUP(B419,'[1]TONG HOP'!B$5:G$624,6,0)</f>
        <v/>
      </c>
      <c r="I419" t="n">
        <v>2103750</v>
      </c>
    </row>
    <row r="420">
      <c r="A420" s="5" t="n">
        <v>414</v>
      </c>
      <c r="B420" s="5" t="inlineStr">
        <is>
          <t>25807900080</t>
        </is>
      </c>
      <c r="C420" s="6" t="inlineStr">
        <is>
          <t>Hoaøng Gia Anh</t>
        </is>
      </c>
      <c r="D420" s="6" t="inlineStr">
        <is>
          <t>Kieät</t>
        </is>
      </c>
      <c r="E420" s="5" t="inlineStr">
        <is>
          <t>13-Dec-07</t>
        </is>
      </c>
      <c r="F420" s="5" t="inlineStr">
        <is>
          <t>LNH0925ND01</t>
        </is>
      </c>
      <c r="G420" s="105" t="n">
        <v>7540000</v>
      </c>
    </row>
    <row r="421">
      <c r="A421" s="5" t="n">
        <v>415</v>
      </c>
      <c r="B421" s="5" t="inlineStr">
        <is>
          <t>25801300042</t>
        </is>
      </c>
      <c r="C421" s="6" t="inlineStr">
        <is>
          <t>Ñoã Quoác</t>
        </is>
      </c>
      <c r="D421" s="6" t="inlineStr">
        <is>
          <t>Trung</t>
        </is>
      </c>
      <c r="E421" s="5" t="inlineStr">
        <is>
          <t>27-May-07</t>
        </is>
      </c>
      <c r="F421" s="5" t="inlineStr">
        <is>
          <t>LNH0925ND01</t>
        </is>
      </c>
      <c r="G421" s="105" t="n">
        <v>8415000</v>
      </c>
      <c r="H421">
        <f>VLOOKUP(B421,'[1]TONG HOP'!B$5:G$624,6,0)</f>
        <v/>
      </c>
      <c r="I421" t="n">
        <v>2103750</v>
      </c>
    </row>
    <row r="422">
      <c r="A422" s="5" t="n">
        <v>416</v>
      </c>
      <c r="B422" s="5" t="inlineStr">
        <is>
          <t>25806800033</t>
        </is>
      </c>
      <c r="C422" s="6" t="inlineStr">
        <is>
          <t>Buøi Truùc</t>
        </is>
      </c>
      <c r="D422" s="6" t="inlineStr">
        <is>
          <t>Linh</t>
        </is>
      </c>
      <c r="E422" s="5" t="inlineStr">
        <is>
          <t>08-Nov-06</t>
        </is>
      </c>
      <c r="F422" s="5" t="inlineStr">
        <is>
          <t>LNH0925ND01</t>
        </is>
      </c>
      <c r="G422" s="105" t="n">
        <v>8415000</v>
      </c>
      <c r="H422">
        <f>VLOOKUP(B422,'[1]TONG HOP'!B$5:G$624,6,0)</f>
        <v/>
      </c>
      <c r="I422" t="n">
        <v>2103750</v>
      </c>
    </row>
    <row r="423">
      <c r="A423" s="5" t="n">
        <v>417</v>
      </c>
      <c r="B423" s="5" t="inlineStr">
        <is>
          <t>25808100017</t>
        </is>
      </c>
      <c r="C423" s="6" t="inlineStr">
        <is>
          <t>Nguyeãn Quang</t>
        </is>
      </c>
      <c r="D423" s="6" t="inlineStr">
        <is>
          <t>Huy</t>
        </is>
      </c>
      <c r="E423" s="5" t="inlineStr">
        <is>
          <t>26-Jan-07</t>
        </is>
      </c>
      <c r="F423" s="5" t="inlineStr">
        <is>
          <t>LNH0925ND01</t>
        </is>
      </c>
      <c r="G423" s="105" t="n">
        <v>8415000</v>
      </c>
      <c r="H423">
        <f>VLOOKUP(B423,'[1]TONG HOP'!B$5:G$624,6,0)</f>
        <v/>
      </c>
      <c r="I423" t="n">
        <v>2103750</v>
      </c>
    </row>
    <row r="424">
      <c r="A424" s="5" t="n">
        <v>418</v>
      </c>
      <c r="B424" s="5" t="inlineStr">
        <is>
          <t>25820700010</t>
        </is>
      </c>
      <c r="C424" s="6" t="inlineStr">
        <is>
          <t>Nguyeãn Döông Hieàn</t>
        </is>
      </c>
      <c r="D424" s="6" t="inlineStr">
        <is>
          <t>Hoøa</t>
        </is>
      </c>
      <c r="E424" s="5" t="inlineStr">
        <is>
          <t>24-Jan-07</t>
        </is>
      </c>
      <c r="F424" s="5" t="inlineStr">
        <is>
          <t>LNH0925ND01</t>
        </is>
      </c>
      <c r="G424" s="105" t="n">
        <v>8415000</v>
      </c>
      <c r="H424">
        <f>VLOOKUP(B424,'[1]TONG HOP'!B$5:G$624,6,0)</f>
        <v/>
      </c>
      <c r="I424" t="n">
        <v>2103750</v>
      </c>
    </row>
    <row r="425">
      <c r="A425" s="5" t="n">
        <v>419</v>
      </c>
      <c r="B425" s="5" t="inlineStr">
        <is>
          <t>25820200110</t>
        </is>
      </c>
      <c r="C425" s="6" t="inlineStr">
        <is>
          <t>Nguyeãn Baù</t>
        </is>
      </c>
      <c r="D425" s="6" t="inlineStr">
        <is>
          <t>An</t>
        </is>
      </c>
      <c r="E425" s="5" t="inlineStr">
        <is>
          <t>16-Nov-07</t>
        </is>
      </c>
      <c r="F425" s="5" t="inlineStr">
        <is>
          <t>LNH0925ND01</t>
        </is>
      </c>
      <c r="G425" s="105" t="n">
        <v>8415000</v>
      </c>
      <c r="H425">
        <f>VLOOKUP(B425,'[1]TONG HOP'!B$5:G$624,6,0)</f>
        <v/>
      </c>
      <c r="I425" t="n">
        <v>2103750</v>
      </c>
    </row>
    <row r="426">
      <c r="A426" s="5" t="n">
        <v>420</v>
      </c>
      <c r="B426" s="5" t="inlineStr">
        <is>
          <t>25800500049</t>
        </is>
      </c>
      <c r="C426" s="6" t="inlineStr">
        <is>
          <t>Leâ Trung</t>
        </is>
      </c>
      <c r="D426" s="6" t="inlineStr">
        <is>
          <t>Hieáu</t>
        </is>
      </c>
      <c r="E426" s="5" t="inlineStr">
        <is>
          <t>16-Mar-07</t>
        </is>
      </c>
      <c r="F426" s="5" t="inlineStr">
        <is>
          <t>LNH0925ND01</t>
        </is>
      </c>
      <c r="G426" s="105" t="n">
        <v>8415000</v>
      </c>
      <c r="H426">
        <f>VLOOKUP(B426,'[1]TONG HOP'!B$5:G$624,6,0)</f>
        <v/>
      </c>
      <c r="I426" t="n">
        <v>2103750</v>
      </c>
    </row>
    <row r="427">
      <c r="A427" s="5" t="n">
        <v>421</v>
      </c>
      <c r="B427" s="5" t="inlineStr">
        <is>
          <t>25820300038</t>
        </is>
      </c>
      <c r="C427" s="6" t="inlineStr">
        <is>
          <t>Traàn Duy</t>
        </is>
      </c>
      <c r="D427" s="6" t="inlineStr">
        <is>
          <t>Nguyeân</t>
        </is>
      </c>
      <c r="E427" s="5" t="inlineStr">
        <is>
          <t>15-Jun-07</t>
        </is>
      </c>
      <c r="F427" s="5" t="inlineStr">
        <is>
          <t>LNH0925ND01</t>
        </is>
      </c>
      <c r="G427" s="105" t="n">
        <v>8415000</v>
      </c>
      <c r="H427">
        <f>VLOOKUP(B427,'[1]TONG HOP'!B$5:G$624,6,0)</f>
        <v/>
      </c>
      <c r="I427" t="n">
        <v>2103750</v>
      </c>
    </row>
    <row r="428">
      <c r="A428" s="5" t="n">
        <v>422</v>
      </c>
      <c r="B428" s="5" t="inlineStr">
        <is>
          <t>25807500144</t>
        </is>
      </c>
      <c r="C428" s="6" t="inlineStr">
        <is>
          <t>Phaïm Minh</t>
        </is>
      </c>
      <c r="D428" s="6" t="inlineStr">
        <is>
          <t>Trí</t>
        </is>
      </c>
      <c r="E428" s="5" t="inlineStr">
        <is>
          <t>06-Jun-07</t>
        </is>
      </c>
      <c r="F428" s="5" t="inlineStr">
        <is>
          <t>LNH0925ND01</t>
        </is>
      </c>
      <c r="G428" s="105" t="n">
        <v>8415000</v>
      </c>
      <c r="H428">
        <f>VLOOKUP(B428,'[1]TONG HOP'!B$5:G$624,6,0)</f>
        <v/>
      </c>
      <c r="I428" t="n">
        <v>2103750</v>
      </c>
    </row>
    <row r="429">
      <c r="A429" s="5" t="n">
        <v>423</v>
      </c>
      <c r="B429" s="5" t="inlineStr">
        <is>
          <t>25806800022</t>
        </is>
      </c>
      <c r="C429" s="6" t="inlineStr">
        <is>
          <t>Nguyeãn Thò Ngoïc</t>
        </is>
      </c>
      <c r="D429" s="6" t="inlineStr">
        <is>
          <t>Haân</t>
        </is>
      </c>
      <c r="E429" s="5" t="inlineStr">
        <is>
          <t>26-May-07</t>
        </is>
      </c>
      <c r="F429" s="5" t="inlineStr">
        <is>
          <t>LNH0925ND01</t>
        </is>
      </c>
      <c r="G429" s="105" t="n">
        <v>8415000</v>
      </c>
      <c r="H429">
        <f>VLOOKUP(B429,'[1]TONG HOP'!B$5:G$624,6,0)</f>
        <v/>
      </c>
      <c r="I429" t="n">
        <v>2103750</v>
      </c>
    </row>
    <row r="430">
      <c r="A430" s="5" t="n">
        <v>424</v>
      </c>
      <c r="B430" s="5" t="inlineStr">
        <is>
          <t>25807800064</t>
        </is>
      </c>
      <c r="C430" s="6" t="inlineStr">
        <is>
          <t>Quaùch Anh</t>
        </is>
      </c>
      <c r="D430" s="6" t="inlineStr">
        <is>
          <t>Khoa</t>
        </is>
      </c>
      <c r="E430" s="5" t="inlineStr">
        <is>
          <t>08-Oct-07</t>
        </is>
      </c>
      <c r="F430" s="5" t="inlineStr">
        <is>
          <t>LNH0925ND01</t>
        </is>
      </c>
      <c r="G430" s="105" t="n">
        <v>8415000</v>
      </c>
    </row>
    <row r="431">
      <c r="A431" s="5" t="n">
        <v>425</v>
      </c>
      <c r="B431" s="5" t="inlineStr">
        <is>
          <t>25808900146</t>
        </is>
      </c>
      <c r="C431" s="6" t="inlineStr">
        <is>
          <t>Phuøng Minh</t>
        </is>
      </c>
      <c r="D431" s="6" t="inlineStr">
        <is>
          <t>Tuaán</t>
        </is>
      </c>
      <c r="E431" s="5" t="inlineStr">
        <is>
          <t>28-Feb-07</t>
        </is>
      </c>
      <c r="F431" s="5" t="inlineStr">
        <is>
          <t>LNH0925ND01</t>
        </is>
      </c>
      <c r="G431" s="105" t="n">
        <v>8415000</v>
      </c>
      <c r="H431">
        <f>VLOOKUP(B431,'[1]TONG HOP'!B$5:G$624,6,0)</f>
        <v/>
      </c>
      <c r="I431" t="n">
        <v>2103750</v>
      </c>
    </row>
    <row r="432">
      <c r="A432" s="5" t="n">
        <v>426</v>
      </c>
      <c r="B432" s="5" t="inlineStr">
        <is>
          <t>25808900240</t>
        </is>
      </c>
      <c r="C432" s="6" t="inlineStr">
        <is>
          <t>Phaïm Vaên</t>
        </is>
      </c>
      <c r="D432" s="6" t="inlineStr">
        <is>
          <t>Thaønh</t>
        </is>
      </c>
      <c r="E432" s="5" t="inlineStr">
        <is>
          <t>26-May-07</t>
        </is>
      </c>
      <c r="F432" s="5" t="inlineStr">
        <is>
          <t>LNH0925ND01</t>
        </is>
      </c>
      <c r="G432" s="105" t="n">
        <v>8415000</v>
      </c>
      <c r="H432">
        <f>VLOOKUP(B432,'[1]TONG HOP'!B$5:G$624,6,0)</f>
        <v/>
      </c>
      <c r="I432" t="n">
        <v>2103750</v>
      </c>
    </row>
    <row r="433">
      <c r="A433" s="5" t="n">
        <v>427</v>
      </c>
      <c r="B433" s="5" t="inlineStr">
        <is>
          <t>25808900057</t>
        </is>
      </c>
      <c r="C433" s="6" t="inlineStr">
        <is>
          <t>Nguyeãn Hoaøng Anh</t>
        </is>
      </c>
      <c r="D433" s="6" t="inlineStr">
        <is>
          <t>Khoa</t>
        </is>
      </c>
      <c r="E433" s="5" t="inlineStr">
        <is>
          <t>18-Mar-07</t>
        </is>
      </c>
      <c r="F433" s="5" t="inlineStr">
        <is>
          <t>LNH0925ND01</t>
        </is>
      </c>
      <c r="G433" s="105" t="n">
        <v>8415000</v>
      </c>
      <c r="H433">
        <f>VLOOKUP(B433,'[1]TONG HOP'!B$5:G$624,6,0)</f>
        <v/>
      </c>
      <c r="I433" t="n">
        <v>2103750</v>
      </c>
    </row>
    <row r="434">
      <c r="A434" s="5" t="n">
        <v>428</v>
      </c>
      <c r="B434" s="5" t="inlineStr">
        <is>
          <t>25809600059</t>
        </is>
      </c>
      <c r="C434" s="6" t="inlineStr">
        <is>
          <t>Traàn Thanh</t>
        </is>
      </c>
      <c r="D434" s="6" t="inlineStr">
        <is>
          <t>Sôn</t>
        </is>
      </c>
      <c r="E434" s="5" t="inlineStr">
        <is>
          <t>17-May-07</t>
        </is>
      </c>
      <c r="F434" s="5" t="inlineStr">
        <is>
          <t>LNH0925ND01</t>
        </is>
      </c>
      <c r="G434" s="105" t="n">
        <v>8415000</v>
      </c>
      <c r="H434">
        <f>VLOOKUP(B434,'[1]TONG HOP'!B$5:G$624,6,0)</f>
        <v/>
      </c>
      <c r="I434" t="n">
        <v>2103750</v>
      </c>
    </row>
    <row r="435">
      <c r="A435" s="5" t="n">
        <v>429</v>
      </c>
      <c r="B435" s="5" t="inlineStr">
        <is>
          <t>25805800005</t>
        </is>
      </c>
      <c r="C435" s="6" t="inlineStr">
        <is>
          <t>Nguyeãn Khoa Tuyeát</t>
        </is>
      </c>
      <c r="D435" s="6" t="inlineStr">
        <is>
          <t>Chi</t>
        </is>
      </c>
      <c r="E435" s="5" t="inlineStr">
        <is>
          <t>10-Sep-07</t>
        </is>
      </c>
      <c r="F435" s="5" t="inlineStr">
        <is>
          <t>LNH0925ND01</t>
        </is>
      </c>
      <c r="G435" s="105" t="n">
        <v>8415000</v>
      </c>
      <c r="H435">
        <f>VLOOKUP(B435,'[1]TONG HOP'!B$5:G$624,6,0)</f>
        <v/>
      </c>
      <c r="I435" t="n">
        <v>2103750</v>
      </c>
    </row>
    <row r="436">
      <c r="A436" s="5" t="n">
        <v>430</v>
      </c>
      <c r="B436" s="5" t="inlineStr">
        <is>
          <t>25800500131</t>
        </is>
      </c>
      <c r="C436" s="6" t="inlineStr">
        <is>
          <t>Vuõ Vaên</t>
        </is>
      </c>
      <c r="D436" s="6" t="inlineStr">
        <is>
          <t>Nhaät</t>
        </is>
      </c>
      <c r="E436" s="5" t="inlineStr">
        <is>
          <t>24-Jan-07</t>
        </is>
      </c>
      <c r="F436" s="5" t="inlineStr">
        <is>
          <t>LNH0925ND01</t>
        </is>
      </c>
      <c r="G436" s="105" t="n">
        <v>8415000</v>
      </c>
      <c r="H436">
        <f>VLOOKUP(B436,'[1]TONG HOP'!B$5:G$624,6,0)</f>
        <v/>
      </c>
      <c r="I436" t="n">
        <v>2103750</v>
      </c>
    </row>
    <row r="437">
      <c r="A437" s="5" t="n">
        <v>431</v>
      </c>
      <c r="B437" s="5" t="inlineStr">
        <is>
          <t>25808200022</t>
        </is>
      </c>
      <c r="C437" s="6" t="inlineStr">
        <is>
          <t>Nguyeãn Vuõ</t>
        </is>
      </c>
      <c r="D437" s="6" t="inlineStr">
        <is>
          <t>Duõng</t>
        </is>
      </c>
      <c r="E437" s="5" t="inlineStr">
        <is>
          <t>01-Dec-07</t>
        </is>
      </c>
      <c r="F437" s="5" t="inlineStr">
        <is>
          <t>LNH0925ND01</t>
        </is>
      </c>
      <c r="G437" s="105" t="n">
        <v>8415000</v>
      </c>
      <c r="H437">
        <f>VLOOKUP(B437,'[1]TONG HOP'!B$5:G$624,6,0)</f>
        <v/>
      </c>
      <c r="I437" t="n">
        <v>2103750</v>
      </c>
    </row>
    <row r="438">
      <c r="A438" s="5" t="n">
        <v>432</v>
      </c>
      <c r="B438" s="5" t="inlineStr">
        <is>
          <t>25808500347</t>
        </is>
      </c>
      <c r="C438" s="6" t="inlineStr">
        <is>
          <t>Trang Traàn Thaønh</t>
        </is>
      </c>
      <c r="D438" s="6" t="inlineStr">
        <is>
          <t>Thònh</t>
        </is>
      </c>
      <c r="E438" s="5" t="inlineStr">
        <is>
          <t>25-May-07</t>
        </is>
      </c>
      <c r="F438" s="5" t="inlineStr">
        <is>
          <t>LNH0925ND01</t>
        </is>
      </c>
      <c r="G438" s="105" t="n">
        <v>8415000</v>
      </c>
      <c r="H438">
        <f>VLOOKUP(B438,'[1]TONG HOP'!B$5:G$624,6,0)</f>
        <v/>
      </c>
      <c r="I438" t="n">
        <v>2103750</v>
      </c>
    </row>
    <row r="439">
      <c r="A439" s="5" t="n">
        <v>433</v>
      </c>
      <c r="B439" s="5" t="inlineStr">
        <is>
          <t>25807500073</t>
        </is>
      </c>
      <c r="C439" s="6" t="inlineStr">
        <is>
          <t>Buøi Nguyeãn Trieäu</t>
        </is>
      </c>
      <c r="D439" s="6" t="inlineStr">
        <is>
          <t>Nam</t>
        </is>
      </c>
      <c r="E439" s="5" t="inlineStr">
        <is>
          <t>19-Nov-07</t>
        </is>
      </c>
      <c r="F439" s="5" t="inlineStr">
        <is>
          <t>LNH0925ND01</t>
        </is>
      </c>
      <c r="G439" s="105" t="n">
        <v>8415000</v>
      </c>
      <c r="H439">
        <f>VLOOKUP(B439,'[1]TONG HOP'!B$5:G$624,6,0)</f>
        <v/>
      </c>
      <c r="I439" t="n">
        <v>2103750</v>
      </c>
    </row>
    <row r="440">
      <c r="A440" s="5" t="n">
        <v>434</v>
      </c>
      <c r="B440" s="5" t="inlineStr">
        <is>
          <t>25802700012</t>
        </is>
      </c>
      <c r="C440" s="6" t="inlineStr">
        <is>
          <t>Nguyeãn Thò Caåm</t>
        </is>
      </c>
      <c r="D440" s="6" t="inlineStr">
        <is>
          <t>Bình</t>
        </is>
      </c>
      <c r="E440" s="5" t="inlineStr">
        <is>
          <t>12-Sep-07</t>
        </is>
      </c>
      <c r="F440" s="5" t="inlineStr">
        <is>
          <t>LNH0925ND01</t>
        </is>
      </c>
      <c r="G440" s="105" t="n">
        <v>8415000</v>
      </c>
      <c r="H440">
        <f>VLOOKUP(B440,'[1]TONG HOP'!B$5:G$624,6,0)</f>
        <v/>
      </c>
      <c r="I440" t="n">
        <v>2103750</v>
      </c>
    </row>
    <row r="441">
      <c r="A441" s="5" t="n">
        <v>435</v>
      </c>
      <c r="B441" s="5" t="inlineStr">
        <is>
          <t>25800500276</t>
        </is>
      </c>
      <c r="C441" s="6" t="inlineStr">
        <is>
          <t>Nguyeãn Troïng</t>
        </is>
      </c>
      <c r="D441" s="6" t="inlineStr">
        <is>
          <t>Haûo</t>
        </is>
      </c>
      <c r="E441" s="5" t="inlineStr">
        <is>
          <t>03-Jul-07</t>
        </is>
      </c>
      <c r="F441" s="5" t="inlineStr">
        <is>
          <t>LNH0925ND01</t>
        </is>
      </c>
      <c r="G441" s="105" t="n">
        <v>8415000</v>
      </c>
      <c r="H441">
        <f>VLOOKUP(B441,'[1]TONG HOP'!B$5:G$624,6,0)</f>
        <v/>
      </c>
      <c r="I441" t="n">
        <v>2103750</v>
      </c>
    </row>
    <row r="442">
      <c r="A442" s="5" t="n">
        <v>436</v>
      </c>
      <c r="B442" s="5" t="inlineStr">
        <is>
          <t>25802800001</t>
        </is>
      </c>
      <c r="C442" s="6" t="inlineStr">
        <is>
          <t>Nguyeãn Quoác</t>
        </is>
      </c>
      <c r="D442" s="6" t="inlineStr">
        <is>
          <t>An</t>
        </is>
      </c>
      <c r="E442" s="5" t="inlineStr">
        <is>
          <t>28-Oct-07</t>
        </is>
      </c>
      <c r="F442" s="5" t="inlineStr">
        <is>
          <t>LNH0925ND01</t>
        </is>
      </c>
      <c r="G442" s="105" t="n">
        <v>8415000</v>
      </c>
      <c r="H442">
        <f>VLOOKUP(B442,'[1]TONG HOP'!B$5:G$624,6,0)</f>
        <v/>
      </c>
      <c r="I442" t="n">
        <v>2103750</v>
      </c>
    </row>
    <row r="443">
      <c r="A443" s="5" t="n">
        <v>437</v>
      </c>
      <c r="B443" s="5" t="inlineStr">
        <is>
          <t>25808600126</t>
        </is>
      </c>
      <c r="C443" s="6" t="inlineStr">
        <is>
          <t>Hoà Nhaät</t>
        </is>
      </c>
      <c r="D443" s="6" t="inlineStr">
        <is>
          <t>Tieán</t>
        </is>
      </c>
      <c r="E443" s="5" t="inlineStr">
        <is>
          <t>27-Mar-07</t>
        </is>
      </c>
      <c r="F443" s="5" t="inlineStr">
        <is>
          <t>LNH0925ND01</t>
        </is>
      </c>
      <c r="G443" s="105" t="n">
        <v>8415000</v>
      </c>
      <c r="H443">
        <f>VLOOKUP(B443,'[1]TONG HOP'!B$5:G$624,6,0)</f>
        <v/>
      </c>
      <c r="I443" t="n">
        <v>2103750</v>
      </c>
    </row>
    <row r="444">
      <c r="A444" s="5" t="n">
        <v>438</v>
      </c>
      <c r="B444" s="5" t="inlineStr">
        <is>
          <t>25800500162</t>
        </is>
      </c>
      <c r="C444" s="6" t="inlineStr">
        <is>
          <t>Ñinh Coâng</t>
        </is>
      </c>
      <c r="D444" s="6" t="inlineStr">
        <is>
          <t>Thaéng</t>
        </is>
      </c>
      <c r="E444" s="5" t="inlineStr">
        <is>
          <t>15-Jan-07</t>
        </is>
      </c>
      <c r="F444" s="5" t="inlineStr">
        <is>
          <t>LNH0925ND01</t>
        </is>
      </c>
      <c r="G444" s="105" t="n">
        <v>8415000</v>
      </c>
      <c r="H444">
        <f>VLOOKUP(B444,'[1]TONG HOP'!B$5:G$624,6,0)</f>
        <v/>
      </c>
      <c r="I444" t="n">
        <v>2103750</v>
      </c>
    </row>
    <row r="445">
      <c r="A445" s="5" t="n">
        <v>439</v>
      </c>
      <c r="B445" s="5" t="inlineStr">
        <is>
          <t>25809400056</t>
        </is>
      </c>
      <c r="C445" s="6" t="inlineStr">
        <is>
          <t>Haø Thanh</t>
        </is>
      </c>
      <c r="D445" s="6" t="inlineStr">
        <is>
          <t>Duy</t>
        </is>
      </c>
      <c r="E445" s="5" t="inlineStr">
        <is>
          <t>14-Dec-07</t>
        </is>
      </c>
      <c r="F445" s="5" t="inlineStr">
        <is>
          <t>LNH0925ND01</t>
        </is>
      </c>
      <c r="G445" s="105" t="n">
        <v>8415000</v>
      </c>
      <c r="H445">
        <f>VLOOKUP(B445,'[1]TONG HOP'!B$5:G$624,6,0)</f>
        <v/>
      </c>
      <c r="I445" t="n">
        <v>2103750</v>
      </c>
    </row>
    <row r="446">
      <c r="A446" s="5" t="n">
        <v>440</v>
      </c>
      <c r="B446" s="5" t="inlineStr">
        <is>
          <t>25806600350</t>
        </is>
      </c>
      <c r="C446" s="6" t="inlineStr">
        <is>
          <t>Leâ Gia</t>
        </is>
      </c>
      <c r="D446" s="6" t="inlineStr">
        <is>
          <t>Minh</t>
        </is>
      </c>
      <c r="E446" s="5" t="inlineStr">
        <is>
          <t>06-May-07</t>
        </is>
      </c>
      <c r="F446" s="5" t="inlineStr">
        <is>
          <t>LNH0925ND01</t>
        </is>
      </c>
      <c r="G446" s="105" t="n">
        <v>8415000</v>
      </c>
      <c r="H446">
        <f>VLOOKUP(B446,'[1]TONG HOP'!B$5:G$624,6,0)</f>
        <v/>
      </c>
      <c r="I446" t="n">
        <v>2103750</v>
      </c>
    </row>
    <row r="447">
      <c r="A447" s="5" t="n">
        <v>441</v>
      </c>
      <c r="B447" s="5" t="inlineStr">
        <is>
          <t>25800500306</t>
        </is>
      </c>
      <c r="C447" s="6" t="inlineStr">
        <is>
          <t>Haø Minh</t>
        </is>
      </c>
      <c r="D447" s="6" t="inlineStr">
        <is>
          <t>Ñöùc</t>
        </is>
      </c>
      <c r="E447" s="5" t="inlineStr">
        <is>
          <t>07-Oct-07</t>
        </is>
      </c>
      <c r="F447" s="5" t="inlineStr">
        <is>
          <t>LNH0925ND01</t>
        </is>
      </c>
      <c r="G447" s="105" t="n">
        <v>8415000</v>
      </c>
      <c r="H447">
        <f>VLOOKUP(B447,'[1]TONG HOP'!B$5:G$624,6,0)</f>
        <v/>
      </c>
      <c r="I447" t="n">
        <v>2103750</v>
      </c>
    </row>
    <row r="448">
      <c r="A448" s="5" t="n">
        <v>442</v>
      </c>
      <c r="B448" s="5" t="inlineStr">
        <is>
          <t>25800400275</t>
        </is>
      </c>
      <c r="C448" s="6" t="inlineStr">
        <is>
          <t>Traàn Leâ Höõu</t>
        </is>
      </c>
      <c r="D448" s="6" t="inlineStr">
        <is>
          <t>Haäu</t>
        </is>
      </c>
      <c r="E448" s="5" t="inlineStr">
        <is>
          <t>30-Mar-07</t>
        </is>
      </c>
      <c r="F448" s="5" t="inlineStr">
        <is>
          <t>LNH0925ND01</t>
        </is>
      </c>
      <c r="G448" s="105" t="n">
        <v>8415000</v>
      </c>
      <c r="H448">
        <f>VLOOKUP(B448,'[1]TONG HOP'!B$5:G$624,6,0)</f>
        <v/>
      </c>
      <c r="I448" t="n">
        <v>2103750</v>
      </c>
    </row>
    <row r="449">
      <c r="A449" s="5" t="n">
        <v>443</v>
      </c>
      <c r="B449" s="5" t="inlineStr">
        <is>
          <t>25802600139</t>
        </is>
      </c>
      <c r="C449" s="6" t="inlineStr">
        <is>
          <t>Phaïm Nguyeãn Thaûo</t>
        </is>
      </c>
      <c r="D449" s="6" t="inlineStr">
        <is>
          <t>Vy</t>
        </is>
      </c>
      <c r="E449" s="5" t="inlineStr">
        <is>
          <t>10-Dec-07</t>
        </is>
      </c>
      <c r="F449" s="5" t="inlineStr">
        <is>
          <t>LNH0925ND01</t>
        </is>
      </c>
      <c r="G449" s="105" t="n">
        <v>8415000</v>
      </c>
      <c r="H449">
        <f>VLOOKUP(B449,'[1]TONG HOP'!B$5:G$624,6,0)</f>
        <v/>
      </c>
      <c r="I449" t="n">
        <v>2103750</v>
      </c>
    </row>
    <row r="450">
      <c r="A450" s="5" t="n">
        <v>444</v>
      </c>
      <c r="B450" s="5" t="inlineStr">
        <is>
          <t>25806300025</t>
        </is>
      </c>
      <c r="C450" s="6" t="inlineStr">
        <is>
          <t>Hoaøng Ñöùc</t>
        </is>
      </c>
      <c r="D450" s="6" t="inlineStr">
        <is>
          <t>Maïnh</t>
        </is>
      </c>
      <c r="E450" s="5" t="inlineStr">
        <is>
          <t>02-Sep-07</t>
        </is>
      </c>
      <c r="F450" s="5" t="inlineStr">
        <is>
          <t>LNH0925ND01</t>
        </is>
      </c>
      <c r="G450" s="105" t="n">
        <v>8415000</v>
      </c>
      <c r="H450">
        <f>VLOOKUP(B450,'[1]TONG HOP'!B$5:G$624,6,0)</f>
        <v/>
      </c>
      <c r="I450" t="n">
        <v>2103750</v>
      </c>
    </row>
    <row r="451">
      <c r="A451" s="5" t="n">
        <v>445</v>
      </c>
      <c r="B451" s="5" t="inlineStr">
        <is>
          <t>25802800068</t>
        </is>
      </c>
      <c r="C451" s="6" t="inlineStr">
        <is>
          <t>Löông Hoaøng</t>
        </is>
      </c>
      <c r="D451" s="6" t="inlineStr">
        <is>
          <t>Heân</t>
        </is>
      </c>
      <c r="E451" s="5" t="inlineStr">
        <is>
          <t>18-Feb-07</t>
        </is>
      </c>
      <c r="F451" s="5" t="inlineStr">
        <is>
          <t>LNH0925ND01</t>
        </is>
      </c>
      <c r="G451" s="105" t="n">
        <v>8415000</v>
      </c>
    </row>
    <row r="452">
      <c r="A452" s="5" t="n">
        <v>446</v>
      </c>
      <c r="B452" s="5" t="inlineStr">
        <is>
          <t>25807800251</t>
        </is>
      </c>
      <c r="C452" s="6" t="inlineStr">
        <is>
          <t>Nguyeãn Leâ</t>
        </is>
      </c>
      <c r="D452" s="6" t="inlineStr">
        <is>
          <t>Khanh</t>
        </is>
      </c>
      <c r="E452" s="5" t="inlineStr">
        <is>
          <t>01-May-07</t>
        </is>
      </c>
      <c r="F452" s="5" t="inlineStr">
        <is>
          <t>LNH0925ND01</t>
        </is>
      </c>
      <c r="G452" s="105" t="n">
        <v>8415000</v>
      </c>
      <c r="H452">
        <f>VLOOKUP(B452,'[1]TONG HOP'!B$5:G$624,6,0)</f>
        <v/>
      </c>
      <c r="I452" t="n">
        <v>2103750</v>
      </c>
    </row>
    <row r="453">
      <c r="A453" s="5" t="n">
        <v>447</v>
      </c>
      <c r="B453" s="5" t="inlineStr">
        <is>
          <t>25800500111</t>
        </is>
      </c>
      <c r="C453" s="6" t="inlineStr">
        <is>
          <t>Traàn Nguyeãn Hoaøng</t>
        </is>
      </c>
      <c r="D453" s="6" t="inlineStr">
        <is>
          <t>Minh</t>
        </is>
      </c>
      <c r="E453" s="5" t="inlineStr">
        <is>
          <t>11-Feb-07</t>
        </is>
      </c>
      <c r="F453" s="5" t="inlineStr">
        <is>
          <t>LNH0925ND01</t>
        </is>
      </c>
      <c r="G453" s="105" t="n">
        <v>8415000</v>
      </c>
      <c r="H453">
        <f>VLOOKUP(B453,'[1]TONG HOP'!B$5:G$624,6,0)</f>
        <v/>
      </c>
      <c r="I453" t="n">
        <v>2103750</v>
      </c>
    </row>
    <row r="454">
      <c r="A454" s="5" t="n">
        <v>448</v>
      </c>
      <c r="B454" s="5" t="inlineStr">
        <is>
          <t>25808600200</t>
        </is>
      </c>
      <c r="C454" s="6" t="inlineStr">
        <is>
          <t>Traàn Phöông</t>
        </is>
      </c>
      <c r="D454" s="6" t="inlineStr">
        <is>
          <t>Quyønh</t>
        </is>
      </c>
      <c r="E454" s="5" t="inlineStr">
        <is>
          <t>14-Mar-07</t>
        </is>
      </c>
      <c r="F454" s="5" t="inlineStr">
        <is>
          <t>LNH0925ND01</t>
        </is>
      </c>
      <c r="G454" s="105" t="n">
        <v>8415000</v>
      </c>
      <c r="H454">
        <f>VLOOKUP(B454,'[1]TONG HOP'!B$5:G$624,6,0)</f>
        <v/>
      </c>
      <c r="I454" t="n">
        <v>2103750</v>
      </c>
    </row>
    <row r="455">
      <c r="A455" s="5" t="n">
        <v>449</v>
      </c>
      <c r="B455" s="5" t="inlineStr">
        <is>
          <t>25801100004</t>
        </is>
      </c>
      <c r="C455" s="6" t="inlineStr">
        <is>
          <t>Döông Gia</t>
        </is>
      </c>
      <c r="D455" s="6" t="inlineStr">
        <is>
          <t>Baûo</t>
        </is>
      </c>
      <c r="E455" s="5" t="inlineStr">
        <is>
          <t>24-Dec-06</t>
        </is>
      </c>
      <c r="F455" s="5" t="inlineStr">
        <is>
          <t>LNH0925ND01</t>
        </is>
      </c>
      <c r="G455" s="105" t="n">
        <v>8415000</v>
      </c>
      <c r="H455">
        <f>VLOOKUP(B455,'[1]TONG HOP'!B$5:G$624,6,0)</f>
        <v/>
      </c>
      <c r="I455" t="n">
        <v>2103750</v>
      </c>
    </row>
    <row r="456">
      <c r="A456" s="5" t="n">
        <v>450</v>
      </c>
      <c r="B456" s="5" t="inlineStr">
        <is>
          <t>25808100046</t>
        </is>
      </c>
      <c r="C456" s="6" t="inlineStr">
        <is>
          <t>Laâm Phuù</t>
        </is>
      </c>
      <c r="D456" s="6" t="inlineStr">
        <is>
          <t>Quí</t>
        </is>
      </c>
      <c r="E456" s="5" t="inlineStr">
        <is>
          <t>25-Jul-06</t>
        </is>
      </c>
      <c r="F456" s="5" t="inlineStr">
        <is>
          <t>LNH0925ND01</t>
        </is>
      </c>
      <c r="G456" s="105" t="n">
        <v>8415000</v>
      </c>
      <c r="H456">
        <f>VLOOKUP(B456,'[1]TONG HOP'!B$5:G$624,6,0)</f>
        <v/>
      </c>
      <c r="I456" t="n">
        <v>2103750</v>
      </c>
    </row>
    <row r="457">
      <c r="A457" s="5" t="n">
        <v>451</v>
      </c>
      <c r="B457" s="5" t="inlineStr">
        <is>
          <t>25802800152</t>
        </is>
      </c>
      <c r="C457" s="6" t="inlineStr">
        <is>
          <t>Ñoã Thò Thanh</t>
        </is>
      </c>
      <c r="D457" s="6" t="inlineStr">
        <is>
          <t>Ngaân</t>
        </is>
      </c>
      <c r="E457" s="5" t="inlineStr">
        <is>
          <t>01-Sep-07</t>
        </is>
      </c>
      <c r="F457" s="5" t="inlineStr">
        <is>
          <t>LNH0925ND01</t>
        </is>
      </c>
      <c r="G457" s="105" t="n">
        <v>8415000</v>
      </c>
      <c r="H457">
        <f>VLOOKUP(B457,'[1]TONG HOP'!B$5:G$624,6,0)</f>
        <v/>
      </c>
      <c r="I457" t="n">
        <v>2103750</v>
      </c>
    </row>
    <row r="458">
      <c r="A458" s="5" t="n">
        <v>452</v>
      </c>
      <c r="B458" s="5" t="inlineStr">
        <is>
          <t>25800500310</t>
        </is>
      </c>
      <c r="C458" s="6" t="inlineStr">
        <is>
          <t>Phan Gia</t>
        </is>
      </c>
      <c r="D458" s="6" t="inlineStr">
        <is>
          <t>Huy</t>
        </is>
      </c>
      <c r="E458" s="5" t="inlineStr">
        <is>
          <t>03-Jan-07</t>
        </is>
      </c>
      <c r="F458" s="5" t="inlineStr">
        <is>
          <t>LNH0925ND01</t>
        </is>
      </c>
      <c r="G458" s="105" t="n">
        <v>8415000</v>
      </c>
      <c r="H458">
        <f>VLOOKUP(B458,'[1]TONG HOP'!B$5:G$624,6,0)</f>
        <v/>
      </c>
      <c r="I458" t="n">
        <v>2103750</v>
      </c>
    </row>
    <row r="459">
      <c r="A459" s="5" t="n">
        <v>453</v>
      </c>
      <c r="B459" s="5" t="inlineStr">
        <is>
          <t>25808600253</t>
        </is>
      </c>
      <c r="C459" s="6" t="inlineStr">
        <is>
          <t>Traàn Thò Kim</t>
        </is>
      </c>
      <c r="D459" s="6" t="inlineStr">
        <is>
          <t>Ngaân</t>
        </is>
      </c>
      <c r="E459" s="5" t="inlineStr">
        <is>
          <t>18-Nov-06</t>
        </is>
      </c>
      <c r="F459" s="5" t="inlineStr">
        <is>
          <t>LNH0925ND01</t>
        </is>
      </c>
      <c r="G459" s="105" t="n">
        <v>8415000</v>
      </c>
      <c r="H459">
        <f>VLOOKUP(B459,'[1]TONG HOP'!B$5:G$624,6,0)</f>
        <v/>
      </c>
      <c r="I459" t="n">
        <v>2103750</v>
      </c>
    </row>
    <row r="460">
      <c r="A460" s="5" t="n">
        <v>454</v>
      </c>
      <c r="B460" s="5" t="inlineStr">
        <is>
          <t>25802800402</t>
        </is>
      </c>
      <c r="C460" s="6" t="inlineStr">
        <is>
          <t>Nguyeãn Tuaán</t>
        </is>
      </c>
      <c r="D460" s="6" t="inlineStr">
        <is>
          <t>Anh</t>
        </is>
      </c>
      <c r="E460" s="5" t="inlineStr">
        <is>
          <t>13-Oct-07</t>
        </is>
      </c>
      <c r="F460" s="5" t="inlineStr">
        <is>
          <t>LNH0925ND01</t>
        </is>
      </c>
      <c r="G460" s="105" t="n">
        <v>8415000</v>
      </c>
    </row>
    <row r="461">
      <c r="A461" s="5" t="n">
        <v>455</v>
      </c>
      <c r="B461" s="5" t="inlineStr">
        <is>
          <t>25806800047</t>
        </is>
      </c>
      <c r="C461" s="6" t="inlineStr">
        <is>
          <t>Hoàng Phöôùc</t>
        </is>
      </c>
      <c r="D461" s="6" t="inlineStr">
        <is>
          <t>Nghóa</t>
        </is>
      </c>
      <c r="E461" s="5" t="inlineStr">
        <is>
          <t>17-Nov-07</t>
        </is>
      </c>
      <c r="F461" s="5" t="inlineStr">
        <is>
          <t>LNH0925ND01</t>
        </is>
      </c>
      <c r="G461" s="105" t="n">
        <v>8415000</v>
      </c>
      <c r="H461">
        <f>VLOOKUP(B461,'[1]TONG HOP'!B$5:G$624,6,0)</f>
        <v/>
      </c>
      <c r="I461" t="n">
        <v>2103750</v>
      </c>
    </row>
    <row r="462">
      <c r="A462" s="5" t="n">
        <v>456</v>
      </c>
      <c r="B462" s="5" t="inlineStr">
        <is>
          <t>25802800399</t>
        </is>
      </c>
      <c r="C462" s="6" t="inlineStr">
        <is>
          <t>Phaïm Thanh</t>
        </is>
      </c>
      <c r="D462" s="6" t="inlineStr">
        <is>
          <t>Sôn</t>
        </is>
      </c>
      <c r="E462" s="5" t="inlineStr">
        <is>
          <t>02-Jul-07</t>
        </is>
      </c>
      <c r="F462" s="5" t="inlineStr">
        <is>
          <t>LNH0925ND01</t>
        </is>
      </c>
      <c r="G462" s="105" t="n">
        <v>8415000</v>
      </c>
      <c r="H462">
        <f>VLOOKUP(B462,'[1]TONG HOP'!B$5:G$624,6,0)</f>
        <v/>
      </c>
      <c r="I462" t="n">
        <v>2103750</v>
      </c>
    </row>
    <row r="463">
      <c r="A463" s="5" t="n">
        <v>457</v>
      </c>
      <c r="B463" s="5" t="inlineStr">
        <is>
          <t>25802800140</t>
        </is>
      </c>
      <c r="C463" s="6" t="inlineStr">
        <is>
          <t>Giang Hoaøng Ñaïi</t>
        </is>
      </c>
      <c r="D463" s="6" t="inlineStr">
        <is>
          <t>Lôïi</t>
        </is>
      </c>
      <c r="E463" s="5" t="inlineStr">
        <is>
          <t>06-Apr-07</t>
        </is>
      </c>
      <c r="F463" s="5" t="inlineStr">
        <is>
          <t>LNH0925ND01</t>
        </is>
      </c>
      <c r="G463" s="105" t="n">
        <v>8415000</v>
      </c>
      <c r="H463">
        <f>VLOOKUP(B463,'[1]TONG HOP'!B$5:G$624,6,0)</f>
        <v/>
      </c>
      <c r="I463" t="n">
        <v>2103750</v>
      </c>
    </row>
    <row r="464">
      <c r="A464" s="5" t="n">
        <v>458</v>
      </c>
      <c r="B464" s="5" t="inlineStr">
        <is>
          <t>25806400041</t>
        </is>
      </c>
      <c r="C464" s="6" t="inlineStr">
        <is>
          <t>Traàn Minh</t>
        </is>
      </c>
      <c r="D464" s="6" t="inlineStr">
        <is>
          <t>Löõ</t>
        </is>
      </c>
      <c r="E464" s="5" t="inlineStr">
        <is>
          <t>11-Oct-07</t>
        </is>
      </c>
      <c r="F464" s="5" t="inlineStr">
        <is>
          <t>LNH0925ND01</t>
        </is>
      </c>
      <c r="G464" s="105" t="n">
        <v>8415000</v>
      </c>
      <c r="H464">
        <f>VLOOKUP(B464,'[1]TONG HOP'!B$5:G$624,6,0)</f>
        <v/>
      </c>
      <c r="I464" t="n">
        <v>2103750</v>
      </c>
    </row>
    <row r="465">
      <c r="A465" s="5" t="n">
        <v>459</v>
      </c>
      <c r="B465" s="5" t="inlineStr">
        <is>
          <t>25803800037</t>
        </is>
      </c>
      <c r="C465" s="6" t="inlineStr">
        <is>
          <t>Leâ Nguyeãn Ngoïc</t>
        </is>
      </c>
      <c r="D465" s="6" t="inlineStr">
        <is>
          <t>Ngaân</t>
        </is>
      </c>
      <c r="E465" s="5" t="inlineStr">
        <is>
          <t>15-Nov-07</t>
        </is>
      </c>
      <c r="F465" s="5" t="inlineStr">
        <is>
          <t>LNH0925ND01</t>
        </is>
      </c>
      <c r="G465" s="105" t="n">
        <v>8415000</v>
      </c>
      <c r="H465">
        <f>VLOOKUP(B465,'[1]TONG HOP'!B$5:G$624,6,0)</f>
        <v/>
      </c>
      <c r="I465" t="n">
        <v>2103750</v>
      </c>
    </row>
    <row r="466">
      <c r="A466" s="5" t="n">
        <v>460</v>
      </c>
      <c r="B466" s="5" t="inlineStr">
        <is>
          <t>25801900092</t>
        </is>
      </c>
      <c r="C466" s="6" t="inlineStr">
        <is>
          <t>Leâ Thò Thuùy</t>
        </is>
      </c>
      <c r="D466" s="6" t="inlineStr">
        <is>
          <t>Ngaân</t>
        </is>
      </c>
      <c r="E466" s="5" t="inlineStr">
        <is>
          <t>04-Sep-07</t>
        </is>
      </c>
      <c r="F466" s="5" t="inlineStr">
        <is>
          <t>LNH0925ND01</t>
        </is>
      </c>
      <c r="G466" s="105" t="n">
        <v>8415000</v>
      </c>
      <c r="H466">
        <f>VLOOKUP(B466,'[1]TONG HOP'!B$5:G$624,6,0)</f>
        <v/>
      </c>
      <c r="I466" t="n">
        <v>2103750</v>
      </c>
    </row>
    <row r="467">
      <c r="A467" s="5" t="n">
        <v>461</v>
      </c>
      <c r="B467" s="5" t="inlineStr">
        <is>
          <t>25801300015</t>
        </is>
      </c>
      <c r="C467" s="6" t="inlineStr">
        <is>
          <t>Döông Thò Minh</t>
        </is>
      </c>
      <c r="D467" s="6" t="inlineStr">
        <is>
          <t>Loäc</t>
        </is>
      </c>
      <c r="E467" s="5" t="inlineStr">
        <is>
          <t>12-Jun-07</t>
        </is>
      </c>
      <c r="F467" s="5" t="inlineStr">
        <is>
          <t>LNH0925ND01</t>
        </is>
      </c>
      <c r="G467" s="105" t="n">
        <v>8415000</v>
      </c>
      <c r="H467">
        <f>VLOOKUP(B467,'[1]TONG HOP'!B$5:G$624,6,0)</f>
        <v/>
      </c>
      <c r="I467" t="n">
        <v>2103750</v>
      </c>
    </row>
    <row r="468">
      <c r="A468" s="5" t="n">
        <v>462</v>
      </c>
      <c r="B468" s="5" t="inlineStr">
        <is>
          <t>25801200012</t>
        </is>
      </c>
      <c r="C468" s="6" t="inlineStr">
        <is>
          <t>Höùa Nguyeãn Gia</t>
        </is>
      </c>
      <c r="D468" s="6" t="inlineStr">
        <is>
          <t>Haân</t>
        </is>
      </c>
      <c r="E468" s="5" t="inlineStr">
        <is>
          <t>08-Jan-07</t>
        </is>
      </c>
      <c r="F468" s="5" t="inlineStr">
        <is>
          <t>LNH0925ND01</t>
        </is>
      </c>
      <c r="G468" s="105" t="n">
        <v>8415000</v>
      </c>
      <c r="H468">
        <f>VLOOKUP(B468,'[1]TONG HOP'!B$5:G$624,6,0)</f>
        <v/>
      </c>
      <c r="I468" t="n">
        <v>2103750</v>
      </c>
    </row>
    <row r="469">
      <c r="A469" s="5" t="n">
        <v>463</v>
      </c>
      <c r="B469" s="41" t="inlineStr">
        <is>
          <t>25806600141</t>
        </is>
      </c>
      <c r="C469" s="21" t="inlineStr">
        <is>
          <t>Traàn Thò Maãn</t>
        </is>
      </c>
      <c r="D469" s="21" t="inlineStr">
        <is>
          <t>Nghi</t>
        </is>
      </c>
      <c r="E469" s="20" t="inlineStr">
        <is>
          <t>06-Jan-07</t>
        </is>
      </c>
      <c r="F469" s="20" t="inlineStr">
        <is>
          <t>LNH0925ND01</t>
        </is>
      </c>
      <c r="G469" s="106" t="n">
        <v>1000000</v>
      </c>
      <c r="H469" s="19" t="n"/>
      <c r="J469" t="inlineStr">
        <is>
          <t>Chuyển HP EDU</t>
        </is>
      </c>
      <c r="K469" t="inlineStr">
        <is>
          <t>Dư HP chờ chuyển</t>
        </is>
      </c>
    </row>
    <row r="470">
      <c r="A470" s="5" t="n">
        <v>464</v>
      </c>
      <c r="B470" s="5" t="inlineStr">
        <is>
          <t>25802300057</t>
        </is>
      </c>
      <c r="C470" s="6" t="inlineStr">
        <is>
          <t>Nguyeãn Vaên</t>
        </is>
      </c>
      <c r="D470" s="6" t="inlineStr">
        <is>
          <t>Ñònh</t>
        </is>
      </c>
      <c r="E470" s="5" t="inlineStr">
        <is>
          <t>08-Apr-07</t>
        </is>
      </c>
      <c r="F470" s="5" t="inlineStr">
        <is>
          <t>LNH0925ND01</t>
        </is>
      </c>
      <c r="G470" s="105" t="n">
        <v>2100000</v>
      </c>
      <c r="H470">
        <f>VLOOKUP(B470,'[1]TONG HOP'!B$5:G$624,6,0)</f>
        <v/>
      </c>
      <c r="I470" t="n">
        <v>2100000</v>
      </c>
    </row>
    <row r="471">
      <c r="A471" s="5" t="n">
        <v>465</v>
      </c>
      <c r="B471" s="5" t="inlineStr">
        <is>
          <t>25808600087</t>
        </is>
      </c>
      <c r="C471" s="6" t="inlineStr">
        <is>
          <t>Voõ Thò Tuyeát</t>
        </is>
      </c>
      <c r="D471" s="6" t="inlineStr">
        <is>
          <t>Nhö</t>
        </is>
      </c>
      <c r="E471" s="5" t="inlineStr">
        <is>
          <t>15-Nov-07</t>
        </is>
      </c>
      <c r="F471" s="5" t="inlineStr">
        <is>
          <t>LNH0925ND01</t>
        </is>
      </c>
      <c r="G471" s="105" t="n">
        <v>8415000</v>
      </c>
      <c r="H471">
        <f>VLOOKUP(B471,'[1]TONG HOP'!B$5:G$624,6,0)</f>
        <v/>
      </c>
      <c r="I471" t="n">
        <v>2103750</v>
      </c>
    </row>
    <row r="472">
      <c r="A472" s="5" t="n">
        <v>466</v>
      </c>
      <c r="B472" s="5" t="inlineStr">
        <is>
          <t>25803000317</t>
        </is>
      </c>
      <c r="C472" s="6" t="inlineStr">
        <is>
          <t>Traàn Gia</t>
        </is>
      </c>
      <c r="D472" s="6" t="inlineStr">
        <is>
          <t>Long</t>
        </is>
      </c>
      <c r="E472" s="5" t="inlineStr">
        <is>
          <t>15-Dec-07</t>
        </is>
      </c>
      <c r="F472" s="5" t="inlineStr">
        <is>
          <t>LNH0925ND01</t>
        </is>
      </c>
      <c r="G472" s="105" t="n">
        <v>1000000</v>
      </c>
    </row>
    <row r="473">
      <c r="A473" s="5" t="n">
        <v>467</v>
      </c>
      <c r="B473" s="5" t="inlineStr">
        <is>
          <t>25802800141</t>
        </is>
      </c>
      <c r="C473" s="6" t="inlineStr">
        <is>
          <t>Nguyeãn Ñöùc</t>
        </is>
      </c>
      <c r="D473" s="6" t="inlineStr">
        <is>
          <t>Lôïi</t>
        </is>
      </c>
      <c r="E473" s="5" t="inlineStr">
        <is>
          <t>17-Apr-07</t>
        </is>
      </c>
      <c r="F473" s="5" t="inlineStr">
        <is>
          <t>LNH0925ND01</t>
        </is>
      </c>
      <c r="G473" s="105" t="n">
        <v>1000000</v>
      </c>
    </row>
    <row r="474">
      <c r="A474" s="5" t="n">
        <v>468</v>
      </c>
      <c r="B474" s="5" t="inlineStr">
        <is>
          <t>25808700080</t>
        </is>
      </c>
      <c r="C474" s="6" t="inlineStr">
        <is>
          <t>Traàn Hoàng</t>
        </is>
      </c>
      <c r="D474" s="6" t="inlineStr">
        <is>
          <t>Phuùc</t>
        </is>
      </c>
      <c r="E474" s="5" t="inlineStr">
        <is>
          <t>17-Aug-07</t>
        </is>
      </c>
      <c r="F474" s="5" t="inlineStr">
        <is>
          <t>LNH0925ND01</t>
        </is>
      </c>
      <c r="G474" s="105" t="n">
        <v>1000000</v>
      </c>
    </row>
    <row r="475">
      <c r="A475" s="5" t="n">
        <v>469</v>
      </c>
      <c r="B475" s="5" t="inlineStr">
        <is>
          <t>25800500133</t>
        </is>
      </c>
      <c r="C475" s="6" t="inlineStr">
        <is>
          <t>Nguyeãn Taán</t>
        </is>
      </c>
      <c r="D475" s="6" t="inlineStr">
        <is>
          <t>Phaùt</t>
        </is>
      </c>
      <c r="E475" s="5" t="inlineStr">
        <is>
          <t>25-Dec-07</t>
        </is>
      </c>
      <c r="F475" s="5" t="inlineStr">
        <is>
          <t>LNH0925ND01</t>
        </is>
      </c>
      <c r="G475" s="105" t="n">
        <v>8415000</v>
      </c>
      <c r="H475">
        <f>VLOOKUP(B475,'[1]TONG HOP'!B$5:G$624,6,0)</f>
        <v/>
      </c>
      <c r="I475" t="n">
        <v>2103750</v>
      </c>
    </row>
    <row r="476">
      <c r="A476" s="5" t="n">
        <v>470</v>
      </c>
      <c r="B476" s="5" t="inlineStr">
        <is>
          <t>25800500113</t>
        </is>
      </c>
      <c r="C476" s="6" t="inlineStr">
        <is>
          <t>Nguyeãn Chí</t>
        </is>
      </c>
      <c r="D476" s="6" t="inlineStr">
        <is>
          <t>Nam</t>
        </is>
      </c>
      <c r="E476" s="5" t="inlineStr">
        <is>
          <t>24-Sep-07</t>
        </is>
      </c>
      <c r="F476" s="5" t="inlineStr">
        <is>
          <t>LNH0925ND01</t>
        </is>
      </c>
      <c r="G476" s="105" t="n">
        <v>4465000</v>
      </c>
      <c r="H476">
        <f>VLOOKUP(B476,'[1]TONG HOP'!B$5:G$624,6,0)</f>
        <v/>
      </c>
      <c r="I476" t="n">
        <v>2232500</v>
      </c>
    </row>
    <row r="477">
      <c r="A477" s="5" t="n">
        <v>471</v>
      </c>
      <c r="B477" s="5" t="inlineStr">
        <is>
          <t>25801200005</t>
        </is>
      </c>
      <c r="C477" s="6" t="inlineStr">
        <is>
          <t>Nguyeãn Theá</t>
        </is>
      </c>
      <c r="D477" s="6" t="inlineStr">
        <is>
          <t>Baûo</t>
        </is>
      </c>
      <c r="E477" s="5" t="inlineStr">
        <is>
          <t>10-Apr-07</t>
        </is>
      </c>
      <c r="F477" s="5" t="inlineStr">
        <is>
          <t>LNH0925ND01</t>
        </is>
      </c>
      <c r="G477" s="105" t="n">
        <v>2100000</v>
      </c>
      <c r="H477">
        <f>VLOOKUP(B477,'[1]TONG HOP'!B$5:G$624,6,0)</f>
        <v/>
      </c>
      <c r="I477" t="n">
        <v>2100000</v>
      </c>
    </row>
    <row r="478">
      <c r="A478" s="5" t="n">
        <v>472</v>
      </c>
      <c r="B478" s="5" t="inlineStr">
        <is>
          <t>25808500024</t>
        </is>
      </c>
      <c r="C478" s="6" t="inlineStr">
        <is>
          <t>Ñinh Nguyeãn Gia</t>
        </is>
      </c>
      <c r="D478" s="6" t="inlineStr">
        <is>
          <t>Baûo</t>
        </is>
      </c>
      <c r="E478" s="5" t="inlineStr">
        <is>
          <t>07-Dec-06</t>
        </is>
      </c>
      <c r="F478" s="5" t="inlineStr">
        <is>
          <t>LNH0925ND01</t>
        </is>
      </c>
      <c r="G478" s="105" t="n">
        <v>8415000</v>
      </c>
      <c r="H478">
        <f>VLOOKUP(B478,'[1]TONG HOP'!B$5:G$624,6,0)</f>
        <v/>
      </c>
      <c r="I478" t="n">
        <v>2103750</v>
      </c>
    </row>
    <row r="479">
      <c r="A479" s="5" t="n">
        <v>473</v>
      </c>
      <c r="B479" s="5" t="inlineStr">
        <is>
          <t>25807700017</t>
        </is>
      </c>
      <c r="C479" s="6" t="inlineStr">
        <is>
          <t>Haø Quoác</t>
        </is>
      </c>
      <c r="D479" s="6" t="inlineStr">
        <is>
          <t>Duõng</t>
        </is>
      </c>
      <c r="E479" s="5" t="inlineStr">
        <is>
          <t>18-Jan-07</t>
        </is>
      </c>
      <c r="F479" s="5" t="inlineStr">
        <is>
          <t>LNH0925ND01</t>
        </is>
      </c>
      <c r="G479" s="105" t="n">
        <v>8415000</v>
      </c>
      <c r="H479">
        <f>VLOOKUP(B479,'[1]TONG HOP'!B$5:G$624,6,0)</f>
        <v/>
      </c>
      <c r="I479" t="n">
        <v>2103750</v>
      </c>
    </row>
    <row r="480">
      <c r="A480" s="5" t="n">
        <v>474</v>
      </c>
      <c r="B480" s="5" t="inlineStr">
        <is>
          <t>25808600180</t>
        </is>
      </c>
      <c r="C480" s="6" t="inlineStr">
        <is>
          <t>Nguyeãn Noâng Khaùnh</t>
        </is>
      </c>
      <c r="D480" s="6" t="inlineStr">
        <is>
          <t>Linh</t>
        </is>
      </c>
      <c r="E480" s="5" t="inlineStr">
        <is>
          <t>21-Aug-07</t>
        </is>
      </c>
      <c r="F480" s="5" t="inlineStr">
        <is>
          <t>LNH0925ND01</t>
        </is>
      </c>
      <c r="G480" s="105" t="n">
        <v>8415000</v>
      </c>
      <c r="H480">
        <f>VLOOKUP(B480,'[1]TONG HOP'!B$5:G$624,6,0)</f>
        <v/>
      </c>
      <c r="I480" t="n">
        <v>2103750</v>
      </c>
    </row>
    <row r="481">
      <c r="A481" s="5" t="n">
        <v>475</v>
      </c>
      <c r="B481" s="5" t="inlineStr">
        <is>
          <t>25802300142</t>
        </is>
      </c>
      <c r="C481" s="6" t="inlineStr">
        <is>
          <t>Ñaëng Thò Khaùnh</t>
        </is>
      </c>
      <c r="D481" s="6" t="inlineStr">
        <is>
          <t>Ly</t>
        </is>
      </c>
      <c r="E481" s="5" t="inlineStr">
        <is>
          <t>22-Jun-07</t>
        </is>
      </c>
      <c r="F481" s="5" t="inlineStr">
        <is>
          <t>LNH0925ND01</t>
        </is>
      </c>
      <c r="G481" s="105" t="n">
        <v>4465000</v>
      </c>
      <c r="H481">
        <f>VLOOKUP(B481,'[1]TONG HOP'!B$5:G$624,6,0)</f>
        <v/>
      </c>
      <c r="I481" t="n">
        <v>2232500</v>
      </c>
    </row>
    <row r="482">
      <c r="A482" s="5" t="n">
        <v>476</v>
      </c>
      <c r="B482" s="5" t="inlineStr">
        <is>
          <t>25808300103</t>
        </is>
      </c>
      <c r="C482" s="6" t="inlineStr">
        <is>
          <t>Leâ Thò Thuyø</t>
        </is>
      </c>
      <c r="D482" s="6" t="inlineStr">
        <is>
          <t>Dòu</t>
        </is>
      </c>
      <c r="E482" s="5" t="inlineStr">
        <is>
          <t>25-Nov-07</t>
        </is>
      </c>
      <c r="F482" s="5" t="inlineStr">
        <is>
          <t>LNH0925ND01</t>
        </is>
      </c>
      <c r="G482" s="105" t="n">
        <v>8415000</v>
      </c>
      <c r="H482">
        <f>VLOOKUP(B482,'[1]TONG HOP'!B$5:G$624,6,0)</f>
        <v/>
      </c>
      <c r="I482" t="n">
        <v>2103750</v>
      </c>
    </row>
    <row r="483">
      <c r="A483" s="5" t="n">
        <v>477</v>
      </c>
      <c r="B483" s="5" t="inlineStr">
        <is>
          <t>25808600125</t>
        </is>
      </c>
      <c r="C483" s="6" t="inlineStr">
        <is>
          <t>Nguyeãn Thanh</t>
        </is>
      </c>
      <c r="D483" s="6" t="inlineStr">
        <is>
          <t>Tieàn</t>
        </is>
      </c>
      <c r="E483" s="5" t="inlineStr">
        <is>
          <t>01-Jun-07</t>
        </is>
      </c>
      <c r="F483" s="5" t="inlineStr">
        <is>
          <t>LNH0925ND01</t>
        </is>
      </c>
      <c r="G483" s="105" t="n">
        <v>1000000</v>
      </c>
    </row>
    <row r="484">
      <c r="A484" s="5" t="n">
        <v>478</v>
      </c>
      <c r="B484" s="5" t="inlineStr">
        <is>
          <t>25808600121</t>
        </is>
      </c>
      <c r="C484" s="6" t="inlineStr">
        <is>
          <t>Voõ Anh</t>
        </is>
      </c>
      <c r="D484" s="6" t="inlineStr">
        <is>
          <t>Thö</t>
        </is>
      </c>
      <c r="E484" s="5" t="inlineStr">
        <is>
          <t>03-Jul-07</t>
        </is>
      </c>
      <c r="F484" s="5" t="inlineStr">
        <is>
          <t>LNH0925ND01</t>
        </is>
      </c>
      <c r="G484" s="105" t="n">
        <v>8415000</v>
      </c>
    </row>
    <row r="485">
      <c r="A485" s="5" t="n">
        <v>479</v>
      </c>
      <c r="B485" s="5" t="inlineStr">
        <is>
          <t>25805900060</t>
        </is>
      </c>
      <c r="C485" s="6" t="inlineStr">
        <is>
          <t>Nguyeãn Cöûu Minh</t>
        </is>
      </c>
      <c r="D485" s="6" t="inlineStr">
        <is>
          <t>Trí</t>
        </is>
      </c>
      <c r="E485" s="5" t="inlineStr">
        <is>
          <t>20-May-07</t>
        </is>
      </c>
      <c r="F485" s="5" t="inlineStr">
        <is>
          <t>LNH0925ND01</t>
        </is>
      </c>
      <c r="G485" s="105" t="n">
        <v>4465000</v>
      </c>
      <c r="H485">
        <f>VLOOKUP(B485,'[1]TONG HOP'!B$5:G$624,6,0)</f>
        <v/>
      </c>
      <c r="I485" t="n">
        <v>2232500</v>
      </c>
    </row>
    <row r="486">
      <c r="A486" s="5" t="n">
        <v>480</v>
      </c>
      <c r="B486" s="5" t="inlineStr">
        <is>
          <t>25820200013</t>
        </is>
      </c>
      <c r="C486" s="6" t="inlineStr">
        <is>
          <t>Maõ Löông Haûi</t>
        </is>
      </c>
      <c r="D486" s="6" t="inlineStr">
        <is>
          <t>Ñaêng</t>
        </is>
      </c>
      <c r="E486" s="5" t="inlineStr">
        <is>
          <t>01-Jun-07</t>
        </is>
      </c>
      <c r="F486" s="5" t="inlineStr">
        <is>
          <t>LNH0925ND01</t>
        </is>
      </c>
      <c r="G486" s="105" t="n">
        <v>8415000</v>
      </c>
    </row>
    <row r="487">
      <c r="A487" s="5" t="n">
        <v>481</v>
      </c>
      <c r="B487" s="5" t="inlineStr">
        <is>
          <t>25808600258</t>
        </is>
      </c>
      <c r="C487" s="6" t="inlineStr">
        <is>
          <t>Nguyeãn Ngoïc Tuù</t>
        </is>
      </c>
      <c r="D487" s="6" t="inlineStr">
        <is>
          <t>Nhö</t>
        </is>
      </c>
      <c r="E487" s="5" t="inlineStr">
        <is>
          <t>12-Aug-07</t>
        </is>
      </c>
      <c r="F487" s="5" t="inlineStr">
        <is>
          <t>LNH0925ND01</t>
        </is>
      </c>
      <c r="G487" s="105" t="n">
        <v>4940000</v>
      </c>
    </row>
    <row r="488">
      <c r="A488" s="5" t="n">
        <v>482</v>
      </c>
      <c r="B488" s="5" t="inlineStr">
        <is>
          <t>25802800092</t>
        </is>
      </c>
      <c r="C488" s="6" t="inlineStr">
        <is>
          <t>Nguyeãn Quoác</t>
        </is>
      </c>
      <c r="D488" s="6" t="inlineStr">
        <is>
          <t>Huy</t>
        </is>
      </c>
      <c r="E488" s="5" t="inlineStr">
        <is>
          <t>14-Oct-07</t>
        </is>
      </c>
      <c r="F488" s="5" t="inlineStr">
        <is>
          <t>LNH0925ND01</t>
        </is>
      </c>
      <c r="G488" s="105" t="n">
        <v>1000000</v>
      </c>
    </row>
    <row r="489">
      <c r="A489" s="5" t="n">
        <v>483</v>
      </c>
      <c r="B489" s="5" t="inlineStr">
        <is>
          <t>25802600133</t>
        </is>
      </c>
      <c r="C489" s="6" t="inlineStr">
        <is>
          <t>Nguyeãn Hoaøng</t>
        </is>
      </c>
      <c r="D489" s="6" t="inlineStr">
        <is>
          <t>Uyeân</t>
        </is>
      </c>
      <c r="E489" s="5" t="inlineStr">
        <is>
          <t>28-Oct-07</t>
        </is>
      </c>
      <c r="F489" s="5" t="inlineStr">
        <is>
          <t>LNH0925ND01</t>
        </is>
      </c>
      <c r="G489" s="105" t="n">
        <v>1000000</v>
      </c>
    </row>
    <row r="490">
      <c r="A490" s="5" t="n">
        <v>484</v>
      </c>
      <c r="B490" s="5" t="inlineStr">
        <is>
          <t>25806000026</t>
        </is>
      </c>
      <c r="C490" s="6" t="inlineStr">
        <is>
          <t>Phaïm Vaên Vónh</t>
        </is>
      </c>
      <c r="D490" s="6" t="inlineStr">
        <is>
          <t>Phuùc</t>
        </is>
      </c>
      <c r="E490" s="5" t="inlineStr">
        <is>
          <t>22-Apr-07</t>
        </is>
      </c>
      <c r="F490" s="5" t="inlineStr">
        <is>
          <t>LNH0925ND01</t>
        </is>
      </c>
      <c r="G490" s="105" t="n">
        <v>8415000</v>
      </c>
      <c r="H490">
        <f>VLOOKUP(B490,'[1]TONG HOP'!B$5:G$624,6,0)</f>
        <v/>
      </c>
      <c r="I490" t="n">
        <v>2103750</v>
      </c>
    </row>
    <row r="491">
      <c r="A491" s="5" t="n">
        <v>485</v>
      </c>
      <c r="B491" s="5" t="inlineStr">
        <is>
          <t>25800400012</t>
        </is>
      </c>
      <c r="C491" s="6" t="inlineStr">
        <is>
          <t>Nguyeãn Gia</t>
        </is>
      </c>
      <c r="D491" s="6" t="inlineStr">
        <is>
          <t>Baûo</t>
        </is>
      </c>
      <c r="E491" s="5" t="inlineStr">
        <is>
          <t>12-Dec-07</t>
        </is>
      </c>
      <c r="F491" s="5" t="inlineStr">
        <is>
          <t>LNH0925ND01</t>
        </is>
      </c>
      <c r="G491" s="105" t="n">
        <v>4465000</v>
      </c>
      <c r="H491">
        <f>VLOOKUP(B491,'[1]TONG HOP'!B$5:G$624,6,0)</f>
        <v/>
      </c>
      <c r="I491" t="n">
        <v>2232500</v>
      </c>
    </row>
    <row r="492">
      <c r="A492" s="5" t="n">
        <v>486</v>
      </c>
      <c r="B492" s="5" t="inlineStr">
        <is>
          <t>25801200009</t>
        </is>
      </c>
      <c r="C492" s="6" t="inlineStr">
        <is>
          <t>Leâ Troïng</t>
        </is>
      </c>
      <c r="D492" s="6" t="inlineStr">
        <is>
          <t>Ñaïi</t>
        </is>
      </c>
      <c r="E492" s="5" t="inlineStr">
        <is>
          <t>20-Dec-07</t>
        </is>
      </c>
      <c r="F492" s="5" t="inlineStr">
        <is>
          <t>LNH0925ND01</t>
        </is>
      </c>
      <c r="G492" s="105" t="n">
        <v>1000000</v>
      </c>
    </row>
    <row r="493">
      <c r="A493" s="5" t="n">
        <v>487</v>
      </c>
      <c r="B493" s="5" t="inlineStr">
        <is>
          <t>25807700079</t>
        </is>
      </c>
      <c r="C493" s="6" t="inlineStr">
        <is>
          <t>Leâ Thanh</t>
        </is>
      </c>
      <c r="D493" s="6" t="inlineStr">
        <is>
          <t>Töôøng</t>
        </is>
      </c>
      <c r="E493" s="5" t="inlineStr">
        <is>
          <t>02-Dec-07</t>
        </is>
      </c>
      <c r="F493" s="5" t="inlineStr">
        <is>
          <t>LNH0925ND01</t>
        </is>
      </c>
      <c r="G493" s="105" t="n">
        <v>2100000</v>
      </c>
      <c r="H493">
        <f>VLOOKUP(B493,'[1]TONG HOP'!B$5:G$624,6,0)</f>
        <v/>
      </c>
      <c r="I493" t="n">
        <v>2100000</v>
      </c>
    </row>
    <row r="494">
      <c r="A494" s="5" t="n">
        <v>488</v>
      </c>
      <c r="B494" s="5" t="inlineStr">
        <is>
          <t>25808900119</t>
        </is>
      </c>
      <c r="C494" s="6" t="inlineStr">
        <is>
          <t>Nguyeãn Leâ</t>
        </is>
      </c>
      <c r="D494" s="6" t="inlineStr">
        <is>
          <t>Thaéng</t>
        </is>
      </c>
      <c r="E494" s="5" t="inlineStr">
        <is>
          <t>07-Oct-07</t>
        </is>
      </c>
      <c r="F494" s="5" t="inlineStr">
        <is>
          <t>LNH0925ND01</t>
        </is>
      </c>
      <c r="G494" s="105" t="n">
        <v>1000000</v>
      </c>
    </row>
    <row r="495">
      <c r="A495" s="5" t="n">
        <v>489</v>
      </c>
      <c r="B495" s="5" t="inlineStr">
        <is>
          <t>25820300011</t>
        </is>
      </c>
      <c r="C495" s="6" t="inlineStr">
        <is>
          <t>Buøi Nguyeãn Thanh</t>
        </is>
      </c>
      <c r="D495" s="6" t="inlineStr">
        <is>
          <t>Haèng</t>
        </is>
      </c>
      <c r="E495" s="5" t="inlineStr">
        <is>
          <t>25-May-07</t>
        </is>
      </c>
      <c r="F495" s="5" t="inlineStr">
        <is>
          <t>LNH0925ND01</t>
        </is>
      </c>
      <c r="G495" s="105" t="n">
        <v>8415000</v>
      </c>
      <c r="H495">
        <f>VLOOKUP(B495,'[1]TONG HOP'!B$5:G$624,6,0)</f>
        <v/>
      </c>
      <c r="I495" t="n">
        <v>2103750</v>
      </c>
    </row>
    <row r="496">
      <c r="A496" s="5" t="n">
        <v>490</v>
      </c>
      <c r="B496" s="5" t="inlineStr">
        <is>
          <t>25805800027</t>
        </is>
      </c>
      <c r="C496" s="6" t="inlineStr">
        <is>
          <t>Leâ Hieàn Thaûo</t>
        </is>
      </c>
      <c r="D496" s="6" t="inlineStr">
        <is>
          <t>Quyeân</t>
        </is>
      </c>
      <c r="E496" s="5" t="inlineStr">
        <is>
          <t>24-Sep-07</t>
        </is>
      </c>
      <c r="F496" s="5" t="inlineStr">
        <is>
          <t>LNH0925ND01</t>
        </is>
      </c>
      <c r="G496" s="105" t="n">
        <v>8415000</v>
      </c>
      <c r="H496">
        <f>VLOOKUP(B496,'[1]TONG HOP'!B$5:G$624,6,0)</f>
        <v/>
      </c>
      <c r="I496" t="n">
        <v>2103750</v>
      </c>
    </row>
    <row r="497">
      <c r="A497" s="5" t="n">
        <v>491</v>
      </c>
      <c r="B497" s="5" t="inlineStr">
        <is>
          <t>25807700035</t>
        </is>
      </c>
      <c r="C497" s="6" t="inlineStr">
        <is>
          <t>Chung Long</t>
        </is>
      </c>
      <c r="D497" s="6" t="inlineStr">
        <is>
          <t>Khang</t>
        </is>
      </c>
      <c r="E497" s="5" t="inlineStr">
        <is>
          <t>30-Nov-07</t>
        </is>
      </c>
      <c r="F497" s="5" t="inlineStr">
        <is>
          <t>LNH0925ND01</t>
        </is>
      </c>
      <c r="G497" s="105" t="n">
        <v>8415000</v>
      </c>
      <c r="H497">
        <f>VLOOKUP(B497,'[1]TONG HOP'!B$5:G$624,6,0)</f>
        <v/>
      </c>
      <c r="I497" t="n">
        <v>2103750</v>
      </c>
    </row>
    <row r="498">
      <c r="A498" s="5" t="n">
        <v>492</v>
      </c>
      <c r="B498" s="5" t="inlineStr">
        <is>
          <t>25808200122</t>
        </is>
      </c>
      <c r="C498" s="6" t="inlineStr">
        <is>
          <t>Voõ Nhaát</t>
        </is>
      </c>
      <c r="D498" s="6" t="inlineStr">
        <is>
          <t>Thieân</t>
        </is>
      </c>
      <c r="E498" s="5" t="inlineStr">
        <is>
          <t>06-Jan-07</t>
        </is>
      </c>
      <c r="F498" s="5" t="inlineStr">
        <is>
          <t>LNH0925ND01</t>
        </is>
      </c>
      <c r="G498" s="105" t="n">
        <v>8415000</v>
      </c>
      <c r="H498">
        <f>VLOOKUP(B498,'[1]TONG HOP'!B$5:G$624,6,0)</f>
        <v/>
      </c>
      <c r="I498" t="n">
        <v>2103750</v>
      </c>
    </row>
    <row r="499">
      <c r="A499" s="5" t="n">
        <v>493</v>
      </c>
      <c r="B499" s="5" t="inlineStr">
        <is>
          <t>25808700021</t>
        </is>
      </c>
      <c r="C499" s="6" t="inlineStr">
        <is>
          <t>Nguyeãn Vaên</t>
        </is>
      </c>
      <c r="D499" s="6" t="inlineStr">
        <is>
          <t>Ñöùc</t>
        </is>
      </c>
      <c r="E499" s="5" t="inlineStr">
        <is>
          <t>22-Jan-07</t>
        </is>
      </c>
      <c r="F499" s="5" t="inlineStr">
        <is>
          <t>LNH0925ND01</t>
        </is>
      </c>
      <c r="G499" s="105" t="n">
        <v>8415000</v>
      </c>
      <c r="H499">
        <f>VLOOKUP(B499,'[1]TONG HOP'!B$5:G$624,6,0)</f>
        <v/>
      </c>
      <c r="I499" t="n">
        <v>2103750</v>
      </c>
    </row>
    <row r="500">
      <c r="A500" s="5" t="n">
        <v>494</v>
      </c>
      <c r="B500" s="5" t="inlineStr">
        <is>
          <t>25820300033</t>
        </is>
      </c>
      <c r="C500" s="6" t="inlineStr">
        <is>
          <t>Phaïm Hoà Taân</t>
        </is>
      </c>
      <c r="D500" s="6" t="inlineStr">
        <is>
          <t>Minh</t>
        </is>
      </c>
      <c r="E500" s="5" t="inlineStr">
        <is>
          <t>26-Jan-07</t>
        </is>
      </c>
      <c r="F500" s="5" t="inlineStr">
        <is>
          <t>LNH0925ND01</t>
        </is>
      </c>
      <c r="G500" s="105" t="n">
        <v>4465000</v>
      </c>
      <c r="H500">
        <f>VLOOKUP(B500,'[1]TONG HOP'!B$5:G$624,6,0)</f>
        <v/>
      </c>
      <c r="I500" t="n">
        <v>2232500</v>
      </c>
    </row>
    <row r="501">
      <c r="A501" s="5" t="n">
        <v>495</v>
      </c>
      <c r="B501" s="5" t="inlineStr">
        <is>
          <t>25808900229</t>
        </is>
      </c>
      <c r="C501" s="6" t="inlineStr">
        <is>
          <t>Nguyeãn Thieân</t>
        </is>
      </c>
      <c r="D501" s="6" t="inlineStr">
        <is>
          <t>AÂn</t>
        </is>
      </c>
      <c r="E501" s="5" t="inlineStr">
        <is>
          <t>23-Oct-07</t>
        </is>
      </c>
      <c r="F501" s="5" t="inlineStr">
        <is>
          <t>LNH0925ND01</t>
        </is>
      </c>
      <c r="G501" s="105" t="n">
        <v>8415000</v>
      </c>
      <c r="H501">
        <f>VLOOKUP(B501,'[1]TONG HOP'!B$5:G$624,6,0)</f>
        <v/>
      </c>
      <c r="I501" t="n">
        <v>2103750</v>
      </c>
    </row>
    <row r="502">
      <c r="A502" s="5" t="n">
        <v>496</v>
      </c>
      <c r="B502" s="5" t="inlineStr">
        <is>
          <t>25802700046</t>
        </is>
      </c>
      <c r="C502" s="6" t="inlineStr">
        <is>
          <t>Nguyeãn Kieàu Ly</t>
        </is>
      </c>
      <c r="D502" s="6" t="inlineStr">
        <is>
          <t>Ly</t>
        </is>
      </c>
      <c r="E502" s="5" t="inlineStr">
        <is>
          <t>29-May-07</t>
        </is>
      </c>
      <c r="F502" s="5" t="inlineStr">
        <is>
          <t>LNH0925ND01</t>
        </is>
      </c>
      <c r="G502" s="105" t="n">
        <v>1000000</v>
      </c>
    </row>
    <row r="503">
      <c r="A503" s="5" t="n">
        <v>497</v>
      </c>
      <c r="B503" s="5" t="inlineStr">
        <is>
          <t>25802700006</t>
        </is>
      </c>
      <c r="C503" s="6" t="inlineStr">
        <is>
          <t>Leâ Quoác</t>
        </is>
      </c>
      <c r="D503" s="6" t="inlineStr">
        <is>
          <t>Anh</t>
        </is>
      </c>
      <c r="E503" s="5" t="inlineStr">
        <is>
          <t>28-Sep-07</t>
        </is>
      </c>
      <c r="F503" s="5" t="inlineStr">
        <is>
          <t>LNH0925ND01</t>
        </is>
      </c>
      <c r="G503" s="105" t="n">
        <v>8415000</v>
      </c>
      <c r="H503">
        <f>VLOOKUP(B503,'[1]TONG HOP'!B$5:G$624,6,0)</f>
        <v/>
      </c>
      <c r="I503" t="n">
        <v>2103750</v>
      </c>
    </row>
    <row r="504">
      <c r="A504" s="5" t="n">
        <v>498</v>
      </c>
      <c r="B504" s="5" t="inlineStr">
        <is>
          <t>25800600195</t>
        </is>
      </c>
      <c r="C504" s="6" t="inlineStr">
        <is>
          <t>Nguyeãn Thanh</t>
        </is>
      </c>
      <c r="D504" s="6" t="inlineStr">
        <is>
          <t>Hieàn</t>
        </is>
      </c>
      <c r="E504" s="5" t="inlineStr">
        <is>
          <t>09-Aug-07</t>
        </is>
      </c>
      <c r="F504" s="5" t="inlineStr">
        <is>
          <t>LNH0925ND01</t>
        </is>
      </c>
      <c r="G504" s="105" t="n">
        <v>4465000</v>
      </c>
      <c r="H504">
        <f>VLOOKUP(B504,'[1]TONG HOP'!B$5:G$624,6,0)</f>
        <v/>
      </c>
      <c r="I504" t="n">
        <v>2232500</v>
      </c>
    </row>
    <row r="505">
      <c r="A505" s="5" t="n">
        <v>499</v>
      </c>
      <c r="B505" s="5" t="inlineStr">
        <is>
          <t>25802700192</t>
        </is>
      </c>
      <c r="C505" s="6" t="inlineStr">
        <is>
          <t>Nguyeãn Taán</t>
        </is>
      </c>
      <c r="D505" s="6" t="inlineStr">
        <is>
          <t>Phaùt</t>
        </is>
      </c>
      <c r="E505" s="5" t="inlineStr">
        <is>
          <t>01-Oct-07</t>
        </is>
      </c>
      <c r="F505" s="5" t="inlineStr">
        <is>
          <t>LNH0925ND01</t>
        </is>
      </c>
      <c r="G505" s="105" t="n">
        <v>8415000</v>
      </c>
      <c r="H505">
        <f>VLOOKUP(B505,'[1]TONG HOP'!B$5:G$624,6,0)</f>
        <v/>
      </c>
      <c r="I505" t="n">
        <v>2103750</v>
      </c>
    </row>
    <row r="506">
      <c r="A506" s="5" t="n">
        <v>500</v>
      </c>
      <c r="B506" s="5" t="inlineStr">
        <is>
          <t>25800500007</t>
        </is>
      </c>
      <c r="C506" s="6" t="inlineStr">
        <is>
          <t>Nguyeãn Huy</t>
        </is>
      </c>
      <c r="D506" s="6" t="inlineStr">
        <is>
          <t>Anh</t>
        </is>
      </c>
      <c r="E506" s="5" t="inlineStr">
        <is>
          <t>13-Dec-07</t>
        </is>
      </c>
      <c r="F506" s="5" t="inlineStr">
        <is>
          <t>LNH0925ND01</t>
        </is>
      </c>
      <c r="G506" s="105" t="n">
        <v>8415000</v>
      </c>
      <c r="H506">
        <f>VLOOKUP(B506,'[1]TONG HOP'!B$5:G$624,6,0)</f>
        <v/>
      </c>
      <c r="I506" t="n">
        <v>2103750</v>
      </c>
    </row>
    <row r="507">
      <c r="A507" s="5" t="n">
        <v>501</v>
      </c>
      <c r="B507" s="5" t="inlineStr">
        <is>
          <t>25820200068</t>
        </is>
      </c>
      <c r="C507" s="6" t="inlineStr">
        <is>
          <t>Nguyeãn Minh Nhö</t>
        </is>
      </c>
      <c r="D507" s="6" t="inlineStr">
        <is>
          <t>YÙ</t>
        </is>
      </c>
      <c r="E507" s="5" t="inlineStr">
        <is>
          <t>05-Nov-07</t>
        </is>
      </c>
      <c r="F507" s="5" t="inlineStr">
        <is>
          <t>LNH0925ND01</t>
        </is>
      </c>
      <c r="G507" s="105" t="n">
        <v>8415000</v>
      </c>
      <c r="H507">
        <f>VLOOKUP(B507,'[1]TONG HOP'!B$5:G$624,6,0)</f>
        <v/>
      </c>
      <c r="I507" t="n">
        <v>2103750</v>
      </c>
    </row>
    <row r="508">
      <c r="A508" s="5" t="n">
        <v>502</v>
      </c>
      <c r="B508" s="5" t="inlineStr">
        <is>
          <t>25808900099</t>
        </is>
      </c>
      <c r="C508" s="6" t="inlineStr">
        <is>
          <t>Traàn Vaên</t>
        </is>
      </c>
      <c r="D508" s="6" t="inlineStr">
        <is>
          <t>Phuùc</t>
        </is>
      </c>
      <c r="E508" s="5" t="inlineStr">
        <is>
          <t>07-Mar-07</t>
        </is>
      </c>
      <c r="F508" s="5" t="inlineStr">
        <is>
          <t>LNH0925ND01</t>
        </is>
      </c>
      <c r="G508" s="105" t="n">
        <v>4465000</v>
      </c>
      <c r="H508">
        <f>VLOOKUP(B508,'[1]TONG HOP'!B$5:G$624,6,0)</f>
        <v/>
      </c>
      <c r="I508" t="n">
        <v>2232500</v>
      </c>
    </row>
    <row r="509">
      <c r="A509" s="5" t="n">
        <v>503</v>
      </c>
      <c r="B509" s="5" t="inlineStr">
        <is>
          <t>25808700203</t>
        </is>
      </c>
      <c r="C509" s="6" t="inlineStr">
        <is>
          <t>Mai Taán</t>
        </is>
      </c>
      <c r="D509" s="6" t="inlineStr">
        <is>
          <t>Nhaát</t>
        </is>
      </c>
      <c r="E509" s="5" t="inlineStr">
        <is>
          <t>14-Jul-06</t>
        </is>
      </c>
      <c r="F509" s="5" t="inlineStr">
        <is>
          <t>LNH0925ND01</t>
        </is>
      </c>
      <c r="G509" s="105" t="n">
        <v>8415000</v>
      </c>
      <c r="H509">
        <f>VLOOKUP(B509,'[1]TONG HOP'!B$5:G$624,6,0)</f>
        <v/>
      </c>
      <c r="I509" t="n">
        <v>2103750</v>
      </c>
    </row>
    <row r="510">
      <c r="A510" s="5" t="n">
        <v>504</v>
      </c>
      <c r="B510" s="5" t="inlineStr">
        <is>
          <t>25820200001</t>
        </is>
      </c>
      <c r="C510" s="6" t="inlineStr">
        <is>
          <t>Nguyeãn Thanh</t>
        </is>
      </c>
      <c r="D510" s="6" t="inlineStr">
        <is>
          <t>An</t>
        </is>
      </c>
      <c r="E510" s="5" t="inlineStr">
        <is>
          <t>02-Aug-06</t>
        </is>
      </c>
      <c r="F510" s="5" t="inlineStr">
        <is>
          <t>LNH0925ND01</t>
        </is>
      </c>
      <c r="G510" s="105" t="n">
        <v>1000000</v>
      </c>
    </row>
    <row r="511">
      <c r="A511" s="5" t="n">
        <v>505</v>
      </c>
      <c r="B511" s="5" t="inlineStr">
        <is>
          <t>25803800063</t>
        </is>
      </c>
      <c r="C511" s="6" t="inlineStr">
        <is>
          <t>Nguyeãn Hoaøng Nhöït</t>
        </is>
      </c>
      <c r="D511" s="6" t="inlineStr">
        <is>
          <t>Trí</t>
        </is>
      </c>
      <c r="E511" s="5" t="inlineStr">
        <is>
          <t>17-Oct-07</t>
        </is>
      </c>
      <c r="F511" s="5" t="inlineStr">
        <is>
          <t>LNH0925ND01</t>
        </is>
      </c>
      <c r="G511" s="105" t="n">
        <v>4465000</v>
      </c>
      <c r="H511">
        <f>VLOOKUP(B511,'[1]TONG HOP'!B$5:G$624,6,0)</f>
        <v/>
      </c>
      <c r="I511" t="n">
        <v>2232500</v>
      </c>
    </row>
    <row r="512">
      <c r="A512" s="5" t="n">
        <v>506</v>
      </c>
      <c r="B512" s="5" t="inlineStr">
        <is>
          <t>25802800199</t>
        </is>
      </c>
      <c r="C512" s="6" t="inlineStr">
        <is>
          <t>Traàn Xuaân</t>
        </is>
      </c>
      <c r="D512" s="6" t="inlineStr">
        <is>
          <t>Phaùt</t>
        </is>
      </c>
      <c r="E512" s="5" t="inlineStr">
        <is>
          <t>01-Nov-07</t>
        </is>
      </c>
      <c r="F512" s="5" t="inlineStr">
        <is>
          <t>LNH0925ND01</t>
        </is>
      </c>
      <c r="G512" s="105" t="n">
        <v>8415000</v>
      </c>
      <c r="H512">
        <f>VLOOKUP(B512,'[1]TONG HOP'!B$5:G$624,6,0)</f>
        <v/>
      </c>
      <c r="I512" t="n">
        <v>2103750</v>
      </c>
    </row>
    <row r="513">
      <c r="A513" s="5" t="n">
        <v>507</v>
      </c>
      <c r="B513" s="5" t="inlineStr">
        <is>
          <t>25808600073</t>
        </is>
      </c>
      <c r="C513" s="6" t="inlineStr">
        <is>
          <t>Huyønh Thò Hoàng</t>
        </is>
      </c>
      <c r="D513" s="6" t="inlineStr">
        <is>
          <t>Ngoïc</t>
        </is>
      </c>
      <c r="E513" s="5" t="inlineStr">
        <is>
          <t>11-Feb-07</t>
        </is>
      </c>
      <c r="F513" s="5" t="inlineStr">
        <is>
          <t>LNH0925ND01</t>
        </is>
      </c>
      <c r="G513" s="105" t="n">
        <v>8415000</v>
      </c>
      <c r="H513">
        <f>VLOOKUP(B513,'[1]TONG HOP'!B$5:G$624,6,0)</f>
        <v/>
      </c>
      <c r="I513" t="n">
        <v>2103750</v>
      </c>
    </row>
    <row r="514">
      <c r="A514" s="5" t="n">
        <v>508</v>
      </c>
      <c r="B514" s="5" t="inlineStr">
        <is>
          <t>25808600127</t>
        </is>
      </c>
      <c r="C514" s="6" t="inlineStr">
        <is>
          <t>Nguyeãn Trung</t>
        </is>
      </c>
      <c r="D514" s="6" t="inlineStr">
        <is>
          <t>Tín</t>
        </is>
      </c>
      <c r="E514" s="5" t="inlineStr">
        <is>
          <t>02-Jan-99</t>
        </is>
      </c>
      <c r="F514" s="5" t="inlineStr">
        <is>
          <t>LNH0925ND01</t>
        </is>
      </c>
      <c r="G514" s="105" t="n">
        <v>5000000</v>
      </c>
      <c r="H514">
        <f>VLOOKUP(B514,'[1]TONG HOP'!B$5:G$624,6,0)</f>
        <v/>
      </c>
      <c r="I514" t="n">
        <v>2232500</v>
      </c>
    </row>
    <row r="515">
      <c r="A515" s="5" t="n">
        <v>509</v>
      </c>
      <c r="B515" s="5" t="inlineStr">
        <is>
          <t>25808200228</t>
        </is>
      </c>
      <c r="C515" s="6" t="inlineStr">
        <is>
          <t>Tröông Gia</t>
        </is>
      </c>
      <c r="D515" s="6" t="inlineStr">
        <is>
          <t>Baûo</t>
        </is>
      </c>
      <c r="E515" s="5" t="inlineStr">
        <is>
          <t>22-Dec-07</t>
        </is>
      </c>
      <c r="F515" s="5" t="inlineStr">
        <is>
          <t>LNH0925ND01</t>
        </is>
      </c>
      <c r="G515" s="105" t="n">
        <v>8415000</v>
      </c>
      <c r="H515">
        <f>VLOOKUP(B515,'[1]TONG HOP'!B$5:G$624,6,0)</f>
        <v/>
      </c>
      <c r="I515" t="n">
        <v>2103750</v>
      </c>
    </row>
    <row r="516">
      <c r="A516" s="5" t="n">
        <v>510</v>
      </c>
      <c r="B516" s="5" t="inlineStr">
        <is>
          <t>25800400142</t>
        </is>
      </c>
      <c r="C516" s="6" t="inlineStr">
        <is>
          <t>Ñoã Xuaân</t>
        </is>
      </c>
      <c r="D516" s="6" t="inlineStr">
        <is>
          <t>Thaønh</t>
        </is>
      </c>
      <c r="E516" s="5" t="inlineStr">
        <is>
          <t>07-Jun-07</t>
        </is>
      </c>
      <c r="F516" s="5" t="inlineStr">
        <is>
          <t>LNH0925ND01</t>
        </is>
      </c>
      <c r="G516" s="105" t="n">
        <v>8415000</v>
      </c>
      <c r="H516">
        <f>VLOOKUP(B516,'[1]TONG HOP'!B$5:G$624,6,0)</f>
        <v/>
      </c>
      <c r="I516" t="n">
        <v>2103750</v>
      </c>
    </row>
    <row r="517">
      <c r="A517" s="5" t="n">
        <v>511</v>
      </c>
      <c r="B517" s="35" t="inlineStr">
        <is>
          <t>25800601233</t>
        </is>
      </c>
      <c r="C517" s="36" t="inlineStr">
        <is>
          <t>Phan nguyeãn Baûo</t>
        </is>
      </c>
      <c r="D517" s="36" t="inlineStr">
        <is>
          <t>Traâm</t>
        </is>
      </c>
      <c r="E517" s="37" t="inlineStr">
        <is>
          <t>02-Sep-07</t>
        </is>
      </c>
      <c r="F517" s="37" t="inlineStr">
        <is>
          <t>LNH0925ND01</t>
        </is>
      </c>
      <c r="G517" s="107" t="n">
        <v>1000000</v>
      </c>
      <c r="J517" t="inlineStr">
        <is>
          <t>SV đã thôi học</t>
        </is>
      </c>
    </row>
    <row r="518">
      <c r="A518" s="5" t="n">
        <v>512</v>
      </c>
      <c r="B518" s="5" t="inlineStr">
        <is>
          <t>25801800004</t>
        </is>
      </c>
      <c r="C518" s="6" t="inlineStr">
        <is>
          <t>Nguyeãn Quyønh</t>
        </is>
      </c>
      <c r="D518" s="6" t="inlineStr">
        <is>
          <t>Anh</t>
        </is>
      </c>
      <c r="E518" s="5" t="inlineStr">
        <is>
          <t>20-Jan-06</t>
        </is>
      </c>
      <c r="F518" s="5" t="inlineStr">
        <is>
          <t>LNH0925ND01</t>
        </is>
      </c>
      <c r="G518" s="105" t="n">
        <v>1000000</v>
      </c>
    </row>
    <row r="519">
      <c r="A519" s="5" t="n">
        <v>513</v>
      </c>
      <c r="B519" s="5" t="inlineStr">
        <is>
          <t>25809600043</t>
        </is>
      </c>
      <c r="C519" s="6" t="inlineStr">
        <is>
          <t>Nguyeãn Troïng</t>
        </is>
      </c>
      <c r="D519" s="6" t="inlineStr">
        <is>
          <t>Nhaân</t>
        </is>
      </c>
      <c r="E519" s="5" t="inlineStr">
        <is>
          <t>03-Jul-07</t>
        </is>
      </c>
      <c r="F519" s="5" t="inlineStr">
        <is>
          <t>LNH0925ND01</t>
        </is>
      </c>
      <c r="G519" s="105" t="n">
        <v>4465000</v>
      </c>
      <c r="H519">
        <f>VLOOKUP(B519,'[1]TONG HOP'!B$5:G$624,6,0)</f>
        <v/>
      </c>
      <c r="I519" t="n">
        <v>2232500</v>
      </c>
    </row>
    <row r="520">
      <c r="A520" s="5" t="n">
        <v>514</v>
      </c>
      <c r="B520" s="5" t="inlineStr">
        <is>
          <t>25820600003</t>
        </is>
      </c>
      <c r="C520" s="6" t="inlineStr">
        <is>
          <t>Maõ Nguyeãn Taán</t>
        </is>
      </c>
      <c r="D520" s="6" t="inlineStr">
        <is>
          <t>Khoa</t>
        </is>
      </c>
      <c r="E520" s="5" t="inlineStr">
        <is>
          <t>03-Oct-07</t>
        </is>
      </c>
      <c r="F520" s="5" t="inlineStr">
        <is>
          <t>LNH0925ND01</t>
        </is>
      </c>
      <c r="G520" s="105" t="n">
        <v>1000000</v>
      </c>
    </row>
    <row r="521">
      <c r="A521" s="5" t="n">
        <v>515</v>
      </c>
      <c r="B521" s="5" t="inlineStr">
        <is>
          <t>25809600042</t>
        </is>
      </c>
      <c r="C521" s="6" t="inlineStr">
        <is>
          <t>Nguyeãn Phuùc Khoâi</t>
        </is>
      </c>
      <c r="D521" s="6" t="inlineStr">
        <is>
          <t>Nguyeân</t>
        </is>
      </c>
      <c r="E521" s="5" t="inlineStr">
        <is>
          <t>25-Sep-07</t>
        </is>
      </c>
      <c r="F521" s="5" t="inlineStr">
        <is>
          <t>LNH0925ND01</t>
        </is>
      </c>
      <c r="G521" s="105" t="n">
        <v>1000000</v>
      </c>
    </row>
    <row r="522">
      <c r="A522" s="5" t="n">
        <v>516</v>
      </c>
      <c r="B522" s="5" t="inlineStr">
        <is>
          <t>25801200024</t>
        </is>
      </c>
      <c r="C522" s="6" t="inlineStr">
        <is>
          <t>Leâ Thaùi</t>
        </is>
      </c>
      <c r="D522" s="6" t="inlineStr">
        <is>
          <t>Nguyeân</t>
        </is>
      </c>
      <c r="E522" s="5" t="inlineStr">
        <is>
          <t>02-Jan-07</t>
        </is>
      </c>
      <c r="F522" s="5" t="inlineStr">
        <is>
          <t>LNH0925ND01</t>
        </is>
      </c>
      <c r="G522" s="105" t="n">
        <v>2100000</v>
      </c>
      <c r="H522">
        <f>VLOOKUP(B522,'[1]TONG HOP'!B$5:G$624,6,0)</f>
        <v/>
      </c>
      <c r="I522" t="n">
        <v>2100000</v>
      </c>
    </row>
    <row r="523">
      <c r="A523" s="5" t="n">
        <v>517</v>
      </c>
      <c r="B523" s="40" t="inlineStr">
        <is>
          <t>25807500177</t>
        </is>
      </c>
      <c r="C523" s="6" t="inlineStr">
        <is>
          <t>Nguyeãn Huyønh Nhö</t>
        </is>
      </c>
      <c r="D523" s="6" t="inlineStr">
        <is>
          <t>YÙ</t>
        </is>
      </c>
      <c r="E523" s="5" t="inlineStr">
        <is>
          <t>25-Jun-07</t>
        </is>
      </c>
      <c r="F523" s="5" t="inlineStr">
        <is>
          <t>LNH0925ND01</t>
        </is>
      </c>
      <c r="G523" s="105" t="n">
        <v>8415000</v>
      </c>
      <c r="H523">
        <f>VLOOKUP(B523,'[1]TONG HOP'!B$5:G$624,6,0)</f>
        <v/>
      </c>
      <c r="I523" t="n">
        <v>2103750</v>
      </c>
      <c r="J523" t="inlineStr">
        <is>
          <t>Chuyển HP sang EDU - xin học 1 LV-6.311.250</t>
        </is>
      </c>
    </row>
    <row r="524">
      <c r="A524" s="5" t="n">
        <v>518</v>
      </c>
      <c r="B524" s="5" t="inlineStr">
        <is>
          <t>25808200132</t>
        </is>
      </c>
      <c r="C524" s="6" t="inlineStr">
        <is>
          <t>Vuõ Cao Minh</t>
        </is>
      </c>
      <c r="D524" s="6" t="inlineStr">
        <is>
          <t>Trí</t>
        </is>
      </c>
      <c r="E524" s="5" t="inlineStr">
        <is>
          <t>05-May-07</t>
        </is>
      </c>
      <c r="F524" s="5" t="inlineStr">
        <is>
          <t>LNH0925ND01</t>
        </is>
      </c>
      <c r="G524" s="105" t="n">
        <v>1000000</v>
      </c>
    </row>
    <row r="525">
      <c r="A525" s="5" t="n">
        <v>519</v>
      </c>
      <c r="B525" s="5" t="inlineStr">
        <is>
          <t>25802800155</t>
        </is>
      </c>
      <c r="C525" s="6" t="inlineStr">
        <is>
          <t>Nguyeãn Huyønh Ñình</t>
        </is>
      </c>
      <c r="D525" s="6" t="inlineStr">
        <is>
          <t>Nghi</t>
        </is>
      </c>
      <c r="E525" s="5" t="inlineStr">
        <is>
          <t>21-Oct-07</t>
        </is>
      </c>
      <c r="F525" s="5" t="inlineStr">
        <is>
          <t>LNH0925ND01</t>
        </is>
      </c>
      <c r="G525" s="105" t="n">
        <v>8415000</v>
      </c>
      <c r="H525">
        <f>VLOOKUP(B525,'[1]TONG HOP'!B$5:G$624,6,0)</f>
        <v/>
      </c>
      <c r="I525" t="n">
        <v>2103750</v>
      </c>
    </row>
    <row r="526">
      <c r="A526" s="5" t="n">
        <v>520</v>
      </c>
      <c r="B526" s="5" t="inlineStr">
        <is>
          <t>25802800144</t>
        </is>
      </c>
      <c r="C526" s="6" t="inlineStr">
        <is>
          <t>Phaïm Nguyeãn Ngoïc</t>
        </is>
      </c>
      <c r="D526" s="6" t="inlineStr">
        <is>
          <t>Mai</t>
        </is>
      </c>
      <c r="E526" s="5" t="inlineStr">
        <is>
          <t>13-Jul-07</t>
        </is>
      </c>
      <c r="F526" s="5" t="inlineStr">
        <is>
          <t>LNH0925ND01</t>
        </is>
      </c>
      <c r="G526" s="105" t="n">
        <v>8415000</v>
      </c>
      <c r="H526">
        <f>VLOOKUP(B526,'[1]TONG HOP'!B$5:G$624,6,0)</f>
        <v/>
      </c>
      <c r="I526" t="n">
        <v>2103750</v>
      </c>
    </row>
    <row r="527">
      <c r="A527" s="5" t="n">
        <v>521</v>
      </c>
      <c r="B527" s="5" t="inlineStr">
        <is>
          <t>25801800085</t>
        </is>
      </c>
      <c r="C527" s="6" t="inlineStr">
        <is>
          <t>Traàn Caåm</t>
        </is>
      </c>
      <c r="D527" s="6" t="inlineStr">
        <is>
          <t>Vaân</t>
        </is>
      </c>
      <c r="E527" s="5" t="inlineStr">
        <is>
          <t>31-Dec-07</t>
        </is>
      </c>
      <c r="F527" s="5" t="inlineStr">
        <is>
          <t>LNH0925ND01</t>
        </is>
      </c>
      <c r="G527" s="105" t="n">
        <v>1000000</v>
      </c>
    </row>
    <row r="528">
      <c r="A528" s="5" t="n">
        <v>522</v>
      </c>
      <c r="B528" s="5" t="inlineStr">
        <is>
          <t>25802800275</t>
        </is>
      </c>
      <c r="C528" s="6" t="inlineStr">
        <is>
          <t>Traàn Ngoïc Baûo</t>
        </is>
      </c>
      <c r="D528" s="6" t="inlineStr">
        <is>
          <t>Traân</t>
        </is>
      </c>
      <c r="E528" s="5" t="inlineStr">
        <is>
          <t>11-Feb-07</t>
        </is>
      </c>
      <c r="F528" s="5" t="inlineStr">
        <is>
          <t>LNH0925ND01</t>
        </is>
      </c>
      <c r="G528" s="105" t="n">
        <v>8415000</v>
      </c>
      <c r="H528">
        <f>VLOOKUP(B528,'[1]TONG HOP'!B$5:G$624,6,0)</f>
        <v/>
      </c>
      <c r="I528" t="n">
        <v>2103750</v>
      </c>
    </row>
    <row r="529">
      <c r="A529" s="5" t="n">
        <v>523</v>
      </c>
      <c r="B529" s="5" t="inlineStr">
        <is>
          <t>25807800110</t>
        </is>
      </c>
      <c r="C529" s="6" t="inlineStr">
        <is>
          <t>Nguyeãn Duyeân Hoaøn</t>
        </is>
      </c>
      <c r="D529" s="6" t="inlineStr">
        <is>
          <t>Phuùc</t>
        </is>
      </c>
      <c r="E529" s="5" t="inlineStr">
        <is>
          <t>13-Dec-07</t>
        </is>
      </c>
      <c r="F529" s="5" t="inlineStr">
        <is>
          <t>LNH0925ND01</t>
        </is>
      </c>
      <c r="G529" s="105" t="n">
        <v>8415000</v>
      </c>
      <c r="H529">
        <f>VLOOKUP(B529,'[1]TONG HOP'!B$5:G$624,6,0)</f>
        <v/>
      </c>
      <c r="I529" t="n">
        <v>2103750</v>
      </c>
    </row>
    <row r="530">
      <c r="A530" s="5" t="n">
        <v>524</v>
      </c>
      <c r="B530" s="5" t="inlineStr">
        <is>
          <t>25807600017</t>
        </is>
      </c>
      <c r="C530" s="6" t="inlineStr">
        <is>
          <t>Phan Maïnh</t>
        </is>
      </c>
      <c r="D530" s="6" t="inlineStr">
        <is>
          <t>Huøng</t>
        </is>
      </c>
      <c r="E530" s="5" t="inlineStr">
        <is>
          <t>23-Jul-07</t>
        </is>
      </c>
      <c r="F530" s="5" t="inlineStr">
        <is>
          <t>LNH0925ND01</t>
        </is>
      </c>
      <c r="G530" s="105" t="n">
        <v>1000000</v>
      </c>
    </row>
    <row r="531">
      <c r="A531" s="5" t="n">
        <v>525</v>
      </c>
      <c r="B531" s="5" t="inlineStr">
        <is>
          <t>25802100035</t>
        </is>
      </c>
      <c r="C531" s="6" t="inlineStr">
        <is>
          <t>Doan Thanh</t>
        </is>
      </c>
      <c r="D531" s="6" t="inlineStr">
        <is>
          <t>Tai</t>
        </is>
      </c>
      <c r="E531" s="5" t="inlineStr">
        <is>
          <t xml:space="preserve">  -   -</t>
        </is>
      </c>
      <c r="F531" s="5" t="inlineStr">
        <is>
          <t>LNH0925ND01</t>
        </is>
      </c>
      <c r="G531" s="105" t="n">
        <v>8415000</v>
      </c>
    </row>
    <row r="532">
      <c r="A532" s="5" t="n">
        <v>526</v>
      </c>
      <c r="B532" s="5" t="inlineStr">
        <is>
          <t>25802800061</t>
        </is>
      </c>
      <c r="C532" s="6" t="inlineStr">
        <is>
          <t>Phan Tröông Bích</t>
        </is>
      </c>
      <c r="D532" s="6" t="inlineStr">
        <is>
          <t>Haèng</t>
        </is>
      </c>
      <c r="E532" s="5" t="inlineStr">
        <is>
          <t>03-Jan-07</t>
        </is>
      </c>
      <c r="F532" s="5" t="inlineStr">
        <is>
          <t>LNH0925ND01</t>
        </is>
      </c>
      <c r="G532" s="105" t="n">
        <v>1000000</v>
      </c>
    </row>
    <row r="533">
      <c r="A533" s="5" t="n">
        <v>527</v>
      </c>
      <c r="B533" s="5" t="inlineStr">
        <is>
          <t>25808500042</t>
        </is>
      </c>
      <c r="C533" s="6" t="inlineStr">
        <is>
          <t>Traàn Chí</t>
        </is>
      </c>
      <c r="D533" s="6" t="inlineStr">
        <is>
          <t>Cöôøng</t>
        </is>
      </c>
      <c r="E533" s="5" t="inlineStr">
        <is>
          <t>21-Aug-07</t>
        </is>
      </c>
      <c r="F533" s="5" t="inlineStr">
        <is>
          <t>LNH0925ND01</t>
        </is>
      </c>
      <c r="G533" s="105" t="n">
        <v>8415000</v>
      </c>
      <c r="H533">
        <f>VLOOKUP(B533,'[1]TONG HOP'!B$5:G$624,6,0)</f>
        <v/>
      </c>
      <c r="I533" t="n">
        <v>2103750</v>
      </c>
    </row>
    <row r="534">
      <c r="A534" s="5" t="n">
        <v>528</v>
      </c>
      <c r="B534" s="5" t="inlineStr">
        <is>
          <t>25805900091</t>
        </is>
      </c>
      <c r="C534" s="6" t="inlineStr">
        <is>
          <t>Phaïm Phöông</t>
        </is>
      </c>
      <c r="D534" s="6" t="inlineStr">
        <is>
          <t>Uyeân</t>
        </is>
      </c>
      <c r="E534" s="5" t="inlineStr">
        <is>
          <t>02-Sep-07</t>
        </is>
      </c>
      <c r="F534" s="5" t="inlineStr">
        <is>
          <t>LNH0925ND01</t>
        </is>
      </c>
      <c r="G534" s="105" t="n">
        <v>4465000</v>
      </c>
    </row>
    <row r="535">
      <c r="A535" s="5" t="n">
        <v>529</v>
      </c>
      <c r="B535" s="5" t="inlineStr">
        <is>
          <t>25802800346</t>
        </is>
      </c>
      <c r="C535" s="6" t="inlineStr">
        <is>
          <t>Nguyeãn Hoà Coâng</t>
        </is>
      </c>
      <c r="D535" s="6" t="inlineStr">
        <is>
          <t>Phuù</t>
        </is>
      </c>
      <c r="E535" s="5" t="inlineStr">
        <is>
          <t>15-Feb-07</t>
        </is>
      </c>
      <c r="F535" s="5" t="inlineStr">
        <is>
          <t>LNH0925ND01</t>
        </is>
      </c>
      <c r="G535" s="105" t="n">
        <v>2000000</v>
      </c>
    </row>
    <row r="536">
      <c r="A536" s="5" t="n">
        <v>530</v>
      </c>
      <c r="B536" s="5" t="inlineStr">
        <is>
          <t>25801700034</t>
        </is>
      </c>
      <c r="C536" s="6" t="inlineStr">
        <is>
          <t>Nguyeãn Buøi Troïng</t>
        </is>
      </c>
      <c r="D536" s="6" t="inlineStr">
        <is>
          <t>Nghóa</t>
        </is>
      </c>
      <c r="E536" s="5" t="inlineStr">
        <is>
          <t>19-Jan-07</t>
        </is>
      </c>
      <c r="F536" s="5" t="inlineStr">
        <is>
          <t>LNH0925ND01</t>
        </is>
      </c>
      <c r="G536" s="105" t="n">
        <v>2000000</v>
      </c>
    </row>
    <row r="537">
      <c r="A537" s="5" t="n">
        <v>531</v>
      </c>
      <c r="B537" s="5" t="inlineStr">
        <is>
          <t>25801700016</t>
        </is>
      </c>
      <c r="C537" s="6" t="inlineStr">
        <is>
          <t>Leâ Nguyeãn Thu</t>
        </is>
      </c>
      <c r="D537" s="6" t="inlineStr">
        <is>
          <t>Haø</t>
        </is>
      </c>
      <c r="E537" s="5" t="inlineStr">
        <is>
          <t>12-Jul-07</t>
        </is>
      </c>
      <c r="F537" s="5" t="inlineStr">
        <is>
          <t>LNH0925ND01</t>
        </is>
      </c>
      <c r="G537" s="105" t="n">
        <v>2100000</v>
      </c>
      <c r="H537">
        <f>VLOOKUP(B537,'[1]TONG HOP'!B$5:G$624,6,0)</f>
        <v/>
      </c>
      <c r="I537" t="n">
        <v>2100000</v>
      </c>
    </row>
    <row r="538">
      <c r="A538" s="5" t="n">
        <v>532</v>
      </c>
      <c r="B538" s="5" t="inlineStr">
        <is>
          <t>25802600010</t>
        </is>
      </c>
      <c r="C538" s="6" t="inlineStr">
        <is>
          <t>Taêng Hoàng</t>
        </is>
      </c>
      <c r="D538" s="6" t="inlineStr">
        <is>
          <t>Anh</t>
        </is>
      </c>
      <c r="E538" s="5" t="inlineStr">
        <is>
          <t>17-Aug-07</t>
        </is>
      </c>
      <c r="F538" s="5" t="inlineStr">
        <is>
          <t>LNH0925ND01</t>
        </is>
      </c>
      <c r="G538" s="105" t="n">
        <v>2100000</v>
      </c>
      <c r="H538">
        <f>VLOOKUP(B538,'[1]TONG HOP'!B$5:G$624,6,0)</f>
        <v/>
      </c>
      <c r="I538" t="n">
        <v>2100000</v>
      </c>
    </row>
    <row r="539">
      <c r="A539" s="5" t="n">
        <v>533</v>
      </c>
      <c r="B539" s="5" t="inlineStr">
        <is>
          <t>25800601198</t>
        </is>
      </c>
      <c r="C539" s="6" t="inlineStr">
        <is>
          <t>Voõ Quoác</t>
        </is>
      </c>
      <c r="D539" s="6" t="inlineStr">
        <is>
          <t>Baûo</t>
        </is>
      </c>
      <c r="E539" s="5" t="inlineStr">
        <is>
          <t>15-Oct-07</t>
        </is>
      </c>
      <c r="F539" s="5" t="inlineStr">
        <is>
          <t>LNH0925ND01</t>
        </is>
      </c>
      <c r="G539" s="105" t="n">
        <v>2100000</v>
      </c>
      <c r="H539">
        <f>VLOOKUP(B539,'[1]TONG HOP'!B$5:G$624,6,0)</f>
        <v/>
      </c>
      <c r="I539" t="n">
        <v>2100000</v>
      </c>
    </row>
    <row r="540">
      <c r="A540" s="5" t="n">
        <v>534</v>
      </c>
      <c r="B540" s="5" t="inlineStr">
        <is>
          <t>25808600158</t>
        </is>
      </c>
      <c r="C540" s="6" t="inlineStr">
        <is>
          <t>Tröông Ngoïc Minh</t>
        </is>
      </c>
      <c r="D540" s="6" t="inlineStr">
        <is>
          <t>Vy</t>
        </is>
      </c>
      <c r="E540" s="5" t="inlineStr">
        <is>
          <t>07-Aug-07</t>
        </is>
      </c>
      <c r="F540" s="5" t="inlineStr">
        <is>
          <t>LNH0925ND01</t>
        </is>
      </c>
      <c r="G540" s="105" t="n">
        <v>2100000</v>
      </c>
      <c r="H540">
        <f>VLOOKUP(B540,'[1]TONG HOP'!B$5:G$624,6,0)</f>
        <v/>
      </c>
      <c r="I540" t="n">
        <v>2100000</v>
      </c>
    </row>
    <row r="541">
      <c r="A541" s="5" t="n">
        <v>535</v>
      </c>
      <c r="B541" s="5" t="inlineStr">
        <is>
          <t>25801100071</t>
        </is>
      </c>
      <c r="C541" s="6" t="inlineStr">
        <is>
          <t>Traàn Troïng</t>
        </is>
      </c>
      <c r="D541" s="6" t="inlineStr">
        <is>
          <t>Tính</t>
        </is>
      </c>
      <c r="E541" s="5" t="inlineStr">
        <is>
          <t>29-Jun-07</t>
        </is>
      </c>
      <c r="F541" s="5" t="inlineStr">
        <is>
          <t>LNH0925ND01</t>
        </is>
      </c>
      <c r="G541" s="105" t="n">
        <v>2100000</v>
      </c>
      <c r="H541">
        <f>VLOOKUP(B541,'[1]TONG HOP'!B$5:G$624,6,0)</f>
        <v/>
      </c>
      <c r="I541" t="n">
        <v>2100000</v>
      </c>
    </row>
    <row r="542">
      <c r="A542" s="5" t="n">
        <v>536</v>
      </c>
      <c r="B542" s="5" t="inlineStr">
        <is>
          <t>25807500124</t>
        </is>
      </c>
      <c r="C542" s="6" t="inlineStr">
        <is>
          <t>Nguyeãn Anh</t>
        </is>
      </c>
      <c r="D542" s="6" t="inlineStr">
        <is>
          <t>Thö</t>
        </is>
      </c>
      <c r="E542" s="5" t="inlineStr">
        <is>
          <t>26-Oct-07</t>
        </is>
      </c>
      <c r="F542" s="5" t="inlineStr">
        <is>
          <t>LNH0925ND01</t>
        </is>
      </c>
      <c r="G542" s="105" t="n">
        <v>8415000</v>
      </c>
      <c r="H542">
        <f>VLOOKUP(B542,'[1]TONG HOP'!B$5:G$624,6,0)</f>
        <v/>
      </c>
      <c r="I542" t="n">
        <v>2103750</v>
      </c>
    </row>
    <row r="543">
      <c r="A543" s="5" t="n">
        <v>537</v>
      </c>
      <c r="B543" s="5" t="inlineStr">
        <is>
          <t>25820100087</t>
        </is>
      </c>
      <c r="C543" s="6" t="inlineStr">
        <is>
          <t>Vuõ Hoaøng</t>
        </is>
      </c>
      <c r="D543" s="6" t="inlineStr">
        <is>
          <t>Duy</t>
        </is>
      </c>
      <c r="E543" s="5" t="inlineStr">
        <is>
          <t>18-Oct-07</t>
        </is>
      </c>
      <c r="F543" s="5" t="inlineStr">
        <is>
          <t>LNH0925ND01</t>
        </is>
      </c>
      <c r="G543" s="105" t="n">
        <v>2600000</v>
      </c>
    </row>
    <row r="544">
      <c r="A544" s="5" t="n">
        <v>538</v>
      </c>
      <c r="B544" s="5" t="inlineStr">
        <is>
          <t>25800600036</t>
        </is>
      </c>
      <c r="C544" s="6" t="inlineStr">
        <is>
          <t>Ñoã Gia</t>
        </is>
      </c>
      <c r="D544" s="6" t="inlineStr">
        <is>
          <t>Baûo</t>
        </is>
      </c>
      <c r="E544" s="5" t="inlineStr">
        <is>
          <t>11-Oct-07</t>
        </is>
      </c>
      <c r="F544" s="5" t="inlineStr">
        <is>
          <t>LNH0925ND01</t>
        </is>
      </c>
      <c r="G544" s="105" t="n">
        <v>8415000</v>
      </c>
      <c r="H544">
        <f>VLOOKUP(B544,'[1]TONG HOP'!B$5:G$624,6,0)</f>
        <v/>
      </c>
      <c r="I544" t="n">
        <v>2103750</v>
      </c>
    </row>
    <row r="545">
      <c r="A545" s="5" t="n">
        <v>539</v>
      </c>
      <c r="B545" s="5" t="inlineStr">
        <is>
          <t>25808600240</t>
        </is>
      </c>
      <c r="C545" s="6" t="inlineStr">
        <is>
          <t>Nguyeãn Haøn Myõ</t>
        </is>
      </c>
      <c r="D545" s="6" t="inlineStr">
        <is>
          <t>Dung</t>
        </is>
      </c>
      <c r="E545" s="5" t="inlineStr">
        <is>
          <t>13-Nov-07</t>
        </is>
      </c>
      <c r="F545" s="5" t="inlineStr">
        <is>
          <t>LNH0925ND01</t>
        </is>
      </c>
      <c r="G545" s="105" t="n">
        <v>4465000</v>
      </c>
      <c r="H545">
        <f>VLOOKUP(B545,'[1]TONG HOP'!B$5:G$624,6,0)</f>
        <v/>
      </c>
      <c r="I545" t="n">
        <v>2232500</v>
      </c>
    </row>
    <row r="546">
      <c r="A546" s="5" t="n">
        <v>540</v>
      </c>
      <c r="B546" s="5" t="inlineStr">
        <is>
          <t>25802800151</t>
        </is>
      </c>
      <c r="C546" s="6" t="inlineStr">
        <is>
          <t>Rô Chaâm</t>
        </is>
      </c>
      <c r="D546" s="6" t="inlineStr">
        <is>
          <t>Ngaoh</t>
        </is>
      </c>
      <c r="E546" s="5" t="inlineStr">
        <is>
          <t>18-Jun-07</t>
        </is>
      </c>
      <c r="F546" s="5" t="inlineStr">
        <is>
          <t>LNH0925ND01</t>
        </is>
      </c>
      <c r="G546" s="105" t="n">
        <v>4465000</v>
      </c>
      <c r="H546">
        <f>VLOOKUP(B546,'[1]TONG HOP'!B$5:G$624,6,0)</f>
        <v/>
      </c>
      <c r="I546" t="n">
        <v>2232500</v>
      </c>
    </row>
    <row r="547">
      <c r="A547" s="5" t="n">
        <v>541</v>
      </c>
      <c r="B547" s="5" t="inlineStr">
        <is>
          <t>25807700081</t>
        </is>
      </c>
      <c r="C547" s="6" t="inlineStr">
        <is>
          <t>Ñaëng Hoaøng</t>
        </is>
      </c>
      <c r="D547" s="6" t="inlineStr">
        <is>
          <t>Vinh</t>
        </is>
      </c>
      <c r="E547" s="5" t="inlineStr">
        <is>
          <t>29-Sep-07</t>
        </is>
      </c>
      <c r="F547" s="5" t="inlineStr">
        <is>
          <t>LNH0925ND01</t>
        </is>
      </c>
      <c r="G547" s="105" t="n">
        <v>4465000</v>
      </c>
      <c r="H547">
        <f>VLOOKUP(B547,'[1]TONG HOP'!B$5:G$624,6,0)</f>
        <v/>
      </c>
      <c r="I547" t="n">
        <v>2232500</v>
      </c>
    </row>
    <row r="548">
      <c r="A548" s="5" t="n">
        <v>542</v>
      </c>
      <c r="B548" s="5" t="inlineStr">
        <is>
          <t>25803800044</t>
        </is>
      </c>
      <c r="C548" s="6" t="inlineStr">
        <is>
          <t>Phaïm Minh</t>
        </is>
      </c>
      <c r="D548" s="6" t="inlineStr">
        <is>
          <t>Nhöït</t>
        </is>
      </c>
      <c r="E548" s="5" t="inlineStr">
        <is>
          <t>17-Mar-07</t>
        </is>
      </c>
      <c r="F548" s="5" t="inlineStr">
        <is>
          <t>LNH0925ND01</t>
        </is>
      </c>
      <c r="G548" s="105" t="n">
        <v>4465000</v>
      </c>
      <c r="H548">
        <f>VLOOKUP(B548,'[1]TONG HOP'!B$5:G$624,6,0)</f>
        <v/>
      </c>
      <c r="I548" t="n">
        <v>2232500</v>
      </c>
    </row>
    <row r="549">
      <c r="A549" s="5" t="n">
        <v>543</v>
      </c>
      <c r="B549" s="5" t="inlineStr">
        <is>
          <t>25820100011</t>
        </is>
      </c>
      <c r="C549" s="6" t="inlineStr">
        <is>
          <t>Nguyeãn Hoaøng Minh</t>
        </is>
      </c>
      <c r="D549" s="6" t="inlineStr">
        <is>
          <t>Ñöùc</t>
        </is>
      </c>
      <c r="E549" s="5" t="inlineStr">
        <is>
          <t>02-Jul-07</t>
        </is>
      </c>
      <c r="F549" s="5" t="inlineStr">
        <is>
          <t>LNH0925ND01</t>
        </is>
      </c>
      <c r="G549" s="105" t="n">
        <v>4465000</v>
      </c>
      <c r="H549">
        <f>VLOOKUP(B549,'[1]TONG HOP'!B$5:G$624,6,0)</f>
        <v/>
      </c>
      <c r="I549" t="n">
        <v>2232500</v>
      </c>
    </row>
    <row r="550">
      <c r="A550" s="5" t="n">
        <v>544</v>
      </c>
      <c r="B550" s="5" t="inlineStr">
        <is>
          <t>25809600006</t>
        </is>
      </c>
      <c r="C550" s="6" t="inlineStr">
        <is>
          <t>Vuõ Quoác</t>
        </is>
      </c>
      <c r="D550" s="6" t="inlineStr">
        <is>
          <t>Baûo</t>
        </is>
      </c>
      <c r="E550" s="5" t="inlineStr">
        <is>
          <t>25-Jan-07</t>
        </is>
      </c>
      <c r="F550" s="5" t="inlineStr">
        <is>
          <t>LNH0925ND01</t>
        </is>
      </c>
      <c r="G550" s="105" t="n">
        <v>4465000</v>
      </c>
      <c r="H550">
        <f>VLOOKUP(B550,'[1]TONG HOP'!B$5:G$624,6,0)</f>
        <v/>
      </c>
      <c r="I550" t="n">
        <v>2232500</v>
      </c>
    </row>
    <row r="551">
      <c r="A551" s="5" t="n">
        <v>545</v>
      </c>
      <c r="B551" s="5" t="inlineStr">
        <is>
          <t>25802700193</t>
        </is>
      </c>
      <c r="C551" s="6" t="inlineStr">
        <is>
          <t>Lyù Thò Ngoïc</t>
        </is>
      </c>
      <c r="D551" s="6" t="inlineStr">
        <is>
          <t>Traâm</t>
        </is>
      </c>
      <c r="E551" s="5" t="inlineStr">
        <is>
          <t>06-Mar-07</t>
        </is>
      </c>
      <c r="F551" s="5" t="inlineStr">
        <is>
          <t>LNH0925ND01</t>
        </is>
      </c>
      <c r="G551" s="105" t="n">
        <v>4465000</v>
      </c>
      <c r="H551">
        <f>VLOOKUP(B551,'[1]TONG HOP'!B$5:G$624,6,0)</f>
        <v/>
      </c>
      <c r="I551" t="n">
        <v>2232500</v>
      </c>
    </row>
    <row r="552">
      <c r="A552" s="5" t="n">
        <v>546</v>
      </c>
      <c r="B552" s="5" t="inlineStr">
        <is>
          <t>25806400024</t>
        </is>
      </c>
      <c r="C552" s="6" t="inlineStr">
        <is>
          <t>Traàn Döông Kim</t>
        </is>
      </c>
      <c r="D552" s="6" t="inlineStr">
        <is>
          <t>Tuyeán</t>
        </is>
      </c>
      <c r="E552" s="5" t="inlineStr">
        <is>
          <t>08-Apr-07</t>
        </is>
      </c>
      <c r="F552" s="5" t="inlineStr">
        <is>
          <t>LNH0925ND01</t>
        </is>
      </c>
      <c r="G552" s="105" t="n">
        <v>4940000</v>
      </c>
    </row>
    <row r="553">
      <c r="A553" s="5" t="n">
        <v>547</v>
      </c>
      <c r="B553" s="5" t="inlineStr">
        <is>
          <t>25802800120</t>
        </is>
      </c>
      <c r="C553" s="6" t="inlineStr">
        <is>
          <t>Döông Gia</t>
        </is>
      </c>
      <c r="D553" s="6" t="inlineStr">
        <is>
          <t>Kieät</t>
        </is>
      </c>
      <c r="E553" s="5" t="inlineStr">
        <is>
          <t>01-Jun-07</t>
        </is>
      </c>
      <c r="F553" s="5" t="inlineStr">
        <is>
          <t>LNH0925ND01</t>
        </is>
      </c>
      <c r="G553" s="105" t="n">
        <v>4940000</v>
      </c>
    </row>
    <row r="554">
      <c r="A554" s="5" t="n">
        <v>548</v>
      </c>
      <c r="B554" s="5" t="inlineStr">
        <is>
          <t>25802700069</t>
        </is>
      </c>
      <c r="C554" s="6" t="inlineStr">
        <is>
          <t>Nguyeãn Leâ Truùc</t>
        </is>
      </c>
      <c r="D554" s="6" t="inlineStr">
        <is>
          <t>Quyønh</t>
        </is>
      </c>
      <c r="E554" s="5" t="inlineStr">
        <is>
          <t>27-Aug-07</t>
        </is>
      </c>
      <c r="F554" s="5" t="inlineStr">
        <is>
          <t>LNH0925ND01</t>
        </is>
      </c>
      <c r="G554" s="105" t="n">
        <v>8415000</v>
      </c>
      <c r="H554">
        <f>VLOOKUP(B554,'[1]TONG HOP'!B$5:G$624,6,0)</f>
        <v/>
      </c>
      <c r="I554" t="n">
        <v>2103750</v>
      </c>
    </row>
    <row r="555">
      <c r="A555" s="5" t="n">
        <v>549</v>
      </c>
      <c r="B555" s="5" t="inlineStr">
        <is>
          <t>25808200098</t>
        </is>
      </c>
      <c r="C555" s="6" t="inlineStr">
        <is>
          <t>Löông Tröôøng</t>
        </is>
      </c>
      <c r="D555" s="6" t="inlineStr">
        <is>
          <t>Phaùt</t>
        </is>
      </c>
      <c r="E555" s="5" t="inlineStr">
        <is>
          <t>07-May-07</t>
        </is>
      </c>
      <c r="F555" s="5" t="inlineStr">
        <is>
          <t>LNH0925ND01</t>
        </is>
      </c>
      <c r="G555" s="105" t="n">
        <v>8415000</v>
      </c>
    </row>
    <row r="556">
      <c r="A556" s="5" t="n">
        <v>550</v>
      </c>
      <c r="B556" s="5" t="inlineStr">
        <is>
          <t>25807400012</t>
        </is>
      </c>
      <c r="C556" s="6" t="inlineStr">
        <is>
          <t>Chaâu Laâm Gia</t>
        </is>
      </c>
      <c r="D556" s="6" t="inlineStr">
        <is>
          <t>Quyeân</t>
        </is>
      </c>
      <c r="E556" s="5" t="inlineStr">
        <is>
          <t>08-Nov-07</t>
        </is>
      </c>
      <c r="F556" s="5" t="inlineStr">
        <is>
          <t>LNH0925ND01</t>
        </is>
      </c>
      <c r="G556" s="105" t="n">
        <v>8415000</v>
      </c>
      <c r="H556">
        <f>VLOOKUP(B556,'[1]TONG HOP'!B$5:G$624,6,0)</f>
        <v/>
      </c>
      <c r="I556" t="n">
        <v>2103750</v>
      </c>
    </row>
    <row r="557">
      <c r="A557" s="5" t="n">
        <v>551</v>
      </c>
      <c r="B557" s="5" t="inlineStr">
        <is>
          <t>25800500325</t>
        </is>
      </c>
      <c r="C557" s="6" t="inlineStr">
        <is>
          <t>Ñoã Quang</t>
        </is>
      </c>
      <c r="D557" s="6" t="inlineStr">
        <is>
          <t>Quyù</t>
        </is>
      </c>
      <c r="E557" s="5" t="inlineStr">
        <is>
          <t>22-Feb-07</t>
        </is>
      </c>
      <c r="F557" s="5" t="inlineStr">
        <is>
          <t>LNH0925ND01</t>
        </is>
      </c>
      <c r="G557" s="105" t="n">
        <v>8415000</v>
      </c>
      <c r="H557">
        <f>VLOOKUP(B557,'[1]TONG HOP'!B$5:G$624,6,0)</f>
        <v/>
      </c>
      <c r="I557" t="n">
        <v>2103750</v>
      </c>
    </row>
    <row r="558">
      <c r="A558" s="5" t="n">
        <v>552</v>
      </c>
      <c r="B558" s="5" t="inlineStr">
        <is>
          <t>25800400170</t>
        </is>
      </c>
      <c r="C558" s="6" t="inlineStr">
        <is>
          <t>Toâ Buøi Hoaøng</t>
        </is>
      </c>
      <c r="D558" s="6" t="inlineStr">
        <is>
          <t>Tuaán</t>
        </is>
      </c>
      <c r="E558" s="5" t="inlineStr">
        <is>
          <t>14-Aug-07</t>
        </is>
      </c>
      <c r="F558" s="5" t="inlineStr">
        <is>
          <t>LNH0925ND01</t>
        </is>
      </c>
      <c r="G558" s="105" t="n">
        <v>8415000</v>
      </c>
      <c r="H558">
        <f>VLOOKUP(B558,'[1]TONG HOP'!B$5:G$624,6,0)</f>
        <v/>
      </c>
      <c r="I558" t="n">
        <v>2103750</v>
      </c>
    </row>
    <row r="559">
      <c r="A559" s="5" t="n">
        <v>553</v>
      </c>
      <c r="B559" s="5" t="inlineStr">
        <is>
          <t>25808700092</t>
        </is>
      </c>
      <c r="C559" s="6" t="inlineStr">
        <is>
          <t>Nguyeãn Chieán</t>
        </is>
      </c>
      <c r="D559" s="6" t="inlineStr">
        <is>
          <t>Thaéng</t>
        </is>
      </c>
      <c r="E559" s="5" t="inlineStr">
        <is>
          <t>11-Jun-07</t>
        </is>
      </c>
      <c r="F559" s="5" t="inlineStr">
        <is>
          <t>LNH0925ND01</t>
        </is>
      </c>
      <c r="G559" s="105" t="n">
        <v>8415000</v>
      </c>
      <c r="H559">
        <f>VLOOKUP(B559,'[1]TONG HOP'!B$5:G$624,6,0)</f>
        <v/>
      </c>
      <c r="I559" t="n">
        <v>2103750</v>
      </c>
    </row>
    <row r="560">
      <c r="A560" s="5" t="n">
        <v>554</v>
      </c>
      <c r="B560" s="5" t="inlineStr">
        <is>
          <t>25809600056</t>
        </is>
      </c>
      <c r="C560" s="6" t="inlineStr">
        <is>
          <t>Nguyeãn Minh</t>
        </is>
      </c>
      <c r="D560" s="6" t="inlineStr">
        <is>
          <t>Quaân</t>
        </is>
      </c>
      <c r="E560" s="5" t="inlineStr">
        <is>
          <t>08-Aug-07</t>
        </is>
      </c>
      <c r="F560" s="5" t="inlineStr">
        <is>
          <t>LNH0925ND01</t>
        </is>
      </c>
      <c r="G560" s="105" t="n">
        <v>4465000</v>
      </c>
    </row>
    <row r="561">
      <c r="A561" s="5" t="n">
        <v>555</v>
      </c>
      <c r="B561" s="5" t="inlineStr">
        <is>
          <t>25820700005</t>
        </is>
      </c>
      <c r="C561" s="6" t="inlineStr">
        <is>
          <t>Voõ Ngoïc Vaân</t>
        </is>
      </c>
      <c r="D561" s="6" t="inlineStr">
        <is>
          <t>Anh</t>
        </is>
      </c>
      <c r="E561" s="5" t="inlineStr">
        <is>
          <t>07-Apr-07</t>
        </is>
      </c>
      <c r="F561" s="5" t="inlineStr">
        <is>
          <t>LNH0925ND01</t>
        </is>
      </c>
      <c r="G561" s="105" t="n">
        <v>8415000</v>
      </c>
      <c r="H561">
        <f>VLOOKUP(B561,'[1]TONG HOP'!B$5:G$624,6,0)</f>
        <v/>
      </c>
      <c r="I561" t="n">
        <v>2103750</v>
      </c>
    </row>
    <row r="562">
      <c r="A562" s="5" t="n">
        <v>556</v>
      </c>
      <c r="B562" s="5" t="inlineStr">
        <is>
          <t>25802600095</t>
        </is>
      </c>
      <c r="C562" s="6" t="inlineStr">
        <is>
          <t>Ñinh Thò Linh</t>
        </is>
      </c>
      <c r="D562" s="6" t="inlineStr">
        <is>
          <t>Nhi</t>
        </is>
      </c>
      <c r="E562" s="5" t="inlineStr">
        <is>
          <t>21-Aug-07</t>
        </is>
      </c>
      <c r="F562" s="5" t="inlineStr">
        <is>
          <t>LNH0925ND01</t>
        </is>
      </c>
      <c r="G562" s="105" t="n">
        <v>8415000</v>
      </c>
      <c r="H562">
        <f>VLOOKUP(B562,'[1]TONG HOP'!B$5:G$624,6,0)</f>
        <v/>
      </c>
      <c r="I562" t="n">
        <v>2103750</v>
      </c>
    </row>
    <row r="563">
      <c r="A563" s="5" t="n">
        <v>557</v>
      </c>
      <c r="B563" s="5" t="inlineStr">
        <is>
          <t>25802800082</t>
        </is>
      </c>
      <c r="C563" s="6" t="inlineStr">
        <is>
          <t>Nguyeãn Quoác</t>
        </is>
      </c>
      <c r="D563" s="6" t="inlineStr">
        <is>
          <t>Huøng</t>
        </is>
      </c>
      <c r="E563" s="5" t="inlineStr">
        <is>
          <t>08-Jun-07</t>
        </is>
      </c>
      <c r="F563" s="5" t="inlineStr">
        <is>
          <t>LNH0925ND01</t>
        </is>
      </c>
      <c r="G563" s="105" t="n">
        <v>8415000</v>
      </c>
      <c r="H563">
        <f>VLOOKUP(B563,'[1]TONG HOP'!B$5:G$624,6,0)</f>
        <v/>
      </c>
      <c r="I563" t="n">
        <v>2103750</v>
      </c>
    </row>
    <row r="564">
      <c r="A564" s="5" t="n">
        <v>558</v>
      </c>
      <c r="B564" s="5" t="inlineStr">
        <is>
          <t>25809300003</t>
        </is>
      </c>
      <c r="C564" s="6" t="inlineStr">
        <is>
          <t>Nguyeãn Ñaéc</t>
        </is>
      </c>
      <c r="D564" s="6" t="inlineStr">
        <is>
          <t>Taøi</t>
        </is>
      </c>
      <c r="E564" s="5" t="inlineStr">
        <is>
          <t>13-Jul-07</t>
        </is>
      </c>
      <c r="F564" s="5" t="inlineStr">
        <is>
          <t>LNH0925ND01</t>
        </is>
      </c>
      <c r="G564" s="105" t="n">
        <v>8415000</v>
      </c>
      <c r="H564">
        <f>VLOOKUP(B564,'[1]TONG HOP'!B$5:G$624,6,0)</f>
        <v/>
      </c>
      <c r="I564" t="n">
        <v>2103750</v>
      </c>
    </row>
    <row r="565">
      <c r="A565" s="5" t="n">
        <v>559</v>
      </c>
      <c r="B565" s="5" t="inlineStr">
        <is>
          <t>25806400010</t>
        </is>
      </c>
      <c r="C565" s="6" t="inlineStr">
        <is>
          <t>Traàn Vuõ Gia</t>
        </is>
      </c>
      <c r="D565" s="6" t="inlineStr">
        <is>
          <t>Huy</t>
        </is>
      </c>
      <c r="E565" s="5" t="inlineStr">
        <is>
          <t>05-Apr-07</t>
        </is>
      </c>
      <c r="F565" s="5" t="inlineStr">
        <is>
          <t>LNH0925ND01</t>
        </is>
      </c>
      <c r="G565" s="105" t="n">
        <v>8415000</v>
      </c>
      <c r="H565">
        <f>VLOOKUP(B565,'[1]TONG HOP'!B$5:G$624,6,0)</f>
        <v/>
      </c>
      <c r="I565" t="n">
        <v>2103750</v>
      </c>
    </row>
    <row r="566">
      <c r="A566" s="5" t="n">
        <v>560</v>
      </c>
      <c r="B566" s="5" t="inlineStr">
        <is>
          <t>25800400059</t>
        </is>
      </c>
      <c r="C566" s="6" t="inlineStr">
        <is>
          <t>Phan Quoác</t>
        </is>
      </c>
      <c r="D566" s="6" t="inlineStr">
        <is>
          <t>Huy</t>
        </is>
      </c>
      <c r="E566" s="5" t="inlineStr">
        <is>
          <t>17-May-07</t>
        </is>
      </c>
      <c r="F566" s="5" t="inlineStr">
        <is>
          <t>LNH0925ND01</t>
        </is>
      </c>
      <c r="G566" s="105" t="n">
        <v>8415000</v>
      </c>
      <c r="H566">
        <f>VLOOKUP(B566,'[1]TONG HOP'!B$5:G$624,6,0)</f>
        <v/>
      </c>
      <c r="I566" t="n">
        <v>2103750</v>
      </c>
    </row>
    <row r="567">
      <c r="A567" s="5" t="n">
        <v>561</v>
      </c>
      <c r="B567" s="5" t="inlineStr">
        <is>
          <t>25802700003</t>
        </is>
      </c>
      <c r="C567" s="6" t="inlineStr">
        <is>
          <t>Traàn Ñình</t>
        </is>
      </c>
      <c r="D567" s="6" t="inlineStr">
        <is>
          <t>An</t>
        </is>
      </c>
      <c r="E567" s="5" t="inlineStr">
        <is>
          <t>06-Oct-07</t>
        </is>
      </c>
      <c r="F567" s="5" t="inlineStr">
        <is>
          <t>LNH0925ND01</t>
        </is>
      </c>
      <c r="G567" s="105" t="n">
        <v>8415000</v>
      </c>
      <c r="H567">
        <f>VLOOKUP(B567,'[1]TONG HOP'!B$5:G$624,6,0)</f>
        <v/>
      </c>
      <c r="I567" t="n">
        <v>2103750</v>
      </c>
    </row>
    <row r="568">
      <c r="A568" s="5" t="n">
        <v>562</v>
      </c>
      <c r="B568" s="5" t="inlineStr">
        <is>
          <t>25801100017</t>
        </is>
      </c>
      <c r="C568" s="6" t="inlineStr">
        <is>
          <t>Huyønh Trung</t>
        </is>
      </c>
      <c r="D568" s="6" t="inlineStr">
        <is>
          <t>Haäu</t>
        </is>
      </c>
      <c r="E568" s="5" t="inlineStr">
        <is>
          <t>13-Sep-07</t>
        </is>
      </c>
      <c r="F568" s="5" t="inlineStr">
        <is>
          <t>LNH0925ND01</t>
        </is>
      </c>
      <c r="G568" s="105" t="n">
        <v>8415000</v>
      </c>
      <c r="H568">
        <f>VLOOKUP(B568,'[1]TONG HOP'!B$5:G$624,6,0)</f>
        <v/>
      </c>
      <c r="I568" t="n">
        <v>2103750</v>
      </c>
    </row>
    <row r="569">
      <c r="A569" s="5" t="n">
        <v>563</v>
      </c>
      <c r="B569" s="5" t="inlineStr">
        <is>
          <t>25820300009</t>
        </is>
      </c>
      <c r="C569" s="6" t="inlineStr">
        <is>
          <t>Trònh Nhaät</t>
        </is>
      </c>
      <c r="D569" s="6" t="inlineStr">
        <is>
          <t>Ñoâng</t>
        </is>
      </c>
      <c r="E569" s="5" t="inlineStr">
        <is>
          <t>08-Jan-07</t>
        </is>
      </c>
      <c r="F569" s="5" t="inlineStr">
        <is>
          <t>LNH0925ND01</t>
        </is>
      </c>
      <c r="G569" s="105" t="n">
        <v>8415000</v>
      </c>
      <c r="H569">
        <f>VLOOKUP(B569,'[1]TONG HOP'!B$5:G$624,6,0)</f>
        <v/>
      </c>
      <c r="I569" t="n">
        <v>2103750</v>
      </c>
    </row>
    <row r="570">
      <c r="A570" s="5" t="n">
        <v>564</v>
      </c>
      <c r="B570" s="5" t="inlineStr">
        <is>
          <t>25800400291</t>
        </is>
      </c>
      <c r="C570" s="6" t="inlineStr">
        <is>
          <t>Phuøng Minh</t>
        </is>
      </c>
      <c r="D570" s="6" t="inlineStr">
        <is>
          <t>Trí</t>
        </is>
      </c>
      <c r="E570" s="5" t="inlineStr">
        <is>
          <t>23-Jul-07</t>
        </is>
      </c>
      <c r="F570" s="5" t="inlineStr">
        <is>
          <t>LNH0925ND01</t>
        </is>
      </c>
      <c r="G570" s="105" t="n">
        <v>8415000</v>
      </c>
      <c r="H570">
        <f>VLOOKUP(B570,'[1]TONG HOP'!B$5:G$624,6,0)</f>
        <v/>
      </c>
      <c r="I570" t="n">
        <v>2103750</v>
      </c>
    </row>
    <row r="571">
      <c r="A571" s="5" t="n">
        <v>565</v>
      </c>
      <c r="B571" s="5" t="inlineStr">
        <is>
          <t>25820300027</t>
        </is>
      </c>
      <c r="C571" s="6" t="inlineStr">
        <is>
          <t>Haø Ñình</t>
        </is>
      </c>
      <c r="D571" s="6" t="inlineStr">
        <is>
          <t>Kieân</t>
        </is>
      </c>
      <c r="E571" s="5" t="inlineStr">
        <is>
          <t>02-Dec-07</t>
        </is>
      </c>
      <c r="F571" s="5" t="inlineStr">
        <is>
          <t>LNH0925ND01</t>
        </is>
      </c>
      <c r="G571" s="105" t="n">
        <v>8415000</v>
      </c>
      <c r="H571">
        <f>VLOOKUP(B571,'[1]TONG HOP'!B$5:G$624,6,0)</f>
        <v/>
      </c>
      <c r="I571" t="n">
        <v>2103750</v>
      </c>
    </row>
    <row r="572">
      <c r="A572" s="5" t="n">
        <v>566</v>
      </c>
      <c r="B572" s="5" t="inlineStr">
        <is>
          <t>25802800338</t>
        </is>
      </c>
      <c r="C572" s="6" t="inlineStr">
        <is>
          <t>Buøi Taân</t>
        </is>
      </c>
      <c r="D572" s="6" t="inlineStr">
        <is>
          <t>Nhaøn</t>
        </is>
      </c>
      <c r="E572" s="5" t="inlineStr">
        <is>
          <t>01-Jun-07</t>
        </is>
      </c>
      <c r="F572" s="5" t="inlineStr">
        <is>
          <t>LNH0925ND01</t>
        </is>
      </c>
      <c r="G572" s="105" t="n">
        <v>8415000</v>
      </c>
    </row>
    <row r="573">
      <c r="A573" s="5" t="n">
        <v>567</v>
      </c>
      <c r="B573" s="5" t="inlineStr">
        <is>
          <t>25806800040</t>
        </is>
      </c>
      <c r="C573" s="6" t="inlineStr">
        <is>
          <t>Phan Nguyeãn Traø</t>
        </is>
      </c>
      <c r="D573" s="6" t="inlineStr">
        <is>
          <t>My</t>
        </is>
      </c>
      <c r="E573" s="5" t="inlineStr">
        <is>
          <t>09-Jan-07</t>
        </is>
      </c>
      <c r="F573" s="5" t="inlineStr">
        <is>
          <t>LNH0925ND01</t>
        </is>
      </c>
      <c r="G573" s="105" t="n">
        <v>8415000</v>
      </c>
      <c r="H573">
        <f>VLOOKUP(B573,'[1]TONG HOP'!B$5:G$624,6,0)</f>
        <v/>
      </c>
      <c r="I573" t="n">
        <v>2103750</v>
      </c>
    </row>
    <row r="574">
      <c r="A574" s="5" t="n">
        <v>568</v>
      </c>
      <c r="B574" s="5" t="inlineStr">
        <is>
          <t>25807500053</t>
        </is>
      </c>
      <c r="C574" s="6" t="inlineStr">
        <is>
          <t>Traàn Tuaán</t>
        </is>
      </c>
      <c r="D574" s="6" t="inlineStr">
        <is>
          <t>Kieät</t>
        </is>
      </c>
      <c r="E574" s="5" t="inlineStr">
        <is>
          <t>06-Apr-07</t>
        </is>
      </c>
      <c r="F574" s="5" t="inlineStr">
        <is>
          <t>LNH0925ND01</t>
        </is>
      </c>
      <c r="G574" s="105" t="n">
        <v>8415000</v>
      </c>
      <c r="H574">
        <f>VLOOKUP(B574,'[1]TONG HOP'!B$5:G$624,6,0)</f>
        <v/>
      </c>
      <c r="I574" t="n">
        <v>2103750</v>
      </c>
    </row>
    <row r="575">
      <c r="A575" s="5" t="n">
        <v>569</v>
      </c>
      <c r="B575" s="5" t="inlineStr">
        <is>
          <t>25801100044</t>
        </is>
      </c>
      <c r="C575" s="6" t="inlineStr">
        <is>
          <t>Leâ Vaên</t>
        </is>
      </c>
      <c r="D575" s="6" t="inlineStr">
        <is>
          <t>Nhaân</t>
        </is>
      </c>
      <c r="E575" s="5" t="inlineStr">
        <is>
          <t>08-Nov-07</t>
        </is>
      </c>
      <c r="F575" s="5" t="inlineStr">
        <is>
          <t>LNH0925ND01</t>
        </is>
      </c>
      <c r="G575" s="105" t="n">
        <v>8415000</v>
      </c>
      <c r="H575">
        <f>VLOOKUP(B575,'[1]TONG HOP'!B$5:G$624,6,0)</f>
        <v/>
      </c>
      <c r="I575" t="n">
        <v>2103750</v>
      </c>
    </row>
    <row r="576">
      <c r="A576" s="5" t="n">
        <v>570</v>
      </c>
      <c r="B576" s="5" t="inlineStr">
        <is>
          <t>25805900003</t>
        </is>
      </c>
      <c r="C576" s="6" t="inlineStr">
        <is>
          <t>Ñinh Thò Ngoïc</t>
        </is>
      </c>
      <c r="D576" s="6" t="inlineStr">
        <is>
          <t>AÙnh</t>
        </is>
      </c>
      <c r="E576" s="5" t="inlineStr">
        <is>
          <t>02-Dec-07</t>
        </is>
      </c>
      <c r="F576" s="5" t="inlineStr">
        <is>
          <t>LNH0925ND01</t>
        </is>
      </c>
      <c r="G576" s="105" t="n">
        <v>8415000</v>
      </c>
      <c r="H576">
        <f>VLOOKUP(B576,'[1]TONG HOP'!B$5:G$624,6,0)</f>
        <v/>
      </c>
      <c r="I576" t="n">
        <v>2103750</v>
      </c>
    </row>
    <row r="577">
      <c r="A577" s="5" t="n">
        <v>571</v>
      </c>
      <c r="B577" s="5" t="inlineStr">
        <is>
          <t>25802600089</t>
        </is>
      </c>
      <c r="C577" s="6" t="inlineStr">
        <is>
          <t>Ñaëng Kim Phöông</t>
        </is>
      </c>
      <c r="D577" s="6" t="inlineStr">
        <is>
          <t>Nghi</t>
        </is>
      </c>
      <c r="E577" s="5" t="inlineStr">
        <is>
          <t>25-Oct-07</t>
        </is>
      </c>
      <c r="F577" s="5" t="inlineStr">
        <is>
          <t>LNH0925ND01</t>
        </is>
      </c>
      <c r="G577" s="105" t="n">
        <v>8415000</v>
      </c>
      <c r="H577">
        <f>VLOOKUP(B577,'[1]TONG HOP'!B$5:G$624,6,0)</f>
        <v/>
      </c>
      <c r="I577" t="n">
        <v>2103750</v>
      </c>
    </row>
    <row r="578">
      <c r="A578" s="5" t="n">
        <v>572</v>
      </c>
      <c r="B578" s="5" t="inlineStr">
        <is>
          <t>25800500021</t>
        </is>
      </c>
      <c r="C578" s="6" t="inlineStr">
        <is>
          <t>Tröông Troïng</t>
        </is>
      </c>
      <c r="D578" s="6" t="inlineStr">
        <is>
          <t>Bình</t>
        </is>
      </c>
      <c r="E578" s="5" t="inlineStr">
        <is>
          <t>12-Jul-07</t>
        </is>
      </c>
      <c r="F578" s="5" t="inlineStr">
        <is>
          <t>LNH0925ND01</t>
        </is>
      </c>
      <c r="G578" s="105" t="n">
        <v>8415000</v>
      </c>
      <c r="H578">
        <f>VLOOKUP(B578,'[1]TONG HOP'!B$5:G$624,6,0)</f>
        <v/>
      </c>
      <c r="I578" t="n">
        <v>2103750</v>
      </c>
    </row>
    <row r="579">
      <c r="A579" s="5" t="n">
        <v>573</v>
      </c>
      <c r="B579" s="5" t="inlineStr">
        <is>
          <t>25808500106</t>
        </is>
      </c>
      <c r="C579" s="6" t="inlineStr">
        <is>
          <t>Phaïm Ngoïc</t>
        </is>
      </c>
      <c r="D579" s="6" t="inlineStr">
        <is>
          <t>Haân</t>
        </is>
      </c>
      <c r="E579" s="5" t="inlineStr">
        <is>
          <t>05-Oct-07</t>
        </is>
      </c>
      <c r="F579" s="5" t="inlineStr">
        <is>
          <t>LNH0925ND01</t>
        </is>
      </c>
      <c r="G579" s="105" t="n">
        <v>8415000</v>
      </c>
      <c r="H579">
        <f>VLOOKUP(B579,'[1]TONG HOP'!B$5:G$624,6,0)</f>
        <v/>
      </c>
      <c r="I579" t="n">
        <v>2103750</v>
      </c>
    </row>
    <row r="580">
      <c r="A580" s="5" t="n">
        <v>574</v>
      </c>
      <c r="B580" s="5" t="inlineStr">
        <is>
          <t>25808600018</t>
        </is>
      </c>
      <c r="C580" s="6" t="inlineStr">
        <is>
          <t>Ngoâ Vaên</t>
        </is>
      </c>
      <c r="D580" s="6" t="inlineStr">
        <is>
          <t>Duõng</t>
        </is>
      </c>
      <c r="E580" s="5" t="inlineStr">
        <is>
          <t>30-Oct-07</t>
        </is>
      </c>
      <c r="F580" s="5" t="inlineStr">
        <is>
          <t>LNH0925ND01</t>
        </is>
      </c>
      <c r="G580" s="105" t="n">
        <v>8415000</v>
      </c>
      <c r="H580">
        <f>VLOOKUP(B580,'[1]TONG HOP'!B$5:G$624,6,0)</f>
        <v/>
      </c>
      <c r="I580" t="n">
        <v>2103750</v>
      </c>
    </row>
    <row r="581">
      <c r="A581" s="5" t="n">
        <v>575</v>
      </c>
      <c r="B581" s="5" t="inlineStr">
        <is>
          <t>25807100028</t>
        </is>
      </c>
      <c r="C581" s="6" t="inlineStr">
        <is>
          <t>Traàn Nhaät</t>
        </is>
      </c>
      <c r="D581" s="6" t="inlineStr">
        <is>
          <t>Anh</t>
        </is>
      </c>
      <c r="E581" s="5" t="inlineStr">
        <is>
          <t>06-Nov-07</t>
        </is>
      </c>
      <c r="F581" s="5" t="inlineStr">
        <is>
          <t>LNH0925ND01</t>
        </is>
      </c>
      <c r="G581" s="105" t="n">
        <v>8415000</v>
      </c>
      <c r="H581">
        <f>VLOOKUP(B581,'[1]TONG HOP'!B$5:G$624,6,0)</f>
        <v/>
      </c>
      <c r="I581" t="n">
        <v>2103750</v>
      </c>
    </row>
    <row r="582">
      <c r="A582" s="5" t="n">
        <v>576</v>
      </c>
      <c r="B582" s="5" t="inlineStr">
        <is>
          <t>25801100082</t>
        </is>
      </c>
      <c r="C582" s="6" t="inlineStr">
        <is>
          <t>Nguyeãn Thò Thaûo</t>
        </is>
      </c>
      <c r="D582" s="6" t="inlineStr">
        <is>
          <t>Vy</t>
        </is>
      </c>
      <c r="E582" s="5" t="inlineStr">
        <is>
          <t>26-Dec-07</t>
        </is>
      </c>
      <c r="F582" s="5" t="inlineStr">
        <is>
          <t>LNH0925ND01</t>
        </is>
      </c>
      <c r="G582" s="105" t="n">
        <v>8415000</v>
      </c>
      <c r="H582">
        <f>VLOOKUP(B582,'[1]TONG HOP'!B$5:G$624,6,0)</f>
        <v/>
      </c>
      <c r="I582" t="n">
        <v>2103750</v>
      </c>
    </row>
    <row r="583">
      <c r="A583" s="5" t="n">
        <v>577</v>
      </c>
      <c r="B583" s="5" t="inlineStr">
        <is>
          <t>25800400088</t>
        </is>
      </c>
      <c r="C583" s="6" t="inlineStr">
        <is>
          <t>Nguyeãn Ñoã Anh</t>
        </is>
      </c>
      <c r="D583" s="6" t="inlineStr">
        <is>
          <t>Kieät</t>
        </is>
      </c>
      <c r="E583" s="5" t="inlineStr">
        <is>
          <t>25-Sep-07</t>
        </is>
      </c>
      <c r="F583" s="5" t="inlineStr">
        <is>
          <t>LNH0925ND01</t>
        </is>
      </c>
      <c r="G583" s="105" t="n">
        <v>8415000</v>
      </c>
      <c r="H583">
        <f>VLOOKUP(B583,'[1]TONG HOP'!B$5:G$624,6,0)</f>
        <v/>
      </c>
      <c r="I583" t="n">
        <v>2103750</v>
      </c>
    </row>
    <row r="584">
      <c r="A584" s="5" t="n">
        <v>578</v>
      </c>
      <c r="B584" s="5" t="inlineStr">
        <is>
          <t>25800400055</t>
        </is>
      </c>
      <c r="C584" s="6" t="inlineStr">
        <is>
          <t>Ngoâ Laâm Baûo</t>
        </is>
      </c>
      <c r="D584" s="6" t="inlineStr">
        <is>
          <t>Huy</t>
        </is>
      </c>
      <c r="E584" s="5" t="inlineStr">
        <is>
          <t>22-Sep-07</t>
        </is>
      </c>
      <c r="F584" s="5" t="inlineStr">
        <is>
          <t>LNH0925ND01</t>
        </is>
      </c>
      <c r="G584" s="105" t="n">
        <v>8415000</v>
      </c>
      <c r="H584">
        <f>VLOOKUP(B584,'[1]TONG HOP'!B$5:G$624,6,0)</f>
        <v/>
      </c>
      <c r="I584" t="n">
        <v>2103750</v>
      </c>
    </row>
    <row r="585">
      <c r="A585" s="5" t="n">
        <v>579</v>
      </c>
      <c r="B585" s="5" t="inlineStr">
        <is>
          <t>25820100044</t>
        </is>
      </c>
      <c r="C585" s="6" t="inlineStr">
        <is>
          <t>Chieâm Hoaøng</t>
        </is>
      </c>
      <c r="D585" s="6" t="inlineStr">
        <is>
          <t>Taân</t>
        </is>
      </c>
      <c r="E585" s="5" t="inlineStr">
        <is>
          <t>02-Oct-07</t>
        </is>
      </c>
      <c r="F585" s="5" t="inlineStr">
        <is>
          <t>LNH0925ND01</t>
        </is>
      </c>
      <c r="G585" s="105" t="n">
        <v>8415000</v>
      </c>
      <c r="H585">
        <f>VLOOKUP(B585,'[1]TONG HOP'!B$5:G$624,6,0)</f>
        <v/>
      </c>
      <c r="I585" t="n">
        <v>2103750</v>
      </c>
    </row>
    <row r="586">
      <c r="A586" s="5" t="n">
        <v>580</v>
      </c>
      <c r="B586" s="5" t="inlineStr">
        <is>
          <t>25807800120</t>
        </is>
      </c>
      <c r="C586" s="6" t="inlineStr">
        <is>
          <t>Traàn Vaên</t>
        </is>
      </c>
      <c r="D586" s="6" t="inlineStr">
        <is>
          <t>Quyeàn</t>
        </is>
      </c>
      <c r="E586" s="5" t="inlineStr">
        <is>
          <t>25-Feb-07</t>
        </is>
      </c>
      <c r="F586" s="5" t="inlineStr">
        <is>
          <t>LNH0925ND01</t>
        </is>
      </c>
      <c r="G586" s="105" t="n">
        <v>8415000</v>
      </c>
      <c r="H586">
        <f>VLOOKUP(B586,'[1]TONG HOP'!B$5:G$624,6,0)</f>
        <v/>
      </c>
      <c r="I586" t="n">
        <v>2103750</v>
      </c>
    </row>
    <row r="587">
      <c r="A587" s="5" t="n">
        <v>581</v>
      </c>
      <c r="B587" s="5" t="inlineStr">
        <is>
          <t>25807800085</t>
        </is>
      </c>
      <c r="C587" s="6" t="inlineStr">
        <is>
          <t>Toâ Hoaøng</t>
        </is>
      </c>
      <c r="D587" s="6" t="inlineStr">
        <is>
          <t>Minh</t>
        </is>
      </c>
      <c r="E587" s="5" t="inlineStr">
        <is>
          <t>11-Dec-07</t>
        </is>
      </c>
      <c r="F587" s="5" t="inlineStr">
        <is>
          <t>LNH0925ND01</t>
        </is>
      </c>
      <c r="G587" s="105" t="n">
        <v>8415000</v>
      </c>
      <c r="H587">
        <f>VLOOKUP(B587,'[1]TONG HOP'!B$5:G$624,6,0)</f>
        <v/>
      </c>
      <c r="I587" t="n">
        <v>2103750</v>
      </c>
    </row>
    <row r="588">
      <c r="A588" s="5" t="n">
        <v>582</v>
      </c>
      <c r="B588" s="5" t="inlineStr">
        <is>
          <t>25805900117</t>
        </is>
      </c>
      <c r="C588" s="6" t="inlineStr">
        <is>
          <t>Ñaëng Thò Truùc</t>
        </is>
      </c>
      <c r="D588" s="6" t="inlineStr">
        <is>
          <t>Phöông</t>
        </is>
      </c>
      <c r="E588" s="5" t="inlineStr">
        <is>
          <t>15-Oct-07</t>
        </is>
      </c>
      <c r="F588" s="5" t="inlineStr">
        <is>
          <t>LNH0925ND01</t>
        </is>
      </c>
      <c r="G588" s="105" t="n">
        <v>8415000</v>
      </c>
      <c r="H588">
        <f>VLOOKUP(B588,'[1]TONG HOP'!B$5:G$624,6,0)</f>
        <v/>
      </c>
      <c r="I588" t="n">
        <v>2103750</v>
      </c>
    </row>
    <row r="589">
      <c r="A589" s="5" t="n">
        <v>583</v>
      </c>
      <c r="B589" s="5" t="inlineStr">
        <is>
          <t>25800500012</t>
        </is>
      </c>
      <c r="C589" s="6" t="inlineStr">
        <is>
          <t>Döông Gia</t>
        </is>
      </c>
      <c r="D589" s="6" t="inlineStr">
        <is>
          <t>Baûo</t>
        </is>
      </c>
      <c r="E589" s="5" t="inlineStr">
        <is>
          <t>01-Aug-07</t>
        </is>
      </c>
      <c r="F589" s="5" t="inlineStr">
        <is>
          <t>LNH0925ND01</t>
        </is>
      </c>
      <c r="G589" s="105" t="n">
        <v>8415000</v>
      </c>
      <c r="H589">
        <f>VLOOKUP(B589,'[1]TONG HOP'!B$5:G$624,6,0)</f>
        <v/>
      </c>
      <c r="I589" t="n">
        <v>2103750</v>
      </c>
    </row>
    <row r="590">
      <c r="A590" s="5" t="n">
        <v>584</v>
      </c>
      <c r="B590" s="5" t="inlineStr">
        <is>
          <t>25820100019</t>
        </is>
      </c>
      <c r="C590" s="6" t="inlineStr">
        <is>
          <t>Hoà Quoác</t>
        </is>
      </c>
      <c r="D590" s="6" t="inlineStr">
        <is>
          <t>Khaùnh</t>
        </is>
      </c>
      <c r="E590" s="5" t="inlineStr">
        <is>
          <t>15-Apr-07</t>
        </is>
      </c>
      <c r="F590" s="5" t="inlineStr">
        <is>
          <t>LNH0925ND01</t>
        </is>
      </c>
      <c r="G590" s="105" t="n">
        <v>8415000</v>
      </c>
      <c r="H590">
        <f>VLOOKUP(B590,'[1]TONG HOP'!B$5:G$624,6,0)</f>
        <v/>
      </c>
      <c r="I590" t="n">
        <v>2103750</v>
      </c>
    </row>
    <row r="591">
      <c r="A591" s="5" t="n">
        <v>585</v>
      </c>
      <c r="B591" s="5" t="inlineStr">
        <is>
          <t>25808600051</t>
        </is>
      </c>
      <c r="C591" s="6" t="inlineStr">
        <is>
          <t>Maõ Thò</t>
        </is>
      </c>
      <c r="D591" s="6" t="inlineStr">
        <is>
          <t>Lieân</t>
        </is>
      </c>
      <c r="E591" s="5" t="inlineStr">
        <is>
          <t>27-Feb-05</t>
        </is>
      </c>
      <c r="F591" s="5" t="inlineStr">
        <is>
          <t>LNH0925ND01</t>
        </is>
      </c>
      <c r="G591" s="105" t="n">
        <v>8415000</v>
      </c>
      <c r="H591">
        <f>VLOOKUP(B591,'[1]TONG HOP'!B$5:G$624,6,0)</f>
        <v/>
      </c>
      <c r="I591" t="n">
        <v>2103750</v>
      </c>
    </row>
    <row r="592">
      <c r="A592" s="5" t="n">
        <v>586</v>
      </c>
      <c r="B592" s="5" t="inlineStr">
        <is>
          <t>25800400114</t>
        </is>
      </c>
      <c r="C592" s="6" t="inlineStr">
        <is>
          <t>Traàn Thieän</t>
        </is>
      </c>
      <c r="D592" s="6" t="inlineStr">
        <is>
          <t>Nhaân</t>
        </is>
      </c>
      <c r="E592" s="5" t="inlineStr">
        <is>
          <t>25-Dec-07</t>
        </is>
      </c>
      <c r="F592" s="5" t="inlineStr">
        <is>
          <t>LNH0925ND01</t>
        </is>
      </c>
      <c r="G592" s="105" t="n">
        <v>8475000</v>
      </c>
      <c r="H592">
        <f>VLOOKUP(B592,'[1]TONG HOP'!B$5:G$624,6,0)</f>
        <v/>
      </c>
      <c r="I592" t="n">
        <v>2103750</v>
      </c>
    </row>
    <row r="593">
      <c r="A593" s="5" t="n">
        <v>587</v>
      </c>
      <c r="B593" s="5" t="inlineStr">
        <is>
          <t>25800400102</t>
        </is>
      </c>
      <c r="C593" s="6" t="inlineStr">
        <is>
          <t>Leâ Gia</t>
        </is>
      </c>
      <c r="D593" s="6" t="inlineStr">
        <is>
          <t>Nam</t>
        </is>
      </c>
      <c r="E593" s="5" t="inlineStr">
        <is>
          <t>19-Feb-07</t>
        </is>
      </c>
      <c r="F593" s="5" t="inlineStr">
        <is>
          <t>LNH0925ND01</t>
        </is>
      </c>
      <c r="G593" s="105" t="n">
        <v>8445000</v>
      </c>
      <c r="H593">
        <f>VLOOKUP(B593,'[1]TONG HOP'!B$5:G$624,6,0)</f>
        <v/>
      </c>
      <c r="I593" t="n">
        <v>2103750</v>
      </c>
    </row>
    <row r="594">
      <c r="A594" s="5" t="n">
        <v>588</v>
      </c>
      <c r="B594" s="5" t="inlineStr">
        <is>
          <t>25807800229</t>
        </is>
      </c>
      <c r="C594" s="6" t="inlineStr">
        <is>
          <t>Phan Huyønh Quoác</t>
        </is>
      </c>
      <c r="D594" s="6" t="inlineStr">
        <is>
          <t>Thaéng</t>
        </is>
      </c>
      <c r="E594" s="5" t="inlineStr">
        <is>
          <t>09-Nov-07</t>
        </is>
      </c>
      <c r="F594" s="5" t="inlineStr">
        <is>
          <t>LNH0925ND01</t>
        </is>
      </c>
      <c r="G594" s="105" t="n">
        <v>1600000</v>
      </c>
    </row>
    <row r="595">
      <c r="A595" s="5" t="n">
        <v>589</v>
      </c>
      <c r="B595" s="5" t="inlineStr">
        <is>
          <t>25800500288</t>
        </is>
      </c>
      <c r="C595" s="6" t="inlineStr">
        <is>
          <t>Nguyeãn Trung</t>
        </is>
      </c>
      <c r="D595" s="6" t="inlineStr">
        <is>
          <t>Hieáu</t>
        </is>
      </c>
      <c r="E595" s="5" t="inlineStr">
        <is>
          <t>02-Dec-07</t>
        </is>
      </c>
      <c r="F595" s="5" t="inlineStr">
        <is>
          <t>LNH0925ND01</t>
        </is>
      </c>
      <c r="G595" s="105" t="n">
        <v>8415000</v>
      </c>
      <c r="H595">
        <f>VLOOKUP(B595,'[1]TONG HOP'!B$5:G$624,6,0)</f>
        <v/>
      </c>
      <c r="I595" t="n">
        <v>2103750</v>
      </c>
    </row>
    <row r="596">
      <c r="A596" s="5" t="n">
        <v>590</v>
      </c>
      <c r="B596" s="5" t="inlineStr">
        <is>
          <t>25808600109</t>
        </is>
      </c>
      <c r="C596" s="6" t="inlineStr">
        <is>
          <t>Vaên Coâng</t>
        </is>
      </c>
      <c r="D596" s="6" t="inlineStr">
        <is>
          <t>Thaønh</t>
        </is>
      </c>
      <c r="E596" s="5" t="inlineStr">
        <is>
          <t>22-Dec-07</t>
        </is>
      </c>
      <c r="F596" s="5" t="inlineStr">
        <is>
          <t>LNH0925ND01</t>
        </is>
      </c>
      <c r="G596" s="105" t="n">
        <v>8415000</v>
      </c>
      <c r="H596">
        <f>VLOOKUP(B596,'[1]TONG HOP'!B$5:G$624,6,0)</f>
        <v/>
      </c>
      <c r="I596" t="n">
        <v>2103750</v>
      </c>
    </row>
    <row r="597">
      <c r="A597" s="5" t="n">
        <v>591</v>
      </c>
      <c r="B597" s="5" t="inlineStr">
        <is>
          <t>25808200247</t>
        </is>
      </c>
      <c r="C597" s="6" t="inlineStr">
        <is>
          <t>Leâ Quang</t>
        </is>
      </c>
      <c r="D597" s="6" t="inlineStr">
        <is>
          <t>Huy</t>
        </is>
      </c>
      <c r="E597" s="5" t="inlineStr">
        <is>
          <t>06-Jan-07</t>
        </is>
      </c>
      <c r="F597" s="5" t="inlineStr">
        <is>
          <t>LNH0925ND01</t>
        </is>
      </c>
      <c r="G597" s="105" t="n">
        <v>8415000</v>
      </c>
      <c r="H597">
        <f>VLOOKUP(B597,'[1]TONG HOP'!B$5:G$624,6,0)</f>
        <v/>
      </c>
      <c r="I597" t="n">
        <v>2103750</v>
      </c>
    </row>
    <row r="598">
      <c r="A598" s="5" t="n">
        <v>592</v>
      </c>
      <c r="B598" s="5" t="inlineStr">
        <is>
          <t>25807900016</t>
        </is>
      </c>
      <c r="C598" s="6" t="inlineStr">
        <is>
          <t>Nguyeãn Duy</t>
        </is>
      </c>
      <c r="D598" s="6" t="inlineStr">
        <is>
          <t>Huøng</t>
        </is>
      </c>
      <c r="E598" s="5" t="inlineStr">
        <is>
          <t>24-Dec-07</t>
        </is>
      </c>
      <c r="F598" s="5" t="inlineStr">
        <is>
          <t>LNH0925ND01</t>
        </is>
      </c>
      <c r="G598" s="105" t="n">
        <v>8415000</v>
      </c>
      <c r="H598">
        <f>VLOOKUP(B598,'[1]TONG HOP'!B$5:G$624,6,0)</f>
        <v/>
      </c>
      <c r="I598" t="n">
        <v>2103750</v>
      </c>
    </row>
    <row r="599">
      <c r="A599" s="5" t="n">
        <v>593</v>
      </c>
      <c r="B599" s="5" t="inlineStr">
        <is>
          <t>25808200052</t>
        </is>
      </c>
      <c r="C599" s="6" t="inlineStr">
        <is>
          <t>Nguyeãn Quang</t>
        </is>
      </c>
      <c r="D599" s="6" t="inlineStr">
        <is>
          <t>Huy</t>
        </is>
      </c>
      <c r="E599" s="5" t="inlineStr">
        <is>
          <t>29-Jan-07</t>
        </is>
      </c>
      <c r="F599" s="5" t="inlineStr">
        <is>
          <t>LNH0925ND01</t>
        </is>
      </c>
      <c r="G599" s="105" t="n">
        <v>8415000</v>
      </c>
      <c r="H599">
        <f>VLOOKUP(B599,'[1]TONG HOP'!B$5:G$624,6,0)</f>
        <v/>
      </c>
      <c r="I599" t="n">
        <v>2103750</v>
      </c>
    </row>
    <row r="600">
      <c r="A600" s="5" t="n">
        <v>594</v>
      </c>
      <c r="B600" s="5" t="inlineStr">
        <is>
          <t>25808900077</t>
        </is>
      </c>
      <c r="C600" s="6" t="inlineStr">
        <is>
          <t>Laâm Hoaøng</t>
        </is>
      </c>
      <c r="D600" s="6" t="inlineStr">
        <is>
          <t>Maïnh</t>
        </is>
      </c>
      <c r="E600" s="5" t="inlineStr">
        <is>
          <t>29-Mar-06</t>
        </is>
      </c>
      <c r="F600" s="5" t="inlineStr">
        <is>
          <t>LNH0925ND01</t>
        </is>
      </c>
      <c r="G600" s="105" t="n">
        <v>8415000</v>
      </c>
      <c r="H600">
        <f>VLOOKUP(B600,'[1]TONG HOP'!B$5:G$624,6,0)</f>
        <v/>
      </c>
      <c r="I600" t="n">
        <v>2103750</v>
      </c>
    </row>
    <row r="601">
      <c r="A601" s="5" t="n">
        <v>595</v>
      </c>
      <c r="B601" s="5" t="inlineStr">
        <is>
          <t>25802800036</t>
        </is>
      </c>
      <c r="C601" s="6" t="inlineStr">
        <is>
          <t>Nguyeãn Quyønh</t>
        </is>
      </c>
      <c r="D601" s="6" t="inlineStr">
        <is>
          <t>Duyeân</t>
        </is>
      </c>
      <c r="E601" s="5" t="inlineStr">
        <is>
          <t>02-Dec-07</t>
        </is>
      </c>
      <c r="F601" s="5" t="inlineStr">
        <is>
          <t>LNH0925ND01</t>
        </is>
      </c>
      <c r="G601" s="105" t="n">
        <v>1000000</v>
      </c>
    </row>
    <row r="602">
      <c r="A602" s="5" t="n">
        <v>596</v>
      </c>
      <c r="B602" s="5" t="inlineStr">
        <is>
          <t>25809100019</t>
        </is>
      </c>
      <c r="C602" s="6" t="inlineStr">
        <is>
          <t>Leâ Traàn Anh</t>
        </is>
      </c>
      <c r="D602" s="6" t="inlineStr">
        <is>
          <t>Tuaán</t>
        </is>
      </c>
      <c r="E602" s="5" t="inlineStr">
        <is>
          <t>08-Aug-07</t>
        </is>
      </c>
      <c r="F602" s="5" t="inlineStr">
        <is>
          <t>LNH0925ND01</t>
        </is>
      </c>
      <c r="G602" s="105" t="n">
        <v>4465000</v>
      </c>
      <c r="H602">
        <f>VLOOKUP(B602,'[1]TONG HOP'!B$5:G$624,6,0)</f>
        <v/>
      </c>
      <c r="I602" t="n">
        <v>2232500</v>
      </c>
    </row>
    <row r="603">
      <c r="A603" s="5" t="n">
        <v>597</v>
      </c>
      <c r="B603" s="5" t="inlineStr">
        <is>
          <t>25801300009</t>
        </is>
      </c>
      <c r="C603" s="6" t="inlineStr">
        <is>
          <t>Nguyeãn Ngoïc Trung</t>
        </is>
      </c>
      <c r="D603" s="6" t="inlineStr">
        <is>
          <t>Hoaøng</t>
        </is>
      </c>
      <c r="E603" s="5" t="inlineStr">
        <is>
          <t>09-Mar-07</t>
        </is>
      </c>
      <c r="F603" s="5" t="inlineStr">
        <is>
          <t>LNH0925ND01</t>
        </is>
      </c>
      <c r="G603" s="105" t="n">
        <v>1000000</v>
      </c>
    </row>
    <row r="604">
      <c r="A604" s="5" t="n">
        <v>598</v>
      </c>
      <c r="B604" s="5" t="inlineStr">
        <is>
          <t>25802100007</t>
        </is>
      </c>
      <c r="C604" s="6" t="inlineStr">
        <is>
          <t>Voõ Thaønh</t>
        </is>
      </c>
      <c r="D604" s="6" t="inlineStr">
        <is>
          <t>Ñaït</t>
        </is>
      </c>
      <c r="E604" s="5" t="inlineStr">
        <is>
          <t>14-Apr-07</t>
        </is>
      </c>
      <c r="F604" s="5" t="inlineStr">
        <is>
          <t>LNH0925ND01</t>
        </is>
      </c>
      <c r="G604" s="105" t="n">
        <v>4465000</v>
      </c>
    </row>
    <row r="605">
      <c r="A605" s="5" t="n">
        <v>599</v>
      </c>
      <c r="B605" s="5" t="inlineStr">
        <is>
          <t>25806000004</t>
        </is>
      </c>
      <c r="C605" s="6" t="inlineStr">
        <is>
          <t>Huyønh Long</t>
        </is>
      </c>
      <c r="D605" s="6" t="inlineStr">
        <is>
          <t>Chöông</t>
        </is>
      </c>
      <c r="E605" s="5" t="inlineStr">
        <is>
          <t>28-Jun-07</t>
        </is>
      </c>
      <c r="F605" s="5" t="inlineStr">
        <is>
          <t>LNH0925ND01</t>
        </is>
      </c>
      <c r="G605" s="105" t="n">
        <v>8415000</v>
      </c>
    </row>
    <row r="606">
      <c r="A606" s="5" t="n">
        <v>600</v>
      </c>
      <c r="B606" s="5" t="inlineStr">
        <is>
          <t>25807000014</t>
        </is>
      </c>
      <c r="C606" s="6" t="inlineStr">
        <is>
          <t>Huyønh Taán</t>
        </is>
      </c>
      <c r="D606" s="6" t="inlineStr">
        <is>
          <t>Loäc</t>
        </is>
      </c>
      <c r="E606" s="5" t="inlineStr">
        <is>
          <t>08-Jul-07</t>
        </is>
      </c>
      <c r="F606" s="5" t="inlineStr">
        <is>
          <t>LNH0925ND01</t>
        </is>
      </c>
      <c r="G606" s="105" t="n">
        <v>8415000</v>
      </c>
      <c r="H606">
        <f>VLOOKUP(B606,'[1]TONG HOP'!B$5:G$624,6,0)</f>
        <v/>
      </c>
      <c r="I606" t="n">
        <v>2103750</v>
      </c>
    </row>
    <row r="607">
      <c r="A607" s="5" t="n">
        <v>601</v>
      </c>
      <c r="B607" s="5" t="inlineStr">
        <is>
          <t>25820700027</t>
        </is>
      </c>
      <c r="C607" s="6" t="inlineStr">
        <is>
          <t>Phaïm Lieãu Quyønh</t>
        </is>
      </c>
      <c r="D607" s="6" t="inlineStr">
        <is>
          <t>Nhö</t>
        </is>
      </c>
      <c r="E607" s="5" t="inlineStr">
        <is>
          <t>27-Mar-06</t>
        </is>
      </c>
      <c r="F607" s="5" t="inlineStr">
        <is>
          <t>LNH0925ND01</t>
        </is>
      </c>
      <c r="G607" s="105" t="n">
        <v>8415000</v>
      </c>
    </row>
    <row r="608">
      <c r="A608" s="5" t="n">
        <v>602</v>
      </c>
      <c r="B608" s="5" t="inlineStr">
        <is>
          <t>25802800242</t>
        </is>
      </c>
      <c r="C608" s="6" t="inlineStr">
        <is>
          <t>Phaïm Thuøy Phöông</t>
        </is>
      </c>
      <c r="D608" s="6" t="inlineStr">
        <is>
          <t>Thaûo</t>
        </is>
      </c>
      <c r="E608" s="5" t="inlineStr">
        <is>
          <t>19-Mar-06</t>
        </is>
      </c>
      <c r="F608" s="5" t="inlineStr">
        <is>
          <t>LNH0925ND01</t>
        </is>
      </c>
      <c r="G608" s="105" t="n">
        <v>4465000</v>
      </c>
    </row>
    <row r="609">
      <c r="A609" s="5" t="n">
        <v>603</v>
      </c>
      <c r="B609" s="5" t="inlineStr">
        <is>
          <t>25802800019</t>
        </is>
      </c>
      <c r="C609" s="6" t="inlineStr">
        <is>
          <t>Ninh Gia</t>
        </is>
      </c>
      <c r="D609" s="6" t="inlineStr">
        <is>
          <t>Baûo</t>
        </is>
      </c>
      <c r="E609" s="5" t="inlineStr">
        <is>
          <t>15-Oct-07</t>
        </is>
      </c>
      <c r="F609" s="5" t="inlineStr">
        <is>
          <t>LNH0925ND01</t>
        </is>
      </c>
      <c r="G609" s="105" t="n">
        <v>7540000</v>
      </c>
    </row>
    <row r="610">
      <c r="A610" s="5" t="n">
        <v>604</v>
      </c>
      <c r="B610" s="5" t="inlineStr">
        <is>
          <t>25808200258</t>
        </is>
      </c>
      <c r="C610" s="6" t="inlineStr">
        <is>
          <t>Ngoâ Phuùc</t>
        </is>
      </c>
      <c r="D610" s="6" t="inlineStr">
        <is>
          <t>Haûi</t>
        </is>
      </c>
      <c r="E610" s="5" t="inlineStr">
        <is>
          <t>19-Sep-07</t>
        </is>
      </c>
      <c r="F610" s="5" t="inlineStr">
        <is>
          <t>LNH0925ND01</t>
        </is>
      </c>
      <c r="G610" s="105" t="n">
        <v>8415000</v>
      </c>
      <c r="H610">
        <f>VLOOKUP(B610,'[1]TONG HOP'!B$5:G$624,6,0)</f>
        <v/>
      </c>
      <c r="I610" t="n">
        <v>2103750</v>
      </c>
    </row>
    <row r="611">
      <c r="A611" s="5" t="n">
        <v>605</v>
      </c>
      <c r="B611" s="5" t="inlineStr">
        <is>
          <t>25801300027</t>
        </is>
      </c>
      <c r="C611" s="6" t="inlineStr">
        <is>
          <t>Ñinh Leâ Haân</t>
        </is>
      </c>
      <c r="D611" s="6" t="inlineStr">
        <is>
          <t>Nhi</t>
        </is>
      </c>
      <c r="E611" s="5" t="inlineStr">
        <is>
          <t>17-Apr-07</t>
        </is>
      </c>
      <c r="F611" s="5" t="inlineStr">
        <is>
          <t>LNH0925ND01</t>
        </is>
      </c>
      <c r="G611" s="105" t="n">
        <v>1000000</v>
      </c>
    </row>
    <row r="612">
      <c r="A612" s="5" t="n">
        <v>606</v>
      </c>
      <c r="B612" s="5" t="inlineStr">
        <is>
          <t>25808200016</t>
        </is>
      </c>
      <c r="C612" s="6" t="inlineStr">
        <is>
          <t>Nguyeãn Sôn</t>
        </is>
      </c>
      <c r="D612" s="6" t="inlineStr">
        <is>
          <t>Baûo</t>
        </is>
      </c>
      <c r="E612" s="5" t="inlineStr">
        <is>
          <t>28-Jul-07</t>
        </is>
      </c>
      <c r="F612" s="5" t="inlineStr">
        <is>
          <t>LNH0925ND01</t>
        </is>
      </c>
      <c r="G612" s="105" t="n">
        <v>8415000</v>
      </c>
    </row>
    <row r="613">
      <c r="A613" s="5" t="n">
        <v>607</v>
      </c>
      <c r="B613" s="5" t="inlineStr">
        <is>
          <t>25808900122</t>
        </is>
      </c>
      <c r="C613" s="6" t="inlineStr">
        <is>
          <t>Nguyeãn Ngoïc</t>
        </is>
      </c>
      <c r="D613" s="6" t="inlineStr">
        <is>
          <t>Thuaän</t>
        </is>
      </c>
      <c r="E613" s="5" t="inlineStr">
        <is>
          <t>19-Aug-07</t>
        </is>
      </c>
      <c r="F613" s="5" t="inlineStr">
        <is>
          <t>LNH0925ND01</t>
        </is>
      </c>
      <c r="G613" s="105" t="n">
        <v>8415000</v>
      </c>
      <c r="H613">
        <f>VLOOKUP(B613,'[1]TONG HOP'!B$5:G$624,6,0)</f>
        <v/>
      </c>
      <c r="I613" t="n">
        <v>2103750</v>
      </c>
    </row>
    <row r="614">
      <c r="A614" s="5" t="n">
        <v>608</v>
      </c>
      <c r="B614" s="5" t="inlineStr">
        <is>
          <t>25800500312</t>
        </is>
      </c>
      <c r="C614" s="6" t="inlineStr">
        <is>
          <t>Löu Khaûi</t>
        </is>
      </c>
      <c r="D614" s="6" t="inlineStr">
        <is>
          <t>Nguyeân</t>
        </is>
      </c>
      <c r="E614" s="5" t="inlineStr">
        <is>
          <t>24-Sep-07</t>
        </is>
      </c>
      <c r="F614" s="5" t="inlineStr">
        <is>
          <t>LNH0925ND01</t>
        </is>
      </c>
      <c r="G614" s="105" t="n">
        <v>8415000</v>
      </c>
      <c r="H614">
        <f>VLOOKUP(B614,'[1]TONG HOP'!B$5:G$624,6,0)</f>
        <v/>
      </c>
      <c r="I614" t="n">
        <v>2103750</v>
      </c>
    </row>
    <row r="615">
      <c r="A615" s="5" t="n">
        <v>609</v>
      </c>
      <c r="B615" s="5" t="inlineStr">
        <is>
          <t>25801300028</t>
        </is>
      </c>
      <c r="C615" s="6" t="inlineStr">
        <is>
          <t>Nguyeãn Thò Yeán</t>
        </is>
      </c>
      <c r="D615" s="6" t="inlineStr">
        <is>
          <t>Nhi</t>
        </is>
      </c>
      <c r="E615" s="5" t="inlineStr">
        <is>
          <t>30-Dec-07</t>
        </is>
      </c>
      <c r="F615" s="5" t="inlineStr">
        <is>
          <t>LNH0925ND01</t>
        </is>
      </c>
      <c r="G615" s="105" t="n">
        <v>8415000</v>
      </c>
      <c r="H615">
        <f>VLOOKUP(B615,'[1]TONG HOP'!B$5:G$624,6,0)</f>
        <v/>
      </c>
      <c r="I615" t="n">
        <v>2103750</v>
      </c>
    </row>
    <row r="616">
      <c r="A616" s="5" t="n">
        <v>610</v>
      </c>
      <c r="B616" s="5" t="inlineStr">
        <is>
          <t>25802800289</t>
        </is>
      </c>
      <c r="C616" s="6" t="inlineStr">
        <is>
          <t>Nguyeãn Thò Lan</t>
        </is>
      </c>
      <c r="D616" s="6" t="inlineStr">
        <is>
          <t>Töôøng</t>
        </is>
      </c>
      <c r="E616" s="5" t="inlineStr">
        <is>
          <t>19-Mar-07</t>
        </is>
      </c>
      <c r="F616" s="5" t="inlineStr">
        <is>
          <t>LNH0925ND01</t>
        </is>
      </c>
      <c r="G616" s="105" t="n">
        <v>8415000</v>
      </c>
      <c r="H616">
        <f>VLOOKUP(B616,'[1]TONG HOP'!B$5:G$624,6,0)</f>
        <v/>
      </c>
      <c r="I616" t="n">
        <v>2103750</v>
      </c>
    </row>
    <row r="617">
      <c r="A617" s="5" t="n">
        <v>611</v>
      </c>
      <c r="B617" s="5" t="inlineStr">
        <is>
          <t>25806100301</t>
        </is>
      </c>
      <c r="C617" s="6" t="inlineStr">
        <is>
          <t>Nguyeãn Nhöït Song</t>
        </is>
      </c>
      <c r="D617" s="6" t="inlineStr">
        <is>
          <t>Toaøn</t>
        </is>
      </c>
      <c r="E617" s="5" t="inlineStr">
        <is>
          <t>18-Jul-07</t>
        </is>
      </c>
      <c r="F617" s="5" t="inlineStr">
        <is>
          <t>LNH0925ND01</t>
        </is>
      </c>
      <c r="G617" s="105" t="n">
        <v>8415000</v>
      </c>
    </row>
    <row r="618">
      <c r="A618" s="5" t="n">
        <v>612</v>
      </c>
      <c r="B618" s="5" t="inlineStr">
        <is>
          <t>25807100002</t>
        </is>
      </c>
      <c r="C618" s="6" t="inlineStr">
        <is>
          <t>Löu Nguyeãn Hoaøng</t>
        </is>
      </c>
      <c r="D618" s="6" t="inlineStr">
        <is>
          <t>Haø</t>
        </is>
      </c>
      <c r="E618" s="5" t="inlineStr">
        <is>
          <t>07-Jul-07</t>
        </is>
      </c>
      <c r="F618" s="5" t="inlineStr">
        <is>
          <t>LNH0925ND01</t>
        </is>
      </c>
      <c r="G618" s="105" t="n">
        <v>4465000</v>
      </c>
    </row>
    <row r="619">
      <c r="A619" s="5" t="n">
        <v>613</v>
      </c>
      <c r="B619" s="5" t="inlineStr">
        <is>
          <t>25800400151</t>
        </is>
      </c>
      <c r="C619" s="6" t="inlineStr">
        <is>
          <t>Phaïm Hoaøng</t>
        </is>
      </c>
      <c r="D619" s="6" t="inlineStr">
        <is>
          <t>Thoâng</t>
        </is>
      </c>
      <c r="E619" s="5" t="inlineStr">
        <is>
          <t>18-May-07</t>
        </is>
      </c>
      <c r="F619" s="5" t="inlineStr">
        <is>
          <t>LNH0925ND01</t>
        </is>
      </c>
      <c r="G619" s="105" t="n">
        <v>8415000</v>
      </c>
      <c r="H619">
        <f>VLOOKUP(B619,'[1]TONG HOP'!B$5:G$624,6,0)</f>
        <v/>
      </c>
      <c r="I619" t="n">
        <v>2103750</v>
      </c>
    </row>
    <row r="620">
      <c r="A620" s="5" t="n">
        <v>614</v>
      </c>
      <c r="B620" s="5" t="inlineStr">
        <is>
          <t>25808200009</t>
        </is>
      </c>
      <c r="C620" s="6" t="inlineStr">
        <is>
          <t>Phan Huyønh Thieân</t>
        </is>
      </c>
      <c r="D620" s="6" t="inlineStr">
        <is>
          <t>AÂn</t>
        </is>
      </c>
      <c r="E620" s="5" t="inlineStr">
        <is>
          <t>11-Nov-07</t>
        </is>
      </c>
      <c r="F620" s="5" t="inlineStr">
        <is>
          <t>LNH0925ND01</t>
        </is>
      </c>
      <c r="G620" s="105" t="n">
        <v>8415000</v>
      </c>
    </row>
    <row r="621">
      <c r="A621" s="5" t="n">
        <v>615</v>
      </c>
      <c r="B621" s="5" t="inlineStr">
        <is>
          <t>25820200133</t>
        </is>
      </c>
      <c r="C621" s="6" t="inlineStr">
        <is>
          <t>Nguyeãn Quang</t>
        </is>
      </c>
      <c r="D621" s="6" t="inlineStr">
        <is>
          <t>Ñaïi</t>
        </is>
      </c>
      <c r="E621" s="5" t="inlineStr">
        <is>
          <t>17-Apr-07</t>
        </is>
      </c>
      <c r="F621" s="5" t="inlineStr">
        <is>
          <t>LNH0925ND01</t>
        </is>
      </c>
      <c r="G621" s="105" t="n">
        <v>8415000</v>
      </c>
      <c r="H621">
        <f>VLOOKUP(B621,'[1]TONG HOP'!B$5:G$624,6,0)</f>
        <v/>
      </c>
      <c r="I621" t="n">
        <v>2103750</v>
      </c>
    </row>
    <row r="622">
      <c r="A622" s="5" t="n">
        <v>616</v>
      </c>
      <c r="B622" s="5" t="inlineStr">
        <is>
          <t>25820200064</t>
        </is>
      </c>
      <c r="C622" s="6" t="inlineStr">
        <is>
          <t>Ngoâ Maïnh</t>
        </is>
      </c>
      <c r="D622" s="6" t="inlineStr">
        <is>
          <t>Tuaán</t>
        </is>
      </c>
      <c r="E622" s="5" t="inlineStr">
        <is>
          <t>17-Jan-07</t>
        </is>
      </c>
      <c r="F622" s="5" t="inlineStr">
        <is>
          <t>LNH0925ND01</t>
        </is>
      </c>
      <c r="G622" s="105" t="n">
        <v>8415000</v>
      </c>
    </row>
    <row r="623">
      <c r="A623" s="5" t="n">
        <v>617</v>
      </c>
      <c r="B623" s="5" t="inlineStr">
        <is>
          <t>25807500028</t>
        </is>
      </c>
      <c r="C623" s="6" t="inlineStr">
        <is>
          <t>Toâ Gia</t>
        </is>
      </c>
      <c r="D623" s="6" t="inlineStr">
        <is>
          <t>Haân</t>
        </is>
      </c>
      <c r="E623" s="5" t="inlineStr">
        <is>
          <t>10-Mar-07</t>
        </is>
      </c>
      <c r="F623" s="5" t="inlineStr">
        <is>
          <t>LNH0925ND01</t>
        </is>
      </c>
      <c r="G623" s="105" t="n">
        <v>4465000</v>
      </c>
      <c r="H623">
        <f>VLOOKUP(B623,'[1]TONG HOP'!B$5:G$624,6,0)</f>
        <v/>
      </c>
      <c r="I623" t="n">
        <v>2232500</v>
      </c>
    </row>
    <row r="624">
      <c r="A624" s="5" t="n">
        <v>618</v>
      </c>
      <c r="B624" s="5" t="inlineStr">
        <is>
          <t>25820300063</t>
        </is>
      </c>
      <c r="C624" s="6" t="inlineStr">
        <is>
          <t>Thaùi Thaønh</t>
        </is>
      </c>
      <c r="D624" s="6" t="inlineStr">
        <is>
          <t>Trí</t>
        </is>
      </c>
      <c r="E624" s="5" t="inlineStr">
        <is>
          <t>01-Jul-07</t>
        </is>
      </c>
      <c r="F624" s="5" t="inlineStr">
        <is>
          <t>LNH0925ND01</t>
        </is>
      </c>
      <c r="G624" s="105" t="n">
        <v>4465000</v>
      </c>
      <c r="H624">
        <f>VLOOKUP(B624,'[1]TONG HOP'!B$5:G$624,6,0)</f>
        <v/>
      </c>
      <c r="I624" t="n">
        <v>2232500</v>
      </c>
    </row>
    <row r="625">
      <c r="A625" s="5" t="n">
        <v>619</v>
      </c>
      <c r="B625" s="5" t="inlineStr">
        <is>
          <t>25800400097</t>
        </is>
      </c>
      <c r="C625" s="6" t="inlineStr">
        <is>
          <t>Leâ Ñöùc</t>
        </is>
      </c>
      <c r="D625" s="6" t="inlineStr">
        <is>
          <t>Löôïng</t>
        </is>
      </c>
      <c r="E625" s="5" t="inlineStr">
        <is>
          <t>12-Mar-07</t>
        </is>
      </c>
      <c r="F625" s="5" t="inlineStr">
        <is>
          <t>LNH0925ND01</t>
        </is>
      </c>
      <c r="G625" s="105" t="n">
        <v>1000000</v>
      </c>
    </row>
    <row r="626">
      <c r="A626" s="5" t="n">
        <v>620</v>
      </c>
      <c r="B626" s="5" t="inlineStr">
        <is>
          <t>25808200146</t>
        </is>
      </c>
      <c r="C626" s="6" t="inlineStr">
        <is>
          <t>Ngoâ Quoác</t>
        </is>
      </c>
      <c r="D626" s="6" t="inlineStr">
        <is>
          <t>Vieät</t>
        </is>
      </c>
      <c r="E626" s="5" t="inlineStr">
        <is>
          <t>02-Mar-07</t>
        </is>
      </c>
      <c r="F626" s="5" t="inlineStr">
        <is>
          <t>LNH0925ND01</t>
        </is>
      </c>
      <c r="G626" s="105" t="n">
        <v>1000000</v>
      </c>
    </row>
    <row r="627">
      <c r="A627" s="5" t="n">
        <v>621</v>
      </c>
      <c r="B627" s="5" t="inlineStr">
        <is>
          <t>25802800198</t>
        </is>
      </c>
      <c r="C627" s="6" t="inlineStr">
        <is>
          <t>Phaïm Hoaøng</t>
        </is>
      </c>
      <c r="D627" s="6" t="inlineStr">
        <is>
          <t>Phaùt</t>
        </is>
      </c>
      <c r="E627" s="5" t="inlineStr">
        <is>
          <t>05-Sep-07</t>
        </is>
      </c>
      <c r="F627" s="5" t="inlineStr">
        <is>
          <t>LNH0925ND01</t>
        </is>
      </c>
      <c r="G627" s="105" t="n">
        <v>8415000</v>
      </c>
      <c r="H627">
        <f>VLOOKUP(B627,'[1]TONG HOP'!B$5:G$624,6,0)</f>
        <v/>
      </c>
      <c r="I627" t="n">
        <v>2103750</v>
      </c>
    </row>
    <row r="628">
      <c r="A628" s="5" t="n">
        <v>622</v>
      </c>
      <c r="B628" s="5" t="inlineStr">
        <is>
          <t>25802800240</t>
        </is>
      </c>
      <c r="C628" s="6" t="inlineStr">
        <is>
          <t>Nguyeãn Thò Hoàng</t>
        </is>
      </c>
      <c r="D628" s="6" t="inlineStr">
        <is>
          <t>Thaûo</t>
        </is>
      </c>
      <c r="E628" s="5" t="inlineStr">
        <is>
          <t>04-Mar-07</t>
        </is>
      </c>
      <c r="F628" s="5" t="inlineStr">
        <is>
          <t>LNH0925ND01</t>
        </is>
      </c>
      <c r="G628" s="105" t="n">
        <v>4465000</v>
      </c>
      <c r="H628">
        <f>VLOOKUP(B628,'[1]TONG HOP'!B$5:G$624,6,0)</f>
        <v/>
      </c>
      <c r="I628" t="n">
        <v>2232500</v>
      </c>
    </row>
    <row r="629">
      <c r="A629" s="5" t="n">
        <v>623</v>
      </c>
      <c r="B629" s="5" t="inlineStr">
        <is>
          <t>25808200269</t>
        </is>
      </c>
      <c r="C629" s="6" t="inlineStr">
        <is>
          <t>Nguyeãn Thaønh</t>
        </is>
      </c>
      <c r="D629" s="6" t="inlineStr">
        <is>
          <t>Tieán</t>
        </is>
      </c>
      <c r="E629" s="5" t="inlineStr">
        <is>
          <t>04-Sep-07</t>
        </is>
      </c>
      <c r="F629" s="5" t="inlineStr">
        <is>
          <t>LNH0925ND01</t>
        </is>
      </c>
      <c r="G629" s="105" t="n">
        <v>8415000</v>
      </c>
      <c r="H629">
        <f>VLOOKUP(B629,'[1]TONG HOP'!B$5:G$624,6,0)</f>
        <v/>
      </c>
      <c r="I629" t="n">
        <v>2103750</v>
      </c>
    </row>
    <row r="630">
      <c r="A630" s="5" t="n">
        <v>624</v>
      </c>
      <c r="B630" s="5" t="inlineStr">
        <is>
          <t>25802800103</t>
        </is>
      </c>
      <c r="C630" s="6" t="inlineStr">
        <is>
          <t>Nguyeãn Hoàng</t>
        </is>
      </c>
      <c r="D630" s="6" t="inlineStr">
        <is>
          <t>Khang</t>
        </is>
      </c>
      <c r="E630" s="5" t="inlineStr">
        <is>
          <t>30-Apr-07</t>
        </is>
      </c>
      <c r="F630" s="5" t="inlineStr">
        <is>
          <t>LNH0925ND01</t>
        </is>
      </c>
      <c r="G630" s="105" t="n">
        <v>8415000</v>
      </c>
      <c r="H630">
        <f>VLOOKUP(B630,'[1]TONG HOP'!B$5:G$624,6,0)</f>
        <v/>
      </c>
      <c r="I630" t="n">
        <v>2103750</v>
      </c>
    </row>
    <row r="631">
      <c r="A631" s="5" t="n">
        <v>625</v>
      </c>
      <c r="B631" s="5" t="inlineStr">
        <is>
          <t>25820200051</t>
        </is>
      </c>
      <c r="C631" s="6" t="inlineStr">
        <is>
          <t>Nguyeãn Troïng</t>
        </is>
      </c>
      <c r="D631" s="6" t="inlineStr">
        <is>
          <t>Phuùc</t>
        </is>
      </c>
      <c r="E631" s="5" t="inlineStr">
        <is>
          <t>06-Feb-07</t>
        </is>
      </c>
      <c r="F631" s="5" t="inlineStr">
        <is>
          <t>LNH0925ND01</t>
        </is>
      </c>
      <c r="G631" s="105" t="n">
        <v>1000000</v>
      </c>
    </row>
    <row r="632">
      <c r="A632" s="5" t="n">
        <v>626</v>
      </c>
      <c r="B632" s="5" t="inlineStr">
        <is>
          <t>25808900039</t>
        </is>
      </c>
      <c r="C632" s="6" t="inlineStr">
        <is>
          <t>Voõ Tröông Kim</t>
        </is>
      </c>
      <c r="D632" s="6" t="inlineStr">
        <is>
          <t>Hoaøn</t>
        </is>
      </c>
      <c r="E632" s="5" t="inlineStr">
        <is>
          <t>16-Oct-07</t>
        </is>
      </c>
      <c r="F632" s="5" t="inlineStr">
        <is>
          <t>LNH0925ND01</t>
        </is>
      </c>
      <c r="G632" s="105" t="n">
        <v>1000000</v>
      </c>
    </row>
    <row r="633">
      <c r="A633" s="5" t="n">
        <v>627</v>
      </c>
      <c r="B633" s="5" t="inlineStr">
        <is>
          <t>25808900053</t>
        </is>
      </c>
      <c r="C633" s="6" t="inlineStr">
        <is>
          <t>Nguyeãn Tuaán</t>
        </is>
      </c>
      <c r="D633" s="6" t="inlineStr">
        <is>
          <t>Khang</t>
        </is>
      </c>
      <c r="E633" s="5" t="inlineStr">
        <is>
          <t>25-Jun-07</t>
        </is>
      </c>
      <c r="F633" s="5" t="inlineStr">
        <is>
          <t>LNH0925ND01</t>
        </is>
      </c>
      <c r="G633" s="105" t="n">
        <v>8415000</v>
      </c>
      <c r="H633">
        <f>VLOOKUP(B633,'[1]TONG HOP'!B$5:G$624,6,0)</f>
        <v/>
      </c>
      <c r="I633" t="n">
        <v>2103750</v>
      </c>
    </row>
    <row r="634">
      <c r="A634" s="5" t="n">
        <v>628</v>
      </c>
      <c r="B634" s="5" t="inlineStr">
        <is>
          <t>25806000008</t>
        </is>
      </c>
      <c r="C634" s="6" t="inlineStr">
        <is>
          <t>Trònh Thuøy</t>
        </is>
      </c>
      <c r="D634" s="6" t="inlineStr">
        <is>
          <t>Döông</t>
        </is>
      </c>
      <c r="E634" s="5" t="inlineStr">
        <is>
          <t>03-Apr-07</t>
        </is>
      </c>
      <c r="F634" s="5" t="inlineStr">
        <is>
          <t>LNH0925ND01</t>
        </is>
      </c>
      <c r="G634" s="105" t="n">
        <v>4465000</v>
      </c>
    </row>
    <row r="635">
      <c r="A635" s="5" t="n">
        <v>629</v>
      </c>
      <c r="B635" s="5" t="inlineStr">
        <is>
          <t>25807700031</t>
        </is>
      </c>
      <c r="C635" s="6" t="inlineStr">
        <is>
          <t>Nguyeãn Vaên</t>
        </is>
      </c>
      <c r="D635" s="6" t="inlineStr">
        <is>
          <t>Hoaøng</t>
        </is>
      </c>
      <c r="E635" s="5" t="inlineStr">
        <is>
          <t>03-Dec-05</t>
        </is>
      </c>
      <c r="F635" s="5" t="inlineStr">
        <is>
          <t>LNH0925ND01</t>
        </is>
      </c>
      <c r="G635" s="105" t="n">
        <v>4465000</v>
      </c>
      <c r="H635">
        <f>VLOOKUP(B635,'[1]TONG HOP'!B$5:G$624,6,0)</f>
        <v/>
      </c>
      <c r="I635" t="n">
        <v>2232500</v>
      </c>
    </row>
    <row r="636">
      <c r="A636" s="5" t="n">
        <v>630</v>
      </c>
      <c r="B636" s="5" t="inlineStr">
        <is>
          <t>25807500237</t>
        </is>
      </c>
      <c r="C636" s="6" t="inlineStr">
        <is>
          <t>Nguyeãn Thaønh</t>
        </is>
      </c>
      <c r="D636" s="6" t="inlineStr">
        <is>
          <t>Luaân</t>
        </is>
      </c>
      <c r="E636" s="5" t="inlineStr">
        <is>
          <t>04-Apr-07</t>
        </is>
      </c>
      <c r="F636" s="5" t="inlineStr">
        <is>
          <t>LNH0925ND01</t>
        </is>
      </c>
      <c r="G636" s="105" t="n">
        <v>8415000</v>
      </c>
      <c r="H636">
        <f>VLOOKUP(B636,'[1]TONG HOP'!B$5:G$624,6,0)</f>
        <v/>
      </c>
      <c r="I636" t="n">
        <v>2103750</v>
      </c>
    </row>
    <row r="637">
      <c r="A637" s="5" t="n">
        <v>631</v>
      </c>
      <c r="B637" s="5" t="inlineStr">
        <is>
          <t>25807600039</t>
        </is>
      </c>
      <c r="C637" s="6" t="inlineStr">
        <is>
          <t>Buøi Hoaøng Yeán</t>
        </is>
      </c>
      <c r="D637" s="6" t="inlineStr">
        <is>
          <t>Nhi</t>
        </is>
      </c>
      <c r="E637" s="5" t="inlineStr">
        <is>
          <t>17-Mar-07</t>
        </is>
      </c>
      <c r="F637" s="5" t="inlineStr">
        <is>
          <t>LNH0925ND01</t>
        </is>
      </c>
      <c r="G637" s="105" t="n">
        <v>8415000</v>
      </c>
      <c r="H637">
        <f>VLOOKUP(B637,'[1]TONG HOP'!B$5:G$624,6,0)</f>
        <v/>
      </c>
      <c r="I637" t="n">
        <v>2103750</v>
      </c>
    </row>
    <row r="638">
      <c r="A638" s="5" t="n">
        <v>632</v>
      </c>
      <c r="B638" s="5" t="inlineStr">
        <is>
          <t>25820300092</t>
        </is>
      </c>
      <c r="C638" s="6" t="inlineStr">
        <is>
          <t>Nguyeãn Duy</t>
        </is>
      </c>
      <c r="D638" s="6" t="inlineStr">
        <is>
          <t>Hoaøng</t>
        </is>
      </c>
      <c r="E638" s="5" t="inlineStr">
        <is>
          <t>15-Jul-07</t>
        </is>
      </c>
      <c r="F638" s="5" t="inlineStr">
        <is>
          <t>LNH0925ND01</t>
        </is>
      </c>
      <c r="G638" s="105" t="n">
        <v>1000000</v>
      </c>
    </row>
    <row r="639">
      <c r="A639" s="5" t="n">
        <v>633</v>
      </c>
      <c r="B639" s="5" t="inlineStr">
        <is>
          <t>25800400058</t>
        </is>
      </c>
      <c r="C639" s="6" t="inlineStr">
        <is>
          <t>Phan Ngoïc Gia</t>
        </is>
      </c>
      <c r="D639" s="6" t="inlineStr">
        <is>
          <t>Huy</t>
        </is>
      </c>
      <c r="E639" s="5" t="inlineStr">
        <is>
          <t>21-Sep-07</t>
        </is>
      </c>
      <c r="F639" s="5" t="inlineStr">
        <is>
          <t>LNH0925ND01</t>
        </is>
      </c>
      <c r="G639" s="105" t="n">
        <v>8415000</v>
      </c>
      <c r="H639">
        <f>VLOOKUP(B639,'[1]TONG HOP'!B$5:G$624,6,0)</f>
        <v/>
      </c>
      <c r="I639" t="n">
        <v>2103750</v>
      </c>
    </row>
    <row r="640">
      <c r="A640" s="5" t="n">
        <v>634</v>
      </c>
      <c r="B640" s="5" t="inlineStr">
        <is>
          <t>25801300045</t>
        </is>
      </c>
      <c r="C640" s="6" t="inlineStr">
        <is>
          <t>Voõ Quoác</t>
        </is>
      </c>
      <c r="D640" s="6" t="inlineStr">
        <is>
          <t>Vinh</t>
        </is>
      </c>
      <c r="E640" s="5" t="inlineStr">
        <is>
          <t>20-Dec-07</t>
        </is>
      </c>
      <c r="F640" s="5" t="inlineStr">
        <is>
          <t>LNH0925ND01</t>
        </is>
      </c>
      <c r="G640" s="105" t="n">
        <v>8415000</v>
      </c>
      <c r="H640">
        <f>VLOOKUP(B640,'[1]TONG HOP'!B$5:G$624,6,0)</f>
        <v/>
      </c>
      <c r="I640" t="n">
        <v>2103750</v>
      </c>
    </row>
    <row r="641">
      <c r="A641" s="5" t="n">
        <v>635</v>
      </c>
      <c r="B641" s="5" t="inlineStr">
        <is>
          <t>25802700083</t>
        </is>
      </c>
      <c r="C641" s="6" t="inlineStr">
        <is>
          <t>Traàn Trieäu</t>
        </is>
      </c>
      <c r="D641" s="6" t="inlineStr">
        <is>
          <t>Thieän</t>
        </is>
      </c>
      <c r="E641" s="5" t="inlineStr">
        <is>
          <t>12-Feb-07</t>
        </is>
      </c>
      <c r="F641" s="5" t="inlineStr">
        <is>
          <t>LNH0925ND01</t>
        </is>
      </c>
      <c r="G641" s="105" t="n">
        <v>8415000</v>
      </c>
      <c r="H641">
        <f>VLOOKUP(B641,'[1]TONG HOP'!B$5:G$624,6,0)</f>
        <v/>
      </c>
      <c r="I641" t="n">
        <v>2103750</v>
      </c>
    </row>
    <row r="642">
      <c r="A642" s="5" t="n">
        <v>636</v>
      </c>
      <c r="B642" s="5" t="inlineStr">
        <is>
          <t>25808700063</t>
        </is>
      </c>
      <c r="C642" s="6" t="inlineStr">
        <is>
          <t>Ñoã Traàn Thieän</t>
        </is>
      </c>
      <c r="D642" s="6" t="inlineStr">
        <is>
          <t>Nhaân</t>
        </is>
      </c>
      <c r="E642" s="5" t="inlineStr">
        <is>
          <t>20-Apr-07</t>
        </is>
      </c>
      <c r="F642" s="5" t="inlineStr">
        <is>
          <t>LNH0925ND01</t>
        </is>
      </c>
      <c r="G642" s="105" t="n">
        <v>1000000</v>
      </c>
    </row>
    <row r="643">
      <c r="A643" s="5" t="n">
        <v>637</v>
      </c>
      <c r="B643" s="5" t="inlineStr">
        <is>
          <t>25802600209</t>
        </is>
      </c>
      <c r="C643" s="6" t="inlineStr">
        <is>
          <t>Baïch Ñoan</t>
        </is>
      </c>
      <c r="D643" s="6" t="inlineStr">
        <is>
          <t>Linh</t>
        </is>
      </c>
      <c r="E643" s="5" t="inlineStr">
        <is>
          <t>03-Aug-07</t>
        </is>
      </c>
      <c r="F643" s="5" t="inlineStr">
        <is>
          <t>LNH0925ND01</t>
        </is>
      </c>
      <c r="G643" s="105" t="n">
        <v>4465000</v>
      </c>
      <c r="H643">
        <f>VLOOKUP(B643,'[1]TONG HOP'!B$5:G$624,6,0)</f>
        <v/>
      </c>
      <c r="I643" t="n">
        <v>2232500</v>
      </c>
    </row>
    <row r="644">
      <c r="A644" s="5" t="n">
        <v>638</v>
      </c>
      <c r="B644" s="5" t="inlineStr">
        <is>
          <t>25808600033</t>
        </is>
      </c>
      <c r="C644" s="6" t="inlineStr">
        <is>
          <t>Phaïm Thò Ngoïc</t>
        </is>
      </c>
      <c r="D644" s="6" t="inlineStr">
        <is>
          <t>Haân</t>
        </is>
      </c>
      <c r="E644" s="5" t="inlineStr">
        <is>
          <t>30-Sep-07</t>
        </is>
      </c>
      <c r="F644" s="5" t="inlineStr">
        <is>
          <t>LNH0925ND01</t>
        </is>
      </c>
      <c r="G644" s="105" t="n">
        <v>8415000</v>
      </c>
      <c r="H644">
        <f>VLOOKUP(B644,'[1]TONG HOP'!B$5:G$624,6,0)</f>
        <v/>
      </c>
      <c r="I644" t="n">
        <v>2103750</v>
      </c>
    </row>
    <row r="645">
      <c r="A645" s="5" t="n">
        <v>639</v>
      </c>
      <c r="B645" s="5" t="inlineStr">
        <is>
          <t>25802800401</t>
        </is>
      </c>
      <c r="C645" s="6" t="inlineStr">
        <is>
          <t>Nguyeãn Phan Phöông</t>
        </is>
      </c>
      <c r="D645" s="6" t="inlineStr">
        <is>
          <t>Truùc</t>
        </is>
      </c>
      <c r="E645" s="5" t="inlineStr">
        <is>
          <t>03-Dec-07</t>
        </is>
      </c>
      <c r="F645" s="5" t="inlineStr">
        <is>
          <t>LNH0925ND01</t>
        </is>
      </c>
      <c r="G645" s="105" t="n">
        <v>2100000</v>
      </c>
    </row>
    <row r="646">
      <c r="A646" s="5" t="n">
        <v>640</v>
      </c>
      <c r="B646" s="5" t="inlineStr">
        <is>
          <t>25808700211</t>
        </is>
      </c>
      <c r="C646" s="6" t="inlineStr">
        <is>
          <t>Nguyeãn Thanh</t>
        </is>
      </c>
      <c r="D646" s="6" t="inlineStr">
        <is>
          <t>Phong</t>
        </is>
      </c>
      <c r="E646" s="5" t="inlineStr">
        <is>
          <t>22-Oct-07</t>
        </is>
      </c>
      <c r="F646" s="5" t="inlineStr">
        <is>
          <t>LNH0925ND01</t>
        </is>
      </c>
      <c r="G646" s="105" t="n">
        <v>4465000</v>
      </c>
      <c r="H646">
        <f>VLOOKUP(B646,'[1]TONG HOP'!B$5:G$624,6,0)</f>
        <v/>
      </c>
      <c r="I646" t="n">
        <v>2232500</v>
      </c>
    </row>
    <row r="647">
      <c r="A647" s="5" t="n">
        <v>641</v>
      </c>
      <c r="B647" s="5" t="inlineStr">
        <is>
          <t>25800400287</t>
        </is>
      </c>
      <c r="C647" s="6" t="inlineStr">
        <is>
          <t>Nguyeãn Minh</t>
        </is>
      </c>
      <c r="D647" s="6" t="inlineStr">
        <is>
          <t>Hieáu</t>
        </is>
      </c>
      <c r="E647" s="5" t="inlineStr">
        <is>
          <t>17-Jan-07</t>
        </is>
      </c>
      <c r="F647" s="5" t="inlineStr">
        <is>
          <t>LNH0925ND01</t>
        </is>
      </c>
      <c r="G647" s="105" t="n">
        <v>8415000</v>
      </c>
      <c r="H647">
        <f>VLOOKUP(B647,'[1]TONG HOP'!B$5:G$624,6,0)</f>
        <v/>
      </c>
      <c r="I647" t="n">
        <v>2103750</v>
      </c>
    </row>
    <row r="648">
      <c r="A648" s="5" t="n">
        <v>642</v>
      </c>
      <c r="B648" s="5" t="inlineStr">
        <is>
          <t>25802800081</t>
        </is>
      </c>
      <c r="C648" s="6" t="inlineStr">
        <is>
          <t>Leâ Xuaân</t>
        </is>
      </c>
      <c r="D648" s="6" t="inlineStr">
        <is>
          <t>Huøng</t>
        </is>
      </c>
      <c r="E648" s="5" t="inlineStr">
        <is>
          <t>26-Sep-07</t>
        </is>
      </c>
      <c r="F648" s="5" t="inlineStr">
        <is>
          <t>LNH0925ND01</t>
        </is>
      </c>
      <c r="G648" s="105" t="n">
        <v>8415000</v>
      </c>
      <c r="H648">
        <f>VLOOKUP(B648,'[1]TONG HOP'!B$5:G$624,6,0)</f>
        <v/>
      </c>
      <c r="I648" t="n">
        <v>2103750</v>
      </c>
    </row>
    <row r="649">
      <c r="A649" s="5" t="n">
        <v>643</v>
      </c>
      <c r="B649" s="20" t="inlineStr">
        <is>
          <t>25800400009</t>
        </is>
      </c>
      <c r="C649" s="6" t="inlineStr">
        <is>
          <t>Leâ Khaéc</t>
        </is>
      </c>
      <c r="D649" s="6" t="inlineStr">
        <is>
          <t>Baûo</t>
        </is>
      </c>
      <c r="E649" s="5" t="inlineStr">
        <is>
          <t>06-Nov-07</t>
        </is>
      </c>
      <c r="F649" s="5" t="inlineStr">
        <is>
          <t>LNH0925NL01</t>
        </is>
      </c>
      <c r="G649" s="105" t="n">
        <v>8415000</v>
      </c>
      <c r="H649" s="19">
        <f>VLOOKUP(B649,'[1]TONG HOP'!B$5:G$624,6,0)</f>
        <v/>
      </c>
      <c r="I649" t="n">
        <v>1530000</v>
      </c>
    </row>
    <row r="650">
      <c r="A650" s="5" t="n">
        <v>644</v>
      </c>
      <c r="B650" s="5" t="inlineStr">
        <is>
          <t>25808300031</t>
        </is>
      </c>
      <c r="C650" s="6" t="inlineStr">
        <is>
          <t>Nguyeãn Ngoïc Thieân</t>
        </is>
      </c>
      <c r="D650" s="6" t="inlineStr">
        <is>
          <t>Ngaân</t>
        </is>
      </c>
      <c r="E650" s="5" t="inlineStr">
        <is>
          <t>22-Aug-07</t>
        </is>
      </c>
      <c r="F650" s="5" t="inlineStr">
        <is>
          <t>LNH0925ND01</t>
        </is>
      </c>
      <c r="G650" s="105" t="n">
        <v>8415000</v>
      </c>
      <c r="H650">
        <f>VLOOKUP(B650,'[1]TONG HOP'!B$5:G$624,6,0)</f>
        <v/>
      </c>
      <c r="I650" t="n">
        <v>2103750</v>
      </c>
    </row>
    <row r="651">
      <c r="A651" s="5" t="n">
        <v>645</v>
      </c>
      <c r="B651" s="5" t="inlineStr">
        <is>
          <t>25800400125</t>
        </is>
      </c>
      <c r="C651" s="6" t="inlineStr">
        <is>
          <t>Nguyeãn Xuaân</t>
        </is>
      </c>
      <c r="D651" s="6" t="inlineStr">
        <is>
          <t>Phuù</t>
        </is>
      </c>
      <c r="E651" s="5" t="inlineStr">
        <is>
          <t>25-Dec-07</t>
        </is>
      </c>
      <c r="F651" s="5" t="inlineStr">
        <is>
          <t>LNH0925ND01</t>
        </is>
      </c>
      <c r="G651" s="105" t="n">
        <v>8415000</v>
      </c>
      <c r="H651">
        <f>VLOOKUP(B651,'[1]TONG HOP'!B$5:G$624,6,0)</f>
        <v/>
      </c>
      <c r="I651" t="n">
        <v>2103750</v>
      </c>
    </row>
    <row r="652">
      <c r="A652" s="5" t="n">
        <v>646</v>
      </c>
      <c r="B652" s="5" t="inlineStr">
        <is>
          <t>25808700176</t>
        </is>
      </c>
      <c r="C652" s="6" t="inlineStr">
        <is>
          <t>Nguyeãn Baûo</t>
        </is>
      </c>
      <c r="D652" s="6" t="inlineStr">
        <is>
          <t>Uyeân</t>
        </is>
      </c>
      <c r="E652" s="5" t="inlineStr">
        <is>
          <t>13-Jul-07</t>
        </is>
      </c>
      <c r="F652" s="5" t="inlineStr">
        <is>
          <t>LNH0925ND01</t>
        </is>
      </c>
      <c r="G652" s="105" t="n">
        <v>8415000</v>
      </c>
      <c r="H652">
        <f>VLOOKUP(B652,'[1]TONG HOP'!B$5:G$624,6,0)</f>
        <v/>
      </c>
      <c r="I652" t="n">
        <v>2103750</v>
      </c>
    </row>
    <row r="653">
      <c r="A653" s="5" t="n">
        <v>647</v>
      </c>
      <c r="B653" s="5" t="inlineStr">
        <is>
          <t>25802800165</t>
        </is>
      </c>
      <c r="C653" s="6" t="inlineStr">
        <is>
          <t>Nguyeãn Kim</t>
        </is>
      </c>
      <c r="D653" s="6" t="inlineStr">
        <is>
          <t>Ngoïc</t>
        </is>
      </c>
      <c r="E653" s="5" t="inlineStr">
        <is>
          <t>19-Sep-07</t>
        </is>
      </c>
      <c r="F653" s="5" t="inlineStr">
        <is>
          <t>LNH0925ND01</t>
        </is>
      </c>
      <c r="G653" s="105" t="n">
        <v>8415000</v>
      </c>
      <c r="H653">
        <f>VLOOKUP(B653,'[1]TONG HOP'!B$5:G$624,6,0)</f>
        <v/>
      </c>
      <c r="I653" t="n">
        <v>2103750</v>
      </c>
    </row>
    <row r="654">
      <c r="A654" s="5" t="n">
        <v>648</v>
      </c>
      <c r="B654" s="5" t="inlineStr">
        <is>
          <t>25801400608</t>
        </is>
      </c>
      <c r="C654" s="6" t="inlineStr">
        <is>
          <t>Traàn Minh</t>
        </is>
      </c>
      <c r="D654" s="6" t="inlineStr">
        <is>
          <t>Thaønh</t>
        </is>
      </c>
      <c r="E654" s="5" t="inlineStr">
        <is>
          <t>16-Dec-07</t>
        </is>
      </c>
      <c r="F654" s="5" t="inlineStr">
        <is>
          <t>LNH0925ND01</t>
        </is>
      </c>
      <c r="G654" s="105" t="n">
        <v>8415000</v>
      </c>
      <c r="H654">
        <f>VLOOKUP(B654,'[1]TONG HOP'!B$5:G$624,6,0)</f>
        <v/>
      </c>
      <c r="I654" t="n">
        <v>2103750</v>
      </c>
    </row>
    <row r="655">
      <c r="A655" s="5" t="n">
        <v>649</v>
      </c>
      <c r="B655" s="5" t="inlineStr">
        <is>
          <t>25808200280</t>
        </is>
      </c>
      <c r="C655" s="6" t="inlineStr">
        <is>
          <t>Nguyeãn Vaên</t>
        </is>
      </c>
      <c r="D655" s="6" t="inlineStr">
        <is>
          <t>Trieàu</t>
        </is>
      </c>
      <c r="E655" s="5" t="inlineStr">
        <is>
          <t>12-Dec-07</t>
        </is>
      </c>
      <c r="F655" s="5" t="inlineStr">
        <is>
          <t>LNH0925ND01</t>
        </is>
      </c>
      <c r="G655" s="105" t="n">
        <v>8415000</v>
      </c>
      <c r="H655">
        <f>VLOOKUP(B655,'[1]TONG HOP'!B$5:G$624,6,0)</f>
        <v/>
      </c>
      <c r="I655" t="n">
        <v>2103750</v>
      </c>
    </row>
    <row r="656">
      <c r="A656" s="5" t="n">
        <v>650</v>
      </c>
      <c r="B656" s="5" t="inlineStr">
        <is>
          <t>25808700122</t>
        </is>
      </c>
      <c r="C656" s="6" t="inlineStr">
        <is>
          <t>Traàn Nhö</t>
        </is>
      </c>
      <c r="D656" s="6" t="inlineStr">
        <is>
          <t>YÙ</t>
        </is>
      </c>
      <c r="E656" s="5" t="inlineStr">
        <is>
          <t>21-Apr-07</t>
        </is>
      </c>
      <c r="F656" s="5" t="inlineStr">
        <is>
          <t>LNH0925ND01</t>
        </is>
      </c>
      <c r="G656" s="105" t="n">
        <v>8415000</v>
      </c>
      <c r="H656">
        <f>VLOOKUP(B656,'[1]TONG HOP'!B$5:G$624,6,0)</f>
        <v/>
      </c>
      <c r="I656" t="n">
        <v>2103750</v>
      </c>
    </row>
    <row r="657">
      <c r="A657" s="5" t="n">
        <v>651</v>
      </c>
      <c r="B657" s="5" t="inlineStr">
        <is>
          <t>25800400106</t>
        </is>
      </c>
      <c r="C657" s="6" t="inlineStr">
        <is>
          <t>Ñaëng Hieáu</t>
        </is>
      </c>
      <c r="D657" s="6" t="inlineStr">
        <is>
          <t>Nghóa</t>
        </is>
      </c>
      <c r="E657" s="5" t="inlineStr">
        <is>
          <t>06-May-07</t>
        </is>
      </c>
      <c r="F657" s="5" t="inlineStr">
        <is>
          <t>LNH0925ND01</t>
        </is>
      </c>
      <c r="G657" s="105" t="n">
        <v>8415000</v>
      </c>
      <c r="H657">
        <f>VLOOKUP(B657,'[1]TONG HOP'!B$5:G$624,6,0)</f>
        <v/>
      </c>
      <c r="I657" t="n">
        <v>2103750</v>
      </c>
    </row>
    <row r="658">
      <c r="A658" s="5" t="n">
        <v>652</v>
      </c>
      <c r="B658" s="5" t="inlineStr">
        <is>
          <t>25808200096</t>
        </is>
      </c>
      <c r="C658" s="6" t="inlineStr">
        <is>
          <t>Nguyeãn Ñöùc</t>
        </is>
      </c>
      <c r="D658" s="6" t="inlineStr">
        <is>
          <t>Nhaät</t>
        </is>
      </c>
      <c r="E658" s="5" t="inlineStr">
        <is>
          <t>05-Jul-07</t>
        </is>
      </c>
      <c r="F658" s="5" t="inlineStr">
        <is>
          <t>LNH0925ND01</t>
        </is>
      </c>
      <c r="G658" s="105" t="n">
        <v>8415000</v>
      </c>
      <c r="H658">
        <f>VLOOKUP(B658,'[1]TONG HOP'!B$5:G$624,6,0)</f>
        <v/>
      </c>
      <c r="I658" t="n">
        <v>2103750</v>
      </c>
    </row>
    <row r="659">
      <c r="A659" s="5" t="n">
        <v>653</v>
      </c>
      <c r="B659" s="5" t="inlineStr">
        <is>
          <t>25802100018</t>
        </is>
      </c>
      <c r="C659" s="6" t="inlineStr">
        <is>
          <t>Leâ Anh</t>
        </is>
      </c>
      <c r="D659" s="6" t="inlineStr">
        <is>
          <t>Khoa</t>
        </is>
      </c>
      <c r="E659" s="5" t="inlineStr">
        <is>
          <t>19-Dec-07</t>
        </is>
      </c>
      <c r="F659" s="5" t="inlineStr">
        <is>
          <t>LNH0925ND01</t>
        </is>
      </c>
      <c r="G659" s="105" t="n">
        <v>8415000</v>
      </c>
      <c r="H659">
        <f>VLOOKUP(B659,'[1]TONG HOP'!B$5:G$624,6,0)</f>
        <v/>
      </c>
      <c r="I659" t="n">
        <v>2103750</v>
      </c>
    </row>
    <row r="660">
      <c r="A660" s="5" t="n">
        <v>654</v>
      </c>
      <c r="B660" s="5" t="inlineStr">
        <is>
          <t>25802800070</t>
        </is>
      </c>
      <c r="C660" s="6" t="inlineStr">
        <is>
          <t>Leâ Thò Thu</t>
        </is>
      </c>
      <c r="D660" s="6" t="inlineStr">
        <is>
          <t>Hieàn</t>
        </is>
      </c>
      <c r="E660" s="5" t="inlineStr">
        <is>
          <t>13-Jun-07</t>
        </is>
      </c>
      <c r="F660" s="5" t="inlineStr">
        <is>
          <t>LNH0925ND01</t>
        </is>
      </c>
      <c r="G660" s="105" t="n">
        <v>8415000</v>
      </c>
      <c r="H660">
        <f>VLOOKUP(B660,'[1]TONG HOP'!B$5:G$624,6,0)</f>
        <v/>
      </c>
      <c r="I660" t="n">
        <v>2103750</v>
      </c>
    </row>
    <row r="661">
      <c r="A661" s="5" t="n">
        <v>655</v>
      </c>
      <c r="B661" s="5" t="inlineStr">
        <is>
          <t>25808200111</t>
        </is>
      </c>
      <c r="C661" s="6" t="inlineStr">
        <is>
          <t>Phaïm Hoaøng Taøi Ch</t>
        </is>
      </c>
      <c r="D661" s="6" t="inlineStr">
        <is>
          <t>Taâm</t>
        </is>
      </c>
      <c r="E661" s="5" t="inlineStr">
        <is>
          <t>18-Jul-07</t>
        </is>
      </c>
      <c r="F661" s="5" t="inlineStr">
        <is>
          <t>LNH0925ND01</t>
        </is>
      </c>
      <c r="G661" s="105" t="n">
        <v>8415000</v>
      </c>
      <c r="H661">
        <f>VLOOKUP(B661,'[1]TONG HOP'!B$5:G$624,6,0)</f>
        <v/>
      </c>
      <c r="I661" t="n">
        <v>2103750</v>
      </c>
    </row>
    <row r="662">
      <c r="A662" s="5" t="n">
        <v>656</v>
      </c>
      <c r="B662" s="5" t="inlineStr">
        <is>
          <t>25805900064</t>
        </is>
      </c>
      <c r="C662" s="6" t="inlineStr">
        <is>
          <t>Traàn Ngoïc Hoaøng</t>
        </is>
      </c>
      <c r="D662" s="6" t="inlineStr">
        <is>
          <t>Uyeân</t>
        </is>
      </c>
      <c r="E662" s="5" t="inlineStr">
        <is>
          <t>12-Aug-07</t>
        </is>
      </c>
      <c r="F662" s="5" t="inlineStr">
        <is>
          <t>LNH0925ND01</t>
        </is>
      </c>
      <c r="G662" s="105" t="n">
        <v>8415000</v>
      </c>
      <c r="H662">
        <f>VLOOKUP(B662,'[1]TONG HOP'!B$5:G$624,6,0)</f>
        <v/>
      </c>
      <c r="I662" t="n">
        <v>2103750</v>
      </c>
    </row>
    <row r="663">
      <c r="A663" s="5" t="n">
        <v>657</v>
      </c>
      <c r="B663" s="5" t="inlineStr">
        <is>
          <t>25820300088</t>
        </is>
      </c>
      <c r="C663" s="6" t="inlineStr">
        <is>
          <t>Noâng Thanh</t>
        </is>
      </c>
      <c r="D663" s="6" t="inlineStr">
        <is>
          <t>Quyeàn</t>
        </is>
      </c>
      <c r="E663" s="5" t="inlineStr">
        <is>
          <t>15-Feb-07</t>
        </is>
      </c>
      <c r="F663" s="5" t="inlineStr">
        <is>
          <t>LNH0925ND01</t>
        </is>
      </c>
      <c r="G663" s="105" t="n">
        <v>8415000</v>
      </c>
      <c r="H663">
        <f>VLOOKUP(B663,'[1]TONG HOP'!B$5:G$624,6,0)</f>
        <v/>
      </c>
      <c r="I663" t="n">
        <v>2103750</v>
      </c>
    </row>
    <row r="664">
      <c r="A664" s="5" t="n">
        <v>658</v>
      </c>
      <c r="B664" s="5" t="inlineStr">
        <is>
          <t>25808900043</t>
        </is>
      </c>
      <c r="C664" s="6" t="inlineStr">
        <is>
          <t>Huyønh Xuaân</t>
        </is>
      </c>
      <c r="D664" s="6" t="inlineStr">
        <is>
          <t>Huøng</t>
        </is>
      </c>
      <c r="E664" s="5" t="inlineStr">
        <is>
          <t>16-Aug-07</t>
        </is>
      </c>
      <c r="F664" s="5" t="inlineStr">
        <is>
          <t>LNH0925ND01</t>
        </is>
      </c>
      <c r="G664" s="105" t="n">
        <v>8415000</v>
      </c>
      <c r="H664">
        <f>VLOOKUP(B664,'[1]TONG HOP'!B$5:G$624,6,0)</f>
        <v/>
      </c>
      <c r="I664" t="n">
        <v>2103750</v>
      </c>
    </row>
    <row r="665">
      <c r="A665" s="5" t="n">
        <v>659</v>
      </c>
      <c r="B665" s="5" t="inlineStr">
        <is>
          <t>25809600017</t>
        </is>
      </c>
      <c r="C665" s="6" t="inlineStr">
        <is>
          <t>Phan Nguyeãn Anh</t>
        </is>
      </c>
      <c r="D665" s="6" t="inlineStr">
        <is>
          <t>Ñöùc</t>
        </is>
      </c>
      <c r="E665" s="5" t="inlineStr">
        <is>
          <t>24-Nov-07</t>
        </is>
      </c>
      <c r="F665" s="5" t="inlineStr">
        <is>
          <t>LNH0925ND01</t>
        </is>
      </c>
      <c r="G665" s="105" t="n">
        <v>8415000</v>
      </c>
      <c r="H665">
        <f>VLOOKUP(B665,'[1]TONG HOP'!B$5:G$624,6,0)</f>
        <v/>
      </c>
      <c r="I665" t="n">
        <v>2103750</v>
      </c>
    </row>
    <row r="666">
      <c r="A666" s="5" t="n">
        <v>660</v>
      </c>
      <c r="B666" s="5" t="inlineStr">
        <is>
          <t>25806500015</t>
        </is>
      </c>
      <c r="C666" s="6" t="inlineStr">
        <is>
          <t>Ñaëng Taát</t>
        </is>
      </c>
      <c r="D666" s="6" t="inlineStr">
        <is>
          <t>Thaéng</t>
        </is>
      </c>
      <c r="E666" s="5" t="inlineStr">
        <is>
          <t>16-May-07</t>
        </is>
      </c>
      <c r="F666" s="5" t="inlineStr">
        <is>
          <t>LNH0925ND01</t>
        </is>
      </c>
      <c r="G666" s="105" t="n">
        <v>8415000</v>
      </c>
      <c r="H666">
        <f>VLOOKUP(B666,'[1]TONG HOP'!B$5:G$624,6,0)</f>
        <v/>
      </c>
      <c r="I666" t="n">
        <v>2103750</v>
      </c>
    </row>
    <row r="667">
      <c r="A667" s="5" t="n">
        <v>661</v>
      </c>
      <c r="B667" s="5" t="inlineStr">
        <is>
          <t>25808200125</t>
        </is>
      </c>
      <c r="C667" s="6" t="inlineStr">
        <is>
          <t>Döông Vaên Minh</t>
        </is>
      </c>
      <c r="D667" s="6" t="inlineStr">
        <is>
          <t>Thoâng</t>
        </is>
      </c>
      <c r="E667" s="5" t="inlineStr">
        <is>
          <t>23-Sep-07</t>
        </is>
      </c>
      <c r="F667" s="5" t="inlineStr">
        <is>
          <t>LNH0925ND01</t>
        </is>
      </c>
      <c r="G667" s="105" t="n">
        <v>8415000</v>
      </c>
      <c r="H667">
        <f>VLOOKUP(B667,'[1]TONG HOP'!B$5:G$624,6,0)</f>
        <v/>
      </c>
      <c r="I667" t="n">
        <v>2103750</v>
      </c>
    </row>
    <row r="668">
      <c r="A668" s="5" t="n">
        <v>662</v>
      </c>
      <c r="B668" s="5" t="inlineStr">
        <is>
          <t>25801100001</t>
        </is>
      </c>
      <c r="C668" s="6" t="inlineStr">
        <is>
          <t>Ñinh Tuaán</t>
        </is>
      </c>
      <c r="D668" s="6" t="inlineStr">
        <is>
          <t>Anh</t>
        </is>
      </c>
      <c r="E668" s="5" t="inlineStr">
        <is>
          <t>28-Dec-07</t>
        </is>
      </c>
      <c r="F668" s="5" t="inlineStr">
        <is>
          <t>LNH0925ND01</t>
        </is>
      </c>
      <c r="G668" s="105" t="n">
        <v>8415000</v>
      </c>
      <c r="H668">
        <f>VLOOKUP(B668,'[1]TONG HOP'!B$5:G$624,6,0)</f>
        <v/>
      </c>
      <c r="I668" t="n">
        <v>2103750</v>
      </c>
    </row>
    <row r="669">
      <c r="A669" s="5" t="n">
        <v>663</v>
      </c>
      <c r="B669" s="5" t="inlineStr">
        <is>
          <t>25808900132</t>
        </is>
      </c>
      <c r="C669" s="6" t="inlineStr">
        <is>
          <t>Phaïm Thanh</t>
        </is>
      </c>
      <c r="D669" s="6" t="inlineStr">
        <is>
          <t>Toaøn</t>
        </is>
      </c>
      <c r="E669" s="5" t="inlineStr">
        <is>
          <t>14-Feb-07</t>
        </is>
      </c>
      <c r="F669" s="5" t="inlineStr">
        <is>
          <t>LNH0925ND01</t>
        </is>
      </c>
      <c r="G669" s="105" t="n">
        <v>8415000</v>
      </c>
      <c r="H669">
        <f>VLOOKUP(B669,'[1]TONG HOP'!B$5:G$624,6,0)</f>
        <v/>
      </c>
      <c r="I669" t="n">
        <v>2103750</v>
      </c>
    </row>
    <row r="670">
      <c r="A670" s="5" t="n">
        <v>664</v>
      </c>
      <c r="B670" s="5" t="inlineStr">
        <is>
          <t>25802800010</t>
        </is>
      </c>
      <c r="C670" s="6" t="inlineStr">
        <is>
          <t>Phaïm Thò Ngoïc</t>
        </is>
      </c>
      <c r="D670" s="6" t="inlineStr">
        <is>
          <t>Anh</t>
        </is>
      </c>
      <c r="E670" s="5" t="inlineStr">
        <is>
          <t>27-Sep-07</t>
        </is>
      </c>
      <c r="F670" s="5" t="inlineStr">
        <is>
          <t>LNH0925ND01</t>
        </is>
      </c>
      <c r="G670" s="105" t="n">
        <v>8415000</v>
      </c>
      <c r="H670">
        <f>VLOOKUP(B670,'[1]TONG HOP'!B$5:G$624,6,0)</f>
        <v/>
      </c>
      <c r="I670" t="n">
        <v>2103750</v>
      </c>
    </row>
    <row r="671">
      <c r="A671" s="5" t="n">
        <v>665</v>
      </c>
      <c r="B671" s="5" t="inlineStr">
        <is>
          <t>25800500005</t>
        </is>
      </c>
      <c r="C671" s="6" t="inlineStr">
        <is>
          <t>Leâ Tuaán</t>
        </is>
      </c>
      <c r="D671" s="6" t="inlineStr">
        <is>
          <t>Anh</t>
        </is>
      </c>
      <c r="E671" s="5" t="inlineStr">
        <is>
          <t>27-May-07</t>
        </is>
      </c>
      <c r="F671" s="5" t="inlineStr">
        <is>
          <t>LNH0925ND01</t>
        </is>
      </c>
      <c r="G671" s="105" t="n">
        <v>8415000</v>
      </c>
      <c r="H671">
        <f>VLOOKUP(B671,'[1]TONG HOP'!B$5:G$624,6,0)</f>
        <v/>
      </c>
      <c r="I671" t="n">
        <v>2103750</v>
      </c>
    </row>
    <row r="672">
      <c r="A672" s="5" t="n">
        <v>666</v>
      </c>
      <c r="B672" s="5" t="inlineStr">
        <is>
          <t>25802100069</t>
        </is>
      </c>
      <c r="C672" s="6" t="inlineStr">
        <is>
          <t>Löông Baûo</t>
        </is>
      </c>
      <c r="D672" s="6" t="inlineStr">
        <is>
          <t>Huy</t>
        </is>
      </c>
      <c r="E672" s="5" t="inlineStr">
        <is>
          <t>16-Feb-07</t>
        </is>
      </c>
      <c r="F672" s="5" t="inlineStr">
        <is>
          <t>LNH0925ND01</t>
        </is>
      </c>
      <c r="G672" s="105" t="n">
        <v>8415000</v>
      </c>
      <c r="H672">
        <f>VLOOKUP(B672,'[1]TONG HOP'!B$5:G$624,6,0)</f>
        <v/>
      </c>
      <c r="I672" t="n">
        <v>2103750</v>
      </c>
    </row>
    <row r="673">
      <c r="A673" s="5" t="n">
        <v>667</v>
      </c>
      <c r="B673" s="5" t="inlineStr">
        <is>
          <t>25808200225</t>
        </is>
      </c>
      <c r="C673" s="6" t="inlineStr">
        <is>
          <t>Nguyeãn Quoác</t>
        </is>
      </c>
      <c r="D673" s="6" t="inlineStr">
        <is>
          <t>Vieät</t>
        </is>
      </c>
      <c r="E673" s="5" t="inlineStr">
        <is>
          <t>02-Sep-06</t>
        </is>
      </c>
      <c r="F673" s="5" t="inlineStr">
        <is>
          <t>LNH0925ND01</t>
        </is>
      </c>
      <c r="G673" s="105" t="n">
        <v>8415000</v>
      </c>
      <c r="H673">
        <f>VLOOKUP(B673,'[1]TONG HOP'!B$5:G$624,6,0)</f>
        <v/>
      </c>
      <c r="I673" t="n">
        <v>2103750</v>
      </c>
    </row>
    <row r="674">
      <c r="A674" s="5" t="n">
        <v>668</v>
      </c>
      <c r="B674" s="5" t="inlineStr">
        <is>
          <t>25808900047</t>
        </is>
      </c>
      <c r="C674" s="6" t="inlineStr">
        <is>
          <t>Nguyeãn Kim</t>
        </is>
      </c>
      <c r="D674" s="6" t="inlineStr">
        <is>
          <t>Huy</t>
        </is>
      </c>
      <c r="E674" s="5" t="inlineStr">
        <is>
          <t>17-Apr-07</t>
        </is>
      </c>
      <c r="F674" s="5" t="inlineStr">
        <is>
          <t>LNH0925ND01</t>
        </is>
      </c>
      <c r="G674" s="105" t="n">
        <v>8415000</v>
      </c>
      <c r="H674">
        <f>VLOOKUP(B674,'[1]TONG HOP'!B$5:G$624,6,0)</f>
        <v/>
      </c>
      <c r="I674" t="n">
        <v>2103750</v>
      </c>
    </row>
    <row r="675">
      <c r="A675" s="5" t="n">
        <v>669</v>
      </c>
      <c r="B675" s="5" t="inlineStr">
        <is>
          <t>25801800061</t>
        </is>
      </c>
      <c r="C675" s="6" t="inlineStr">
        <is>
          <t>Nguyeãn Hoaøng</t>
        </is>
      </c>
      <c r="D675" s="6" t="inlineStr">
        <is>
          <t>Sang</t>
        </is>
      </c>
      <c r="E675" s="5" t="inlineStr">
        <is>
          <t>27-Dec-07</t>
        </is>
      </c>
      <c r="F675" s="5" t="inlineStr">
        <is>
          <t>LNH0925ND01</t>
        </is>
      </c>
      <c r="G675" s="105" t="n">
        <v>8415000</v>
      </c>
      <c r="H675">
        <f>VLOOKUP(B675,'[1]TONG HOP'!B$5:G$624,6,0)</f>
        <v/>
      </c>
      <c r="I675" t="n">
        <v>2103750</v>
      </c>
    </row>
    <row r="676">
      <c r="A676" s="5" t="n">
        <v>670</v>
      </c>
      <c r="B676" s="5" t="inlineStr">
        <is>
          <t>25802600031</t>
        </is>
      </c>
      <c r="C676" s="6" t="inlineStr">
        <is>
          <t>Nguyeãn Ñaëng Minh</t>
        </is>
      </c>
      <c r="D676" s="6" t="inlineStr">
        <is>
          <t>Ñaït</t>
        </is>
      </c>
      <c r="E676" s="5" t="inlineStr">
        <is>
          <t>19-Nov-07</t>
        </is>
      </c>
      <c r="F676" s="5" t="inlineStr">
        <is>
          <t>LNH0925ND01</t>
        </is>
      </c>
      <c r="G676" s="105" t="n">
        <v>8415000</v>
      </c>
      <c r="H676">
        <f>VLOOKUP(B676,'[1]TONG HOP'!B$5:G$624,6,0)</f>
        <v/>
      </c>
      <c r="I676" t="n">
        <v>2103750</v>
      </c>
    </row>
    <row r="677">
      <c r="A677" s="5" t="n">
        <v>671</v>
      </c>
      <c r="B677" s="5" t="inlineStr">
        <is>
          <t>25801500098</t>
        </is>
      </c>
      <c r="C677" s="6" t="inlineStr">
        <is>
          <t>Nguyeãn Ñaëng Minh</t>
        </is>
      </c>
      <c r="D677" s="6" t="inlineStr">
        <is>
          <t>Trí</t>
        </is>
      </c>
      <c r="E677" s="5" t="inlineStr">
        <is>
          <t>19-Nov-07</t>
        </is>
      </c>
      <c r="F677" s="5" t="inlineStr">
        <is>
          <t>LNH0925ND01</t>
        </is>
      </c>
      <c r="G677" s="105" t="n">
        <v>8415000</v>
      </c>
      <c r="H677">
        <f>VLOOKUP(B677,'[1]TONG HOP'!B$5:G$624,6,0)</f>
        <v/>
      </c>
      <c r="I677" t="n">
        <v>2103750</v>
      </c>
    </row>
    <row r="678">
      <c r="A678" s="5" t="n">
        <v>672</v>
      </c>
      <c r="B678" s="5" t="inlineStr">
        <is>
          <t>25808900109</t>
        </is>
      </c>
      <c r="C678" s="6" t="inlineStr">
        <is>
          <t>Leâ Vaên</t>
        </is>
      </c>
      <c r="D678" s="6" t="inlineStr">
        <is>
          <t>Taán</t>
        </is>
      </c>
      <c r="E678" s="5" t="inlineStr">
        <is>
          <t>01-Nov-07</t>
        </is>
      </c>
      <c r="F678" s="5" t="inlineStr">
        <is>
          <t>LNH0925ND01</t>
        </is>
      </c>
      <c r="G678" s="105" t="n">
        <v>8415000</v>
      </c>
      <c r="H678">
        <f>VLOOKUP(B678,'[1]TONG HOP'!B$5:G$624,6,0)</f>
        <v/>
      </c>
      <c r="I678" t="n">
        <v>2103750</v>
      </c>
    </row>
    <row r="679">
      <c r="A679" s="5" t="n">
        <v>673</v>
      </c>
      <c r="B679" s="5" t="inlineStr">
        <is>
          <t>25808900014</t>
        </is>
      </c>
      <c r="C679" s="6" t="inlineStr">
        <is>
          <t>Traàn Minh</t>
        </is>
      </c>
      <c r="D679" s="6" t="inlineStr">
        <is>
          <t>Chí</t>
        </is>
      </c>
      <c r="E679" s="5" t="inlineStr">
        <is>
          <t>10-Oct-07</t>
        </is>
      </c>
      <c r="F679" s="5" t="inlineStr">
        <is>
          <t>LNH0925ND01</t>
        </is>
      </c>
      <c r="G679" s="105" t="n">
        <v>8415000</v>
      </c>
      <c r="H679">
        <f>VLOOKUP(B679,'[1]TONG HOP'!B$5:G$624,6,0)</f>
        <v/>
      </c>
      <c r="I679" t="n">
        <v>2103750</v>
      </c>
    </row>
    <row r="680">
      <c r="A680" s="5" t="n">
        <v>674</v>
      </c>
      <c r="B680" s="5" t="inlineStr">
        <is>
          <t>25802800113</t>
        </is>
      </c>
      <c r="C680" s="6" t="inlineStr">
        <is>
          <t>Huyønh Phaïm Ñaêng</t>
        </is>
      </c>
      <c r="D680" s="6" t="inlineStr">
        <is>
          <t>Khoa</t>
        </is>
      </c>
      <c r="E680" s="5" t="inlineStr">
        <is>
          <t>29-Dec-07</t>
        </is>
      </c>
      <c r="F680" s="5" t="inlineStr">
        <is>
          <t>LNH0925ND01</t>
        </is>
      </c>
      <c r="G680" s="105" t="n">
        <v>5000000</v>
      </c>
      <c r="H680">
        <f>VLOOKUP(B680,'[1]TONG HOP'!B$5:G$624,6,0)</f>
        <v/>
      </c>
      <c r="I680" t="n">
        <v>2232500</v>
      </c>
    </row>
    <row r="681">
      <c r="A681" s="5" t="n">
        <v>675</v>
      </c>
      <c r="B681" s="5" t="inlineStr">
        <is>
          <t>25807800040</t>
        </is>
      </c>
      <c r="C681" s="6" t="inlineStr">
        <is>
          <t>Nguyeãn Theá</t>
        </is>
      </c>
      <c r="D681" s="6" t="inlineStr">
        <is>
          <t>Haûi</t>
        </is>
      </c>
      <c r="E681" s="5" t="inlineStr">
        <is>
          <t>04-Jun-07</t>
        </is>
      </c>
      <c r="F681" s="5" t="inlineStr">
        <is>
          <t>LNH0925ND01</t>
        </is>
      </c>
      <c r="G681" s="105" t="n">
        <v>500000</v>
      </c>
    </row>
    <row r="682">
      <c r="A682" s="5" t="n">
        <v>676</v>
      </c>
      <c r="B682" s="5" t="inlineStr">
        <is>
          <t>25800500004</t>
        </is>
      </c>
      <c r="C682" s="6" t="inlineStr">
        <is>
          <t>Leâ Nguyeãn Vieät</t>
        </is>
      </c>
      <c r="D682" s="6" t="inlineStr">
        <is>
          <t>Anh</t>
        </is>
      </c>
      <c r="E682" s="5" t="inlineStr">
        <is>
          <t>09-Jul-07</t>
        </is>
      </c>
      <c r="F682" s="5" t="inlineStr">
        <is>
          <t>LNH0925ND01</t>
        </is>
      </c>
      <c r="G682" s="105" t="n">
        <v>1000000</v>
      </c>
    </row>
    <row r="683">
      <c r="A683" s="5" t="n">
        <v>677</v>
      </c>
      <c r="B683" s="5" t="inlineStr">
        <is>
          <t>25808200090</t>
        </is>
      </c>
      <c r="C683" s="6" t="inlineStr">
        <is>
          <t>Phan Tuaán</t>
        </is>
      </c>
      <c r="D683" s="6" t="inlineStr">
        <is>
          <t>Nghóa</t>
        </is>
      </c>
      <c r="E683" s="5" t="inlineStr">
        <is>
          <t>02-Dec-07</t>
        </is>
      </c>
      <c r="F683" s="5" t="inlineStr">
        <is>
          <t>LNH0925ND01</t>
        </is>
      </c>
      <c r="G683" s="105" t="n">
        <v>4465000</v>
      </c>
      <c r="H683">
        <f>VLOOKUP(B683,'[1]TONG HOP'!B$5:G$624,6,0)</f>
        <v/>
      </c>
      <c r="I683" t="n">
        <v>2232500</v>
      </c>
    </row>
    <row r="684">
      <c r="A684" s="5" t="n">
        <v>678</v>
      </c>
      <c r="B684" s="5" t="inlineStr">
        <is>
          <t>25802800351</t>
        </is>
      </c>
      <c r="C684" s="6" t="inlineStr">
        <is>
          <t>Nguyeãn Duy</t>
        </is>
      </c>
      <c r="D684" s="6" t="inlineStr">
        <is>
          <t>Thaéng</t>
        </is>
      </c>
      <c r="E684" s="5" t="inlineStr">
        <is>
          <t>19-Aug-07</t>
        </is>
      </c>
      <c r="F684" s="5" t="inlineStr">
        <is>
          <t>LNH0925ND01</t>
        </is>
      </c>
      <c r="G684" s="105" t="n">
        <v>8415000</v>
      </c>
      <c r="H684">
        <f>VLOOKUP(B684,'[1]TONG HOP'!B$5:G$624,6,0)</f>
        <v/>
      </c>
      <c r="I684" t="n">
        <v>2103750</v>
      </c>
    </row>
    <row r="685">
      <c r="A685" s="5" t="n">
        <v>679</v>
      </c>
      <c r="B685" s="5" t="inlineStr">
        <is>
          <t>25801800183</t>
        </is>
      </c>
      <c r="C685" s="6" t="inlineStr">
        <is>
          <t>Traàn Thò Minh</t>
        </is>
      </c>
      <c r="D685" s="6" t="inlineStr">
        <is>
          <t>Tuù</t>
        </is>
      </c>
      <c r="E685" s="5" t="inlineStr">
        <is>
          <t>14-Feb-07</t>
        </is>
      </c>
      <c r="F685" s="5" t="inlineStr">
        <is>
          <t>LNH0925ND01</t>
        </is>
      </c>
      <c r="G685" s="105" t="n">
        <v>8415000</v>
      </c>
      <c r="H685">
        <f>VLOOKUP(B685,'[1]TONG HOP'!B$5:G$624,6,0)</f>
        <v/>
      </c>
      <c r="I685" t="n">
        <v>2103750</v>
      </c>
    </row>
    <row r="686">
      <c r="A686" s="5" t="n">
        <v>680</v>
      </c>
      <c r="B686" s="5" t="inlineStr">
        <is>
          <t>25820200048</t>
        </is>
      </c>
      <c r="C686" s="6" t="inlineStr">
        <is>
          <t>Vuõ Thieân</t>
        </is>
      </c>
      <c r="D686" s="6" t="inlineStr">
        <is>
          <t>Phuù</t>
        </is>
      </c>
      <c r="E686" s="5" t="inlineStr">
        <is>
          <t>06-Jan-07</t>
        </is>
      </c>
      <c r="F686" s="5" t="inlineStr">
        <is>
          <t>LNH0925ND01</t>
        </is>
      </c>
      <c r="G686" s="105" t="n">
        <v>1000000</v>
      </c>
    </row>
    <row r="687">
      <c r="A687" s="5" t="n">
        <v>681</v>
      </c>
      <c r="B687" s="5" t="inlineStr">
        <is>
          <t>25808200137</t>
        </is>
      </c>
      <c r="C687" s="6" t="inlineStr">
        <is>
          <t>Traàn Minh</t>
        </is>
      </c>
      <c r="D687" s="6" t="inlineStr">
        <is>
          <t>Tuù</t>
        </is>
      </c>
      <c r="E687" s="5" t="inlineStr">
        <is>
          <t>30-Apr-07</t>
        </is>
      </c>
      <c r="F687" s="5" t="inlineStr">
        <is>
          <t>LNH0925ND01</t>
        </is>
      </c>
      <c r="G687" s="105" t="n">
        <v>8415000</v>
      </c>
      <c r="H687">
        <f>VLOOKUP(B687,'[1]TONG HOP'!B$5:G$624,6,0)</f>
        <v/>
      </c>
      <c r="I687" t="n">
        <v>2103750</v>
      </c>
    </row>
    <row r="688">
      <c r="A688" s="5" t="n">
        <v>682</v>
      </c>
      <c r="B688" s="5" t="inlineStr">
        <is>
          <t>25820100086</t>
        </is>
      </c>
      <c r="C688" s="6" t="inlineStr">
        <is>
          <t>Nguyeãn Tuaán</t>
        </is>
      </c>
      <c r="D688" s="6" t="inlineStr">
        <is>
          <t>Anh</t>
        </is>
      </c>
      <c r="E688" s="5" t="inlineStr">
        <is>
          <t>10-Apr-07</t>
        </is>
      </c>
      <c r="F688" s="5" t="inlineStr">
        <is>
          <t>LNH0925ND01</t>
        </is>
      </c>
      <c r="G688" s="105" t="n">
        <v>4465000</v>
      </c>
      <c r="H688">
        <f>VLOOKUP(B688,'[1]TONG HOP'!B$5:G$624,6,0)</f>
        <v/>
      </c>
      <c r="I688" t="n">
        <v>2232500</v>
      </c>
    </row>
    <row r="689">
      <c r="A689" s="5" t="n">
        <v>683</v>
      </c>
      <c r="B689" s="5" t="inlineStr">
        <is>
          <t>25808300040</t>
        </is>
      </c>
      <c r="C689" s="6" t="inlineStr">
        <is>
          <t>Cao Chung Thaùi</t>
        </is>
      </c>
      <c r="D689" s="6" t="inlineStr">
        <is>
          <t>Sôn</t>
        </is>
      </c>
      <c r="E689" s="5" t="inlineStr">
        <is>
          <t>01-Jan-03</t>
        </is>
      </c>
      <c r="F689" s="5" t="inlineStr">
        <is>
          <t>LNH0925ND01</t>
        </is>
      </c>
      <c r="G689" s="105" t="n">
        <v>8415000</v>
      </c>
      <c r="H689">
        <f>VLOOKUP(B689,'[1]TONG HOP'!B$5:G$624,6,0)</f>
        <v/>
      </c>
      <c r="I689" t="n">
        <v>2103750</v>
      </c>
    </row>
    <row r="690">
      <c r="A690" s="5" t="n">
        <v>684</v>
      </c>
      <c r="B690" s="5" t="inlineStr">
        <is>
          <t>25807800050</t>
        </is>
      </c>
      <c r="C690" s="6" t="inlineStr">
        <is>
          <t>Voõ Löông Nhaät</t>
        </is>
      </c>
      <c r="D690" s="6" t="inlineStr">
        <is>
          <t>Hoaøng</t>
        </is>
      </c>
      <c r="E690" s="5" t="inlineStr">
        <is>
          <t>25-Jun-07</t>
        </is>
      </c>
      <c r="F690" s="5" t="inlineStr">
        <is>
          <t>LNH0925ND01</t>
        </is>
      </c>
      <c r="G690" s="105" t="n">
        <v>8415000</v>
      </c>
      <c r="H690">
        <f>VLOOKUP(B690,'[1]TONG HOP'!B$5:G$624,6,0)</f>
        <v/>
      </c>
      <c r="I690" t="n">
        <v>2103750</v>
      </c>
    </row>
    <row r="691">
      <c r="A691" s="5" t="n">
        <v>685</v>
      </c>
      <c r="B691" s="5" t="inlineStr">
        <is>
          <t>25806000105</t>
        </is>
      </c>
      <c r="C691" s="6" t="inlineStr">
        <is>
          <t>Vuõ Ñoã Nhö</t>
        </is>
      </c>
      <c r="D691" s="6" t="inlineStr">
        <is>
          <t>Quyønh</t>
        </is>
      </c>
      <c r="E691" s="5" t="inlineStr">
        <is>
          <t>26-Feb-07</t>
        </is>
      </c>
      <c r="F691" s="5" t="inlineStr">
        <is>
          <t>LNH0925ND01</t>
        </is>
      </c>
      <c r="G691" s="105" t="n">
        <v>8415000</v>
      </c>
      <c r="H691">
        <f>VLOOKUP(B691,'[1]TONG HOP'!B$5:G$624,6,0)</f>
        <v/>
      </c>
      <c r="I691" t="n">
        <v>2103750</v>
      </c>
    </row>
    <row r="692">
      <c r="A692" s="5" t="n">
        <v>686</v>
      </c>
      <c r="B692" s="5" t="inlineStr">
        <is>
          <t>25807800153</t>
        </is>
      </c>
      <c r="C692" s="6" t="inlineStr">
        <is>
          <t>Hoaøng Vaên</t>
        </is>
      </c>
      <c r="D692" s="6" t="inlineStr">
        <is>
          <t>Tröôøng</t>
        </is>
      </c>
      <c r="E692" s="5" t="inlineStr">
        <is>
          <t>11-Apr-07</t>
        </is>
      </c>
      <c r="F692" s="5" t="inlineStr">
        <is>
          <t>LNH0925ND01</t>
        </is>
      </c>
      <c r="G692" s="105" t="n">
        <v>8415000</v>
      </c>
    </row>
    <row r="693">
      <c r="A693" s="5" t="n">
        <v>687</v>
      </c>
      <c r="B693" s="5" t="inlineStr">
        <is>
          <t>25820300085</t>
        </is>
      </c>
      <c r="C693" s="6" t="inlineStr">
        <is>
          <t>Nguyeãn Hoaøng Troïn</t>
        </is>
      </c>
      <c r="D693" s="6" t="inlineStr">
        <is>
          <t>Phuù</t>
        </is>
      </c>
      <c r="E693" s="5" t="inlineStr">
        <is>
          <t>05-Aug-07</t>
        </is>
      </c>
      <c r="F693" s="5" t="inlineStr">
        <is>
          <t>LNH0925ND01</t>
        </is>
      </c>
      <c r="G693" s="105" t="n">
        <v>8415000</v>
      </c>
      <c r="H693">
        <f>VLOOKUP(B693,'[1]TONG HOP'!B$5:G$624,6,0)</f>
        <v/>
      </c>
      <c r="I693" t="n">
        <v>2103750</v>
      </c>
    </row>
    <row r="694">
      <c r="A694" s="5" t="n">
        <v>688</v>
      </c>
      <c r="B694" s="5" t="inlineStr">
        <is>
          <t>25808600090</t>
        </is>
      </c>
      <c r="C694" s="6" t="inlineStr">
        <is>
          <t>Ñoã Thò Minh</t>
        </is>
      </c>
      <c r="D694" s="6" t="inlineStr">
        <is>
          <t>Phöông</t>
        </is>
      </c>
      <c r="E694" s="5" t="inlineStr">
        <is>
          <t>13-May-07</t>
        </is>
      </c>
      <c r="F694" s="5" t="inlineStr">
        <is>
          <t>LNH0925ND01</t>
        </is>
      </c>
      <c r="G694" s="105" t="n">
        <v>8415000</v>
      </c>
      <c r="H694">
        <f>VLOOKUP(B694,'[1]TONG HOP'!B$5:G$624,6,0)</f>
        <v/>
      </c>
      <c r="I694" t="n">
        <v>2103750</v>
      </c>
    </row>
    <row r="695">
      <c r="A695" s="5" t="n">
        <v>689</v>
      </c>
      <c r="B695" s="5" t="inlineStr">
        <is>
          <t>25808600067</t>
        </is>
      </c>
      <c r="C695" s="6" t="inlineStr">
        <is>
          <t>Voõ Leâ Thaûo</t>
        </is>
      </c>
      <c r="D695" s="6" t="inlineStr">
        <is>
          <t>My</t>
        </is>
      </c>
      <c r="E695" s="5" t="inlineStr">
        <is>
          <t>12-Oct-07</t>
        </is>
      </c>
      <c r="F695" s="5" t="inlineStr">
        <is>
          <t>LNH0925ND01</t>
        </is>
      </c>
      <c r="G695" s="105" t="n">
        <v>4465000</v>
      </c>
      <c r="H695">
        <f>VLOOKUP(B695,'[1]TONG HOP'!B$5:G$624,6,0)</f>
        <v/>
      </c>
      <c r="I695" t="n">
        <v>2232500</v>
      </c>
    </row>
    <row r="696">
      <c r="A696" s="5" t="n">
        <v>690</v>
      </c>
      <c r="B696" s="5" t="inlineStr">
        <is>
          <t>25800400150</t>
        </is>
      </c>
      <c r="C696" s="6" t="inlineStr">
        <is>
          <t>Löu Nguyeãn Minh</t>
        </is>
      </c>
      <c r="D696" s="6" t="inlineStr">
        <is>
          <t>Thoâng</t>
        </is>
      </c>
      <c r="E696" s="5" t="inlineStr">
        <is>
          <t>11-Apr-07</t>
        </is>
      </c>
      <c r="F696" s="5" t="inlineStr">
        <is>
          <t>LNH0925ND01</t>
        </is>
      </c>
      <c r="G696" s="105" t="n">
        <v>8415000</v>
      </c>
      <c r="H696">
        <f>VLOOKUP(B696,'[1]TONG HOP'!B$5:G$624,6,0)</f>
        <v/>
      </c>
      <c r="I696" t="n">
        <v>2103750</v>
      </c>
    </row>
    <row r="697">
      <c r="A697" s="5" t="n">
        <v>691</v>
      </c>
      <c r="B697" s="5" t="inlineStr">
        <is>
          <t>25808600257</t>
        </is>
      </c>
      <c r="C697" s="6" t="inlineStr">
        <is>
          <t>Traàn Anh</t>
        </is>
      </c>
      <c r="D697" s="6" t="inlineStr">
        <is>
          <t>Khoa</t>
        </is>
      </c>
      <c r="E697" s="5" t="inlineStr">
        <is>
          <t>22-May-07</t>
        </is>
      </c>
      <c r="F697" s="5" t="inlineStr">
        <is>
          <t>LNH0925ND01</t>
        </is>
      </c>
      <c r="G697" s="105" t="n">
        <v>1000000</v>
      </c>
    </row>
    <row r="698">
      <c r="A698" s="5" t="n">
        <v>692</v>
      </c>
      <c r="B698" s="5" t="inlineStr">
        <is>
          <t>25801200066</t>
        </is>
      </c>
      <c r="C698" s="6" t="inlineStr">
        <is>
          <t>Leâ Nguyeãn Hoaøi</t>
        </is>
      </c>
      <c r="D698" s="6" t="inlineStr">
        <is>
          <t>Thöông</t>
        </is>
      </c>
      <c r="E698" s="5" t="inlineStr">
        <is>
          <t>30-Aug-07</t>
        </is>
      </c>
      <c r="F698" s="5" t="inlineStr">
        <is>
          <t>LNH0925ND01</t>
        </is>
      </c>
      <c r="G698" s="105" t="n">
        <v>8415000</v>
      </c>
      <c r="H698">
        <f>VLOOKUP(B698,'[1]TONG HOP'!B$5:G$624,6,0)</f>
        <v/>
      </c>
      <c r="I698" t="n">
        <v>2103750</v>
      </c>
    </row>
    <row r="699">
      <c r="A699" s="5" t="n">
        <v>693</v>
      </c>
      <c r="B699" s="5" t="inlineStr">
        <is>
          <t>25806800069</t>
        </is>
      </c>
      <c r="C699" s="6" t="inlineStr">
        <is>
          <t>Phaïm Thò Ñaøo</t>
        </is>
      </c>
      <c r="D699" s="6" t="inlineStr">
        <is>
          <t>Thu</t>
        </is>
      </c>
      <c r="E699" s="5" t="inlineStr">
        <is>
          <t>31-Aug-07</t>
        </is>
      </c>
      <c r="F699" s="5" t="inlineStr">
        <is>
          <t>LNH0925ND01</t>
        </is>
      </c>
      <c r="G699" s="105" t="n">
        <v>8415000</v>
      </c>
      <c r="H699">
        <f>VLOOKUP(B699,'[1]TONG HOP'!B$5:G$624,6,0)</f>
        <v/>
      </c>
      <c r="I699" t="n">
        <v>2103750</v>
      </c>
    </row>
    <row r="700">
      <c r="A700" s="5" t="n">
        <v>694</v>
      </c>
      <c r="B700" s="5" t="inlineStr">
        <is>
          <t>25800400025</t>
        </is>
      </c>
      <c r="C700" s="6" t="inlineStr">
        <is>
          <t>Nguyeãn Hoaøng</t>
        </is>
      </c>
      <c r="D700" s="6" t="inlineStr">
        <is>
          <t>Duy</t>
        </is>
      </c>
      <c r="E700" s="5" t="inlineStr">
        <is>
          <t>22-Jul-07</t>
        </is>
      </c>
      <c r="F700" s="5" t="inlineStr">
        <is>
          <t>LNH0925ND01</t>
        </is>
      </c>
      <c r="G700" s="105" t="n">
        <v>1000000</v>
      </c>
    </row>
    <row r="701">
      <c r="A701" s="5" t="n">
        <v>695</v>
      </c>
      <c r="B701" s="5" t="inlineStr">
        <is>
          <t>25802800255</t>
        </is>
      </c>
      <c r="C701" s="6" t="inlineStr">
        <is>
          <t>Phaïm Nguyeãn Anh</t>
        </is>
      </c>
      <c r="D701" s="6" t="inlineStr">
        <is>
          <t>Thö</t>
        </is>
      </c>
      <c r="E701" s="5" t="inlineStr">
        <is>
          <t>22-Apr-07</t>
        </is>
      </c>
      <c r="F701" s="5" t="inlineStr">
        <is>
          <t>LNH0925ND01</t>
        </is>
      </c>
      <c r="G701" s="105" t="n">
        <v>4465000</v>
      </c>
      <c r="H701">
        <f>VLOOKUP(B701,'[1]TONG HOP'!B$5:G$624,6,0)</f>
        <v/>
      </c>
      <c r="I701" t="n">
        <v>2232500</v>
      </c>
    </row>
    <row r="702">
      <c r="A702" s="5" t="n">
        <v>696</v>
      </c>
      <c r="B702" s="5" t="inlineStr">
        <is>
          <t>25801300005</t>
        </is>
      </c>
      <c r="C702" s="6" t="inlineStr">
        <is>
          <t>Mai Ngoïc</t>
        </is>
      </c>
      <c r="D702" s="6" t="inlineStr">
        <is>
          <t>Caån</t>
        </is>
      </c>
      <c r="E702" s="5" t="inlineStr">
        <is>
          <t>18-Jun-06</t>
        </is>
      </c>
      <c r="F702" s="5" t="inlineStr">
        <is>
          <t>LNH0925ND01</t>
        </is>
      </c>
      <c r="G702" s="105" t="n">
        <v>1000000</v>
      </c>
    </row>
    <row r="703">
      <c r="A703" s="5" t="n">
        <v>697</v>
      </c>
      <c r="B703" s="5" t="inlineStr">
        <is>
          <t>25802100067</t>
        </is>
      </c>
      <c r="C703" s="6" t="inlineStr">
        <is>
          <t>Nguyeãn Haø Haïnh</t>
        </is>
      </c>
      <c r="D703" s="6" t="inlineStr">
        <is>
          <t>Phöông</t>
        </is>
      </c>
      <c r="E703" s="5" t="inlineStr">
        <is>
          <t>11-Jul-07</t>
        </is>
      </c>
      <c r="F703" s="5" t="inlineStr">
        <is>
          <t>LNH0925ND01</t>
        </is>
      </c>
      <c r="G703" s="105" t="n">
        <v>1000000</v>
      </c>
    </row>
    <row r="704">
      <c r="A704" s="5" t="n">
        <v>698</v>
      </c>
      <c r="B704" s="5" t="inlineStr">
        <is>
          <t>25802700103</t>
        </is>
      </c>
      <c r="C704" s="6" t="inlineStr">
        <is>
          <t>Vaên Thò Caåm</t>
        </is>
      </c>
      <c r="D704" s="6" t="inlineStr">
        <is>
          <t>Tuù</t>
        </is>
      </c>
      <c r="E704" s="5" t="inlineStr">
        <is>
          <t>02-May-07</t>
        </is>
      </c>
      <c r="F704" s="5" t="inlineStr">
        <is>
          <t>LNH0925ND01</t>
        </is>
      </c>
      <c r="G704" s="105" t="n">
        <v>8415000</v>
      </c>
    </row>
    <row r="705">
      <c r="A705" s="5" t="n">
        <v>699</v>
      </c>
      <c r="B705" s="5" t="inlineStr">
        <is>
          <t>25800400290</t>
        </is>
      </c>
      <c r="C705" s="6" t="inlineStr">
        <is>
          <t>Nguyeãn Tröôøng</t>
        </is>
      </c>
      <c r="D705" s="6" t="inlineStr">
        <is>
          <t>Tín</t>
        </is>
      </c>
      <c r="E705" s="5" t="inlineStr">
        <is>
          <t>01-Jan-07</t>
        </is>
      </c>
      <c r="F705" s="5" t="inlineStr">
        <is>
          <t>LNH0925ND01</t>
        </is>
      </c>
      <c r="G705" s="105" t="n">
        <v>8415000</v>
      </c>
      <c r="H705">
        <f>VLOOKUP(B705,'[1]TONG HOP'!B$5:G$624,6,0)</f>
        <v/>
      </c>
      <c r="I705" t="n">
        <v>2103750</v>
      </c>
    </row>
    <row r="706">
      <c r="A706" s="5" t="n">
        <v>700</v>
      </c>
      <c r="B706" s="5" t="inlineStr">
        <is>
          <t>25808700006</t>
        </is>
      </c>
      <c r="C706" s="6" t="inlineStr">
        <is>
          <t>Leâ Chí</t>
        </is>
      </c>
      <c r="D706" s="6" t="inlineStr">
        <is>
          <t>Baûo</t>
        </is>
      </c>
      <c r="E706" s="5" t="inlineStr">
        <is>
          <t>05-Jan-07</t>
        </is>
      </c>
      <c r="F706" s="5" t="inlineStr">
        <is>
          <t>LNH0925ND01</t>
        </is>
      </c>
      <c r="G706" s="105" t="n">
        <v>8415000</v>
      </c>
      <c r="H706">
        <f>VLOOKUP(B706,'[1]TONG HOP'!B$5:G$624,6,0)</f>
        <v/>
      </c>
      <c r="I706" t="n">
        <v>2103750</v>
      </c>
    </row>
    <row r="707">
      <c r="A707" s="5" t="n">
        <v>701</v>
      </c>
      <c r="B707" s="5" t="inlineStr">
        <is>
          <t>25808900152</t>
        </is>
      </c>
      <c r="C707" s="6" t="inlineStr">
        <is>
          <t>Voõ Thaønh</t>
        </is>
      </c>
      <c r="D707" s="6" t="inlineStr">
        <is>
          <t>Vinh</t>
        </is>
      </c>
      <c r="E707" s="5" t="inlineStr">
        <is>
          <t>05-Jun-07</t>
        </is>
      </c>
      <c r="F707" s="5" t="inlineStr">
        <is>
          <t>LNH0925ND01</t>
        </is>
      </c>
      <c r="G707" s="105" t="n">
        <v>8415000</v>
      </c>
      <c r="H707">
        <f>VLOOKUP(B707,'[1]TONG HOP'!B$5:G$624,6,0)</f>
        <v/>
      </c>
      <c r="I707" t="n">
        <v>2103750</v>
      </c>
    </row>
    <row r="708">
      <c r="A708" s="5" t="n">
        <v>702</v>
      </c>
      <c r="B708" s="5" t="inlineStr">
        <is>
          <t>25802800436</t>
        </is>
      </c>
      <c r="C708" s="6" t="inlineStr">
        <is>
          <t>Phan Minh</t>
        </is>
      </c>
      <c r="D708" s="6" t="inlineStr">
        <is>
          <t>Phaùt</t>
        </is>
      </c>
      <c r="E708" s="5" t="inlineStr">
        <is>
          <t>31-Mar-07</t>
        </is>
      </c>
      <c r="F708" s="5" t="inlineStr">
        <is>
          <t>LNH0925ND01</t>
        </is>
      </c>
      <c r="G708" s="105" t="n">
        <v>1000000</v>
      </c>
    </row>
    <row r="709">
      <c r="A709" s="5" t="n">
        <v>703</v>
      </c>
      <c r="B709" s="5" t="inlineStr">
        <is>
          <t>25808900050</t>
        </is>
      </c>
      <c r="C709" s="6" t="inlineStr">
        <is>
          <t>Traàn Naêng</t>
        </is>
      </c>
      <c r="D709" s="6" t="inlineStr">
        <is>
          <t>Höng</t>
        </is>
      </c>
      <c r="E709" s="5" t="inlineStr">
        <is>
          <t>16-Dec-07</t>
        </is>
      </c>
      <c r="F709" s="5" t="inlineStr">
        <is>
          <t>LNH0925ND01</t>
        </is>
      </c>
      <c r="G709" s="105" t="n">
        <v>8415000</v>
      </c>
    </row>
    <row r="710">
      <c r="A710" s="5" t="n">
        <v>704</v>
      </c>
      <c r="B710" s="5" t="inlineStr">
        <is>
          <t>25807500045</t>
        </is>
      </c>
      <c r="C710" s="6" t="inlineStr">
        <is>
          <t>Traàn Quang</t>
        </is>
      </c>
      <c r="D710" s="6" t="inlineStr">
        <is>
          <t>Huy</t>
        </is>
      </c>
      <c r="E710" s="5" t="inlineStr">
        <is>
          <t>27-Feb-07</t>
        </is>
      </c>
      <c r="F710" s="5" t="inlineStr">
        <is>
          <t>LNH0925ND01</t>
        </is>
      </c>
      <c r="G710" s="105" t="n">
        <v>1000000</v>
      </c>
    </row>
    <row r="711">
      <c r="A711" s="5" t="n">
        <v>705</v>
      </c>
      <c r="B711" s="5" t="inlineStr">
        <is>
          <t>25805900007</t>
        </is>
      </c>
      <c r="C711" s="6" t="inlineStr">
        <is>
          <t>Nguyeãn Thò Hieàn</t>
        </is>
      </c>
      <c r="D711" s="6" t="inlineStr">
        <is>
          <t>Dieäu</t>
        </is>
      </c>
      <c r="E711" s="5" t="inlineStr">
        <is>
          <t>22-Nov-07</t>
        </is>
      </c>
      <c r="F711" s="5" t="inlineStr">
        <is>
          <t>LNH0925ND01</t>
        </is>
      </c>
      <c r="G711" s="105" t="n">
        <v>8415000</v>
      </c>
    </row>
    <row r="712">
      <c r="A712" s="5" t="n">
        <v>706</v>
      </c>
      <c r="B712" s="5" t="inlineStr">
        <is>
          <t>25800400052</t>
        </is>
      </c>
      <c r="C712" s="6" t="inlineStr">
        <is>
          <t>Chaâu Gia</t>
        </is>
      </c>
      <c r="D712" s="6" t="inlineStr">
        <is>
          <t>Huy</t>
        </is>
      </c>
      <c r="E712" s="5" t="inlineStr">
        <is>
          <t>05-Dec-07</t>
        </is>
      </c>
      <c r="F712" s="5" t="inlineStr">
        <is>
          <t>LNH0925ND01</t>
        </is>
      </c>
      <c r="G712" s="105" t="n">
        <v>8415000</v>
      </c>
      <c r="H712">
        <f>VLOOKUP(B712,'[1]TONG HOP'!B$5:G$624,6,0)</f>
        <v/>
      </c>
      <c r="I712" t="n">
        <v>2103750</v>
      </c>
    </row>
    <row r="713">
      <c r="A713" s="5" t="n">
        <v>707</v>
      </c>
      <c r="B713" s="5" t="inlineStr">
        <is>
          <t>25800400245</t>
        </is>
      </c>
      <c r="C713" s="6" t="inlineStr">
        <is>
          <t>Chaâu Anh</t>
        </is>
      </c>
      <c r="D713" s="6" t="inlineStr">
        <is>
          <t>Kieät</t>
        </is>
      </c>
      <c r="E713" s="5" t="inlineStr">
        <is>
          <t>05-Dec-07</t>
        </is>
      </c>
      <c r="F713" s="5" t="inlineStr">
        <is>
          <t>LNH0925ND01</t>
        </is>
      </c>
      <c r="G713" s="105" t="n">
        <v>8415000</v>
      </c>
      <c r="H713">
        <f>VLOOKUP(B713,'[1]TONG HOP'!B$5:G$624,6,0)</f>
        <v/>
      </c>
      <c r="I713" t="n">
        <v>2103750</v>
      </c>
    </row>
    <row r="714">
      <c r="A714" s="5" t="n">
        <v>708</v>
      </c>
      <c r="B714" s="5" t="inlineStr">
        <is>
          <t>25802600064</t>
        </is>
      </c>
      <c r="C714" s="6" t="inlineStr">
        <is>
          <t>Huyønh Quoác</t>
        </is>
      </c>
      <c r="D714" s="6" t="inlineStr">
        <is>
          <t>Laõm</t>
        </is>
      </c>
      <c r="E714" s="5" t="inlineStr">
        <is>
          <t>20-Dec-07</t>
        </is>
      </c>
      <c r="F714" s="5" t="inlineStr">
        <is>
          <t>LNH0925ND01</t>
        </is>
      </c>
      <c r="G714" s="105" t="n">
        <v>8415000</v>
      </c>
      <c r="H714">
        <f>VLOOKUP(B714,'[1]TONG HOP'!B$5:G$624,6,0)</f>
        <v/>
      </c>
      <c r="I714" t="n">
        <v>2103750</v>
      </c>
    </row>
    <row r="715">
      <c r="A715" s="5" t="n">
        <v>709</v>
      </c>
      <c r="B715" s="5" t="inlineStr">
        <is>
          <t>25802600105</t>
        </is>
      </c>
      <c r="C715" s="6" t="inlineStr">
        <is>
          <t>Vöu Thanh</t>
        </is>
      </c>
      <c r="D715" s="6" t="inlineStr">
        <is>
          <t>Sôn</t>
        </is>
      </c>
      <c r="E715" s="5" t="inlineStr">
        <is>
          <t>24-Sep-07</t>
        </is>
      </c>
      <c r="F715" s="5" t="inlineStr">
        <is>
          <t>LNH0925ND01</t>
        </is>
      </c>
      <c r="G715" s="105" t="n">
        <v>8415000</v>
      </c>
      <c r="H715">
        <f>VLOOKUP(B715,'[1]TONG HOP'!B$5:G$624,6,0)</f>
        <v/>
      </c>
      <c r="I715" t="n">
        <v>2103750</v>
      </c>
    </row>
    <row r="716">
      <c r="A716" s="5" t="n">
        <v>710</v>
      </c>
      <c r="B716" s="5" t="inlineStr">
        <is>
          <t>25808900052</t>
        </is>
      </c>
      <c r="C716" s="6" t="inlineStr">
        <is>
          <t>Nguyeãn Baûo</t>
        </is>
      </c>
      <c r="D716" s="6" t="inlineStr">
        <is>
          <t>Khang</t>
        </is>
      </c>
      <c r="E716" s="5" t="inlineStr">
        <is>
          <t>14-Feb-07</t>
        </is>
      </c>
      <c r="F716" s="5" t="inlineStr">
        <is>
          <t>LNH0925ND01</t>
        </is>
      </c>
      <c r="G716" s="105" t="n">
        <v>1000000</v>
      </c>
    </row>
    <row r="717">
      <c r="A717" s="5" t="n">
        <v>711</v>
      </c>
      <c r="B717" s="5" t="inlineStr">
        <is>
          <t>25820200049</t>
        </is>
      </c>
      <c r="C717" s="6" t="inlineStr">
        <is>
          <t>Döông Vuõ</t>
        </is>
      </c>
      <c r="D717" s="6" t="inlineStr">
        <is>
          <t>Phuùc</t>
        </is>
      </c>
      <c r="E717" s="5" t="inlineStr">
        <is>
          <t>22-Sep-07</t>
        </is>
      </c>
      <c r="F717" s="5" t="inlineStr">
        <is>
          <t>LNH0925ND01</t>
        </is>
      </c>
      <c r="G717" s="105" t="n">
        <v>1000000</v>
      </c>
    </row>
    <row r="718">
      <c r="A718" s="5" t="n">
        <v>712</v>
      </c>
      <c r="B718" s="5" t="inlineStr">
        <is>
          <t>25806400013</t>
        </is>
      </c>
      <c r="C718" s="6" t="inlineStr">
        <is>
          <t>Ñaëng Vaên</t>
        </is>
      </c>
      <c r="D718" s="6" t="inlineStr">
        <is>
          <t>Lôïi</t>
        </is>
      </c>
      <c r="E718" s="5" t="inlineStr">
        <is>
          <t>23-Jun-07</t>
        </is>
      </c>
      <c r="F718" s="5" t="inlineStr">
        <is>
          <t>LNH0925ND01</t>
        </is>
      </c>
      <c r="G718" s="105" t="n">
        <v>1000000</v>
      </c>
    </row>
    <row r="719">
      <c r="A719" s="5" t="n">
        <v>713</v>
      </c>
      <c r="B719" s="5" t="inlineStr">
        <is>
          <t>25820700004</t>
        </is>
      </c>
      <c r="C719" s="6" t="inlineStr">
        <is>
          <t>Traàn Quyønh</t>
        </is>
      </c>
      <c r="D719" s="6" t="inlineStr">
        <is>
          <t>Anh</t>
        </is>
      </c>
      <c r="E719" s="5" t="inlineStr">
        <is>
          <t>29-Sep-07</t>
        </is>
      </c>
      <c r="F719" s="5" t="inlineStr">
        <is>
          <t>LNH0925ND01</t>
        </is>
      </c>
      <c r="G719" s="105" t="n">
        <v>8415000</v>
      </c>
      <c r="H719">
        <f>VLOOKUP(B719,'[1]TONG HOP'!B$5:G$624,6,0)</f>
        <v/>
      </c>
      <c r="I719" t="n">
        <v>2103750</v>
      </c>
    </row>
    <row r="720">
      <c r="A720" s="5" t="n">
        <v>714</v>
      </c>
      <c r="B720" s="5" t="inlineStr">
        <is>
          <t>25808200108</t>
        </is>
      </c>
      <c r="C720" s="6" t="inlineStr">
        <is>
          <t>Toâ Phöôùc</t>
        </is>
      </c>
      <c r="D720" s="6" t="inlineStr">
        <is>
          <t>Sang</t>
        </is>
      </c>
      <c r="E720" s="5" t="inlineStr">
        <is>
          <t>14-May-07</t>
        </is>
      </c>
      <c r="F720" s="5" t="inlineStr">
        <is>
          <t>LNH0925ND01</t>
        </is>
      </c>
      <c r="G720" s="105" t="n">
        <v>8415000</v>
      </c>
      <c r="H720">
        <f>VLOOKUP(B720,'[1]TONG HOP'!B$5:G$624,6,0)</f>
        <v/>
      </c>
      <c r="I720" t="n">
        <v>2103750</v>
      </c>
    </row>
    <row r="721">
      <c r="A721" s="5" t="n">
        <v>715</v>
      </c>
      <c r="B721" s="5" t="inlineStr">
        <is>
          <t>25800400019</t>
        </is>
      </c>
      <c r="C721" s="6" t="inlineStr">
        <is>
          <t>Cao Quang</t>
        </is>
      </c>
      <c r="D721" s="6" t="inlineStr">
        <is>
          <t>Bieân</t>
        </is>
      </c>
      <c r="E721" s="5" t="inlineStr">
        <is>
          <t>11-Dec-07</t>
        </is>
      </c>
      <c r="F721" s="5" t="inlineStr">
        <is>
          <t>LNH0925ND01</t>
        </is>
      </c>
      <c r="G721" s="105" t="n">
        <v>2100000</v>
      </c>
      <c r="H721">
        <f>VLOOKUP(B721,'[1]TONG HOP'!B$5:G$624,6,0)</f>
        <v/>
      </c>
      <c r="I721" t="n">
        <v>2100000</v>
      </c>
    </row>
    <row r="722">
      <c r="A722" s="5" t="n">
        <v>716</v>
      </c>
      <c r="B722" s="5" t="inlineStr">
        <is>
          <t>25808900246</t>
        </is>
      </c>
      <c r="C722" s="6" t="inlineStr">
        <is>
          <t>Traàn Thanh</t>
        </is>
      </c>
      <c r="D722" s="6" t="inlineStr">
        <is>
          <t>An</t>
        </is>
      </c>
      <c r="E722" s="5" t="inlineStr">
        <is>
          <t>17-Feb-07</t>
        </is>
      </c>
      <c r="F722" s="5" t="inlineStr">
        <is>
          <t>LNH0925ND01</t>
        </is>
      </c>
      <c r="G722" s="105" t="n">
        <v>2100000</v>
      </c>
      <c r="H722">
        <f>VLOOKUP(B722,'[1]TONG HOP'!B$5:G$624,6,0)</f>
        <v/>
      </c>
      <c r="I722" t="n">
        <v>2100000</v>
      </c>
    </row>
    <row r="723">
      <c r="A723" s="5" t="n">
        <v>717</v>
      </c>
      <c r="B723" s="5" t="inlineStr">
        <is>
          <t>25807400006</t>
        </is>
      </c>
      <c r="C723" s="6" t="inlineStr">
        <is>
          <t>Nguyeãn Vaên</t>
        </is>
      </c>
      <c r="D723" s="6" t="inlineStr">
        <is>
          <t>Höng</t>
        </is>
      </c>
      <c r="E723" s="5" t="inlineStr">
        <is>
          <t>04-Jan-04</t>
        </is>
      </c>
      <c r="F723" s="5" t="inlineStr">
        <is>
          <t>LNH0925ND01</t>
        </is>
      </c>
      <c r="G723" s="105" t="n">
        <v>2100000</v>
      </c>
      <c r="H723">
        <f>VLOOKUP(B723,'[1]TONG HOP'!B$5:G$624,6,0)</f>
        <v/>
      </c>
      <c r="I723" t="n">
        <v>2100000</v>
      </c>
    </row>
    <row r="724">
      <c r="A724" s="5" t="n">
        <v>718</v>
      </c>
      <c r="B724" s="5" t="inlineStr">
        <is>
          <t>25806800097</t>
        </is>
      </c>
      <c r="C724" s="6" t="inlineStr">
        <is>
          <t>Hoà Nguyeãn Haûi</t>
        </is>
      </c>
      <c r="D724" s="6" t="inlineStr">
        <is>
          <t>Anh</t>
        </is>
      </c>
      <c r="E724" s="5" t="inlineStr">
        <is>
          <t>17-Mar-07</t>
        </is>
      </c>
      <c r="F724" s="5" t="inlineStr">
        <is>
          <t>LNH0925ND01</t>
        </is>
      </c>
      <c r="G724" s="105" t="n">
        <v>2100000</v>
      </c>
      <c r="H724">
        <f>VLOOKUP(B724,'[1]TONG HOP'!B$5:G$624,6,0)</f>
        <v/>
      </c>
      <c r="I724" t="n">
        <v>2100000</v>
      </c>
    </row>
    <row r="725">
      <c r="A725" s="5" t="n">
        <v>719</v>
      </c>
      <c r="B725" s="5" t="inlineStr">
        <is>
          <t>25808900138</t>
        </is>
      </c>
      <c r="C725" s="6" t="inlineStr">
        <is>
          <t>Vuõ Minh</t>
        </is>
      </c>
      <c r="D725" s="6" t="inlineStr">
        <is>
          <t>Trieát</t>
        </is>
      </c>
      <c r="E725" s="5" t="inlineStr">
        <is>
          <t>01-Jan-07</t>
        </is>
      </c>
      <c r="F725" s="5" t="inlineStr">
        <is>
          <t>LNH0925ND01</t>
        </is>
      </c>
      <c r="G725" s="105" t="n">
        <v>4465000</v>
      </c>
      <c r="H725">
        <f>VLOOKUP(B725,'[1]TONG HOP'!B$5:G$624,6,0)</f>
        <v/>
      </c>
      <c r="I725" t="n">
        <v>2232500</v>
      </c>
    </row>
    <row r="726">
      <c r="A726" s="5" t="n">
        <v>720</v>
      </c>
      <c r="B726" s="5" t="inlineStr">
        <is>
          <t>25802400007</t>
        </is>
      </c>
      <c r="C726" s="6" t="inlineStr">
        <is>
          <t>Leâ Gia</t>
        </is>
      </c>
      <c r="D726" s="6" t="inlineStr">
        <is>
          <t>Haân</t>
        </is>
      </c>
      <c r="E726" s="5" t="inlineStr">
        <is>
          <t>15-Apr-07</t>
        </is>
      </c>
      <c r="F726" s="5" t="inlineStr">
        <is>
          <t>LNH0925ND01</t>
        </is>
      </c>
      <c r="G726" s="105" t="n">
        <v>4940000</v>
      </c>
    </row>
    <row r="727">
      <c r="A727" s="5" t="n">
        <v>721</v>
      </c>
      <c r="B727" s="5" t="inlineStr">
        <is>
          <t>25820200060</t>
        </is>
      </c>
      <c r="C727" s="6" t="inlineStr">
        <is>
          <t>Phaïm Troïng</t>
        </is>
      </c>
      <c r="D727" s="6" t="inlineStr">
        <is>
          <t>Toaøn</t>
        </is>
      </c>
      <c r="E727" s="5" t="inlineStr">
        <is>
          <t>24-Jun-07</t>
        </is>
      </c>
      <c r="F727" s="5" t="inlineStr">
        <is>
          <t>LNH0925ND01</t>
        </is>
      </c>
      <c r="G727" s="105" t="n">
        <v>8415000</v>
      </c>
      <c r="H727">
        <f>VLOOKUP(B727,'[1]TONG HOP'!B$5:G$624,6,0)</f>
        <v/>
      </c>
      <c r="I727" t="n">
        <v>2103750</v>
      </c>
    </row>
    <row r="728">
      <c r="A728" s="5" t="n">
        <v>722</v>
      </c>
      <c r="B728" s="5" t="inlineStr">
        <is>
          <t>25805800054</t>
        </is>
      </c>
      <c r="C728" s="6" t="inlineStr">
        <is>
          <t>Leâ Hoaøng</t>
        </is>
      </c>
      <c r="D728" s="6" t="inlineStr">
        <is>
          <t>Anh</t>
        </is>
      </c>
      <c r="E728" s="5" t="inlineStr">
        <is>
          <t>02-Nov-07</t>
        </is>
      </c>
      <c r="F728" s="5" t="inlineStr">
        <is>
          <t>LNH0925ND01</t>
        </is>
      </c>
      <c r="G728" s="105" t="n">
        <v>8415000</v>
      </c>
      <c r="H728">
        <f>VLOOKUP(B728,'[1]TONG HOP'!B$5:G$624,6,0)</f>
        <v/>
      </c>
      <c r="I728" t="n">
        <v>2103750</v>
      </c>
    </row>
    <row r="729">
      <c r="A729" s="5" t="n">
        <v>723</v>
      </c>
      <c r="B729" s="5" t="inlineStr">
        <is>
          <t>25802700087</t>
        </is>
      </c>
      <c r="C729" s="6" t="inlineStr">
        <is>
          <t>Nguyeãn Thò Anh</t>
        </is>
      </c>
      <c r="D729" s="6" t="inlineStr">
        <is>
          <t>Thö</t>
        </is>
      </c>
      <c r="E729" s="5" t="inlineStr">
        <is>
          <t>18-Apr-07</t>
        </is>
      </c>
      <c r="F729" s="5" t="inlineStr">
        <is>
          <t>LNH0925ND01</t>
        </is>
      </c>
      <c r="G729" s="105" t="n">
        <v>8415000</v>
      </c>
    </row>
    <row r="730">
      <c r="A730" s="5" t="n">
        <v>724</v>
      </c>
      <c r="B730" s="5" t="inlineStr">
        <is>
          <t>25802700147</t>
        </is>
      </c>
      <c r="C730" s="6" t="inlineStr">
        <is>
          <t>Vuõ Nguyeãn Thu</t>
        </is>
      </c>
      <c r="D730" s="6" t="inlineStr">
        <is>
          <t>Yeán</t>
        </is>
      </c>
      <c r="E730" s="5" t="inlineStr">
        <is>
          <t>24-Jan-07</t>
        </is>
      </c>
      <c r="F730" s="5" t="inlineStr">
        <is>
          <t>LNH0925ND01</t>
        </is>
      </c>
      <c r="G730" s="105" t="n">
        <v>8415000</v>
      </c>
      <c r="H730">
        <f>VLOOKUP(B730,'[1]TONG HOP'!B$5:G$624,6,0)</f>
        <v/>
      </c>
      <c r="I730" t="n">
        <v>2103750</v>
      </c>
    </row>
    <row r="731">
      <c r="A731" s="5" t="n">
        <v>725</v>
      </c>
      <c r="B731" s="5" t="inlineStr">
        <is>
          <t>25807800067</t>
        </is>
      </c>
      <c r="C731" s="6" t="inlineStr">
        <is>
          <t>Leâ Traø Baûo</t>
        </is>
      </c>
      <c r="D731" s="6" t="inlineStr">
        <is>
          <t>Khoâi</t>
        </is>
      </c>
      <c r="E731" s="5" t="inlineStr">
        <is>
          <t>27-Nov-07</t>
        </is>
      </c>
      <c r="F731" s="5" t="inlineStr">
        <is>
          <t>LNH0925ND01</t>
        </is>
      </c>
      <c r="G731" s="105" t="n">
        <v>8415000</v>
      </c>
    </row>
    <row r="732">
      <c r="A732" s="5" t="n">
        <v>726</v>
      </c>
      <c r="B732" s="5" t="inlineStr">
        <is>
          <t>25808700180</t>
        </is>
      </c>
      <c r="C732" s="6" t="inlineStr">
        <is>
          <t>Ñinh Theá</t>
        </is>
      </c>
      <c r="D732" s="6" t="inlineStr">
        <is>
          <t>Hieån</t>
        </is>
      </c>
      <c r="E732" s="5" t="inlineStr">
        <is>
          <t>12-Nov-07</t>
        </is>
      </c>
      <c r="F732" s="5" t="inlineStr">
        <is>
          <t>LNH0925ND01</t>
        </is>
      </c>
      <c r="G732" s="105" t="n">
        <v>8415000</v>
      </c>
      <c r="H732">
        <f>VLOOKUP(B732,'[1]TONG HOP'!B$5:G$624,6,0)</f>
        <v/>
      </c>
      <c r="I732" t="n">
        <v>2103750</v>
      </c>
    </row>
    <row r="733">
      <c r="A733" s="5" t="n">
        <v>727</v>
      </c>
      <c r="B733" s="5" t="inlineStr">
        <is>
          <t>25808800050</t>
        </is>
      </c>
      <c r="C733" s="6" t="inlineStr">
        <is>
          <t>Nguyeãn Huyønh Anh</t>
        </is>
      </c>
      <c r="D733" s="6" t="inlineStr">
        <is>
          <t>Thö</t>
        </is>
      </c>
      <c r="E733" s="5" t="inlineStr">
        <is>
          <t>07-Nov-07</t>
        </is>
      </c>
      <c r="F733" s="5" t="inlineStr">
        <is>
          <t>LNH0925ND01</t>
        </is>
      </c>
      <c r="G733" s="105" t="n">
        <v>8415000</v>
      </c>
    </row>
    <row r="734">
      <c r="A734" s="5" t="n">
        <v>728</v>
      </c>
      <c r="B734" s="5" t="inlineStr">
        <is>
          <t>25807900042</t>
        </is>
      </c>
      <c r="C734" s="6" t="inlineStr">
        <is>
          <t>Traàn Nhaät</t>
        </is>
      </c>
      <c r="D734" s="6" t="inlineStr">
        <is>
          <t>Quang</t>
        </is>
      </c>
      <c r="E734" s="5" t="inlineStr">
        <is>
          <t>01-Aug-07</t>
        </is>
      </c>
      <c r="F734" s="5" t="inlineStr">
        <is>
          <t>LNH0925ND01</t>
        </is>
      </c>
      <c r="G734" s="105" t="n">
        <v>8415000</v>
      </c>
      <c r="H734">
        <f>VLOOKUP(B734,'[1]TONG HOP'!B$5:G$624,6,0)</f>
        <v/>
      </c>
      <c r="I734" t="n">
        <v>2103750</v>
      </c>
    </row>
    <row r="735">
      <c r="A735" s="5" t="n">
        <v>729</v>
      </c>
      <c r="B735" s="5" t="inlineStr">
        <is>
          <t>25807500061</t>
        </is>
      </c>
      <c r="C735" s="6" t="inlineStr">
        <is>
          <t>Huyønh Hoàng</t>
        </is>
      </c>
      <c r="D735" s="6" t="inlineStr">
        <is>
          <t>Loan</t>
        </is>
      </c>
      <c r="E735" s="5" t="inlineStr">
        <is>
          <t>16-Nov-07</t>
        </is>
      </c>
      <c r="F735" s="5" t="inlineStr">
        <is>
          <t>LNH0925ND01</t>
        </is>
      </c>
      <c r="G735" s="105" t="n">
        <v>8415000</v>
      </c>
    </row>
    <row r="736">
      <c r="A736" s="5" t="n">
        <v>730</v>
      </c>
      <c r="B736" s="5" t="inlineStr">
        <is>
          <t>25801900280</t>
        </is>
      </c>
      <c r="C736" s="6" t="inlineStr">
        <is>
          <t>Traàn Nguyeãn Hoaøng</t>
        </is>
      </c>
      <c r="D736" s="6" t="inlineStr">
        <is>
          <t>Phuùc</t>
        </is>
      </c>
      <c r="E736" s="5" t="inlineStr">
        <is>
          <t>09-Dec-07</t>
        </is>
      </c>
      <c r="F736" s="5" t="inlineStr">
        <is>
          <t>LNH0925ND01</t>
        </is>
      </c>
      <c r="G736" s="105" t="n">
        <v>8415000</v>
      </c>
      <c r="H736">
        <f>VLOOKUP(B736,'[1]TONG HOP'!B$5:G$624,6,0)</f>
        <v/>
      </c>
      <c r="I736" t="n">
        <v>2103750</v>
      </c>
    </row>
    <row r="737">
      <c r="A737" s="5" t="n">
        <v>731</v>
      </c>
      <c r="B737" s="5" t="inlineStr">
        <is>
          <t>25807800156</t>
        </is>
      </c>
      <c r="C737" s="6" t="inlineStr">
        <is>
          <t>Leâ Traàn Quoác</t>
        </is>
      </c>
      <c r="D737" s="6" t="inlineStr">
        <is>
          <t>Tuaán</t>
        </is>
      </c>
      <c r="E737" s="5" t="inlineStr">
        <is>
          <t>02-Jul-07</t>
        </is>
      </c>
      <c r="F737" s="5" t="inlineStr">
        <is>
          <t>LNH0925ND01</t>
        </is>
      </c>
      <c r="G737" s="105" t="n">
        <v>8415000</v>
      </c>
      <c r="H737">
        <f>VLOOKUP(B737,'[1]TONG HOP'!B$5:G$624,6,0)</f>
        <v/>
      </c>
      <c r="I737" t="n">
        <v>2103750</v>
      </c>
    </row>
    <row r="738">
      <c r="A738" s="5" t="n">
        <v>732</v>
      </c>
      <c r="B738" s="5" t="inlineStr">
        <is>
          <t>25807500037</t>
        </is>
      </c>
      <c r="C738" s="6" t="inlineStr">
        <is>
          <t>Phaïm Minh</t>
        </is>
      </c>
      <c r="D738" s="6" t="inlineStr">
        <is>
          <t>Hoaøng</t>
        </is>
      </c>
      <c r="E738" s="5" t="inlineStr">
        <is>
          <t>31-Oct-07</t>
        </is>
      </c>
      <c r="F738" s="5" t="inlineStr">
        <is>
          <t>LNH0925ND01</t>
        </is>
      </c>
      <c r="G738" s="105" t="n">
        <v>8415000</v>
      </c>
      <c r="H738">
        <f>VLOOKUP(B738,'[1]TONG HOP'!B$5:G$624,6,0)</f>
        <v/>
      </c>
      <c r="I738" t="n">
        <v>2103750</v>
      </c>
    </row>
    <row r="739">
      <c r="A739" s="5" t="n">
        <v>733</v>
      </c>
      <c r="B739" s="5" t="inlineStr">
        <is>
          <t>25820700070</t>
        </is>
      </c>
      <c r="C739" s="6" t="inlineStr">
        <is>
          <t>Buøi Thò Kim</t>
        </is>
      </c>
      <c r="D739" s="6" t="inlineStr">
        <is>
          <t>Ngaân</t>
        </is>
      </c>
      <c r="E739" s="5" t="inlineStr">
        <is>
          <t>12-Oct-07</t>
        </is>
      </c>
      <c r="F739" s="5" t="inlineStr">
        <is>
          <t>LNH0925ND01</t>
        </is>
      </c>
      <c r="G739" s="105" t="n">
        <v>8415000</v>
      </c>
      <c r="H739">
        <f>VLOOKUP(B739,'[1]TONG HOP'!B$5:G$624,6,0)</f>
        <v/>
      </c>
      <c r="I739" t="n">
        <v>2103750</v>
      </c>
    </row>
    <row r="740">
      <c r="A740" s="5" t="n">
        <v>734</v>
      </c>
      <c r="B740" s="5" t="inlineStr">
        <is>
          <t>25801700078</t>
        </is>
      </c>
      <c r="C740" s="6" t="inlineStr">
        <is>
          <t>Leâ Haø Thuyù</t>
        </is>
      </c>
      <c r="D740" s="6" t="inlineStr">
        <is>
          <t>My</t>
        </is>
      </c>
      <c r="E740" s="5" t="inlineStr">
        <is>
          <t>04-Aug-06</t>
        </is>
      </c>
      <c r="F740" s="5" t="inlineStr">
        <is>
          <t>LNH0925ND01</t>
        </is>
      </c>
      <c r="G740" s="105" t="n">
        <v>1000000</v>
      </c>
    </row>
    <row r="741">
      <c r="A741" s="5" t="n">
        <v>735</v>
      </c>
      <c r="B741" s="5" t="inlineStr">
        <is>
          <t>25802800177</t>
        </is>
      </c>
      <c r="C741" s="6" t="inlineStr">
        <is>
          <t>Toâ Ñöùc</t>
        </is>
      </c>
      <c r="D741" s="6" t="inlineStr">
        <is>
          <t>Nguyeân</t>
        </is>
      </c>
      <c r="E741" s="5" t="inlineStr">
        <is>
          <t>21-Jan-07</t>
        </is>
      </c>
      <c r="F741" s="5" t="inlineStr">
        <is>
          <t>LNH0925ND01</t>
        </is>
      </c>
      <c r="G741" s="105" t="n">
        <v>8415000</v>
      </c>
      <c r="H741">
        <f>VLOOKUP(B741,'[1]TONG HOP'!B$5:G$624,6,0)</f>
        <v/>
      </c>
      <c r="I741" t="n">
        <v>2103750</v>
      </c>
    </row>
    <row r="742">
      <c r="A742" s="5" t="n">
        <v>736</v>
      </c>
      <c r="B742" s="5" t="inlineStr">
        <is>
          <t>25806000112</t>
        </is>
      </c>
      <c r="C742" s="6" t="inlineStr">
        <is>
          <t>Nguyeãn Ngoïc</t>
        </is>
      </c>
      <c r="D742" s="6" t="inlineStr">
        <is>
          <t>Traâm</t>
        </is>
      </c>
      <c r="E742" s="5" t="inlineStr">
        <is>
          <t>03-Feb-07</t>
        </is>
      </c>
      <c r="F742" s="5" t="inlineStr">
        <is>
          <t>LNH0925ND01</t>
        </is>
      </c>
      <c r="G742" s="105" t="n">
        <v>8415000</v>
      </c>
      <c r="H742">
        <f>VLOOKUP(B742,'[1]TONG HOP'!B$5:G$624,6,0)</f>
        <v/>
      </c>
      <c r="I742" t="n">
        <v>2103750</v>
      </c>
    </row>
    <row r="743">
      <c r="A743" s="5" t="n">
        <v>737</v>
      </c>
      <c r="B743" s="5" t="inlineStr">
        <is>
          <t>25802800006</t>
        </is>
      </c>
      <c r="C743" s="6" t="inlineStr">
        <is>
          <t>Leâ Hoàng</t>
        </is>
      </c>
      <c r="D743" s="6" t="inlineStr">
        <is>
          <t>Anh</t>
        </is>
      </c>
      <c r="E743" s="5" t="inlineStr">
        <is>
          <t>07-Oct-07</t>
        </is>
      </c>
      <c r="F743" s="5" t="inlineStr">
        <is>
          <t>LNH0925ND01</t>
        </is>
      </c>
      <c r="G743" s="105" t="n">
        <v>8415000</v>
      </c>
      <c r="H743">
        <f>VLOOKUP(B743,'[1]TONG HOP'!B$5:G$624,6,0)</f>
        <v/>
      </c>
      <c r="I743" t="n">
        <v>2103750</v>
      </c>
    </row>
    <row r="744">
      <c r="A744" s="5" t="n">
        <v>738</v>
      </c>
      <c r="B744" s="5" t="inlineStr">
        <is>
          <t>25800400051</t>
        </is>
      </c>
      <c r="C744" s="6" t="inlineStr">
        <is>
          <t>Nguyeãn Laâm</t>
        </is>
      </c>
      <c r="D744" s="6" t="inlineStr">
        <is>
          <t>Huøng</t>
        </is>
      </c>
      <c r="E744" s="5" t="inlineStr">
        <is>
          <t>24-Oct-07</t>
        </is>
      </c>
      <c r="F744" s="5" t="inlineStr">
        <is>
          <t>LNH0925ND01</t>
        </is>
      </c>
      <c r="G744" s="105" t="n">
        <v>8415000</v>
      </c>
      <c r="H744">
        <f>VLOOKUP(B744,'[1]TONG HOP'!B$5:G$624,6,0)</f>
        <v/>
      </c>
      <c r="I744" t="n">
        <v>2103750</v>
      </c>
    </row>
    <row r="745">
      <c r="A745" s="5" t="n">
        <v>739</v>
      </c>
      <c r="B745" s="5" t="inlineStr">
        <is>
          <t>25805900063</t>
        </is>
      </c>
      <c r="C745" s="6" t="inlineStr">
        <is>
          <t>Döông Phöông</t>
        </is>
      </c>
      <c r="D745" s="6" t="inlineStr">
        <is>
          <t>Uyeân</t>
        </is>
      </c>
      <c r="E745" s="5" t="inlineStr">
        <is>
          <t>05-Dec-07</t>
        </is>
      </c>
      <c r="F745" s="5" t="inlineStr">
        <is>
          <t>LNH0925ND01</t>
        </is>
      </c>
      <c r="G745" s="105" t="n">
        <v>8415000</v>
      </c>
      <c r="H745">
        <f>VLOOKUP(B745,'[1]TONG HOP'!B$5:G$624,6,0)</f>
        <v/>
      </c>
      <c r="I745" t="n">
        <v>2103750</v>
      </c>
    </row>
    <row r="746">
      <c r="A746" s="5" t="n">
        <v>740</v>
      </c>
      <c r="B746" s="5" t="inlineStr">
        <is>
          <t>25809600027</t>
        </is>
      </c>
      <c r="C746" s="6" t="inlineStr">
        <is>
          <t>Traàn Löông Gia</t>
        </is>
      </c>
      <c r="D746" s="6" t="inlineStr">
        <is>
          <t>Khieâm</t>
        </is>
      </c>
      <c r="E746" s="5" t="inlineStr">
        <is>
          <t>30-Aug-07</t>
        </is>
      </c>
      <c r="F746" s="5" t="inlineStr">
        <is>
          <t>LNH0925ND01</t>
        </is>
      </c>
      <c r="G746" s="105" t="n">
        <v>1000000</v>
      </c>
    </row>
    <row r="747">
      <c r="A747" s="5" t="n">
        <v>741</v>
      </c>
      <c r="B747" s="5" t="inlineStr">
        <is>
          <t>25800400294</t>
        </is>
      </c>
      <c r="C747" s="6" t="inlineStr">
        <is>
          <t>Ñinh Ngoïc Xuaân</t>
        </is>
      </c>
      <c r="D747" s="6" t="inlineStr">
        <is>
          <t>Giang</t>
        </is>
      </c>
      <c r="E747" s="5" t="inlineStr">
        <is>
          <t>10-Mar-07</t>
        </is>
      </c>
      <c r="F747" s="5" t="inlineStr">
        <is>
          <t>LNH0925ND01</t>
        </is>
      </c>
      <c r="G747" s="105" t="n">
        <v>1000000</v>
      </c>
    </row>
    <row r="748">
      <c r="A748" s="5" t="n">
        <v>742</v>
      </c>
      <c r="B748" s="5" t="inlineStr">
        <is>
          <t>25802600218</t>
        </is>
      </c>
      <c r="C748" s="6" t="inlineStr">
        <is>
          <t>Nguyeãn Thò Vaân</t>
        </is>
      </c>
      <c r="D748" s="6" t="inlineStr">
        <is>
          <t>Anh</t>
        </is>
      </c>
      <c r="E748" s="5" t="inlineStr">
        <is>
          <t>06-Oct-07</t>
        </is>
      </c>
      <c r="F748" s="5" t="inlineStr">
        <is>
          <t>LNH0925ND01</t>
        </is>
      </c>
      <c r="G748" s="105" t="n">
        <v>4465000</v>
      </c>
      <c r="H748">
        <f>VLOOKUP(B748,'[1]TONG HOP'!B$5:G$624,6,0)</f>
        <v/>
      </c>
      <c r="I748" t="n">
        <v>2232500</v>
      </c>
    </row>
    <row r="749">
      <c r="A749" s="5" t="n">
        <v>743</v>
      </c>
      <c r="B749" s="5" t="inlineStr">
        <is>
          <t>25801000042</t>
        </is>
      </c>
      <c r="C749" s="6" t="inlineStr">
        <is>
          <t>Nguyeãn Hoaøng Anh</t>
        </is>
      </c>
      <c r="D749" s="6" t="inlineStr">
        <is>
          <t>Thö</t>
        </is>
      </c>
      <c r="E749" s="5" t="inlineStr">
        <is>
          <t>01-Jun-07</t>
        </is>
      </c>
      <c r="F749" s="5" t="inlineStr">
        <is>
          <t>LNH0925ND01</t>
        </is>
      </c>
      <c r="G749" s="105" t="n">
        <v>1000000</v>
      </c>
    </row>
    <row r="750">
      <c r="A750" s="5" t="n">
        <v>744</v>
      </c>
      <c r="B750" s="5" t="inlineStr">
        <is>
          <t>25802600208</t>
        </is>
      </c>
      <c r="C750" s="6" t="inlineStr">
        <is>
          <t>Phan Anh</t>
        </is>
      </c>
      <c r="D750" s="6" t="inlineStr">
        <is>
          <t>Thö</t>
        </is>
      </c>
      <c r="E750" s="5" t="inlineStr">
        <is>
          <t>19-May-07</t>
        </is>
      </c>
      <c r="F750" s="5" t="inlineStr">
        <is>
          <t>LNH0925ND01</t>
        </is>
      </c>
      <c r="G750" s="105" t="n">
        <v>8415000</v>
      </c>
      <c r="H750">
        <f>VLOOKUP(B750,'[1]TONG HOP'!B$5:G$624,6,0)</f>
        <v/>
      </c>
      <c r="I750" t="n">
        <v>2103750</v>
      </c>
    </row>
    <row r="751">
      <c r="A751" s="5" t="n">
        <v>745</v>
      </c>
      <c r="B751" s="5" t="inlineStr">
        <is>
          <t>25808600245</t>
        </is>
      </c>
      <c r="C751" s="6" t="inlineStr">
        <is>
          <t>Phan Minh</t>
        </is>
      </c>
      <c r="D751" s="6" t="inlineStr">
        <is>
          <t>Thö</t>
        </is>
      </c>
      <c r="E751" s="5" t="inlineStr">
        <is>
          <t>19-May-07</t>
        </is>
      </c>
      <c r="F751" s="5" t="inlineStr">
        <is>
          <t>LNH0925ND01</t>
        </is>
      </c>
      <c r="G751" s="105" t="n">
        <v>8415000</v>
      </c>
      <c r="H751">
        <f>VLOOKUP(B751,'[1]TONG HOP'!B$5:G$624,6,0)</f>
        <v/>
      </c>
      <c r="I751" t="n">
        <v>2103750</v>
      </c>
    </row>
    <row r="752">
      <c r="A752" s="5" t="n">
        <v>746</v>
      </c>
      <c r="B752" s="5" t="inlineStr">
        <is>
          <t>25802800015</t>
        </is>
      </c>
      <c r="C752" s="6" t="inlineStr">
        <is>
          <t>Nguyeãn Ngoïc Baûo</t>
        </is>
      </c>
      <c r="D752" s="6" t="inlineStr">
        <is>
          <t>AÂn</t>
        </is>
      </c>
      <c r="E752" s="5" t="inlineStr">
        <is>
          <t>24-Feb-07</t>
        </is>
      </c>
      <c r="F752" s="5" t="inlineStr">
        <is>
          <t>LNH0925ND01</t>
        </is>
      </c>
      <c r="G752" s="105" t="n">
        <v>8415000</v>
      </c>
      <c r="H752">
        <f>VLOOKUP(B752,'[1]TONG HOP'!B$5:G$624,6,0)</f>
        <v/>
      </c>
      <c r="I752" t="n">
        <v>2103750</v>
      </c>
    </row>
    <row r="753">
      <c r="A753" s="5" t="n">
        <v>747</v>
      </c>
      <c r="B753" s="5" t="inlineStr">
        <is>
          <t>25803800087</t>
        </is>
      </c>
      <c r="C753" s="6" t="inlineStr">
        <is>
          <t>Cao Hoaøng</t>
        </is>
      </c>
      <c r="D753" s="6" t="inlineStr">
        <is>
          <t>Minh</t>
        </is>
      </c>
      <c r="E753" s="5" t="inlineStr">
        <is>
          <t>23-Jan-03</t>
        </is>
      </c>
      <c r="F753" s="5" t="inlineStr">
        <is>
          <t>LNH0925ND01</t>
        </is>
      </c>
      <c r="G753" s="105" t="n">
        <v>1000000</v>
      </c>
    </row>
    <row r="754">
      <c r="A754" s="5" t="n">
        <v>748</v>
      </c>
      <c r="B754" s="5" t="inlineStr">
        <is>
          <t>25800400218</t>
        </is>
      </c>
      <c r="C754" s="6" t="inlineStr">
        <is>
          <t>Taï Minh</t>
        </is>
      </c>
      <c r="D754" s="6" t="inlineStr">
        <is>
          <t>Taân</t>
        </is>
      </c>
      <c r="E754" s="5" t="inlineStr">
        <is>
          <t>08-Dec-07</t>
        </is>
      </c>
      <c r="F754" s="5" t="inlineStr">
        <is>
          <t>LNH0925ND01</t>
        </is>
      </c>
      <c r="G754" s="105" t="n">
        <v>8415000</v>
      </c>
    </row>
    <row r="755">
      <c r="A755" s="5" t="n">
        <v>749</v>
      </c>
      <c r="B755" s="5" t="inlineStr">
        <is>
          <t>25809600031</t>
        </is>
      </c>
      <c r="C755" s="6" t="inlineStr">
        <is>
          <t>Rô Chaâm</t>
        </is>
      </c>
      <c r="D755" s="6" t="inlineStr">
        <is>
          <t>Khuyn</t>
        </is>
      </c>
      <c r="E755" s="5" t="inlineStr">
        <is>
          <t>24-Jan-06</t>
        </is>
      </c>
      <c r="F755" s="5" t="inlineStr">
        <is>
          <t>LNH0925ND01</t>
        </is>
      </c>
      <c r="G755" s="105" t="n">
        <v>1000000</v>
      </c>
    </row>
    <row r="756">
      <c r="A756" s="5" t="n">
        <v>750</v>
      </c>
      <c r="B756" s="5" t="inlineStr">
        <is>
          <t>25801400646</t>
        </is>
      </c>
      <c r="C756" s="6" t="inlineStr">
        <is>
          <t>Nguyeãn Hoaøng</t>
        </is>
      </c>
      <c r="D756" s="6" t="inlineStr">
        <is>
          <t>Minh</t>
        </is>
      </c>
      <c r="E756" s="5" t="inlineStr">
        <is>
          <t>02-Nov-07</t>
        </is>
      </c>
      <c r="F756" s="5" t="inlineStr">
        <is>
          <t>LNH0925ND01</t>
        </is>
      </c>
      <c r="G756" s="105" t="n">
        <v>1000000</v>
      </c>
    </row>
    <row r="757">
      <c r="A757" s="5" t="n">
        <v>751</v>
      </c>
      <c r="B757" s="5" t="inlineStr">
        <is>
          <t>25807500054</t>
        </is>
      </c>
      <c r="C757" s="6" t="inlineStr">
        <is>
          <t>Ñaëng Myõ</t>
        </is>
      </c>
      <c r="D757" s="6" t="inlineStr">
        <is>
          <t>Kieàu</t>
        </is>
      </c>
      <c r="E757" s="5" t="inlineStr">
        <is>
          <t>16-Apr-07</t>
        </is>
      </c>
      <c r="F757" s="5" t="inlineStr">
        <is>
          <t>LNH0925ND01</t>
        </is>
      </c>
      <c r="G757" s="105" t="n">
        <v>8415000</v>
      </c>
      <c r="H757">
        <f>VLOOKUP(B757,'[1]TONG HOP'!B$5:G$624,6,0)</f>
        <v/>
      </c>
      <c r="I757" t="n">
        <v>2103750</v>
      </c>
    </row>
    <row r="758">
      <c r="A758" s="5" t="n">
        <v>752</v>
      </c>
      <c r="B758" s="5" t="inlineStr">
        <is>
          <t>25807800116</t>
        </is>
      </c>
      <c r="C758" s="6" t="inlineStr">
        <is>
          <t>Nguyeãn Traàn Minh</t>
        </is>
      </c>
      <c r="D758" s="6" t="inlineStr">
        <is>
          <t>Quaân</t>
        </is>
      </c>
      <c r="E758" s="5" t="inlineStr">
        <is>
          <t>09-Sep-07</t>
        </is>
      </c>
      <c r="F758" s="5" t="inlineStr">
        <is>
          <t>LNH0925ND01</t>
        </is>
      </c>
      <c r="G758" s="105" t="n">
        <v>4465000</v>
      </c>
      <c r="H758">
        <f>VLOOKUP(B758,'[1]TONG HOP'!B$5:G$624,6,0)</f>
        <v/>
      </c>
      <c r="I758" t="n">
        <v>2232500</v>
      </c>
    </row>
    <row r="759">
      <c r="A759" s="5" t="n">
        <v>753</v>
      </c>
      <c r="B759" s="5" t="inlineStr">
        <is>
          <t>25802800018</t>
        </is>
      </c>
      <c r="C759" s="6" t="inlineStr">
        <is>
          <t>Nguyeãn Duy</t>
        </is>
      </c>
      <c r="D759" s="6" t="inlineStr">
        <is>
          <t>Baûo</t>
        </is>
      </c>
      <c r="E759" s="5" t="inlineStr">
        <is>
          <t>30-Mar-07</t>
        </is>
      </c>
      <c r="F759" s="5" t="inlineStr">
        <is>
          <t>LNH0925ND01</t>
        </is>
      </c>
      <c r="G759" s="105" t="n">
        <v>7540000</v>
      </c>
    </row>
    <row r="760">
      <c r="A760" s="5" t="n">
        <v>754</v>
      </c>
      <c r="B760" s="5" t="inlineStr">
        <is>
          <t>25808900231</t>
        </is>
      </c>
      <c r="C760" s="6" t="inlineStr">
        <is>
          <t>Vuõ Trung</t>
        </is>
      </c>
      <c r="D760" s="6" t="inlineStr">
        <is>
          <t>Nguyeân</t>
        </is>
      </c>
      <c r="E760" s="5" t="inlineStr">
        <is>
          <t>04-Nov-07</t>
        </is>
      </c>
      <c r="F760" s="5" t="inlineStr">
        <is>
          <t>LNH0925ND01</t>
        </is>
      </c>
      <c r="G760" s="105" t="n">
        <v>8415000</v>
      </c>
      <c r="H760">
        <f>VLOOKUP(B760,'[1]TONG HOP'!B$5:G$624,6,0)</f>
        <v/>
      </c>
      <c r="I760" t="n">
        <v>2103750</v>
      </c>
    </row>
    <row r="761">
      <c r="A761" s="5" t="n">
        <v>755</v>
      </c>
      <c r="B761" s="5" t="inlineStr">
        <is>
          <t>25801100089</t>
        </is>
      </c>
      <c r="C761" s="6" t="inlineStr">
        <is>
          <t>Traàn Thò</t>
        </is>
      </c>
      <c r="D761" s="6" t="inlineStr">
        <is>
          <t>Haø</t>
        </is>
      </c>
      <c r="E761" s="5" t="inlineStr">
        <is>
          <t>14-May-95</t>
        </is>
      </c>
      <c r="F761" s="5" t="inlineStr">
        <is>
          <t>LNH0925ND01</t>
        </is>
      </c>
      <c r="G761" s="105" t="n">
        <v>8415000</v>
      </c>
      <c r="H761">
        <f>VLOOKUP(B761,'[1]TONG HOP'!B$5:G$624,6,0)</f>
        <v/>
      </c>
      <c r="I761" t="n">
        <v>2103750</v>
      </c>
    </row>
    <row r="762">
      <c r="A762" s="5" t="n">
        <v>756</v>
      </c>
      <c r="B762" s="5" t="inlineStr">
        <is>
          <t>25801100107</t>
        </is>
      </c>
      <c r="C762" s="6" t="inlineStr">
        <is>
          <t>Phan Thò Thuyù</t>
        </is>
      </c>
      <c r="D762" s="6" t="inlineStr">
        <is>
          <t>Vi</t>
        </is>
      </c>
      <c r="E762" s="5" t="inlineStr">
        <is>
          <t>15-Feb-94</t>
        </is>
      </c>
      <c r="F762" s="5" t="inlineStr">
        <is>
          <t>LNH0925ND01</t>
        </is>
      </c>
      <c r="G762" s="105" t="n">
        <v>8415000</v>
      </c>
      <c r="H762">
        <f>VLOOKUP(B762,'[1]TONG HOP'!B$5:G$624,6,0)</f>
        <v/>
      </c>
      <c r="I762" t="n">
        <v>2103750</v>
      </c>
    </row>
    <row r="763">
      <c r="A763" s="5" t="n">
        <v>757</v>
      </c>
      <c r="B763" s="5" t="inlineStr">
        <is>
          <t>25801300026</t>
        </is>
      </c>
      <c r="C763" s="6" t="inlineStr">
        <is>
          <t>Leâ Minh</t>
        </is>
      </c>
      <c r="D763" s="6" t="inlineStr">
        <is>
          <t>Nhaät</t>
        </is>
      </c>
      <c r="E763" s="5" t="inlineStr">
        <is>
          <t>27-Apr-07</t>
        </is>
      </c>
      <c r="F763" s="5" t="inlineStr">
        <is>
          <t>LNH0925ND01</t>
        </is>
      </c>
      <c r="G763" s="105" t="n">
        <v>8415000</v>
      </c>
    </row>
    <row r="764">
      <c r="A764" s="5" t="n">
        <v>758</v>
      </c>
      <c r="B764" s="5" t="inlineStr">
        <is>
          <t>25807500007</t>
        </is>
      </c>
      <c r="C764" s="6" t="inlineStr">
        <is>
          <t>Nguyen Thi Mai</t>
        </is>
      </c>
      <c r="D764" s="6" t="inlineStr">
        <is>
          <t>Anh</t>
        </is>
      </c>
      <c r="E764" s="5" t="inlineStr">
        <is>
          <t xml:space="preserve">  -   -</t>
        </is>
      </c>
      <c r="F764" s="5" t="inlineStr">
        <is>
          <t>LNH0925ND01</t>
        </is>
      </c>
      <c r="G764" s="105" t="n">
        <v>8415000</v>
      </c>
      <c r="H764">
        <f>VLOOKUP(B764,'[1]TONG HOP'!B$5:G$624,6,0)</f>
        <v/>
      </c>
      <c r="I764" t="n">
        <v>2103750</v>
      </c>
    </row>
    <row r="765">
      <c r="A765" s="5" t="n">
        <v>759</v>
      </c>
      <c r="B765" s="5" t="inlineStr">
        <is>
          <t>25800600343</t>
        </is>
      </c>
      <c r="C765" s="6" t="inlineStr">
        <is>
          <t>Nguyeãn Ñaêng</t>
        </is>
      </c>
      <c r="D765" s="6" t="inlineStr">
        <is>
          <t>Khoa</t>
        </is>
      </c>
      <c r="E765" s="5" t="inlineStr">
        <is>
          <t>12-Sep-07</t>
        </is>
      </c>
      <c r="F765" s="5" t="inlineStr">
        <is>
          <t>LNH0925ND01</t>
        </is>
      </c>
      <c r="G765" s="105" t="n">
        <v>8415000</v>
      </c>
      <c r="H765">
        <f>VLOOKUP(B765,'[1]TONG HOP'!B$5:G$624,6,0)</f>
        <v/>
      </c>
      <c r="I765" t="n">
        <v>2103750</v>
      </c>
    </row>
    <row r="766">
      <c r="A766" s="5" t="n">
        <v>760</v>
      </c>
      <c r="B766" s="5" t="inlineStr">
        <is>
          <t>25800500093</t>
        </is>
      </c>
      <c r="C766" s="6" t="inlineStr">
        <is>
          <t>Nguyeãn Traàn Ñaêng</t>
        </is>
      </c>
      <c r="D766" s="6" t="inlineStr">
        <is>
          <t>Khoa</t>
        </is>
      </c>
      <c r="E766" s="5" t="inlineStr">
        <is>
          <t>21-Sep-07</t>
        </is>
      </c>
      <c r="F766" s="5" t="inlineStr">
        <is>
          <t>LNH0925ND01</t>
        </is>
      </c>
      <c r="G766" s="105" t="n">
        <v>8415000</v>
      </c>
    </row>
    <row r="767">
      <c r="A767" s="5" t="n">
        <v>761</v>
      </c>
      <c r="B767" s="5" t="inlineStr">
        <is>
          <t>25800400122</t>
        </is>
      </c>
      <c r="C767" s="6" t="inlineStr">
        <is>
          <t>Ñaëng Nguyeãn Hoaøng</t>
        </is>
      </c>
      <c r="D767" s="6" t="inlineStr">
        <is>
          <t>Phuù</t>
        </is>
      </c>
      <c r="E767" s="5" t="inlineStr">
        <is>
          <t>11-Apr-05</t>
        </is>
      </c>
      <c r="F767" s="5" t="inlineStr">
        <is>
          <t>LNH0925ND01</t>
        </is>
      </c>
      <c r="G767" s="105" t="n">
        <v>8415000</v>
      </c>
      <c r="H767">
        <f>VLOOKUP(B767,'[1]TONG HOP'!B$5:G$624,6,0)</f>
        <v/>
      </c>
      <c r="I767" t="n">
        <v>2103750</v>
      </c>
    </row>
    <row r="768">
      <c r="A768" s="5" t="n">
        <v>762</v>
      </c>
      <c r="B768" s="5" t="inlineStr">
        <is>
          <t>25801800089</t>
        </is>
      </c>
      <c r="C768" s="6" t="inlineStr">
        <is>
          <t>Nguyeãn Ngoïc Nhö</t>
        </is>
      </c>
      <c r="D768" s="6" t="inlineStr">
        <is>
          <t>YÙ</t>
        </is>
      </c>
      <c r="E768" s="5" t="inlineStr">
        <is>
          <t>29-Jan-07</t>
        </is>
      </c>
      <c r="F768" s="5" t="inlineStr">
        <is>
          <t>LNH0925ND01</t>
        </is>
      </c>
      <c r="G768" s="105" t="n">
        <v>8415000</v>
      </c>
      <c r="H768">
        <f>VLOOKUP(B768,'[1]TONG HOP'!B$5:G$624,6,0)</f>
        <v/>
      </c>
      <c r="I768" t="n">
        <v>2103750</v>
      </c>
    </row>
    <row r="769">
      <c r="A769" s="5" t="n">
        <v>763</v>
      </c>
      <c r="B769" s="5" t="inlineStr">
        <is>
          <t>25802700016</t>
        </is>
      </c>
      <c r="C769" s="6" t="inlineStr">
        <is>
          <t>Nguyeãn Quoác</t>
        </is>
      </c>
      <c r="D769" s="6" t="inlineStr">
        <is>
          <t>Ñaït</t>
        </is>
      </c>
      <c r="E769" s="5" t="inlineStr">
        <is>
          <t>10-May-07</t>
        </is>
      </c>
      <c r="F769" s="5" t="inlineStr">
        <is>
          <t>LNH0925ND01</t>
        </is>
      </c>
      <c r="G769" s="105" t="n">
        <v>8415000</v>
      </c>
    </row>
    <row r="770">
      <c r="A770" s="5" t="n">
        <v>764</v>
      </c>
      <c r="B770" s="5" t="inlineStr">
        <is>
          <t>25803800058</t>
        </is>
      </c>
      <c r="C770" s="6" t="inlineStr">
        <is>
          <t>Giang Quoác</t>
        </is>
      </c>
      <c r="D770" s="6" t="inlineStr">
        <is>
          <t>Thònh</t>
        </is>
      </c>
      <c r="E770" s="5" t="inlineStr">
        <is>
          <t>18-Jun-07</t>
        </is>
      </c>
      <c r="F770" s="5" t="inlineStr">
        <is>
          <t>LNH0925ND01</t>
        </is>
      </c>
      <c r="G770" s="105" t="n">
        <v>8415000</v>
      </c>
      <c r="H770">
        <f>VLOOKUP(B770,'[1]TONG HOP'!B$5:G$624,6,0)</f>
        <v/>
      </c>
      <c r="I770" t="n">
        <v>2103750</v>
      </c>
    </row>
    <row r="771">
      <c r="A771" s="5" t="n">
        <v>765</v>
      </c>
      <c r="B771" s="5" t="inlineStr">
        <is>
          <t>25807900120</t>
        </is>
      </c>
      <c r="C771" s="6" t="inlineStr">
        <is>
          <t>Traàn Ñöùc</t>
        </is>
      </c>
      <c r="D771" s="6" t="inlineStr">
        <is>
          <t>Phaùt</t>
        </is>
      </c>
      <c r="E771" s="5" t="inlineStr">
        <is>
          <t>12-Mar-07</t>
        </is>
      </c>
      <c r="F771" s="5" t="inlineStr">
        <is>
          <t>LNH0925ND01</t>
        </is>
      </c>
      <c r="G771" s="105" t="n">
        <v>8415000</v>
      </c>
      <c r="H771">
        <f>VLOOKUP(B771,'[1]TONG HOP'!B$5:G$624,6,0)</f>
        <v/>
      </c>
      <c r="I771" t="n">
        <v>2103750</v>
      </c>
    </row>
    <row r="772">
      <c r="A772" s="5" t="n">
        <v>766</v>
      </c>
      <c r="B772" s="5" t="inlineStr">
        <is>
          <t>25809400036</t>
        </is>
      </c>
      <c r="C772" s="6" t="inlineStr">
        <is>
          <t>Leâ Thanh</t>
        </is>
      </c>
      <c r="D772" s="6" t="inlineStr">
        <is>
          <t>Bình</t>
        </is>
      </c>
      <c r="E772" s="5" t="inlineStr">
        <is>
          <t>04-Jun-07</t>
        </is>
      </c>
      <c r="F772" s="5" t="inlineStr">
        <is>
          <t>LNH0925ND01</t>
        </is>
      </c>
      <c r="G772" s="105" t="n">
        <v>8415000</v>
      </c>
    </row>
    <row r="773">
      <c r="A773" s="5" t="n">
        <v>767</v>
      </c>
      <c r="B773" s="5" t="inlineStr">
        <is>
          <t>25801200058</t>
        </is>
      </c>
      <c r="C773" s="6" t="inlineStr">
        <is>
          <t>Nguyeãn Phöông</t>
        </is>
      </c>
      <c r="D773" s="6" t="inlineStr">
        <is>
          <t>Vónh</t>
        </is>
      </c>
      <c r="E773" s="5" t="inlineStr">
        <is>
          <t>28-Mar-06</t>
        </is>
      </c>
      <c r="F773" s="5" t="inlineStr">
        <is>
          <t>LNH0925ND01</t>
        </is>
      </c>
      <c r="G773" s="105" t="n">
        <v>8415000</v>
      </c>
      <c r="H773">
        <f>VLOOKUP(B773,'[1]TONG HOP'!B$5:G$624,6,0)</f>
        <v/>
      </c>
      <c r="I773" t="n">
        <v>2103750</v>
      </c>
    </row>
    <row r="774">
      <c r="A774" s="5" t="n">
        <v>768</v>
      </c>
      <c r="B774" s="5" t="inlineStr">
        <is>
          <t>25820300056</t>
        </is>
      </c>
      <c r="C774" s="6" t="inlineStr">
        <is>
          <t>Voõ Duy</t>
        </is>
      </c>
      <c r="D774" s="6" t="inlineStr">
        <is>
          <t>Thaønh</t>
        </is>
      </c>
      <c r="E774" s="5" t="inlineStr">
        <is>
          <t>11-Jul-07</t>
        </is>
      </c>
      <c r="F774" s="5" t="inlineStr">
        <is>
          <t>LNH0925ND01</t>
        </is>
      </c>
      <c r="G774" s="105" t="n">
        <v>8415000</v>
      </c>
      <c r="H774">
        <f>VLOOKUP(B774,'[1]TONG HOP'!B$5:G$624,6,0)</f>
        <v/>
      </c>
      <c r="I774" t="n">
        <v>2103750</v>
      </c>
    </row>
    <row r="775">
      <c r="A775" s="5" t="n">
        <v>769</v>
      </c>
      <c r="B775" s="5" t="inlineStr">
        <is>
          <t>25802800249</t>
        </is>
      </c>
      <c r="C775" s="6" t="inlineStr">
        <is>
          <t>Traàn Hoàng Hoaøng</t>
        </is>
      </c>
      <c r="D775" s="6" t="inlineStr">
        <is>
          <t>Thònh</t>
        </is>
      </c>
      <c r="E775" s="5" t="inlineStr">
        <is>
          <t>23-Jun-07</t>
        </is>
      </c>
      <c r="F775" s="5" t="inlineStr">
        <is>
          <t>LNH0925ND01</t>
        </is>
      </c>
      <c r="G775" s="105" t="n">
        <v>1000000</v>
      </c>
    </row>
    <row r="776">
      <c r="A776" s="5" t="n">
        <v>770</v>
      </c>
      <c r="B776" s="5" t="inlineStr">
        <is>
          <t>25802700203</t>
        </is>
      </c>
      <c r="C776" s="6" t="inlineStr">
        <is>
          <t>Ñoã Nguyeãn Thu</t>
        </is>
      </c>
      <c r="D776" s="6" t="inlineStr">
        <is>
          <t>Nguyeät</t>
        </is>
      </c>
      <c r="E776" s="5" t="inlineStr">
        <is>
          <t>09-Oct-07</t>
        </is>
      </c>
      <c r="F776" s="5" t="inlineStr">
        <is>
          <t>LNH0925ND01</t>
        </is>
      </c>
      <c r="G776" s="105" t="n">
        <v>8415000</v>
      </c>
      <c r="H776">
        <f>VLOOKUP(B776,'[1]TONG HOP'!B$5:G$624,6,0)</f>
        <v/>
      </c>
      <c r="I776" t="n">
        <v>2103750</v>
      </c>
    </row>
    <row r="777">
      <c r="A777" s="5" t="n">
        <v>771</v>
      </c>
      <c r="B777" s="5" t="inlineStr">
        <is>
          <t>25808700221</t>
        </is>
      </c>
      <c r="C777" s="6" t="inlineStr">
        <is>
          <t>Huyønh Phuùc</t>
        </is>
      </c>
      <c r="D777" s="6" t="inlineStr">
        <is>
          <t>Chieán</t>
        </is>
      </c>
      <c r="E777" s="5" t="inlineStr">
        <is>
          <t>05-Jul-07</t>
        </is>
      </c>
      <c r="F777" s="5" t="inlineStr">
        <is>
          <t>LNH0925ND01</t>
        </is>
      </c>
      <c r="G777" s="105" t="n">
        <v>8415000</v>
      </c>
      <c r="H777">
        <f>VLOOKUP(B777,'[1]TONG HOP'!B$5:G$624,6,0)</f>
        <v/>
      </c>
      <c r="I777" t="n">
        <v>2103750</v>
      </c>
    </row>
    <row r="778">
      <c r="A778" s="5" t="n">
        <v>772</v>
      </c>
      <c r="B778" s="5" t="inlineStr">
        <is>
          <t>25808600027</t>
        </is>
      </c>
      <c r="C778" s="6" t="inlineStr">
        <is>
          <t>Leâ Thu Haûi</t>
        </is>
      </c>
      <c r="D778" s="6" t="inlineStr">
        <is>
          <t>Haø</t>
        </is>
      </c>
      <c r="E778" s="5" t="inlineStr">
        <is>
          <t>06-Oct-07</t>
        </is>
      </c>
      <c r="F778" s="5" t="inlineStr">
        <is>
          <t>LNH0925ND01</t>
        </is>
      </c>
      <c r="G778" s="105" t="n">
        <v>7540000</v>
      </c>
    </row>
    <row r="779">
      <c r="A779" s="5" t="n">
        <v>773</v>
      </c>
      <c r="B779" s="5" t="inlineStr">
        <is>
          <t>25800600765</t>
        </is>
      </c>
      <c r="C779" s="6" t="inlineStr">
        <is>
          <t>Phan Anh</t>
        </is>
      </c>
      <c r="D779" s="6" t="inlineStr">
        <is>
          <t>Tuaán</t>
        </is>
      </c>
      <c r="E779" s="5" t="inlineStr">
        <is>
          <t>29-Aug-07</t>
        </is>
      </c>
      <c r="F779" s="5" t="inlineStr">
        <is>
          <t>LNH0925ND01</t>
        </is>
      </c>
      <c r="G779" s="105" t="n">
        <v>8415000</v>
      </c>
      <c r="H779">
        <f>VLOOKUP(B779,'[1]TONG HOP'!B$5:G$624,6,0)</f>
        <v/>
      </c>
      <c r="I779" t="n">
        <v>2103750</v>
      </c>
    </row>
    <row r="780">
      <c r="A780" s="5" t="n">
        <v>774</v>
      </c>
      <c r="B780" s="5" t="inlineStr">
        <is>
          <t>25808100045</t>
        </is>
      </c>
      <c r="C780" s="6" t="inlineStr">
        <is>
          <t>Nguyeãn Hoaøng</t>
        </is>
      </c>
      <c r="D780" s="6" t="inlineStr">
        <is>
          <t>Quaân</t>
        </is>
      </c>
      <c r="E780" s="5" t="inlineStr">
        <is>
          <t>26-Sep-07</t>
        </is>
      </c>
      <c r="F780" s="5" t="inlineStr">
        <is>
          <t>LNH0925ND01</t>
        </is>
      </c>
      <c r="G780" s="105" t="n">
        <v>8415000</v>
      </c>
    </row>
    <row r="781">
      <c r="A781" s="5" t="n">
        <v>775</v>
      </c>
      <c r="B781" s="5" t="inlineStr">
        <is>
          <t>25808900243</t>
        </is>
      </c>
      <c r="C781" s="6" t="inlineStr">
        <is>
          <t>Ñoã Ngoïc</t>
        </is>
      </c>
      <c r="D781" s="6" t="inlineStr">
        <is>
          <t>An</t>
        </is>
      </c>
      <c r="E781" s="5" t="inlineStr">
        <is>
          <t>06-Nov-07</t>
        </is>
      </c>
      <c r="F781" s="5" t="inlineStr">
        <is>
          <t>LNH0925ND01</t>
        </is>
      </c>
      <c r="G781" s="105" t="n">
        <v>8415000</v>
      </c>
      <c r="H781">
        <f>VLOOKUP(B781,'[1]TONG HOP'!B$5:G$624,6,0)</f>
        <v/>
      </c>
      <c r="I781" t="n">
        <v>2103750</v>
      </c>
    </row>
    <row r="782">
      <c r="A782" s="5" t="n">
        <v>776</v>
      </c>
      <c r="B782" s="5" t="inlineStr">
        <is>
          <t>25808600014</t>
        </is>
      </c>
      <c r="C782" s="6" t="inlineStr">
        <is>
          <t>Chen Chien</t>
        </is>
      </c>
      <c r="D782" s="6" t="inlineStr">
        <is>
          <t>Chih</t>
        </is>
      </c>
      <c r="E782" s="5" t="inlineStr">
        <is>
          <t>17-May-05</t>
        </is>
      </c>
      <c r="F782" s="5" t="inlineStr">
        <is>
          <t>LNH0925ND01</t>
        </is>
      </c>
      <c r="G782" s="105" t="n">
        <v>8415000</v>
      </c>
      <c r="H782">
        <f>VLOOKUP(B782,'[1]TONG HOP'!B$5:G$624,6,0)</f>
        <v/>
      </c>
      <c r="I782" t="n">
        <v>2103750</v>
      </c>
    </row>
    <row r="783">
      <c r="A783" s="5" t="n">
        <v>777</v>
      </c>
      <c r="B783" s="5" t="inlineStr">
        <is>
          <t>25802800020</t>
        </is>
      </c>
      <c r="C783" s="6" t="inlineStr">
        <is>
          <t>Tröông Nguyeãn Gia</t>
        </is>
      </c>
      <c r="D783" s="6" t="inlineStr">
        <is>
          <t>Baûo</t>
        </is>
      </c>
      <c r="E783" s="5" t="inlineStr">
        <is>
          <t>13-Aug-07</t>
        </is>
      </c>
      <c r="F783" s="5" t="inlineStr">
        <is>
          <t>LNH0925ND01</t>
        </is>
      </c>
      <c r="G783" s="105" t="n">
        <v>8415000</v>
      </c>
      <c r="H783">
        <f>VLOOKUP(B783,'[1]TONG HOP'!B$5:G$624,6,0)</f>
        <v/>
      </c>
      <c r="I783" t="n">
        <v>2103750</v>
      </c>
    </row>
    <row r="784">
      <c r="A784" s="5" t="n">
        <v>778</v>
      </c>
      <c r="B784" s="5" t="inlineStr">
        <is>
          <t>25807500069</t>
        </is>
      </c>
      <c r="C784" s="6" t="inlineStr">
        <is>
          <t>Ly Hue</t>
        </is>
      </c>
      <c r="D784" s="6" t="inlineStr">
        <is>
          <t>Man</t>
        </is>
      </c>
      <c r="E784" s="5" t="inlineStr">
        <is>
          <t xml:space="preserve">  -   -</t>
        </is>
      </c>
      <c r="F784" s="5" t="inlineStr">
        <is>
          <t>LNH0925ND01</t>
        </is>
      </c>
      <c r="G784" s="105" t="n">
        <v>8415000</v>
      </c>
      <c r="H784">
        <f>VLOOKUP(B784,'[1]TONG HOP'!B$5:G$624,6,0)</f>
        <v/>
      </c>
      <c r="I784" t="n">
        <v>2103750</v>
      </c>
    </row>
    <row r="785">
      <c r="A785" s="5" t="n">
        <v>779</v>
      </c>
      <c r="B785" s="5" t="inlineStr">
        <is>
          <t>25807500108</t>
        </is>
      </c>
      <c r="C785" s="6" t="inlineStr">
        <is>
          <t>Phan Nhö Ngoïc</t>
        </is>
      </c>
      <c r="D785" s="6" t="inlineStr">
        <is>
          <t>Thanh</t>
        </is>
      </c>
      <c r="E785" s="5" t="inlineStr">
        <is>
          <t>18-May-07</t>
        </is>
      </c>
      <c r="F785" s="5" t="inlineStr">
        <is>
          <t>LNH0925ND01</t>
        </is>
      </c>
      <c r="G785" s="105" t="n">
        <v>7540000</v>
      </c>
    </row>
    <row r="786">
      <c r="A786" s="5" t="n">
        <v>780</v>
      </c>
      <c r="B786" s="5" t="inlineStr">
        <is>
          <t>25808500274</t>
        </is>
      </c>
      <c r="C786" s="6" t="inlineStr">
        <is>
          <t>Nguyeãn Troïng</t>
        </is>
      </c>
      <c r="D786" s="6" t="inlineStr">
        <is>
          <t>Phaùt</t>
        </is>
      </c>
      <c r="E786" s="5" t="inlineStr">
        <is>
          <t>22-Dec-07</t>
        </is>
      </c>
      <c r="F786" s="5" t="inlineStr">
        <is>
          <t>LNH0925ND01</t>
        </is>
      </c>
      <c r="G786" s="105" t="n">
        <v>2100000</v>
      </c>
      <c r="H786">
        <f>VLOOKUP(B786,'[1]TONG HOP'!B$5:G$624,6,0)</f>
        <v/>
      </c>
      <c r="I786" t="n">
        <v>2100000</v>
      </c>
    </row>
    <row r="787">
      <c r="A787" s="5" t="n">
        <v>781</v>
      </c>
      <c r="B787" s="5" t="inlineStr">
        <is>
          <t>25807800075</t>
        </is>
      </c>
      <c r="C787" s="6" t="inlineStr">
        <is>
          <t>Leâ Troïng</t>
        </is>
      </c>
      <c r="D787" s="6" t="inlineStr">
        <is>
          <t>Long</t>
        </is>
      </c>
      <c r="E787" s="5" t="inlineStr">
        <is>
          <t>26-Nov-07</t>
        </is>
      </c>
      <c r="F787" s="5" t="inlineStr">
        <is>
          <t>LNH0925ND01</t>
        </is>
      </c>
      <c r="G787" s="105" t="n">
        <v>8415000</v>
      </c>
      <c r="H787">
        <f>VLOOKUP(B787,'[1]TONG HOP'!B$5:G$624,6,0)</f>
        <v/>
      </c>
      <c r="I787" t="n">
        <v>2103750</v>
      </c>
    </row>
    <row r="788">
      <c r="A788" s="5" t="n">
        <v>782</v>
      </c>
      <c r="B788" s="5" t="inlineStr">
        <is>
          <t>25808600105</t>
        </is>
      </c>
      <c r="C788" s="6" t="inlineStr">
        <is>
          <t>Leâ Minh</t>
        </is>
      </c>
      <c r="D788" s="6" t="inlineStr">
        <is>
          <t>Taâm</t>
        </is>
      </c>
      <c r="E788" s="5" t="inlineStr">
        <is>
          <t>23-Oct-07</t>
        </is>
      </c>
      <c r="F788" s="5" t="inlineStr">
        <is>
          <t>LNH0925ND01</t>
        </is>
      </c>
      <c r="G788" s="105" t="n">
        <v>8415000</v>
      </c>
      <c r="H788">
        <f>VLOOKUP(B788,'[1]TONG HOP'!B$5:G$624,6,0)</f>
        <v/>
      </c>
      <c r="I788" t="n">
        <v>2103750</v>
      </c>
    </row>
    <row r="789">
      <c r="A789" s="5" t="n">
        <v>783</v>
      </c>
      <c r="B789" s="5" t="inlineStr">
        <is>
          <t>25807700110</t>
        </is>
      </c>
      <c r="C789" s="6" t="inlineStr">
        <is>
          <t>Nguyeãn Minh</t>
        </is>
      </c>
      <c r="D789" s="6" t="inlineStr">
        <is>
          <t>Thuaän</t>
        </is>
      </c>
      <c r="E789" s="5" t="inlineStr">
        <is>
          <t>08-Dec-04</t>
        </is>
      </c>
      <c r="F789" s="5" t="inlineStr">
        <is>
          <t>LNH0925ND01</t>
        </is>
      </c>
      <c r="G789" s="105" t="n">
        <v>8415000</v>
      </c>
      <c r="H789">
        <f>VLOOKUP(B789,'[1]TONG HOP'!B$5:G$624,6,0)</f>
        <v/>
      </c>
      <c r="I789" t="n">
        <v>2103750</v>
      </c>
    </row>
    <row r="790">
      <c r="A790" s="5" t="n">
        <v>784</v>
      </c>
      <c r="B790" s="5" t="inlineStr">
        <is>
          <t>25806300027</t>
        </is>
      </c>
      <c r="C790" s="6" t="inlineStr">
        <is>
          <t>Phaïm Ngoïc Phöông</t>
        </is>
      </c>
      <c r="D790" s="6" t="inlineStr">
        <is>
          <t>Nam</t>
        </is>
      </c>
      <c r="E790" s="5" t="inlineStr">
        <is>
          <t>13-Oct-07</t>
        </is>
      </c>
      <c r="F790" s="5" t="inlineStr">
        <is>
          <t>LNH0925ND01</t>
        </is>
      </c>
      <c r="G790" s="105" t="n">
        <v>8415000</v>
      </c>
    </row>
    <row r="791">
      <c r="A791" s="5" t="n">
        <v>785</v>
      </c>
      <c r="B791" s="5" t="inlineStr">
        <is>
          <t>25820200119</t>
        </is>
      </c>
      <c r="C791" s="6" t="inlineStr">
        <is>
          <t>Nguyeãn Minh</t>
        </is>
      </c>
      <c r="D791" s="6" t="inlineStr">
        <is>
          <t>Hieáu</t>
        </is>
      </c>
      <c r="E791" s="5" t="inlineStr">
        <is>
          <t>27-Nov-07</t>
        </is>
      </c>
      <c r="F791" s="5" t="inlineStr">
        <is>
          <t>LNH0925ND01</t>
        </is>
      </c>
      <c r="G791" s="105" t="n">
        <v>5000000</v>
      </c>
      <c r="H791">
        <f>VLOOKUP(B791,'[1]TONG HOP'!B$5:G$624,6,0)</f>
        <v/>
      </c>
      <c r="I791" t="n">
        <v>2232500</v>
      </c>
    </row>
    <row r="792">
      <c r="A792" s="5" t="n">
        <v>786</v>
      </c>
      <c r="B792" s="5" t="inlineStr">
        <is>
          <t>25808200123</t>
        </is>
      </c>
      <c r="C792" s="6" t="inlineStr">
        <is>
          <t>Leâ Ngoïc</t>
        </is>
      </c>
      <c r="D792" s="6" t="inlineStr">
        <is>
          <t>Thieän</t>
        </is>
      </c>
      <c r="E792" s="5" t="inlineStr">
        <is>
          <t>01-Aug-07</t>
        </is>
      </c>
      <c r="F792" s="5" t="inlineStr">
        <is>
          <t>LNH0925ND01</t>
        </is>
      </c>
      <c r="G792" s="105" t="n">
        <v>8415000</v>
      </c>
      <c r="H792">
        <f>VLOOKUP(B792,'[1]TONG HOP'!B$5:G$624,6,0)</f>
        <v/>
      </c>
      <c r="I792" t="n">
        <v>2103750</v>
      </c>
    </row>
    <row r="793">
      <c r="A793" s="5" t="n">
        <v>787</v>
      </c>
      <c r="B793" s="5" t="inlineStr">
        <is>
          <t>25806300034</t>
        </is>
      </c>
      <c r="C793" s="6" t="inlineStr">
        <is>
          <t>Phaïm Minh</t>
        </is>
      </c>
      <c r="D793" s="6" t="inlineStr">
        <is>
          <t>Sang</t>
        </is>
      </c>
      <c r="E793" s="5" t="inlineStr">
        <is>
          <t>02-Nov-06</t>
        </is>
      </c>
      <c r="F793" s="5" t="inlineStr">
        <is>
          <t>LNH0925ND01</t>
        </is>
      </c>
      <c r="G793" s="105" t="n">
        <v>2100000</v>
      </c>
      <c r="H793">
        <f>VLOOKUP(B793,'[1]TONG HOP'!B$5:G$624,6,0)</f>
        <v/>
      </c>
      <c r="I793" t="n">
        <v>2100000</v>
      </c>
    </row>
    <row r="794">
      <c r="A794" s="5" t="n">
        <v>788</v>
      </c>
      <c r="B794" s="5" t="inlineStr">
        <is>
          <t>25808600269</t>
        </is>
      </c>
      <c r="C794" s="6" t="inlineStr">
        <is>
          <t>Traàn Nguyeãn Thaùi</t>
        </is>
      </c>
      <c r="D794" s="6" t="inlineStr">
        <is>
          <t>Linh</t>
        </is>
      </c>
      <c r="E794" s="5" t="inlineStr">
        <is>
          <t>31-Mar-07</t>
        </is>
      </c>
      <c r="F794" s="5" t="inlineStr">
        <is>
          <t>LNH0925ND01</t>
        </is>
      </c>
      <c r="G794" s="105" t="n">
        <v>8415000</v>
      </c>
      <c r="H794">
        <f>VLOOKUP(B794,'[1]TONG HOP'!B$5:G$624,6,0)</f>
        <v/>
      </c>
      <c r="I794" t="n">
        <v>2103750</v>
      </c>
    </row>
    <row r="795">
      <c r="A795" s="5" t="n">
        <v>789</v>
      </c>
      <c r="B795" s="5" t="inlineStr">
        <is>
          <t>25807700074</t>
        </is>
      </c>
      <c r="C795" s="6" t="inlineStr">
        <is>
          <t>Phaïm Löông</t>
        </is>
      </c>
      <c r="D795" s="6" t="inlineStr">
        <is>
          <t>Toaøn</t>
        </is>
      </c>
      <c r="E795" s="5" t="inlineStr">
        <is>
          <t>06-Oct-07</t>
        </is>
      </c>
      <c r="F795" s="5" t="inlineStr">
        <is>
          <t>LNH0925ND01</t>
        </is>
      </c>
      <c r="G795" s="105" t="n">
        <v>8415000</v>
      </c>
      <c r="H795">
        <f>VLOOKUP(B795,'[1]TONG HOP'!B$5:G$624,6,0)</f>
        <v/>
      </c>
      <c r="I795" t="n">
        <v>2103750</v>
      </c>
    </row>
    <row r="796">
      <c r="A796" s="5" t="n">
        <v>790</v>
      </c>
      <c r="B796" s="5" t="inlineStr">
        <is>
          <t>25808700047</t>
        </is>
      </c>
      <c r="C796" s="6" t="inlineStr">
        <is>
          <t>Nguyen Mai Nhat</t>
        </is>
      </c>
      <c r="D796" s="6" t="inlineStr">
        <is>
          <t>Linh</t>
        </is>
      </c>
      <c r="E796" s="5" t="inlineStr">
        <is>
          <t>11-May-07</t>
        </is>
      </c>
      <c r="F796" s="5" t="inlineStr">
        <is>
          <t>LNH0925ND01</t>
        </is>
      </c>
      <c r="G796" s="105" t="n">
        <v>8415000</v>
      </c>
      <c r="H796" s="31" t="inlineStr">
        <is>
          <t xml:space="preserve">LNH0925ND14 </t>
        </is>
      </c>
      <c r="I796" t="n">
        <v>2103750</v>
      </c>
    </row>
    <row r="797">
      <c r="A797" s="5" t="n">
        <v>791</v>
      </c>
      <c r="B797" s="5" t="inlineStr">
        <is>
          <t>25808700015</t>
        </is>
      </c>
      <c r="C797" s="6" t="inlineStr">
        <is>
          <t>Döông Höõu Khaùnh</t>
        </is>
      </c>
      <c r="D797" s="6" t="inlineStr">
        <is>
          <t>Ñaït</t>
        </is>
      </c>
      <c r="E797" s="5" t="inlineStr">
        <is>
          <t>02-Feb-07</t>
        </is>
      </c>
      <c r="F797" s="5" t="inlineStr">
        <is>
          <t>LNH0925ND01</t>
        </is>
      </c>
      <c r="G797" s="105" t="n">
        <v>8415000</v>
      </c>
      <c r="H797">
        <f>VLOOKUP(B797,'[1]TONG HOP'!B$5:G$624,6,0)</f>
        <v/>
      </c>
      <c r="I797" t="n">
        <v>2103750</v>
      </c>
    </row>
    <row r="798">
      <c r="A798" s="5" t="n">
        <v>792</v>
      </c>
      <c r="B798" s="5" t="inlineStr">
        <is>
          <t>25807700003</t>
        </is>
      </c>
      <c r="C798" s="6" t="inlineStr">
        <is>
          <t>Nguyeãn Vieät</t>
        </is>
      </c>
      <c r="D798" s="6" t="inlineStr">
        <is>
          <t>Anh</t>
        </is>
      </c>
      <c r="E798" s="5" t="inlineStr">
        <is>
          <t>16-Jan-07</t>
        </is>
      </c>
      <c r="F798" s="5" t="inlineStr">
        <is>
          <t>LNH0925ND01</t>
        </is>
      </c>
      <c r="G798" s="105" t="n">
        <v>8415000</v>
      </c>
      <c r="H798">
        <f>VLOOKUP(B798,'[1]TONG HOP'!B$5:G$624,6,0)</f>
        <v/>
      </c>
      <c r="I798" t="n">
        <v>2103750</v>
      </c>
    </row>
    <row r="799">
      <c r="A799" s="5" t="n">
        <v>793</v>
      </c>
      <c r="B799" s="5" t="inlineStr">
        <is>
          <t>25806400012</t>
        </is>
      </c>
      <c r="C799" s="6" t="inlineStr">
        <is>
          <t>Nguyeãn Hoaøng</t>
        </is>
      </c>
      <c r="D799" s="6" t="inlineStr">
        <is>
          <t>Khoâi</t>
        </is>
      </c>
      <c r="E799" s="5" t="inlineStr">
        <is>
          <t>22-Oct-07</t>
        </is>
      </c>
      <c r="F799" s="5" t="inlineStr">
        <is>
          <t>LNH0925ND01</t>
        </is>
      </c>
      <c r="G799" s="105" t="n">
        <v>8415000</v>
      </c>
    </row>
    <row r="800">
      <c r="A800" s="5" t="n">
        <v>794</v>
      </c>
      <c r="B800" s="5" t="inlineStr">
        <is>
          <t>25802100022</t>
        </is>
      </c>
      <c r="C800" s="6" t="inlineStr">
        <is>
          <t>Leâ Nguyeãn Tuaán</t>
        </is>
      </c>
      <c r="D800" s="6" t="inlineStr">
        <is>
          <t>Kieät</t>
        </is>
      </c>
      <c r="E800" s="5" t="inlineStr">
        <is>
          <t>23-Jun-07</t>
        </is>
      </c>
      <c r="F800" s="5" t="inlineStr">
        <is>
          <t>LNH0925ND01</t>
        </is>
      </c>
      <c r="G800" s="105" t="n">
        <v>8415000</v>
      </c>
      <c r="H800">
        <f>VLOOKUP(B800,'[1]TONG HOP'!B$5:G$624,6,0)</f>
        <v/>
      </c>
      <c r="I800" t="n">
        <v>2103750</v>
      </c>
    </row>
    <row r="801">
      <c r="A801" s="5" t="n">
        <v>795</v>
      </c>
      <c r="B801" s="5" t="inlineStr">
        <is>
          <t>25803000389</t>
        </is>
      </c>
      <c r="C801" s="6" t="inlineStr">
        <is>
          <t>Nguyeãn Thò Kim</t>
        </is>
      </c>
      <c r="D801" s="6" t="inlineStr">
        <is>
          <t>Ngaân</t>
        </is>
      </c>
      <c r="E801" s="5" t="inlineStr">
        <is>
          <t>16-Apr-07</t>
        </is>
      </c>
      <c r="F801" s="5" t="inlineStr">
        <is>
          <t>LNH0925ND01</t>
        </is>
      </c>
      <c r="G801" s="105" t="n">
        <v>8415000</v>
      </c>
    </row>
    <row r="802">
      <c r="A802" s="5" t="n">
        <v>796</v>
      </c>
      <c r="B802" s="5" t="inlineStr">
        <is>
          <t>25820300049</t>
        </is>
      </c>
      <c r="C802" s="6" t="inlineStr">
        <is>
          <t>Ñaëng Nhaân</t>
        </is>
      </c>
      <c r="D802" s="6" t="inlineStr">
        <is>
          <t>Quyù</t>
        </is>
      </c>
      <c r="E802" s="5" t="inlineStr">
        <is>
          <t>14-Dec-07</t>
        </is>
      </c>
      <c r="F802" s="5" t="inlineStr">
        <is>
          <t>LNH0925ND01</t>
        </is>
      </c>
      <c r="G802" s="105" t="n">
        <v>8415000</v>
      </c>
    </row>
    <row r="803">
      <c r="A803" s="5" t="n">
        <v>797</v>
      </c>
      <c r="B803" s="5" t="inlineStr">
        <is>
          <t>25801100128</t>
        </is>
      </c>
      <c r="C803" s="6" t="inlineStr">
        <is>
          <t>Nguyeãn Taán</t>
        </is>
      </c>
      <c r="D803" s="6" t="inlineStr">
        <is>
          <t>Vieät</t>
        </is>
      </c>
      <c r="E803" s="5" t="inlineStr">
        <is>
          <t>08-Jun-07</t>
        </is>
      </c>
      <c r="F803" s="5" t="inlineStr">
        <is>
          <t>LNH0925ND01</t>
        </is>
      </c>
      <c r="G803" s="105" t="n">
        <v>8415000</v>
      </c>
      <c r="H803">
        <f>VLOOKUP(B803,'[1]TONG HOP'!B$5:G$624,6,0)</f>
        <v/>
      </c>
      <c r="I803" t="n">
        <v>2103750</v>
      </c>
    </row>
    <row r="804">
      <c r="A804" s="5" t="n">
        <v>798</v>
      </c>
      <c r="B804" s="5" t="inlineStr">
        <is>
          <t>25820700064</t>
        </is>
      </c>
      <c r="C804" s="6" t="inlineStr">
        <is>
          <t>Voõ Thò Huyeàn</t>
        </is>
      </c>
      <c r="D804" s="6" t="inlineStr">
        <is>
          <t>Traân</t>
        </is>
      </c>
      <c r="E804" s="5" t="inlineStr">
        <is>
          <t>08-Apr-07</t>
        </is>
      </c>
      <c r="F804" s="5" t="inlineStr">
        <is>
          <t>LNH0925ND01</t>
        </is>
      </c>
      <c r="G804" s="105" t="n">
        <v>5000000</v>
      </c>
      <c r="H804">
        <f>VLOOKUP(B804,'[1]TONG HOP'!B$5:G$624,6,0)</f>
        <v/>
      </c>
      <c r="I804" t="n">
        <v>2232500</v>
      </c>
    </row>
    <row r="805">
      <c r="A805" s="5" t="n">
        <v>799</v>
      </c>
      <c r="B805" s="5" t="inlineStr">
        <is>
          <t>25800400049</t>
        </is>
      </c>
      <c r="C805" s="6" t="inlineStr">
        <is>
          <t>Tröông Vónh</t>
        </is>
      </c>
      <c r="D805" s="6" t="inlineStr">
        <is>
          <t>Hoäi</t>
        </is>
      </c>
      <c r="E805" s="5" t="inlineStr">
        <is>
          <t>08-Dec-07</t>
        </is>
      </c>
      <c r="F805" s="5" t="inlineStr">
        <is>
          <t>LNH0925ND01</t>
        </is>
      </c>
      <c r="G805" s="105" t="n">
        <v>8415000</v>
      </c>
      <c r="H805">
        <f>VLOOKUP(B805,'[1]TONG HOP'!B$5:G$624,6,0)</f>
        <v/>
      </c>
      <c r="I805" t="n">
        <v>2103750</v>
      </c>
    </row>
    <row r="806">
      <c r="A806" s="5" t="n">
        <v>800</v>
      </c>
      <c r="B806" s="5" t="inlineStr">
        <is>
          <t>25820700012</t>
        </is>
      </c>
      <c r="C806" s="6" t="inlineStr">
        <is>
          <t>Ngoâ Maïnh Tröôøng</t>
        </is>
      </c>
      <c r="D806" s="6" t="inlineStr">
        <is>
          <t>Huy</t>
        </is>
      </c>
      <c r="E806" s="5" t="inlineStr">
        <is>
          <t>18-Aug-07</t>
        </is>
      </c>
      <c r="F806" s="5" t="inlineStr">
        <is>
          <t>LNH0925ND01</t>
        </is>
      </c>
      <c r="G806" s="105" t="n">
        <v>7415000</v>
      </c>
    </row>
    <row r="807">
      <c r="A807" s="5" t="n">
        <v>801</v>
      </c>
      <c r="B807" s="5" t="inlineStr">
        <is>
          <t>25806000034</t>
        </is>
      </c>
      <c r="C807" s="6" t="inlineStr">
        <is>
          <t>Nguyeãn Nhaät Thanh</t>
        </is>
      </c>
      <c r="D807" s="6" t="inlineStr">
        <is>
          <t>Sôn</t>
        </is>
      </c>
      <c r="E807" s="5" t="inlineStr">
        <is>
          <t>05-Mar-07</t>
        </is>
      </c>
      <c r="F807" s="5" t="inlineStr">
        <is>
          <t>LNH0925ND01</t>
        </is>
      </c>
      <c r="G807" s="105" t="n">
        <v>8415000</v>
      </c>
      <c r="H807">
        <f>VLOOKUP(B807,'[1]TONG HOP'!B$5:G$624,6,0)</f>
        <v/>
      </c>
      <c r="I807" t="n">
        <v>2103750</v>
      </c>
    </row>
    <row r="808">
      <c r="A808" s="5" t="n">
        <v>802</v>
      </c>
      <c r="B808" s="5" t="inlineStr">
        <is>
          <t>25808500344</t>
        </is>
      </c>
      <c r="C808" s="6" t="inlineStr">
        <is>
          <t>Nguyeãn Kim Tröôøng</t>
        </is>
      </c>
      <c r="D808" s="6" t="inlineStr">
        <is>
          <t>Thònh</t>
        </is>
      </c>
      <c r="E808" s="5" t="inlineStr">
        <is>
          <t>24-Nov-07</t>
        </is>
      </c>
      <c r="F808" s="5" t="inlineStr">
        <is>
          <t>LNH0925ND01</t>
        </is>
      </c>
      <c r="G808" s="105" t="n">
        <v>2100000</v>
      </c>
      <c r="H808">
        <f>VLOOKUP(B808,'[1]TONG HOP'!B$5:G$624,6,0)</f>
        <v/>
      </c>
      <c r="I808" t="n">
        <v>2100000</v>
      </c>
    </row>
    <row r="809">
      <c r="A809" s="5" t="n">
        <v>803</v>
      </c>
      <c r="B809" s="5" t="inlineStr">
        <is>
          <t>25806000115</t>
        </is>
      </c>
      <c r="C809" s="6" t="inlineStr">
        <is>
          <t>Phaïm Quang</t>
        </is>
      </c>
      <c r="D809" s="6" t="inlineStr">
        <is>
          <t>Huy</t>
        </is>
      </c>
      <c r="E809" s="5" t="inlineStr">
        <is>
          <t>14-Oct-06</t>
        </is>
      </c>
      <c r="F809" s="5" t="inlineStr">
        <is>
          <t>LNH0925ND01</t>
        </is>
      </c>
      <c r="G809" s="105" t="n">
        <v>4465000</v>
      </c>
      <c r="H809">
        <f>VLOOKUP(B809,'[1]TONG HOP'!B$5:G$624,6,0)</f>
        <v/>
      </c>
      <c r="I809" t="n">
        <v>2232500</v>
      </c>
    </row>
    <row r="810">
      <c r="A810" s="5" t="n">
        <v>804</v>
      </c>
      <c r="B810" s="5" t="inlineStr">
        <is>
          <t>25800600077</t>
        </is>
      </c>
      <c r="C810" s="6" t="inlineStr">
        <is>
          <t>Sôn Trung</t>
        </is>
      </c>
      <c r="D810" s="6" t="inlineStr">
        <is>
          <t>Chieán</t>
        </is>
      </c>
      <c r="E810" s="5" t="inlineStr">
        <is>
          <t>24-Sep-07</t>
        </is>
      </c>
      <c r="F810" s="5" t="inlineStr">
        <is>
          <t>LNH0925ND01</t>
        </is>
      </c>
      <c r="G810" s="105" t="n">
        <v>8415000</v>
      </c>
    </row>
    <row r="811">
      <c r="A811" s="5" t="n">
        <v>805</v>
      </c>
      <c r="B811" s="5" t="inlineStr">
        <is>
          <t>25808700155</t>
        </is>
      </c>
      <c r="C811" s="6" t="inlineStr">
        <is>
          <t>Phaïm Minh</t>
        </is>
      </c>
      <c r="D811" s="6" t="inlineStr">
        <is>
          <t>Quang</t>
        </is>
      </c>
      <c r="E811" s="5" t="inlineStr">
        <is>
          <t>30-Mar-06</t>
        </is>
      </c>
      <c r="F811" s="5" t="inlineStr">
        <is>
          <t>LNH0925ND01</t>
        </is>
      </c>
      <c r="G811" s="105" t="n">
        <v>8415000</v>
      </c>
    </row>
    <row r="812">
      <c r="A812" s="5" t="n">
        <v>806</v>
      </c>
      <c r="B812" s="5" t="inlineStr">
        <is>
          <t>25800400133</t>
        </is>
      </c>
      <c r="C812" s="6" t="inlineStr">
        <is>
          <t>Tröông Taán</t>
        </is>
      </c>
      <c r="D812" s="6" t="inlineStr">
        <is>
          <t>Sang</t>
        </is>
      </c>
      <c r="E812" s="5" t="inlineStr">
        <is>
          <t>31-Mar-07</t>
        </is>
      </c>
      <c r="F812" s="5" t="inlineStr">
        <is>
          <t>LNH0925ND01</t>
        </is>
      </c>
      <c r="G812" s="105" t="n">
        <v>8415000</v>
      </c>
      <c r="H812">
        <f>VLOOKUP(B812,'[1]TONG HOP'!B$5:G$624,6,0)</f>
        <v/>
      </c>
      <c r="I812" t="n">
        <v>2103750</v>
      </c>
    </row>
    <row r="813">
      <c r="A813" s="5" t="n">
        <v>807</v>
      </c>
      <c r="B813" s="5" t="inlineStr">
        <is>
          <t>25801800005</t>
        </is>
      </c>
      <c r="C813" s="6" t="inlineStr">
        <is>
          <t>Phaïm Myõ Lan</t>
        </is>
      </c>
      <c r="D813" s="6" t="inlineStr">
        <is>
          <t>Anh</t>
        </is>
      </c>
      <c r="E813" s="5" t="inlineStr">
        <is>
          <t>30-Dec-07</t>
        </is>
      </c>
      <c r="F813" s="5" t="inlineStr">
        <is>
          <t>LNH0925ND01</t>
        </is>
      </c>
      <c r="G813" s="105" t="n">
        <v>8415000</v>
      </c>
    </row>
    <row r="814">
      <c r="A814" s="5" t="n">
        <v>808</v>
      </c>
      <c r="B814" s="5" t="inlineStr">
        <is>
          <t>25800400022</t>
        </is>
      </c>
      <c r="C814" s="6" t="inlineStr">
        <is>
          <t>Nguyeãn Vaên</t>
        </is>
      </c>
      <c r="D814" s="6" t="inlineStr">
        <is>
          <t>Coâng</t>
        </is>
      </c>
      <c r="E814" s="5" t="inlineStr">
        <is>
          <t>21-Feb-07</t>
        </is>
      </c>
      <c r="F814" s="5" t="inlineStr">
        <is>
          <t>LNH0925ND01</t>
        </is>
      </c>
      <c r="G814" s="105" t="n">
        <v>8415000</v>
      </c>
    </row>
    <row r="815">
      <c r="A815" s="5" t="n">
        <v>809</v>
      </c>
      <c r="B815" s="5" t="inlineStr">
        <is>
          <t>25807000027</t>
        </is>
      </c>
      <c r="C815" s="6" t="inlineStr">
        <is>
          <t>Hoà Kieàu</t>
        </is>
      </c>
      <c r="D815" s="6" t="inlineStr">
        <is>
          <t>Trang</t>
        </is>
      </c>
      <c r="E815" s="5" t="inlineStr">
        <is>
          <t>24-Dec-07</t>
        </is>
      </c>
      <c r="F815" s="5" t="inlineStr">
        <is>
          <t>LNH0925ND01</t>
        </is>
      </c>
      <c r="G815" s="105" t="n">
        <v>4940000</v>
      </c>
    </row>
    <row r="816">
      <c r="A816" s="5" t="n">
        <v>810</v>
      </c>
      <c r="B816" s="5" t="inlineStr">
        <is>
          <t>25806600120</t>
        </is>
      </c>
      <c r="C816" s="6" t="inlineStr">
        <is>
          <t>Nguyeãn Haûi</t>
        </is>
      </c>
      <c r="D816" s="6" t="inlineStr">
        <is>
          <t>Maïnh</t>
        </is>
      </c>
      <c r="E816" s="5" t="inlineStr">
        <is>
          <t>30-Oct-07</t>
        </is>
      </c>
      <c r="F816" s="5" t="inlineStr">
        <is>
          <t>LNH0925ND01</t>
        </is>
      </c>
      <c r="G816" s="105" t="n">
        <v>2100000</v>
      </c>
    </row>
    <row r="817">
      <c r="A817" s="5" t="n">
        <v>811</v>
      </c>
      <c r="B817" s="5" t="inlineStr">
        <is>
          <t>25806600042</t>
        </is>
      </c>
      <c r="C817" s="6" t="inlineStr">
        <is>
          <t>Nguyeãn Höõu Hoaøng</t>
        </is>
      </c>
      <c r="D817" s="6" t="inlineStr">
        <is>
          <t>Ñaït</t>
        </is>
      </c>
      <c r="E817" s="5" t="inlineStr">
        <is>
          <t>24-Apr-07</t>
        </is>
      </c>
      <c r="F817" s="5" t="inlineStr">
        <is>
          <t>LNH0925ND01</t>
        </is>
      </c>
      <c r="G817" s="105" t="n">
        <v>2100000</v>
      </c>
    </row>
    <row r="818">
      <c r="A818" s="5" t="n">
        <v>812</v>
      </c>
      <c r="B818" s="7" t="inlineStr">
        <is>
          <t>25806300055</t>
        </is>
      </c>
      <c r="C818" s="8" t="inlineStr">
        <is>
          <t>Nguyeãn Vaên</t>
        </is>
      </c>
      <c r="D818" s="8" t="inlineStr">
        <is>
          <t>Tuaán</t>
        </is>
      </c>
      <c r="E818" s="7" t="inlineStr">
        <is>
          <t>25-Feb-06</t>
        </is>
      </c>
      <c r="F818" s="7" t="inlineStr">
        <is>
          <t>LNH0925ND01</t>
        </is>
      </c>
      <c r="G818" s="108" t="n">
        <v>8415000</v>
      </c>
      <c r="H818">
        <f>VLOOKUP(B818,'[1]TONG HOP'!B$232:G$232,6,0)</f>
        <v/>
      </c>
      <c r="I818" t="n">
        <v>2103750</v>
      </c>
    </row>
    <row r="819">
      <c r="A819" s="5" t="n">
        <v>813</v>
      </c>
      <c r="B819" s="5" t="inlineStr">
        <is>
          <t>25802800108</t>
        </is>
      </c>
      <c r="C819" s="6" t="inlineStr">
        <is>
          <t>Voõ Traàn Baûo</t>
        </is>
      </c>
      <c r="D819" s="6" t="inlineStr">
        <is>
          <t>Khang</t>
        </is>
      </c>
      <c r="E819" s="5" t="inlineStr">
        <is>
          <t>19-Sep-07</t>
        </is>
      </c>
      <c r="F819" s="5" t="inlineStr">
        <is>
          <t>LNH0925NL01</t>
        </is>
      </c>
      <c r="G819" s="105" t="n">
        <v>6120000</v>
      </c>
      <c r="H819">
        <f>VLOOKUP(B819,'[1]TONG HOP'!B$599:G$661,6,0)</f>
        <v/>
      </c>
      <c r="I819" t="n">
        <v>1530000</v>
      </c>
    </row>
    <row r="820">
      <c r="A820" s="5" t="n">
        <v>814</v>
      </c>
      <c r="B820" s="5" t="inlineStr">
        <is>
          <t>25820200039</t>
        </is>
      </c>
      <c r="C820" s="6" t="inlineStr">
        <is>
          <t>Nguyeãn Hoàng Lan</t>
        </is>
      </c>
      <c r="D820" s="6" t="inlineStr">
        <is>
          <t>Mai</t>
        </is>
      </c>
      <c r="E820" s="5" t="inlineStr">
        <is>
          <t>09-Jan-07</t>
        </is>
      </c>
      <c r="F820" s="5" t="inlineStr">
        <is>
          <t>LNH0925NL01</t>
        </is>
      </c>
      <c r="G820" s="105" t="n">
        <v>1000000</v>
      </c>
    </row>
    <row r="821">
      <c r="A821" s="5" t="n">
        <v>815</v>
      </c>
      <c r="B821" s="5" t="inlineStr">
        <is>
          <t>25808200103</t>
        </is>
      </c>
      <c r="C821" s="6" t="inlineStr">
        <is>
          <t>Vuõ Hoaøng</t>
        </is>
      </c>
      <c r="D821" s="6" t="inlineStr">
        <is>
          <t>Phuùc</t>
        </is>
      </c>
      <c r="E821" s="5" t="inlineStr">
        <is>
          <t>03-Nov-07</t>
        </is>
      </c>
      <c r="F821" s="5" t="inlineStr">
        <is>
          <t>LNH0925NL01</t>
        </is>
      </c>
      <c r="G821" s="105" t="n">
        <v>1000000</v>
      </c>
    </row>
    <row r="822">
      <c r="A822" s="5" t="n">
        <v>816</v>
      </c>
      <c r="B822" s="5" t="inlineStr">
        <is>
          <t>25807800066</t>
        </is>
      </c>
      <c r="C822" s="6" t="inlineStr">
        <is>
          <t>Ñinh Duy Anh</t>
        </is>
      </c>
      <c r="D822" s="6" t="inlineStr">
        <is>
          <t>Khoâi</t>
        </is>
      </c>
      <c r="E822" s="5" t="inlineStr">
        <is>
          <t>21-Jun-07</t>
        </is>
      </c>
      <c r="F822" s="5" t="inlineStr">
        <is>
          <t>LNH0925NL01</t>
        </is>
      </c>
      <c r="G822" s="105" t="n">
        <v>6120000</v>
      </c>
      <c r="H822">
        <f>VLOOKUP(B822,'[1]TONG HOP'!B$599:G$661,6,0)</f>
        <v/>
      </c>
      <c r="I822" t="n">
        <v>1530000</v>
      </c>
    </row>
    <row r="823">
      <c r="A823" s="5" t="n">
        <v>817</v>
      </c>
      <c r="B823" s="5" t="inlineStr">
        <is>
          <t>25805800023</t>
        </is>
      </c>
      <c r="C823" s="6" t="inlineStr">
        <is>
          <t>Buøi Thieän</t>
        </is>
      </c>
      <c r="D823" s="6" t="inlineStr">
        <is>
          <t>Nhaân</t>
        </is>
      </c>
      <c r="E823" s="5" t="inlineStr">
        <is>
          <t>06-Jan-07</t>
        </is>
      </c>
      <c r="F823" s="5" t="inlineStr">
        <is>
          <t>LNH0925NL01</t>
        </is>
      </c>
      <c r="G823" s="105" t="n">
        <v>1000000</v>
      </c>
    </row>
    <row r="824">
      <c r="A824" s="5" t="n">
        <v>818</v>
      </c>
      <c r="B824" s="5" t="inlineStr">
        <is>
          <t>25808200042</t>
        </is>
      </c>
      <c r="C824" s="6" t="inlineStr">
        <is>
          <t>Nguyeãn Phi</t>
        </is>
      </c>
      <c r="D824" s="6" t="inlineStr">
        <is>
          <t>Hieäp</t>
        </is>
      </c>
      <c r="E824" s="5" t="inlineStr">
        <is>
          <t>14-Dec-07</t>
        </is>
      </c>
      <c r="F824" s="5" t="inlineStr">
        <is>
          <t>LNH0925NL01</t>
        </is>
      </c>
      <c r="G824" s="105" t="n">
        <v>6120000</v>
      </c>
      <c r="H824">
        <f>VLOOKUP(B824,'[1]TONG HOP'!B$599:G$661,6,0)</f>
        <v/>
      </c>
      <c r="I824" t="n">
        <v>1530000</v>
      </c>
    </row>
    <row r="825">
      <c r="A825" s="5" t="n">
        <v>819</v>
      </c>
      <c r="B825" s="5" t="inlineStr">
        <is>
          <t>25802600075</t>
        </is>
      </c>
      <c r="C825" s="6" t="inlineStr">
        <is>
          <t>Huyønh Thanh Mai</t>
        </is>
      </c>
      <c r="D825" s="6" t="inlineStr">
        <is>
          <t>Ly</t>
        </is>
      </c>
      <c r="E825" s="5" t="inlineStr">
        <is>
          <t>26-Aug-07</t>
        </is>
      </c>
      <c r="F825" s="5" t="inlineStr">
        <is>
          <t>LNH0925NL01</t>
        </is>
      </c>
      <c r="G825" s="105" t="n">
        <v>6120000</v>
      </c>
      <c r="H825">
        <f>VLOOKUP(B825,'[1]TONG HOP'!B$599:G$661,6,0)</f>
        <v/>
      </c>
      <c r="I825" t="n">
        <v>1530000</v>
      </c>
    </row>
    <row r="826">
      <c r="A826" s="5" t="n">
        <v>820</v>
      </c>
      <c r="B826" s="5" t="inlineStr">
        <is>
          <t>25803800012</t>
        </is>
      </c>
      <c r="C826" s="6" t="inlineStr">
        <is>
          <t>Leâ Thanh</t>
        </is>
      </c>
      <c r="D826" s="6" t="inlineStr">
        <is>
          <t>Ñaït</t>
        </is>
      </c>
      <c r="E826" s="5" t="inlineStr">
        <is>
          <t>16-Jul-07</t>
        </is>
      </c>
      <c r="F826" s="5" t="inlineStr">
        <is>
          <t>LNH0925NL01</t>
        </is>
      </c>
      <c r="G826" s="105" t="n">
        <v>3800000</v>
      </c>
    </row>
    <row r="827">
      <c r="A827" s="5" t="n">
        <v>821</v>
      </c>
      <c r="B827" s="5" t="inlineStr">
        <is>
          <t>25820200020</t>
        </is>
      </c>
      <c r="C827" s="6" t="inlineStr">
        <is>
          <t>Nguyeãn Nhaät</t>
        </is>
      </c>
      <c r="D827" s="6" t="inlineStr">
        <is>
          <t>Haøo</t>
        </is>
      </c>
      <c r="E827" s="5" t="inlineStr">
        <is>
          <t>28-Apr-07</t>
        </is>
      </c>
      <c r="F827" s="5" t="inlineStr">
        <is>
          <t>LNH0925NL01</t>
        </is>
      </c>
      <c r="G827" s="105" t="n">
        <v>6120000</v>
      </c>
      <c r="H827">
        <f>VLOOKUP(B827,'[1]TONG HOP'!B$599:G$661,6,0)</f>
        <v/>
      </c>
      <c r="I827" t="n">
        <v>1530000</v>
      </c>
    </row>
    <row r="828">
      <c r="A828" s="5" t="n">
        <v>822</v>
      </c>
      <c r="B828" s="5" t="inlineStr">
        <is>
          <t>25805900027</t>
        </is>
      </c>
      <c r="C828" s="6" t="inlineStr">
        <is>
          <t>Traàn Thò Ngoïc</t>
        </is>
      </c>
      <c r="D828" s="6" t="inlineStr">
        <is>
          <t>Nhi</t>
        </is>
      </c>
      <c r="E828" s="5" t="inlineStr">
        <is>
          <t>10-Nov-07</t>
        </is>
      </c>
      <c r="F828" s="5" t="inlineStr">
        <is>
          <t>LNH0925NL01</t>
        </is>
      </c>
      <c r="G828" s="105" t="n">
        <v>6120000</v>
      </c>
      <c r="H828">
        <f>VLOOKUP(B828,'[1]TONG HOP'!B$599:G$661,6,0)</f>
        <v/>
      </c>
      <c r="I828" t="n">
        <v>1530000</v>
      </c>
    </row>
    <row r="829">
      <c r="A829" s="5" t="n">
        <v>823</v>
      </c>
      <c r="B829" s="5" t="inlineStr">
        <is>
          <t>25809700009</t>
        </is>
      </c>
      <c r="C829" s="6" t="inlineStr">
        <is>
          <t>Thaïch Thò Huyønh</t>
        </is>
      </c>
      <c r="D829" s="6" t="inlineStr">
        <is>
          <t>Nhö</t>
        </is>
      </c>
      <c r="E829" s="5" t="inlineStr">
        <is>
          <t>04-Aug-07</t>
        </is>
      </c>
      <c r="F829" s="5" t="inlineStr">
        <is>
          <t>LNH0925NL01</t>
        </is>
      </c>
      <c r="G829" s="105" t="n">
        <v>6000000</v>
      </c>
      <c r="H829">
        <f>VLOOKUP(B829,'[1]TONG HOP'!B$599:G$661,6,0)</f>
        <v/>
      </c>
      <c r="I829" t="n">
        <v>1530000</v>
      </c>
    </row>
    <row r="830">
      <c r="A830" s="5" t="n">
        <v>824</v>
      </c>
      <c r="B830" s="5" t="inlineStr">
        <is>
          <t>25820600001</t>
        </is>
      </c>
      <c r="C830" s="6" t="inlineStr">
        <is>
          <t>Löu Hoàng</t>
        </is>
      </c>
      <c r="D830" s="6" t="inlineStr">
        <is>
          <t>Anh</t>
        </is>
      </c>
      <c r="E830" s="5" t="inlineStr">
        <is>
          <t>06-Sep-07</t>
        </is>
      </c>
      <c r="F830" s="5" t="inlineStr">
        <is>
          <t>LNH0925NL01</t>
        </is>
      </c>
      <c r="G830" s="105" t="n">
        <v>6120000</v>
      </c>
      <c r="H830">
        <f>VLOOKUP(B830,'[1]TONG HOP'!B$599:G$661,6,0)</f>
        <v/>
      </c>
      <c r="I830" t="n">
        <v>1530000</v>
      </c>
    </row>
    <row r="831">
      <c r="A831" s="5" t="n">
        <v>825</v>
      </c>
      <c r="B831" s="40" t="inlineStr">
        <is>
          <t>25808700184</t>
        </is>
      </c>
      <c r="C831" s="6" t="inlineStr">
        <is>
          <t>Nguyeãn Ngoïc Thaûo</t>
        </is>
      </c>
      <c r="D831" s="6" t="inlineStr">
        <is>
          <t>Ngaân</t>
        </is>
      </c>
      <c r="E831" s="5" t="inlineStr">
        <is>
          <t>18-May-07</t>
        </is>
      </c>
      <c r="F831" s="5" t="inlineStr">
        <is>
          <t>LNH0925NL01</t>
        </is>
      </c>
      <c r="G831" s="105" t="n">
        <v>11050000</v>
      </c>
      <c r="H831">
        <f>VLOOKUP(B831,'[1]TONG HOP'!B$599:G$661,6,0)</f>
        <v/>
      </c>
      <c r="I831" t="n">
        <v>1530000</v>
      </c>
      <c r="J831" t="inlineStr">
        <is>
          <t>Chuyển HP EDU: 4.930.000 - học lớp 2KN</t>
        </is>
      </c>
    </row>
    <row r="832">
      <c r="A832" s="5" t="n">
        <v>826</v>
      </c>
      <c r="B832" s="40" t="inlineStr">
        <is>
          <t>25807800108</t>
        </is>
      </c>
      <c r="C832" s="6" t="inlineStr">
        <is>
          <t>Huyønh Höõu</t>
        </is>
      </c>
      <c r="D832" s="6" t="inlineStr">
        <is>
          <t>Phuùc</t>
        </is>
      </c>
      <c r="E832" s="5" t="inlineStr">
        <is>
          <t>17-Jan-07</t>
        </is>
      </c>
      <c r="F832" s="5" t="inlineStr">
        <is>
          <t>LNH0925NL01</t>
        </is>
      </c>
      <c r="G832" s="105" t="n">
        <v>11050000</v>
      </c>
      <c r="H832">
        <f>VLOOKUP(B832,'[1]TONG HOP'!B$599:G$661,6,0)</f>
        <v/>
      </c>
      <c r="I832" t="n">
        <v>1530000</v>
      </c>
      <c r="J832" t="inlineStr">
        <is>
          <t>Chuyển HP EDU: 4.930.000 - học lớp 2KN</t>
        </is>
      </c>
    </row>
    <row r="833">
      <c r="A833" s="5" t="n">
        <v>827</v>
      </c>
      <c r="B833" s="40" t="inlineStr">
        <is>
          <t>25820200047</t>
        </is>
      </c>
      <c r="C833" s="6" t="inlineStr">
        <is>
          <t>Nguyeãn Ñaïi</t>
        </is>
      </c>
      <c r="D833" s="6" t="inlineStr">
        <is>
          <t>Phuù</t>
        </is>
      </c>
      <c r="E833" s="5" t="inlineStr">
        <is>
          <t>10-Jun-07</t>
        </is>
      </c>
      <c r="F833" s="5" t="inlineStr">
        <is>
          <t>LNH0925NL01</t>
        </is>
      </c>
      <c r="G833" s="105" t="n">
        <v>11050000</v>
      </c>
      <c r="H833">
        <f>VLOOKUP(B833,'[1]TONG HOP'!B$599:G$661,6,0)</f>
        <v/>
      </c>
      <c r="I833" t="n">
        <v>1530000</v>
      </c>
      <c r="J833" t="inlineStr">
        <is>
          <t>Chuyển HP EDU: 4.930.000 - học lớp 2KN</t>
        </is>
      </c>
    </row>
    <row r="834">
      <c r="A834" s="5" t="n">
        <v>828</v>
      </c>
      <c r="B834" s="5" t="inlineStr">
        <is>
          <t>25807800065</t>
        </is>
      </c>
      <c r="C834" s="6" t="inlineStr">
        <is>
          <t>Traàn Voõ Minh</t>
        </is>
      </c>
      <c r="D834" s="6" t="inlineStr">
        <is>
          <t>Khoa</t>
        </is>
      </c>
      <c r="E834" s="5" t="inlineStr">
        <is>
          <t>06-Jul-07</t>
        </is>
      </c>
      <c r="F834" s="5" t="inlineStr">
        <is>
          <t>LNH0925NL01</t>
        </is>
      </c>
      <c r="G834" s="105" t="n">
        <v>6120000</v>
      </c>
      <c r="H834">
        <f>VLOOKUP(B834,'[1]TONG HOP'!B$599:G$661,6,0)</f>
        <v/>
      </c>
      <c r="I834" t="n">
        <v>1530000</v>
      </c>
    </row>
    <row r="835">
      <c r="A835" s="5" t="n">
        <v>829</v>
      </c>
      <c r="B835" s="5" t="inlineStr">
        <is>
          <t>25808800045</t>
        </is>
      </c>
      <c r="C835" s="6" t="inlineStr">
        <is>
          <t>Phaïm Thò Myõ</t>
        </is>
      </c>
      <c r="D835" s="6" t="inlineStr">
        <is>
          <t>Leä</t>
        </is>
      </c>
      <c r="E835" s="5" t="inlineStr">
        <is>
          <t>04-Apr-07</t>
        </is>
      </c>
      <c r="F835" s="5" t="inlineStr">
        <is>
          <t>LNH0925NL01</t>
        </is>
      </c>
      <c r="G835" s="105" t="n">
        <v>6120000</v>
      </c>
      <c r="H835">
        <f>VLOOKUP(B835,'[1]TONG HOP'!B$599:G$661,6,0)</f>
        <v/>
      </c>
      <c r="I835" t="n">
        <v>1530000</v>
      </c>
    </row>
    <row r="836">
      <c r="A836" s="5" t="n">
        <v>830</v>
      </c>
      <c r="B836" s="5" t="inlineStr">
        <is>
          <t>25801700104</t>
        </is>
      </c>
      <c r="C836" s="6" t="inlineStr">
        <is>
          <t>Nguyeãn Thanh</t>
        </is>
      </c>
      <c r="D836" s="6" t="inlineStr">
        <is>
          <t>Duy</t>
        </is>
      </c>
      <c r="E836" s="5" t="inlineStr">
        <is>
          <t>27-Mar-07</t>
        </is>
      </c>
      <c r="F836" s="5" t="inlineStr">
        <is>
          <t>LNH0925NL01</t>
        </is>
      </c>
      <c r="G836" s="105" t="n">
        <v>6120000</v>
      </c>
      <c r="H836">
        <f>VLOOKUP(B836,'[1]TONG HOP'!B$599:G$661,6,0)</f>
        <v/>
      </c>
      <c r="I836" t="n">
        <v>1530000</v>
      </c>
    </row>
    <row r="837">
      <c r="A837" s="5" t="n">
        <v>831</v>
      </c>
      <c r="B837" s="5" t="inlineStr">
        <is>
          <t>25807800148</t>
        </is>
      </c>
      <c r="C837" s="6" t="inlineStr">
        <is>
          <t>Traàn Phan Ñöùc</t>
        </is>
      </c>
      <c r="D837" s="6" t="inlineStr">
        <is>
          <t>Trí</t>
        </is>
      </c>
      <c r="E837" s="5" t="inlineStr">
        <is>
          <t>29-Sep-07</t>
        </is>
      </c>
      <c r="F837" s="5" t="inlineStr">
        <is>
          <t>LNH0925NL01</t>
        </is>
      </c>
      <c r="G837" s="105" t="n">
        <v>1600000</v>
      </c>
    </row>
    <row r="838">
      <c r="A838" s="5" t="n">
        <v>832</v>
      </c>
      <c r="B838" s="5" t="inlineStr">
        <is>
          <t>25800500124</t>
        </is>
      </c>
      <c r="C838" s="6" t="inlineStr">
        <is>
          <t>Traàn Coâng Vónh</t>
        </is>
      </c>
      <c r="D838" s="6" t="inlineStr">
        <is>
          <t>Nguyeân</t>
        </is>
      </c>
      <c r="E838" s="5" t="inlineStr">
        <is>
          <t>26-Dec-07</t>
        </is>
      </c>
      <c r="F838" s="5" t="inlineStr">
        <is>
          <t>LNH0925NL01</t>
        </is>
      </c>
      <c r="G838" s="105" t="n">
        <v>6120000</v>
      </c>
      <c r="H838">
        <f>VLOOKUP(B838,'[1]TONG HOP'!B$599:G$661,6,0)</f>
        <v/>
      </c>
      <c r="I838" t="n">
        <v>1530000</v>
      </c>
    </row>
    <row r="839">
      <c r="A839" s="5" t="n">
        <v>833</v>
      </c>
      <c r="B839" s="5" t="inlineStr">
        <is>
          <t>25802800098</t>
        </is>
      </c>
      <c r="C839" s="6" t="inlineStr">
        <is>
          <t>Nguyeãn Leä</t>
        </is>
      </c>
      <c r="D839" s="6" t="inlineStr">
        <is>
          <t>Höông</t>
        </is>
      </c>
      <c r="E839" s="5" t="inlineStr">
        <is>
          <t>05-Apr-07</t>
        </is>
      </c>
      <c r="F839" s="5" t="inlineStr">
        <is>
          <t>LNH0925NL01</t>
        </is>
      </c>
      <c r="G839" s="105" t="n">
        <v>6120000</v>
      </c>
    </row>
    <row r="840">
      <c r="A840" s="5" t="n">
        <v>834</v>
      </c>
      <c r="B840" s="5" t="inlineStr">
        <is>
          <t>25800600034</t>
        </is>
      </c>
      <c r="C840" s="6" t="inlineStr">
        <is>
          <t>Ñaøo Quoác</t>
        </is>
      </c>
      <c r="D840" s="6" t="inlineStr">
        <is>
          <t>Baûo</t>
        </is>
      </c>
      <c r="E840" s="5" t="inlineStr">
        <is>
          <t>05-Jul-07</t>
        </is>
      </c>
      <c r="F840" s="5" t="inlineStr">
        <is>
          <t>LNH0925NL01</t>
        </is>
      </c>
      <c r="G840" s="105" t="n">
        <v>1000000</v>
      </c>
    </row>
    <row r="841">
      <c r="A841" s="5" t="n">
        <v>835</v>
      </c>
      <c r="B841" s="5" t="inlineStr">
        <is>
          <t>25800400028</t>
        </is>
      </c>
      <c r="C841" s="6" t="inlineStr">
        <is>
          <t>Traàn Thanh</t>
        </is>
      </c>
      <c r="D841" s="6" t="inlineStr">
        <is>
          <t>Döông</t>
        </is>
      </c>
      <c r="E841" s="5" t="inlineStr">
        <is>
          <t>02-Feb-07</t>
        </is>
      </c>
      <c r="F841" s="5" t="inlineStr">
        <is>
          <t>LNH0925NL01</t>
        </is>
      </c>
      <c r="G841" s="105" t="n">
        <v>6120000</v>
      </c>
    </row>
    <row r="842">
      <c r="A842" s="5" t="n">
        <v>836</v>
      </c>
      <c r="B842" s="5" t="inlineStr">
        <is>
          <t>25807800048</t>
        </is>
      </c>
      <c r="C842" s="6" t="inlineStr">
        <is>
          <t>Leâ Haûi Huy</t>
        </is>
      </c>
      <c r="D842" s="6" t="inlineStr">
        <is>
          <t>Hoaøng</t>
        </is>
      </c>
      <c r="E842" s="5" t="inlineStr">
        <is>
          <t>14-Mar-07</t>
        </is>
      </c>
      <c r="F842" s="5" t="inlineStr">
        <is>
          <t>LNH0925NL01</t>
        </is>
      </c>
      <c r="G842" s="105" t="n">
        <v>6120000</v>
      </c>
      <c r="H842">
        <f>VLOOKUP(B842,'[1]TONG HOP'!B$599:G$661,6,0)</f>
        <v/>
      </c>
      <c r="I842" t="n">
        <v>1530000</v>
      </c>
    </row>
    <row r="843">
      <c r="A843" s="5" t="n">
        <v>837</v>
      </c>
      <c r="B843" s="5" t="inlineStr">
        <is>
          <t>25802600143</t>
        </is>
      </c>
      <c r="C843" s="6" t="inlineStr">
        <is>
          <t>Phaïm Thò Haûi</t>
        </is>
      </c>
      <c r="D843" s="6" t="inlineStr">
        <is>
          <t>Yeán</t>
        </is>
      </c>
      <c r="E843" s="5" t="inlineStr">
        <is>
          <t>10-Aug-07</t>
        </is>
      </c>
      <c r="F843" s="5" t="inlineStr">
        <is>
          <t>LNH0925NL01</t>
        </is>
      </c>
      <c r="G843" s="105" t="n">
        <v>6120000</v>
      </c>
      <c r="H843">
        <f>VLOOKUP(B843,'[1]TONG HOP'!B$599:G$661,6,0)</f>
        <v/>
      </c>
      <c r="I843" t="n">
        <v>1530000</v>
      </c>
    </row>
    <row r="844">
      <c r="A844" s="5" t="n">
        <v>838</v>
      </c>
      <c r="B844" s="5" t="inlineStr">
        <is>
          <t>25802600087</t>
        </is>
      </c>
      <c r="C844" s="6" t="inlineStr">
        <is>
          <t>Phaïm Thò Thanh</t>
        </is>
      </c>
      <c r="D844" s="6" t="inlineStr">
        <is>
          <t>Ngaân</t>
        </is>
      </c>
      <c r="E844" s="5" t="inlineStr">
        <is>
          <t>09-Jul-07</t>
        </is>
      </c>
      <c r="F844" s="5" t="inlineStr">
        <is>
          <t>LNH0925NL01</t>
        </is>
      </c>
      <c r="G844" s="105" t="n">
        <v>2000000</v>
      </c>
      <c r="H844">
        <f>VLOOKUP(B844,'[1]TONG HOP'!B$599:G$661,6,0)</f>
        <v/>
      </c>
      <c r="I844" t="n">
        <v>1600000</v>
      </c>
    </row>
    <row r="845">
      <c r="A845" s="5" t="n">
        <v>839</v>
      </c>
      <c r="B845" s="5" t="inlineStr">
        <is>
          <t>25801300019</t>
        </is>
      </c>
      <c r="C845" s="6" t="inlineStr">
        <is>
          <t>Nguyeãn Thò Kim</t>
        </is>
      </c>
      <c r="D845" s="6" t="inlineStr">
        <is>
          <t>Ngaân</t>
        </is>
      </c>
      <c r="E845" s="5" t="inlineStr">
        <is>
          <t>03-Jan-07</t>
        </is>
      </c>
      <c r="F845" s="5" t="inlineStr">
        <is>
          <t>LNH0925NL01</t>
        </is>
      </c>
      <c r="G845" s="105" t="n">
        <v>1000000</v>
      </c>
    </row>
    <row r="846">
      <c r="A846" s="5" t="n">
        <v>840</v>
      </c>
      <c r="B846" s="5" t="inlineStr">
        <is>
          <t>25800400268</t>
        </is>
      </c>
      <c r="C846" s="6" t="inlineStr">
        <is>
          <t>Nguyeãn Hoaøng Ñaêng</t>
        </is>
      </c>
      <c r="D846" s="6" t="inlineStr">
        <is>
          <t>Khoa</t>
        </is>
      </c>
      <c r="E846" s="5" t="inlineStr">
        <is>
          <t>18-Feb-07</t>
        </is>
      </c>
      <c r="F846" s="5" t="inlineStr">
        <is>
          <t>LNH0925NL01</t>
        </is>
      </c>
      <c r="G846" s="105" t="n">
        <v>6120000</v>
      </c>
      <c r="H846">
        <f>VLOOKUP(B846,'[1]TONG HOP'!B$599:G$661,6,0)</f>
        <v/>
      </c>
      <c r="I846" t="n">
        <v>1530000</v>
      </c>
    </row>
    <row r="847">
      <c r="A847" s="5" t="n">
        <v>841</v>
      </c>
      <c r="B847" s="5" t="inlineStr">
        <is>
          <t>25808100040</t>
        </is>
      </c>
      <c r="C847" s="6" t="inlineStr">
        <is>
          <t>Nguyeãn Hoaøng Trí</t>
        </is>
      </c>
      <c r="D847" s="6" t="inlineStr">
        <is>
          <t>Nhaân</t>
        </is>
      </c>
      <c r="E847" s="5" t="inlineStr">
        <is>
          <t>02-Jun-07</t>
        </is>
      </c>
      <c r="F847" s="5" t="inlineStr">
        <is>
          <t>LNH0925NL01</t>
        </is>
      </c>
      <c r="G847" s="105" t="n">
        <v>6120000</v>
      </c>
      <c r="H847">
        <f>VLOOKUP(B847,'[1]TONG HOP'!B$599:G$661,6,0)</f>
        <v/>
      </c>
      <c r="I847" t="n">
        <v>1530000</v>
      </c>
    </row>
    <row r="848">
      <c r="A848" s="5" t="n">
        <v>842</v>
      </c>
      <c r="B848" s="5" t="inlineStr">
        <is>
          <t>25806300024</t>
        </is>
      </c>
      <c r="C848" s="6" t="inlineStr">
        <is>
          <t>Tröông Hoaøng</t>
        </is>
      </c>
      <c r="D848" s="6" t="inlineStr">
        <is>
          <t>Long</t>
        </is>
      </c>
      <c r="E848" s="5" t="inlineStr">
        <is>
          <t>25-May-07</t>
        </is>
      </c>
      <c r="F848" s="5" t="inlineStr">
        <is>
          <t>LNH0925NL01</t>
        </is>
      </c>
      <c r="G848" s="105" t="n">
        <v>1000000</v>
      </c>
    </row>
    <row r="849">
      <c r="A849" s="5" t="n">
        <v>843</v>
      </c>
      <c r="B849" s="5" t="inlineStr">
        <is>
          <t>25803000213</t>
        </is>
      </c>
      <c r="C849" s="6" t="inlineStr">
        <is>
          <t>Vöông Quoác</t>
        </is>
      </c>
      <c r="D849" s="6" t="inlineStr">
        <is>
          <t>Huy</t>
        </is>
      </c>
      <c r="E849" s="5" t="inlineStr">
        <is>
          <t>04-Feb-07</t>
        </is>
      </c>
      <c r="F849" s="5" t="inlineStr">
        <is>
          <t>LNH0925NL01</t>
        </is>
      </c>
      <c r="G849" s="105" t="n">
        <v>6120000</v>
      </c>
      <c r="H849">
        <f>VLOOKUP(B849,'[1]TONG HOP'!B$599:G$661,6,0)</f>
        <v/>
      </c>
      <c r="I849" t="n">
        <v>1530000</v>
      </c>
    </row>
    <row r="850">
      <c r="A850" s="5" t="n">
        <v>844</v>
      </c>
      <c r="B850" s="5" t="inlineStr">
        <is>
          <t>25808700134</t>
        </is>
      </c>
      <c r="C850" s="6" t="inlineStr">
        <is>
          <t>Ñoã Gia</t>
        </is>
      </c>
      <c r="D850" s="6" t="inlineStr">
        <is>
          <t>Huy</t>
        </is>
      </c>
      <c r="E850" s="5" t="inlineStr">
        <is>
          <t>26-Apr-07</t>
        </is>
      </c>
      <c r="F850" s="5" t="inlineStr">
        <is>
          <t>LNH0925NL01</t>
        </is>
      </c>
      <c r="G850" s="105" t="n">
        <v>6120000</v>
      </c>
      <c r="H850">
        <f>VLOOKUP(B850,'[1]TONG HOP'!B$599:G$661,6,0)</f>
        <v/>
      </c>
      <c r="I850" t="n">
        <v>1530000</v>
      </c>
    </row>
    <row r="851">
      <c r="A851" s="5" t="n">
        <v>845</v>
      </c>
      <c r="B851" s="5" t="inlineStr">
        <is>
          <t>2288903513</t>
        </is>
      </c>
      <c r="C851" s="6" t="inlineStr">
        <is>
          <t>Tröông Nguyeãn Vaên</t>
        </is>
      </c>
      <c r="D851" s="6" t="inlineStr">
        <is>
          <t>Tieàn</t>
        </is>
      </c>
      <c r="E851" s="5" t="inlineStr">
        <is>
          <t>03-Dec-04</t>
        </is>
      </c>
      <c r="F851" s="5" t="inlineStr">
        <is>
          <t>LNH0925NL01</t>
        </is>
      </c>
      <c r="G851" s="105" t="n">
        <v>1600000</v>
      </c>
    </row>
    <row r="852">
      <c r="A852" s="5" t="n">
        <v>846</v>
      </c>
      <c r="B852" s="5" t="inlineStr">
        <is>
          <t>25803800066</t>
        </is>
      </c>
      <c r="C852" s="6" t="inlineStr">
        <is>
          <t>Leâ Nguyeãn Anh</t>
        </is>
      </c>
      <c r="D852" s="6" t="inlineStr">
        <is>
          <t>Tröôøng</t>
        </is>
      </c>
      <c r="E852" s="5" t="inlineStr">
        <is>
          <t>26-Jul-07</t>
        </is>
      </c>
      <c r="F852" s="5" t="inlineStr">
        <is>
          <t>LNH0925NL01</t>
        </is>
      </c>
      <c r="G852" s="105" t="n">
        <v>1000000</v>
      </c>
    </row>
    <row r="853">
      <c r="A853" s="5" t="n">
        <v>847</v>
      </c>
      <c r="B853" s="40" t="inlineStr">
        <is>
          <t>25800400173</t>
        </is>
      </c>
      <c r="C853" s="6" t="inlineStr">
        <is>
          <t>Nguyeãn Hoaøng</t>
        </is>
      </c>
      <c r="D853" s="6" t="inlineStr">
        <is>
          <t>Vó</t>
        </is>
      </c>
      <c r="E853" s="5" t="inlineStr">
        <is>
          <t>08-Mar-07</t>
        </is>
      </c>
      <c r="F853" s="5" t="inlineStr">
        <is>
          <t>LNH0925NL01</t>
        </is>
      </c>
      <c r="G853" s="105" t="n">
        <v>11050000</v>
      </c>
      <c r="H853">
        <f>VLOOKUP(B853,'[1]TONG HOP'!B$599:G$661,6,0)</f>
        <v/>
      </c>
      <c r="I853" t="n">
        <v>1530000</v>
      </c>
      <c r="J853" t="inlineStr">
        <is>
          <t>Chuyển HP EDU: 4.930.000 - học lớp 2KN</t>
        </is>
      </c>
    </row>
    <row r="854">
      <c r="A854" s="5" t="n">
        <v>848</v>
      </c>
      <c r="B854" s="5" t="inlineStr">
        <is>
          <t>25801700096</t>
        </is>
      </c>
      <c r="C854" s="6" t="inlineStr">
        <is>
          <t>Ñaëng Chí</t>
        </is>
      </c>
      <c r="D854" s="6" t="inlineStr">
        <is>
          <t>Duõng</t>
        </is>
      </c>
      <c r="E854" s="5" t="inlineStr">
        <is>
          <t>17-Apr-07</t>
        </is>
      </c>
      <c r="F854" s="5" t="inlineStr">
        <is>
          <t>LNH0925NL01</t>
        </is>
      </c>
      <c r="G854" s="105" t="n">
        <v>1600000</v>
      </c>
      <c r="H854">
        <f>VLOOKUP(B854,'[1]TONG HOP'!B$599:G$661,6,0)</f>
        <v/>
      </c>
      <c r="I854" t="n">
        <v>1600000</v>
      </c>
    </row>
    <row r="855">
      <c r="A855" s="5" t="n">
        <v>849</v>
      </c>
      <c r="B855" s="5" t="inlineStr">
        <is>
          <t>25806600141</t>
        </is>
      </c>
      <c r="C855" s="6" t="inlineStr">
        <is>
          <t>Traàn Thò Maãn</t>
        </is>
      </c>
      <c r="D855" s="6" t="inlineStr">
        <is>
          <t>Nghi</t>
        </is>
      </c>
      <c r="E855" s="5" t="inlineStr">
        <is>
          <t>06-Jan-07</t>
        </is>
      </c>
      <c r="F855" s="5" t="inlineStr">
        <is>
          <t>LNH0925NL01</t>
        </is>
      </c>
      <c r="G855" s="105" t="n">
        <v>6120000</v>
      </c>
      <c r="H855">
        <f>VLOOKUP(B855,'[1]TONG HOP'!B$599:G$661,6,0)</f>
        <v/>
      </c>
      <c r="I855" t="n">
        <v>1530000</v>
      </c>
    </row>
    <row r="856">
      <c r="A856" s="7" t="n">
        <v>850</v>
      </c>
      <c r="B856" s="7" t="inlineStr">
        <is>
          <t>25802300124</t>
        </is>
      </c>
      <c r="C856" s="8" t="inlineStr">
        <is>
          <t>Nguyeãn Thuøy</t>
        </is>
      </c>
      <c r="D856" s="8" t="inlineStr">
        <is>
          <t>Linh</t>
        </is>
      </c>
      <c r="E856" s="7" t="inlineStr">
        <is>
          <t>11-Jul-07</t>
        </is>
      </c>
      <c r="F856" s="7" t="inlineStr">
        <is>
          <t>LNH0925NL01</t>
        </is>
      </c>
      <c r="G856" s="108" t="n">
        <v>1600000</v>
      </c>
    </row>
    <row r="857">
      <c r="A857" s="5" t="n">
        <v>851</v>
      </c>
      <c r="B857" s="25" t="inlineStr">
        <is>
          <t>2388500585</t>
        </is>
      </c>
      <c r="C857" s="26" t="inlineStr">
        <is>
          <t xml:space="preserve">Nguyeãn Phuùc Minh    </t>
        </is>
      </c>
      <c r="D857" s="26" t="inlineStr">
        <is>
          <t xml:space="preserve">Thö    </t>
        </is>
      </c>
      <c r="E857" s="25" t="n">
        <v>38625</v>
      </c>
      <c r="F857" s="25" t="inlineStr">
        <is>
          <t xml:space="preserve">LNH0925NL01 </t>
        </is>
      </c>
      <c r="G857" s="109" t="n">
        <v>1600000</v>
      </c>
      <c r="H857">
        <f>VLOOKUP(B857,'[1]TONG HOP'!B$646:G$661,6,0)</f>
        <v/>
      </c>
      <c r="I857" t="n">
        <v>1600000</v>
      </c>
    </row>
    <row r="858">
      <c r="A858" s="7" t="n">
        <v>852</v>
      </c>
      <c r="B858" s="28" t="inlineStr">
        <is>
          <t>2180606153</t>
        </is>
      </c>
      <c r="C858" s="29" t="inlineStr">
        <is>
          <t xml:space="preserve">Nguyeãn Ñình          </t>
        </is>
      </c>
      <c r="D858" s="29" t="inlineStr">
        <is>
          <t xml:space="preserve">Huy    </t>
        </is>
      </c>
      <c r="E858" s="28" t="n">
        <v>37938</v>
      </c>
      <c r="F858" s="28" t="inlineStr">
        <is>
          <t xml:space="preserve">LNH0925NL01 </t>
        </is>
      </c>
      <c r="G858" s="110" t="n">
        <v>1600000</v>
      </c>
      <c r="H858">
        <f>VLOOKUP(B858,'[1]TONG HOP'!B$646:G$661,6,0)</f>
        <v/>
      </c>
      <c r="I858" t="n">
        <v>1600000</v>
      </c>
    </row>
  </sheetData>
  <autoFilter ref="A6:H858"/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58"/>
  <sheetViews>
    <sheetView topLeftCell="A5" zoomScale="144" workbookViewId="0">
      <selection activeCell="F868" sqref="F868"/>
    </sheetView>
  </sheetViews>
  <sheetFormatPr baseColWidth="8" defaultColWidth="8.85546875" defaultRowHeight="15"/>
  <cols>
    <col width="18.28515625" customWidth="1" style="87" min="2" max="2"/>
    <col width="21.28515625" customWidth="1" style="87" min="3" max="3"/>
    <col width="13" customWidth="1" style="87" min="4" max="4"/>
    <col width="12.140625" customWidth="1" style="87" min="5" max="5"/>
    <col width="18.85546875" customWidth="1" style="87" min="6" max="6"/>
    <col width="15.85546875" customWidth="1" style="99" min="7" max="7"/>
    <col width="13.85546875" customWidth="1" style="87" min="8" max="8"/>
    <col width="14.42578125" customWidth="1" style="87" min="11" max="11"/>
    <col width="12.85546875" customWidth="1" style="87" min="12" max="12"/>
  </cols>
  <sheetData>
    <row r="1">
      <c r="A1" s="15" t="inlineStr">
        <is>
          <t>LV1</t>
        </is>
      </c>
      <c r="B1" s="15" t="n">
        <v>2100000</v>
      </c>
      <c r="C1" s="15" t="n"/>
      <c r="D1" s="15" t="inlineStr">
        <is>
          <t>2 Khóa (1+2)</t>
        </is>
      </c>
      <c r="E1" s="100">
        <f>(B1+B2)*95%</f>
        <v/>
      </c>
      <c r="F1" s="101">
        <f>E1/2</f>
        <v/>
      </c>
      <c r="G1" s="17" t="inlineStr">
        <is>
          <t>LV1-2</t>
        </is>
      </c>
      <c r="H1" s="17" t="n">
        <v>1600000</v>
      </c>
      <c r="I1" s="17" t="n">
        <v>3000000</v>
      </c>
      <c r="J1" s="17" t="inlineStr">
        <is>
          <t>2LV1-2</t>
        </is>
      </c>
      <c r="K1" s="102">
        <f>H1*2*95%</f>
        <v/>
      </c>
      <c r="L1" s="102">
        <f>I1*2*95%</f>
        <v/>
      </c>
    </row>
    <row r="2">
      <c r="A2" s="15" t="inlineStr">
        <is>
          <t>LV2-3-4</t>
        </is>
      </c>
      <c r="B2" s="15" t="n">
        <v>2600000</v>
      </c>
      <c r="C2" s="15" t="n"/>
      <c r="D2" s="15" t="inlineStr">
        <is>
          <t>2 Khóa (3+4)</t>
        </is>
      </c>
      <c r="E2" s="100">
        <f>B2*2*95%</f>
        <v/>
      </c>
      <c r="G2" s="17" t="inlineStr">
        <is>
          <t>LV3-4</t>
        </is>
      </c>
      <c r="H2" s="17" t="n">
        <v>2000000</v>
      </c>
      <c r="I2" s="17" t="n">
        <v>3500000</v>
      </c>
      <c r="J2" s="17" t="inlineStr">
        <is>
          <t>2LV3-4</t>
        </is>
      </c>
      <c r="K2" s="102">
        <f>H2*2*95%</f>
        <v/>
      </c>
      <c r="L2" s="102">
        <f>I2*2*95%</f>
        <v/>
      </c>
    </row>
    <row r="3">
      <c r="A3" s="15" t="inlineStr">
        <is>
          <t>AVGT</t>
        </is>
      </c>
      <c r="B3" s="15" t="n"/>
      <c r="C3" s="15" t="n"/>
      <c r="D3" s="15" t="inlineStr">
        <is>
          <t>4 Khóa</t>
        </is>
      </c>
      <c r="E3" s="100">
        <f>(B1+3*B2)*85%</f>
        <v/>
      </c>
      <c r="F3" s="101">
        <f>E3/4</f>
        <v/>
      </c>
      <c r="G3" s="17" t="inlineStr">
        <is>
          <t>TOEIC</t>
        </is>
      </c>
      <c r="H3" s="17" t="n"/>
      <c r="I3" s="17" t="n"/>
      <c r="J3" s="17" t="inlineStr">
        <is>
          <t>4LV</t>
        </is>
      </c>
      <c r="K3" s="102">
        <f>(H1*2+H2*2)*85%</f>
        <v/>
      </c>
      <c r="L3" s="102">
        <f>(I1*2+I2*2)*85%</f>
        <v/>
      </c>
    </row>
    <row r="4">
      <c r="K4" s="101">
        <f>K3/4</f>
        <v/>
      </c>
    </row>
    <row r="5">
      <c r="F5" s="4" t="inlineStr">
        <is>
          <t>Tổng cộng</t>
        </is>
      </c>
      <c r="G5" s="103">
        <f>SUBTOTAL(9,G7:G1000)</f>
        <v/>
      </c>
    </row>
    <row r="6">
      <c r="A6" s="9" t="inlineStr">
        <is>
          <t>STT</t>
        </is>
      </c>
      <c r="B6" s="9" t="inlineStr">
        <is>
          <t>MSV</t>
        </is>
      </c>
      <c r="C6" s="9" t="inlineStr">
        <is>
          <t>Họ</t>
        </is>
      </c>
      <c r="D6" s="9" t="inlineStr">
        <is>
          <t>Tên</t>
        </is>
      </c>
      <c r="E6" s="9" t="inlineStr">
        <is>
          <t>Ngày sinh</t>
        </is>
      </c>
      <c r="F6" s="9" t="inlineStr">
        <is>
          <t>Mã lớp đăng ký</t>
        </is>
      </c>
      <c r="G6" s="104" t="inlineStr">
        <is>
          <t>Số tiền</t>
        </is>
      </c>
      <c r="H6" s="13" t="n"/>
      <c r="I6" s="13" t="n"/>
    </row>
    <row r="7">
      <c r="A7" s="5" t="n">
        <v>1</v>
      </c>
      <c r="B7" s="5" t="inlineStr">
        <is>
          <t>25800400195</t>
        </is>
      </c>
      <c r="C7" s="6" t="inlineStr">
        <is>
          <t>Tröông Gia</t>
        </is>
      </c>
      <c r="D7" s="6" t="inlineStr">
        <is>
          <t>Khaùnh</t>
        </is>
      </c>
      <c r="E7" s="5" t="inlineStr">
        <is>
          <t>01-Mar-06</t>
        </is>
      </c>
      <c r="F7" s="5" t="inlineStr">
        <is>
          <t>LNH0925ND01</t>
        </is>
      </c>
      <c r="G7" s="105" t="n">
        <v>500000</v>
      </c>
    </row>
    <row r="8">
      <c r="A8" s="5" t="n">
        <v>2</v>
      </c>
      <c r="B8" s="5" t="inlineStr">
        <is>
          <t>25807800040</t>
        </is>
      </c>
      <c r="C8" s="6" t="inlineStr">
        <is>
          <t>Nguyeãn Theá</t>
        </is>
      </c>
      <c r="D8" s="6" t="inlineStr">
        <is>
          <t>Haûi</t>
        </is>
      </c>
      <c r="E8" s="5" t="inlineStr">
        <is>
          <t>04-Jun-07</t>
        </is>
      </c>
      <c r="F8" s="5" t="inlineStr">
        <is>
          <t>LNH0925ND01</t>
        </is>
      </c>
      <c r="G8" s="105" t="n">
        <v>500000</v>
      </c>
    </row>
    <row r="9">
      <c r="A9" s="5" t="n">
        <v>3</v>
      </c>
      <c r="B9" s="5" t="inlineStr">
        <is>
          <t>25809600060</t>
        </is>
      </c>
      <c r="C9" s="6" t="inlineStr">
        <is>
          <t>Ñoã Ñöùc</t>
        </is>
      </c>
      <c r="D9" s="6" t="inlineStr">
        <is>
          <t>Taøi</t>
        </is>
      </c>
      <c r="E9" s="5" t="inlineStr">
        <is>
          <t>10-May-07</t>
        </is>
      </c>
      <c r="F9" s="5" t="inlineStr">
        <is>
          <t>LNH0925ND01</t>
        </is>
      </c>
      <c r="G9" s="105" t="n">
        <v>900000</v>
      </c>
    </row>
    <row r="10">
      <c r="A10" s="5" t="n">
        <v>4</v>
      </c>
      <c r="B10" s="5" t="inlineStr">
        <is>
          <t>25800500246</t>
        </is>
      </c>
      <c r="C10" s="6" t="inlineStr">
        <is>
          <t>Phan Le Duy</t>
        </is>
      </c>
      <c r="D10" s="6" t="inlineStr">
        <is>
          <t>Minh</t>
        </is>
      </c>
      <c r="E10" s="5" t="inlineStr">
        <is>
          <t xml:space="preserve">  -   -</t>
        </is>
      </c>
      <c r="F10" s="5" t="inlineStr">
        <is>
          <t>LNH0925ND01</t>
        </is>
      </c>
      <c r="G10" s="105" t="n">
        <v>1000000</v>
      </c>
    </row>
    <row r="11">
      <c r="A11" s="5" t="n">
        <v>5</v>
      </c>
      <c r="B11" s="5" t="inlineStr">
        <is>
          <t>25807500216</t>
        </is>
      </c>
      <c r="C11" s="6" t="inlineStr">
        <is>
          <t>Dang Dinh</t>
        </is>
      </c>
      <c r="D11" s="6" t="inlineStr">
        <is>
          <t>Hieu</t>
        </is>
      </c>
      <c r="E11" s="5" t="inlineStr">
        <is>
          <t xml:space="preserve">  -   -</t>
        </is>
      </c>
      <c r="F11" s="5" t="inlineStr">
        <is>
          <t>LNH0925ND01</t>
        </is>
      </c>
      <c r="G11" s="105" t="n">
        <v>1000000</v>
      </c>
    </row>
    <row r="12">
      <c r="A12" s="5" t="n">
        <v>6</v>
      </c>
      <c r="B12" s="5" t="inlineStr">
        <is>
          <t>25820300015</t>
        </is>
      </c>
      <c r="C12" s="6" t="inlineStr">
        <is>
          <t>Cao Quang</t>
        </is>
      </c>
      <c r="D12" s="6" t="inlineStr">
        <is>
          <t>Huy</t>
        </is>
      </c>
      <c r="E12" s="5" t="inlineStr">
        <is>
          <t xml:space="preserve">  -   -</t>
        </is>
      </c>
      <c r="F12" s="5" t="inlineStr">
        <is>
          <t>LNH0925ND01</t>
        </is>
      </c>
      <c r="G12" s="105" t="n">
        <v>1000000</v>
      </c>
    </row>
    <row r="13">
      <c r="A13" s="5" t="n">
        <v>7</v>
      </c>
      <c r="B13" s="5" t="inlineStr">
        <is>
          <t>25807500016</t>
        </is>
      </c>
      <c r="C13" s="6" t="inlineStr">
        <is>
          <t>Nguyeãn Cao Thaùi</t>
        </is>
      </c>
      <c r="D13" s="6" t="inlineStr">
        <is>
          <t>Duy</t>
        </is>
      </c>
      <c r="E13" s="5" t="inlineStr">
        <is>
          <t>18-Jan-07</t>
        </is>
      </c>
      <c r="F13" s="5" t="inlineStr">
        <is>
          <t>LNH0925ND01</t>
        </is>
      </c>
      <c r="G13" s="105" t="n">
        <v>1000000</v>
      </c>
    </row>
    <row r="14">
      <c r="A14" s="5" t="n">
        <v>8</v>
      </c>
      <c r="B14" s="5" t="inlineStr">
        <is>
          <t>25802800096</t>
        </is>
      </c>
      <c r="C14" s="6" t="inlineStr">
        <is>
          <t>Tran Gia</t>
        </is>
      </c>
      <c r="D14" s="6" t="inlineStr">
        <is>
          <t>Huy</t>
        </is>
      </c>
      <c r="E14" s="5" t="inlineStr">
        <is>
          <t xml:space="preserve">  -   -</t>
        </is>
      </c>
      <c r="F14" s="5" t="inlineStr">
        <is>
          <t>LNH0925ND01</t>
        </is>
      </c>
      <c r="G14" s="105" t="n">
        <v>1000000</v>
      </c>
    </row>
    <row r="15">
      <c r="A15" s="5" t="n">
        <v>9</v>
      </c>
      <c r="B15" s="5" t="inlineStr">
        <is>
          <t>25802600107</t>
        </is>
      </c>
      <c r="C15" s="6" t="inlineStr">
        <is>
          <t>Ngoâ Ñoàng</t>
        </is>
      </c>
      <c r="D15" s="6" t="inlineStr">
        <is>
          <t>Taâm</t>
        </is>
      </c>
      <c r="E15" s="5" t="inlineStr">
        <is>
          <t>22-Dec-07</t>
        </is>
      </c>
      <c r="F15" s="5" t="inlineStr">
        <is>
          <t>LNH0925ND01</t>
        </is>
      </c>
      <c r="G15" s="105" t="n">
        <v>1000000</v>
      </c>
    </row>
    <row r="16">
      <c r="A16" s="5" t="n">
        <v>10</v>
      </c>
      <c r="B16" s="5" t="inlineStr">
        <is>
          <t>25808700077</t>
        </is>
      </c>
      <c r="C16" s="6" t="inlineStr">
        <is>
          <t>Traàn Thanh</t>
        </is>
      </c>
      <c r="D16" s="6" t="inlineStr">
        <is>
          <t>Phong</t>
        </is>
      </c>
      <c r="E16" s="5" t="inlineStr">
        <is>
          <t>10-Oct-07</t>
        </is>
      </c>
      <c r="F16" s="5" t="inlineStr">
        <is>
          <t>LNH0925ND01</t>
        </is>
      </c>
      <c r="G16" s="105" t="n">
        <v>1000000</v>
      </c>
    </row>
    <row r="17">
      <c r="A17" s="5" t="n">
        <v>11</v>
      </c>
      <c r="B17" s="5" t="inlineStr">
        <is>
          <t>25808900016</t>
        </is>
      </c>
      <c r="C17" s="6" t="inlineStr">
        <is>
          <t>Nguyeãn Thaønh</t>
        </is>
      </c>
      <c r="D17" s="6" t="inlineStr">
        <is>
          <t>Coâng</t>
        </is>
      </c>
      <c r="E17" s="5" t="inlineStr">
        <is>
          <t>26-May-07</t>
        </is>
      </c>
      <c r="F17" s="5" t="inlineStr">
        <is>
          <t>LNH0925ND01</t>
        </is>
      </c>
      <c r="G17" s="105" t="n">
        <v>1000000</v>
      </c>
    </row>
    <row r="18">
      <c r="A18" s="5" t="n">
        <v>12</v>
      </c>
      <c r="B18" s="5" t="inlineStr">
        <is>
          <t>25820700030</t>
        </is>
      </c>
      <c r="C18" s="6" t="inlineStr">
        <is>
          <t>Traàn Minh</t>
        </is>
      </c>
      <c r="D18" s="6" t="inlineStr">
        <is>
          <t>Phaùt</t>
        </is>
      </c>
      <c r="E18" s="5" t="inlineStr">
        <is>
          <t>06-Mar-07</t>
        </is>
      </c>
      <c r="F18" s="5" t="inlineStr">
        <is>
          <t>LNH0925ND01</t>
        </is>
      </c>
      <c r="G18" s="105" t="n">
        <v>1000000</v>
      </c>
    </row>
    <row r="19">
      <c r="A19" s="5" t="n">
        <v>13</v>
      </c>
      <c r="B19" s="5" t="inlineStr">
        <is>
          <t>25801800081</t>
        </is>
      </c>
      <c r="C19" s="6" t="inlineStr">
        <is>
          <t>Voõ Thò Ngoïc</t>
        </is>
      </c>
      <c r="D19" s="6" t="inlineStr">
        <is>
          <t>Traâm</t>
        </is>
      </c>
      <c r="E19" s="5" t="inlineStr">
        <is>
          <t>28-Jan-06</t>
        </is>
      </c>
      <c r="F19" s="5" t="inlineStr">
        <is>
          <t>LNH0925ND01</t>
        </is>
      </c>
      <c r="G19" s="105" t="n">
        <v>1000000</v>
      </c>
    </row>
    <row r="20">
      <c r="A20" s="5" t="n">
        <v>14</v>
      </c>
      <c r="B20" s="5" t="inlineStr">
        <is>
          <t>25806800071</t>
        </is>
      </c>
      <c r="C20" s="6" t="inlineStr">
        <is>
          <t>Nguyeãn Ngoïc Anh</t>
        </is>
      </c>
      <c r="D20" s="6" t="inlineStr">
        <is>
          <t>Thuøy</t>
        </is>
      </c>
      <c r="E20" s="5" t="inlineStr">
        <is>
          <t>12-Mar-07</t>
        </is>
      </c>
      <c r="F20" s="5" t="inlineStr">
        <is>
          <t>LNH0925ND01</t>
        </is>
      </c>
      <c r="G20" s="105" t="n">
        <v>1000000</v>
      </c>
    </row>
    <row r="21">
      <c r="A21" s="5" t="n">
        <v>15</v>
      </c>
      <c r="B21" s="5" t="inlineStr">
        <is>
          <t>25809600013</t>
        </is>
      </c>
      <c r="C21" s="6" t="inlineStr">
        <is>
          <t>Nguyeãn Phuùc</t>
        </is>
      </c>
      <c r="D21" s="6" t="inlineStr">
        <is>
          <t>Ñaït</t>
        </is>
      </c>
      <c r="E21" s="5" t="inlineStr">
        <is>
          <t>26-Nov-07</t>
        </is>
      </c>
      <c r="F21" s="5" t="inlineStr">
        <is>
          <t>LNH0925ND01</t>
        </is>
      </c>
      <c r="G21" s="105" t="n">
        <v>1000000</v>
      </c>
    </row>
    <row r="22">
      <c r="A22" s="5" t="n">
        <v>16</v>
      </c>
      <c r="B22" s="5" t="inlineStr">
        <is>
          <t>25820200083</t>
        </is>
      </c>
      <c r="C22" s="6" t="inlineStr">
        <is>
          <t>Buøi Quang</t>
        </is>
      </c>
      <c r="D22" s="6" t="inlineStr">
        <is>
          <t>Thaéng</t>
        </is>
      </c>
      <c r="E22" s="5" t="inlineStr">
        <is>
          <t>02-Jan-04</t>
        </is>
      </c>
      <c r="F22" s="5" t="inlineStr">
        <is>
          <t>LNH0925ND01</t>
        </is>
      </c>
      <c r="G22" s="105" t="n">
        <v>1000000</v>
      </c>
    </row>
    <row r="23">
      <c r="A23" s="5" t="n">
        <v>17</v>
      </c>
      <c r="B23" s="5" t="inlineStr">
        <is>
          <t>25808700067</t>
        </is>
      </c>
      <c r="C23" s="6" t="inlineStr">
        <is>
          <t>Nguyeãn Thò Yeán</t>
        </is>
      </c>
      <c r="D23" s="6" t="inlineStr">
        <is>
          <t>Nhi</t>
        </is>
      </c>
      <c r="E23" s="5" t="inlineStr">
        <is>
          <t>11-Aug-06</t>
        </is>
      </c>
      <c r="F23" s="5" t="inlineStr">
        <is>
          <t>LNH0925ND01</t>
        </is>
      </c>
      <c r="G23" s="105" t="n">
        <v>1000000</v>
      </c>
    </row>
    <row r="24">
      <c r="A24" s="5" t="n">
        <v>18</v>
      </c>
      <c r="B24" s="5" t="inlineStr">
        <is>
          <t>25809300008</t>
        </is>
      </c>
      <c r="C24" s="6" t="inlineStr">
        <is>
          <t>Huyønh Traø Sôn</t>
        </is>
      </c>
      <c r="D24" s="6" t="inlineStr">
        <is>
          <t>Tuøng</t>
        </is>
      </c>
      <c r="E24" s="5" t="inlineStr">
        <is>
          <t>09-Dec-07</t>
        </is>
      </c>
      <c r="F24" s="5" t="inlineStr">
        <is>
          <t>LNH0925ND01</t>
        </is>
      </c>
      <c r="G24" s="105" t="n">
        <v>1000000</v>
      </c>
    </row>
    <row r="25">
      <c r="A25" s="5" t="n">
        <v>19</v>
      </c>
      <c r="B25" s="5" t="inlineStr">
        <is>
          <t>25820700045</t>
        </is>
      </c>
      <c r="C25" s="6" t="inlineStr">
        <is>
          <t>Nguyeãn Caåm</t>
        </is>
      </c>
      <c r="D25" s="6" t="inlineStr">
        <is>
          <t>Tuù</t>
        </is>
      </c>
      <c r="E25" s="5" t="inlineStr">
        <is>
          <t>22-Nov-07</t>
        </is>
      </c>
      <c r="F25" s="5" t="inlineStr">
        <is>
          <t>LNH0925ND01</t>
        </is>
      </c>
      <c r="G25" s="105" t="n">
        <v>1000000</v>
      </c>
    </row>
    <row r="26">
      <c r="A26" s="5" t="n">
        <v>20</v>
      </c>
      <c r="B26" s="5" t="inlineStr">
        <is>
          <t>25803800020</t>
        </is>
      </c>
      <c r="C26" s="6" t="inlineStr">
        <is>
          <t>Phaïm Minh</t>
        </is>
      </c>
      <c r="D26" s="6" t="inlineStr">
        <is>
          <t>Khang</t>
        </is>
      </c>
      <c r="E26" s="5" t="inlineStr">
        <is>
          <t>21-Apr-07</t>
        </is>
      </c>
      <c r="F26" s="5" t="inlineStr">
        <is>
          <t>LNH0925ND01</t>
        </is>
      </c>
      <c r="G26" s="105" t="n">
        <v>1000000</v>
      </c>
    </row>
    <row r="27">
      <c r="A27" s="5" t="n">
        <v>21</v>
      </c>
      <c r="B27" s="5" t="inlineStr">
        <is>
          <t>25808900140</t>
        </is>
      </c>
      <c r="C27" s="6" t="inlineStr">
        <is>
          <t>Nguyeãn Ñöùc</t>
        </is>
      </c>
      <c r="D27" s="6" t="inlineStr">
        <is>
          <t>Tröôøng</t>
        </is>
      </c>
      <c r="E27" s="5" t="inlineStr">
        <is>
          <t>24-Feb-07</t>
        </is>
      </c>
      <c r="F27" s="5" t="inlineStr">
        <is>
          <t>LNH0925ND01</t>
        </is>
      </c>
      <c r="G27" s="105" t="n">
        <v>1000000</v>
      </c>
    </row>
    <row r="28">
      <c r="A28" s="5" t="n">
        <v>22</v>
      </c>
      <c r="B28" s="5" t="inlineStr">
        <is>
          <t>25805900069</t>
        </is>
      </c>
      <c r="C28" s="6" t="inlineStr">
        <is>
          <t>Buøi Nguyeãn Minh</t>
        </is>
      </c>
      <c r="D28" s="6" t="inlineStr">
        <is>
          <t>Anh</t>
        </is>
      </c>
      <c r="E28" s="5" t="inlineStr">
        <is>
          <t>28-Jun-04</t>
        </is>
      </c>
      <c r="F28" s="5" t="inlineStr">
        <is>
          <t>LNH0925ND01</t>
        </is>
      </c>
      <c r="G28" s="105" t="n">
        <v>1000000</v>
      </c>
    </row>
    <row r="29">
      <c r="A29" s="5" t="n">
        <v>23</v>
      </c>
      <c r="B29" s="5" t="inlineStr">
        <is>
          <t>25820200021</t>
        </is>
      </c>
      <c r="C29" s="6" t="inlineStr">
        <is>
          <t>Phan</t>
        </is>
      </c>
      <c r="D29" s="6" t="inlineStr">
        <is>
          <t>Haøo</t>
        </is>
      </c>
      <c r="E29" s="5" t="inlineStr">
        <is>
          <t>23-Nov-07</t>
        </is>
      </c>
      <c r="F29" s="5" t="inlineStr">
        <is>
          <t>LNH0925ND01</t>
        </is>
      </c>
      <c r="G29" s="105" t="n">
        <v>1000000</v>
      </c>
    </row>
    <row r="30">
      <c r="A30" s="5" t="n">
        <v>24</v>
      </c>
      <c r="B30" s="5" t="inlineStr">
        <is>
          <t>25802800138</t>
        </is>
      </c>
      <c r="C30" s="6" t="inlineStr">
        <is>
          <t>Leâ Nguyeãn Höõu</t>
        </is>
      </c>
      <c r="D30" s="6" t="inlineStr">
        <is>
          <t>Loäc</t>
        </is>
      </c>
      <c r="E30" s="5" t="inlineStr">
        <is>
          <t>15-Feb-07</t>
        </is>
      </c>
      <c r="F30" s="5" t="inlineStr">
        <is>
          <t>LNH0925ND01</t>
        </is>
      </c>
      <c r="G30" s="105" t="n">
        <v>1000000</v>
      </c>
    </row>
    <row r="31">
      <c r="A31" s="5" t="n">
        <v>25</v>
      </c>
      <c r="B31" s="5" t="inlineStr">
        <is>
          <t>25808600181</t>
        </is>
      </c>
      <c r="C31" s="6" t="inlineStr">
        <is>
          <t>Nguyeãn Thò Dieäu</t>
        </is>
      </c>
      <c r="D31" s="6" t="inlineStr">
        <is>
          <t>Linh</t>
        </is>
      </c>
      <c r="E31" s="5" t="inlineStr">
        <is>
          <t>10-May-05</t>
        </is>
      </c>
      <c r="F31" s="5" t="inlineStr">
        <is>
          <t>LNH0925ND01</t>
        </is>
      </c>
      <c r="G31" s="105" t="n">
        <v>1000000</v>
      </c>
    </row>
    <row r="32">
      <c r="A32" s="5" t="n">
        <v>26</v>
      </c>
      <c r="B32" s="5" t="inlineStr">
        <is>
          <t>25807800101</t>
        </is>
      </c>
      <c r="C32" s="6" t="inlineStr">
        <is>
          <t>Hoà Minh</t>
        </is>
      </c>
      <c r="D32" s="6" t="inlineStr">
        <is>
          <t>Nhöït</t>
        </is>
      </c>
      <c r="E32" s="5" t="inlineStr">
        <is>
          <t>18-Jul-07</t>
        </is>
      </c>
      <c r="F32" s="5" t="inlineStr">
        <is>
          <t>LNH0925ND01</t>
        </is>
      </c>
      <c r="G32" s="105" t="n">
        <v>1000000</v>
      </c>
    </row>
    <row r="33">
      <c r="A33" s="5" t="n">
        <v>27</v>
      </c>
      <c r="B33" s="5" t="inlineStr">
        <is>
          <t>25808900151</t>
        </is>
      </c>
      <c r="C33" s="6" t="inlineStr">
        <is>
          <t>Tröông Baûo</t>
        </is>
      </c>
      <c r="D33" s="6" t="inlineStr">
        <is>
          <t>Vinh</t>
        </is>
      </c>
      <c r="E33" s="5" t="inlineStr">
        <is>
          <t>09-Aug-07</t>
        </is>
      </c>
      <c r="F33" s="5" t="inlineStr">
        <is>
          <t>LNH0925ND01</t>
        </is>
      </c>
      <c r="G33" s="105" t="n">
        <v>1000000</v>
      </c>
    </row>
    <row r="34">
      <c r="A34" s="5" t="n">
        <v>28</v>
      </c>
      <c r="B34" s="5" t="inlineStr">
        <is>
          <t>25806300022</t>
        </is>
      </c>
      <c r="C34" s="6" t="inlineStr">
        <is>
          <t>Nguyeãn Tuaán</t>
        </is>
      </c>
      <c r="D34" s="6" t="inlineStr">
        <is>
          <t>Kieät</t>
        </is>
      </c>
      <c r="E34" s="5" t="inlineStr">
        <is>
          <t>08-Jan-07</t>
        </is>
      </c>
      <c r="F34" s="5" t="inlineStr">
        <is>
          <t>LNH0925ND01</t>
        </is>
      </c>
      <c r="G34" s="105" t="n">
        <v>1000000</v>
      </c>
    </row>
    <row r="35">
      <c r="A35" s="5" t="n">
        <v>29</v>
      </c>
      <c r="B35" s="5" t="inlineStr">
        <is>
          <t>25800500120</t>
        </is>
      </c>
      <c r="C35" s="6" t="inlineStr">
        <is>
          <t>Nguyeãn Chính</t>
        </is>
      </c>
      <c r="D35" s="6" t="inlineStr">
        <is>
          <t>Nghóa</t>
        </is>
      </c>
      <c r="E35" s="5" t="inlineStr">
        <is>
          <t>02-Jun-07</t>
        </is>
      </c>
      <c r="F35" s="5" t="inlineStr">
        <is>
          <t>LNH0925ND01</t>
        </is>
      </c>
      <c r="G35" s="105" t="n">
        <v>1000000</v>
      </c>
    </row>
    <row r="36">
      <c r="A36" s="5" t="n">
        <v>30</v>
      </c>
      <c r="B36" s="5" t="inlineStr">
        <is>
          <t>25808900012</t>
        </is>
      </c>
      <c r="C36" s="6" t="inlineStr">
        <is>
          <t>Phan Hoaøng Gia</t>
        </is>
      </c>
      <c r="D36" s="6" t="inlineStr">
        <is>
          <t>Baûo</t>
        </is>
      </c>
      <c r="E36" s="5" t="inlineStr">
        <is>
          <t>26-Feb-07</t>
        </is>
      </c>
      <c r="F36" s="5" t="inlineStr">
        <is>
          <t>LNH0925ND01</t>
        </is>
      </c>
      <c r="G36" s="105" t="n">
        <v>1000000</v>
      </c>
    </row>
    <row r="37">
      <c r="A37" s="5" t="n">
        <v>31</v>
      </c>
      <c r="B37" s="5" t="inlineStr">
        <is>
          <t>25803000375</t>
        </is>
      </c>
      <c r="C37" s="6" t="inlineStr">
        <is>
          <t>Döông Kim</t>
        </is>
      </c>
      <c r="D37" s="6" t="inlineStr">
        <is>
          <t>Ngaân</t>
        </is>
      </c>
      <c r="E37" s="5" t="inlineStr">
        <is>
          <t>12-Oct-07</t>
        </is>
      </c>
      <c r="F37" s="5" t="inlineStr">
        <is>
          <t>LNH0925ND01</t>
        </is>
      </c>
      <c r="G37" s="105" t="n">
        <v>1000000</v>
      </c>
    </row>
    <row r="38">
      <c r="A38" s="5" t="n">
        <v>32</v>
      </c>
      <c r="B38" s="5" t="inlineStr">
        <is>
          <t>25809500009</t>
        </is>
      </c>
      <c r="C38" s="6" t="inlineStr">
        <is>
          <t>Nguyeãn Höõu</t>
        </is>
      </c>
      <c r="D38" s="6" t="inlineStr">
        <is>
          <t>Phuùc</t>
        </is>
      </c>
      <c r="E38" s="5" t="inlineStr">
        <is>
          <t>29-Nov-07</t>
        </is>
      </c>
      <c r="F38" s="5" t="inlineStr">
        <is>
          <t>LNH0925ND01</t>
        </is>
      </c>
      <c r="G38" s="105" t="n">
        <v>1000000</v>
      </c>
    </row>
    <row r="39">
      <c r="A39" s="5" t="n">
        <v>33</v>
      </c>
      <c r="B39" s="5" t="inlineStr">
        <is>
          <t>25808200066</t>
        </is>
      </c>
      <c r="C39" s="6" t="inlineStr">
        <is>
          <t>Nguyeãn Ñaëng</t>
        </is>
      </c>
      <c r="D39" s="6" t="inlineStr">
        <is>
          <t>Khoa</t>
        </is>
      </c>
      <c r="E39" s="5" t="inlineStr">
        <is>
          <t>19-Jun-07</t>
        </is>
      </c>
      <c r="F39" s="5" t="inlineStr">
        <is>
          <t>LNH0925ND01</t>
        </is>
      </c>
      <c r="G39" s="105" t="n">
        <v>1000000</v>
      </c>
    </row>
    <row r="40">
      <c r="A40" s="5" t="n">
        <v>34</v>
      </c>
      <c r="B40" s="5" t="inlineStr">
        <is>
          <t>25808900082</t>
        </is>
      </c>
      <c r="C40" s="6" t="inlineStr">
        <is>
          <t>Nguyeãn Ngoïc Baûo</t>
        </is>
      </c>
      <c r="D40" s="6" t="inlineStr">
        <is>
          <t>Nghi</t>
        </is>
      </c>
      <c r="E40" s="5" t="inlineStr">
        <is>
          <t>05-Jun-07</t>
        </is>
      </c>
      <c r="F40" s="5" t="inlineStr">
        <is>
          <t>LNH0925ND01</t>
        </is>
      </c>
      <c r="G40" s="105" t="n">
        <v>1000000</v>
      </c>
    </row>
    <row r="41">
      <c r="A41" s="5" t="n">
        <v>35</v>
      </c>
      <c r="B41" s="5" t="inlineStr">
        <is>
          <t>25806800036</t>
        </is>
      </c>
      <c r="C41" s="6" t="inlineStr">
        <is>
          <t>Nguyeãn Ngoïc</t>
        </is>
      </c>
      <c r="D41" s="6" t="inlineStr">
        <is>
          <t>Mi</t>
        </is>
      </c>
      <c r="E41" s="5" t="inlineStr">
        <is>
          <t>10-Nov-07</t>
        </is>
      </c>
      <c r="F41" s="5" t="inlineStr">
        <is>
          <t>LNH0925ND01</t>
        </is>
      </c>
      <c r="G41" s="105" t="n">
        <v>1000000</v>
      </c>
    </row>
    <row r="42">
      <c r="A42" s="5" t="n">
        <v>36</v>
      </c>
      <c r="B42" s="5" t="inlineStr">
        <is>
          <t>25802700078</t>
        </is>
      </c>
      <c r="C42" s="6" t="inlineStr">
        <is>
          <t>Nguyeãn Leâ Phöông</t>
        </is>
      </c>
      <c r="D42" s="6" t="inlineStr">
        <is>
          <t>Thaûo</t>
        </is>
      </c>
      <c r="E42" s="5" t="inlineStr">
        <is>
          <t>26-Oct-07</t>
        </is>
      </c>
      <c r="F42" s="5" t="inlineStr">
        <is>
          <t>LNH0925ND01</t>
        </is>
      </c>
      <c r="G42" s="105" t="n">
        <v>1000000</v>
      </c>
    </row>
    <row r="43">
      <c r="A43" s="5" t="n">
        <v>37</v>
      </c>
      <c r="B43" s="5" t="inlineStr">
        <is>
          <t>25808800046</t>
        </is>
      </c>
      <c r="C43" s="6" t="inlineStr">
        <is>
          <t>Buøi Ñöùc</t>
        </is>
      </c>
      <c r="D43" s="6" t="inlineStr">
        <is>
          <t>Thaéng</t>
        </is>
      </c>
      <c r="E43" s="5" t="inlineStr">
        <is>
          <t>17-Feb-07</t>
        </is>
      </c>
      <c r="F43" s="5" t="inlineStr">
        <is>
          <t>LNH0925ND01</t>
        </is>
      </c>
      <c r="G43" s="105" t="n">
        <v>1000000</v>
      </c>
    </row>
    <row r="44">
      <c r="A44" s="5" t="n">
        <v>38</v>
      </c>
      <c r="B44" s="5" t="inlineStr">
        <is>
          <t>25800500043</t>
        </is>
      </c>
      <c r="C44" s="6" t="inlineStr">
        <is>
          <t>Nguyeãn Tröôøng</t>
        </is>
      </c>
      <c r="D44" s="6" t="inlineStr">
        <is>
          <t>Haûi</t>
        </is>
      </c>
      <c r="E44" s="5" t="inlineStr">
        <is>
          <t>17-Apr-07</t>
        </is>
      </c>
      <c r="F44" s="5" t="inlineStr">
        <is>
          <t>LNH0925ND01</t>
        </is>
      </c>
      <c r="G44" s="105" t="n">
        <v>1000000</v>
      </c>
    </row>
    <row r="45">
      <c r="A45" s="5" t="n">
        <v>39</v>
      </c>
      <c r="B45" s="5" t="inlineStr">
        <is>
          <t>25802800073</t>
        </is>
      </c>
      <c r="C45" s="6" t="inlineStr">
        <is>
          <t>Leâ Thò Thanh</t>
        </is>
      </c>
      <c r="D45" s="6" t="inlineStr">
        <is>
          <t>Hoa</t>
        </is>
      </c>
      <c r="E45" s="5" t="inlineStr">
        <is>
          <t>21-Sep-06</t>
        </is>
      </c>
      <c r="F45" s="5" t="inlineStr">
        <is>
          <t>LNH0925ND01</t>
        </is>
      </c>
      <c r="G45" s="105" t="n">
        <v>1000000</v>
      </c>
    </row>
    <row r="46">
      <c r="A46" s="5" t="n">
        <v>40</v>
      </c>
      <c r="B46" s="5" t="inlineStr">
        <is>
          <t>25802600104</t>
        </is>
      </c>
      <c r="C46" s="6" t="inlineStr">
        <is>
          <t>Traàn Khaùnh</t>
        </is>
      </c>
      <c r="D46" s="6" t="inlineStr">
        <is>
          <t>Quyønh</t>
        </is>
      </c>
      <c r="E46" s="5" t="inlineStr">
        <is>
          <t>23-Jan-07</t>
        </is>
      </c>
      <c r="F46" s="5" t="inlineStr">
        <is>
          <t>LNH0925ND01</t>
        </is>
      </c>
      <c r="G46" s="105" t="n">
        <v>1000000</v>
      </c>
    </row>
    <row r="47">
      <c r="A47" s="5" t="n">
        <v>41</v>
      </c>
      <c r="B47" s="5" t="inlineStr">
        <is>
          <t>25802100015</t>
        </is>
      </c>
      <c r="C47" s="6" t="inlineStr">
        <is>
          <t>Traàn Gia</t>
        </is>
      </c>
      <c r="D47" s="6" t="inlineStr">
        <is>
          <t>Huy</t>
        </is>
      </c>
      <c r="E47" s="5" t="inlineStr">
        <is>
          <t>15-Dec-07</t>
        </is>
      </c>
      <c r="F47" s="5" t="inlineStr">
        <is>
          <t>LNH0925ND01</t>
        </is>
      </c>
      <c r="G47" s="105" t="n">
        <v>1000000</v>
      </c>
    </row>
    <row r="48">
      <c r="A48" s="5" t="n">
        <v>42</v>
      </c>
      <c r="B48" s="5" t="inlineStr">
        <is>
          <t>25809600004</t>
        </is>
      </c>
      <c r="C48" s="6" t="inlineStr">
        <is>
          <t>Tröông Huyønh Tuaán</t>
        </is>
      </c>
      <c r="D48" s="6" t="inlineStr">
        <is>
          <t>Anh</t>
        </is>
      </c>
      <c r="E48" s="5" t="inlineStr">
        <is>
          <t>27-Jul-07</t>
        </is>
      </c>
      <c r="F48" s="5" t="inlineStr">
        <is>
          <t>LNH0925ND01</t>
        </is>
      </c>
      <c r="G48" s="105" t="n">
        <v>1000000</v>
      </c>
    </row>
    <row r="49">
      <c r="A49" s="5" t="n">
        <v>43</v>
      </c>
      <c r="B49" s="5" t="inlineStr">
        <is>
          <t>25800500163</t>
        </is>
      </c>
      <c r="C49" s="6" t="inlineStr">
        <is>
          <t>Leâ Theá</t>
        </is>
      </c>
      <c r="D49" s="6" t="inlineStr">
        <is>
          <t>Thaéng</t>
        </is>
      </c>
      <c r="E49" s="5" t="inlineStr">
        <is>
          <t>10-Feb-07</t>
        </is>
      </c>
      <c r="F49" s="5" t="inlineStr">
        <is>
          <t>LNH0925ND01</t>
        </is>
      </c>
      <c r="G49" s="105" t="n">
        <v>1000000</v>
      </c>
    </row>
    <row r="50">
      <c r="A50" s="5" t="n">
        <v>44</v>
      </c>
      <c r="B50" s="5" t="inlineStr">
        <is>
          <t>25807900030</t>
        </is>
      </c>
      <c r="C50" s="6" t="inlineStr">
        <is>
          <t>Traàn Minh</t>
        </is>
      </c>
      <c r="D50" s="6" t="inlineStr">
        <is>
          <t>Khoâi</t>
        </is>
      </c>
      <c r="E50" s="5" t="inlineStr">
        <is>
          <t>28-Nov-07</t>
        </is>
      </c>
      <c r="F50" s="5" t="inlineStr">
        <is>
          <t>LNH0925ND01</t>
        </is>
      </c>
      <c r="G50" s="105" t="n">
        <v>1000000</v>
      </c>
    </row>
    <row r="51">
      <c r="A51" s="5" t="n">
        <v>45</v>
      </c>
      <c r="B51" s="5" t="inlineStr">
        <is>
          <t>25807500082</t>
        </is>
      </c>
      <c r="C51" s="6" t="inlineStr">
        <is>
          <t>Nguyeãn Höõu</t>
        </is>
      </c>
      <c r="D51" s="6" t="inlineStr">
        <is>
          <t>Nhaân</t>
        </is>
      </c>
      <c r="E51" s="5" t="inlineStr">
        <is>
          <t>31-Dec-07</t>
        </is>
      </c>
      <c r="F51" s="5" t="inlineStr">
        <is>
          <t>LNH0925ND01</t>
        </is>
      </c>
      <c r="G51" s="105" t="n">
        <v>1000000</v>
      </c>
    </row>
    <row r="52">
      <c r="A52" s="5" t="n">
        <v>46</v>
      </c>
      <c r="B52" s="5" t="inlineStr">
        <is>
          <t>25801000025</t>
        </is>
      </c>
      <c r="C52" s="6" t="inlineStr">
        <is>
          <t>Nguyeãn Nhaät</t>
        </is>
      </c>
      <c r="D52" s="6" t="inlineStr">
        <is>
          <t>Duy</t>
        </is>
      </c>
      <c r="E52" s="5" t="inlineStr">
        <is>
          <t>08-Aug-07</t>
        </is>
      </c>
      <c r="F52" s="5" t="inlineStr">
        <is>
          <t>LNH0925ND01</t>
        </is>
      </c>
      <c r="G52" s="105" t="n">
        <v>1000000</v>
      </c>
    </row>
    <row r="53">
      <c r="A53" s="5" t="n">
        <v>47</v>
      </c>
      <c r="B53" s="5" t="inlineStr">
        <is>
          <t>25808700190</t>
        </is>
      </c>
      <c r="C53" s="6" t="inlineStr">
        <is>
          <t>Leâ Minh</t>
        </is>
      </c>
      <c r="D53" s="6" t="inlineStr">
        <is>
          <t>Long</t>
        </is>
      </c>
      <c r="E53" s="5" t="inlineStr">
        <is>
          <t>28-Mar-07</t>
        </is>
      </c>
      <c r="F53" s="5" t="inlineStr">
        <is>
          <t>LNH0925ND01</t>
        </is>
      </c>
      <c r="G53" s="105" t="n">
        <v>1000000</v>
      </c>
    </row>
    <row r="54">
      <c r="A54" s="5" t="n">
        <v>48</v>
      </c>
      <c r="B54" s="5" t="inlineStr">
        <is>
          <t>25806800059</t>
        </is>
      </c>
      <c r="C54" s="6" t="inlineStr">
        <is>
          <t>Nguyeãn</t>
        </is>
      </c>
      <c r="D54" s="6" t="inlineStr">
        <is>
          <t>Phong</t>
        </is>
      </c>
      <c r="E54" s="5" t="inlineStr">
        <is>
          <t>22-Oct-07</t>
        </is>
      </c>
      <c r="F54" s="5" t="inlineStr">
        <is>
          <t>LNH0925ND01</t>
        </is>
      </c>
      <c r="G54" s="105" t="n">
        <v>1000000</v>
      </c>
    </row>
    <row r="55">
      <c r="A55" s="5" t="n">
        <v>49</v>
      </c>
      <c r="B55" s="5" t="inlineStr">
        <is>
          <t>25820200126</t>
        </is>
      </c>
      <c r="C55" s="6" t="inlineStr">
        <is>
          <t>Vuõ Ñình Hoaøng</t>
        </is>
      </c>
      <c r="D55" s="6" t="inlineStr">
        <is>
          <t>Khang</t>
        </is>
      </c>
      <c r="E55" s="5" t="inlineStr">
        <is>
          <t>31-Aug-07</t>
        </is>
      </c>
      <c r="F55" s="5" t="inlineStr">
        <is>
          <t>LNH0925ND01</t>
        </is>
      </c>
      <c r="G55" s="105" t="n">
        <v>1000000</v>
      </c>
    </row>
    <row r="56">
      <c r="A56" s="5" t="n">
        <v>50</v>
      </c>
      <c r="B56" s="5" t="inlineStr">
        <is>
          <t>25801300018</t>
        </is>
      </c>
      <c r="C56" s="6" t="inlineStr">
        <is>
          <t>Nguyeãn Hoaøng</t>
        </is>
      </c>
      <c r="D56" s="6" t="inlineStr">
        <is>
          <t>Nam</t>
        </is>
      </c>
      <c r="E56" s="5" t="inlineStr">
        <is>
          <t>17-Jul-07</t>
        </is>
      </c>
      <c r="F56" s="5" t="inlineStr">
        <is>
          <t>LNH0925ND01</t>
        </is>
      </c>
      <c r="G56" s="105" t="n">
        <v>1000000</v>
      </c>
    </row>
    <row r="57">
      <c r="A57" s="5" t="n">
        <v>51</v>
      </c>
      <c r="B57" s="5" t="inlineStr">
        <is>
          <t>25802400055</t>
        </is>
      </c>
      <c r="C57" s="6" t="inlineStr">
        <is>
          <t>Voõ Minh</t>
        </is>
      </c>
      <c r="D57" s="6" t="inlineStr">
        <is>
          <t>Quaân</t>
        </is>
      </c>
      <c r="E57" s="5" t="inlineStr">
        <is>
          <t>13-Sep-02</t>
        </is>
      </c>
      <c r="F57" s="5" t="inlineStr">
        <is>
          <t>LNH0925ND01</t>
        </is>
      </c>
      <c r="G57" s="105" t="n">
        <v>1000000</v>
      </c>
    </row>
    <row r="58">
      <c r="A58" s="5" t="n">
        <v>52</v>
      </c>
      <c r="B58" s="5" t="inlineStr">
        <is>
          <t>25802800280</t>
        </is>
      </c>
      <c r="C58" s="6" t="inlineStr">
        <is>
          <t>Traàn Cao</t>
        </is>
      </c>
      <c r="D58" s="6" t="inlineStr">
        <is>
          <t>Troïng</t>
        </is>
      </c>
      <c r="E58" s="5" t="inlineStr">
        <is>
          <t>27-Jul-07</t>
        </is>
      </c>
      <c r="F58" s="5" t="inlineStr">
        <is>
          <t>LNH0925ND01</t>
        </is>
      </c>
      <c r="G58" s="105" t="n">
        <v>1000000</v>
      </c>
    </row>
    <row r="59">
      <c r="A59" s="5" t="n">
        <v>53</v>
      </c>
      <c r="B59" s="5" t="inlineStr">
        <is>
          <t>25802800410</t>
        </is>
      </c>
      <c r="C59" s="6" t="inlineStr">
        <is>
          <t>Ñoã Chí</t>
        </is>
      </c>
      <c r="D59" s="6" t="inlineStr">
        <is>
          <t>Coâng</t>
        </is>
      </c>
      <c r="E59" s="5" t="inlineStr">
        <is>
          <t>03-Nov-07</t>
        </is>
      </c>
      <c r="F59" s="5" t="inlineStr">
        <is>
          <t>LNH0925ND01</t>
        </is>
      </c>
      <c r="G59" s="105" t="n">
        <v>1000000</v>
      </c>
    </row>
    <row r="60">
      <c r="A60" s="5" t="n">
        <v>54</v>
      </c>
      <c r="B60" s="20" t="inlineStr">
        <is>
          <t>25806600141</t>
        </is>
      </c>
      <c r="C60" s="21" t="inlineStr">
        <is>
          <t>Traàn Thò Maãn</t>
        </is>
      </c>
      <c r="D60" s="21" t="inlineStr">
        <is>
          <t>Nghi</t>
        </is>
      </c>
      <c r="E60" s="20" t="inlineStr">
        <is>
          <t>06-Jan-07</t>
        </is>
      </c>
      <c r="F60" s="20" t="inlineStr">
        <is>
          <t>LNH0925ND01</t>
        </is>
      </c>
      <c r="G60" s="106" t="n">
        <v>1000000</v>
      </c>
      <c r="H60" s="19" t="n"/>
    </row>
    <row r="61">
      <c r="A61" s="5" t="n">
        <v>55</v>
      </c>
      <c r="B61" s="5" t="inlineStr">
        <is>
          <t>25803000317</t>
        </is>
      </c>
      <c r="C61" s="6" t="inlineStr">
        <is>
          <t>Traàn Gia</t>
        </is>
      </c>
      <c r="D61" s="6" t="inlineStr">
        <is>
          <t>Long</t>
        </is>
      </c>
      <c r="E61" s="5" t="inlineStr">
        <is>
          <t>15-Dec-07</t>
        </is>
      </c>
      <c r="F61" s="5" t="inlineStr">
        <is>
          <t>LNH0925ND01</t>
        </is>
      </c>
      <c r="G61" s="105" t="n">
        <v>1000000</v>
      </c>
    </row>
    <row r="62">
      <c r="A62" s="5" t="n">
        <v>56</v>
      </c>
      <c r="B62" s="5" t="inlineStr">
        <is>
          <t>25802800141</t>
        </is>
      </c>
      <c r="C62" s="6" t="inlineStr">
        <is>
          <t>Nguyeãn Ñöùc</t>
        </is>
      </c>
      <c r="D62" s="6" t="inlineStr">
        <is>
          <t>Lôïi</t>
        </is>
      </c>
      <c r="E62" s="5" t="inlineStr">
        <is>
          <t>17-Apr-07</t>
        </is>
      </c>
      <c r="F62" s="5" t="inlineStr">
        <is>
          <t>LNH0925ND01</t>
        </is>
      </c>
      <c r="G62" s="105" t="n">
        <v>1000000</v>
      </c>
    </row>
    <row r="63">
      <c r="A63" s="5" t="n">
        <v>57</v>
      </c>
      <c r="B63" s="5" t="inlineStr">
        <is>
          <t>25808700080</t>
        </is>
      </c>
      <c r="C63" s="6" t="inlineStr">
        <is>
          <t>Traàn Hoàng</t>
        </is>
      </c>
      <c r="D63" s="6" t="inlineStr">
        <is>
          <t>Phuùc</t>
        </is>
      </c>
      <c r="E63" s="5" t="inlineStr">
        <is>
          <t>17-Aug-07</t>
        </is>
      </c>
      <c r="F63" s="5" t="inlineStr">
        <is>
          <t>LNH0925ND01</t>
        </is>
      </c>
      <c r="G63" s="105" t="n">
        <v>1000000</v>
      </c>
    </row>
    <row r="64">
      <c r="A64" s="5" t="n">
        <v>58</v>
      </c>
      <c r="B64" s="5" t="inlineStr">
        <is>
          <t>25808600125</t>
        </is>
      </c>
      <c r="C64" s="6" t="inlineStr">
        <is>
          <t>Nguyeãn Thanh</t>
        </is>
      </c>
      <c r="D64" s="6" t="inlineStr">
        <is>
          <t>Tieàn</t>
        </is>
      </c>
      <c r="E64" s="5" t="inlineStr">
        <is>
          <t>01-Jun-07</t>
        </is>
      </c>
      <c r="F64" s="5" t="inlineStr">
        <is>
          <t>LNH0925ND01</t>
        </is>
      </c>
      <c r="G64" s="105" t="n">
        <v>1000000</v>
      </c>
    </row>
    <row r="65">
      <c r="A65" s="5" t="n">
        <v>59</v>
      </c>
      <c r="B65" s="5" t="inlineStr">
        <is>
          <t>25802800092</t>
        </is>
      </c>
      <c r="C65" s="6" t="inlineStr">
        <is>
          <t>Nguyeãn Quoác</t>
        </is>
      </c>
      <c r="D65" s="6" t="inlineStr">
        <is>
          <t>Huy</t>
        </is>
      </c>
      <c r="E65" s="5" t="inlineStr">
        <is>
          <t>14-Oct-07</t>
        </is>
      </c>
      <c r="F65" s="5" t="inlineStr">
        <is>
          <t>LNH0925ND01</t>
        </is>
      </c>
      <c r="G65" s="105" t="n">
        <v>1000000</v>
      </c>
    </row>
    <row r="66">
      <c r="A66" s="5" t="n">
        <v>60</v>
      </c>
      <c r="B66" s="5" t="inlineStr">
        <is>
          <t>25802600133</t>
        </is>
      </c>
      <c r="C66" s="6" t="inlineStr">
        <is>
          <t>Nguyeãn Hoaøng</t>
        </is>
      </c>
      <c r="D66" s="6" t="inlineStr">
        <is>
          <t>Uyeân</t>
        </is>
      </c>
      <c r="E66" s="5" t="inlineStr">
        <is>
          <t>28-Oct-07</t>
        </is>
      </c>
      <c r="F66" s="5" t="inlineStr">
        <is>
          <t>LNH0925ND01</t>
        </is>
      </c>
      <c r="G66" s="105" t="n">
        <v>1000000</v>
      </c>
    </row>
    <row r="67">
      <c r="A67" s="5" t="n">
        <v>61</v>
      </c>
      <c r="B67" s="5" t="inlineStr">
        <is>
          <t>25801200009</t>
        </is>
      </c>
      <c r="C67" s="6" t="inlineStr">
        <is>
          <t>Leâ Troïng</t>
        </is>
      </c>
      <c r="D67" s="6" t="inlineStr">
        <is>
          <t>Ñaïi</t>
        </is>
      </c>
      <c r="E67" s="5" t="inlineStr">
        <is>
          <t>20-Dec-07</t>
        </is>
      </c>
      <c r="F67" s="5" t="inlineStr">
        <is>
          <t>LNH0925ND01</t>
        </is>
      </c>
      <c r="G67" s="105" t="n">
        <v>1000000</v>
      </c>
    </row>
    <row r="68">
      <c r="A68" s="5" t="n">
        <v>62</v>
      </c>
      <c r="B68" s="5" t="inlineStr">
        <is>
          <t>25808900119</t>
        </is>
      </c>
      <c r="C68" s="6" t="inlineStr">
        <is>
          <t>Nguyeãn Leâ</t>
        </is>
      </c>
      <c r="D68" s="6" t="inlineStr">
        <is>
          <t>Thaéng</t>
        </is>
      </c>
      <c r="E68" s="5" t="inlineStr">
        <is>
          <t>07-Oct-07</t>
        </is>
      </c>
      <c r="F68" s="5" t="inlineStr">
        <is>
          <t>LNH0925ND01</t>
        </is>
      </c>
      <c r="G68" s="105" t="n">
        <v>1000000</v>
      </c>
    </row>
    <row r="69">
      <c r="A69" s="5" t="n">
        <v>63</v>
      </c>
      <c r="B69" s="5" t="inlineStr">
        <is>
          <t>25802700046</t>
        </is>
      </c>
      <c r="C69" s="6" t="inlineStr">
        <is>
          <t>Nguyeãn Kieàu Ly</t>
        </is>
      </c>
      <c r="D69" s="6" t="inlineStr">
        <is>
          <t>Ly</t>
        </is>
      </c>
      <c r="E69" s="5" t="inlineStr">
        <is>
          <t>29-May-07</t>
        </is>
      </c>
      <c r="F69" s="5" t="inlineStr">
        <is>
          <t>LNH0925ND01</t>
        </is>
      </c>
      <c r="G69" s="105" t="n">
        <v>1000000</v>
      </c>
    </row>
    <row r="70">
      <c r="A70" s="5" t="n">
        <v>64</v>
      </c>
      <c r="B70" s="5" t="inlineStr">
        <is>
          <t>25820200001</t>
        </is>
      </c>
      <c r="C70" s="6" t="inlineStr">
        <is>
          <t>Nguyeãn Thanh</t>
        </is>
      </c>
      <c r="D70" s="6" t="inlineStr">
        <is>
          <t>An</t>
        </is>
      </c>
      <c r="E70" s="5" t="inlineStr">
        <is>
          <t>02-Aug-06</t>
        </is>
      </c>
      <c r="F70" s="5" t="inlineStr">
        <is>
          <t>LNH0925ND01</t>
        </is>
      </c>
      <c r="G70" s="105" t="n">
        <v>1000000</v>
      </c>
    </row>
    <row r="71">
      <c r="A71" s="5" t="n">
        <v>65</v>
      </c>
      <c r="B71" s="5" t="inlineStr">
        <is>
          <t>25800601212</t>
        </is>
      </c>
      <c r="C71" s="6" t="inlineStr">
        <is>
          <t>Buøi Hoàng</t>
        </is>
      </c>
      <c r="D71" s="6" t="inlineStr">
        <is>
          <t>Kyø</t>
        </is>
      </c>
      <c r="E71" s="5" t="inlineStr">
        <is>
          <t>02-Sep-07</t>
        </is>
      </c>
      <c r="F71" s="5" t="inlineStr">
        <is>
          <t>LNH0925ND01</t>
        </is>
      </c>
      <c r="G71" s="105" t="n">
        <v>1000000</v>
      </c>
    </row>
    <row r="72">
      <c r="A72" s="5" t="n">
        <v>66</v>
      </c>
      <c r="B72" s="5" t="inlineStr">
        <is>
          <t>25801800004</t>
        </is>
      </c>
      <c r="C72" s="6" t="inlineStr">
        <is>
          <t>Nguyeãn Quyønh</t>
        </is>
      </c>
      <c r="D72" s="6" t="inlineStr">
        <is>
          <t>Anh</t>
        </is>
      </c>
      <c r="E72" s="5" t="inlineStr">
        <is>
          <t>20-Jan-06</t>
        </is>
      </c>
      <c r="F72" s="5" t="inlineStr">
        <is>
          <t>LNH0925ND01</t>
        </is>
      </c>
      <c r="G72" s="105" t="n">
        <v>1000000</v>
      </c>
    </row>
    <row r="73">
      <c r="A73" s="5" t="n">
        <v>67</v>
      </c>
      <c r="B73" s="5" t="inlineStr">
        <is>
          <t>25820600003</t>
        </is>
      </c>
      <c r="C73" s="6" t="inlineStr">
        <is>
          <t>Maõ Nguyeãn Taán</t>
        </is>
      </c>
      <c r="D73" s="6" t="inlineStr">
        <is>
          <t>Khoa</t>
        </is>
      </c>
      <c r="E73" s="5" t="inlineStr">
        <is>
          <t>03-Oct-07</t>
        </is>
      </c>
      <c r="F73" s="5" t="inlineStr">
        <is>
          <t>LNH0925ND01</t>
        </is>
      </c>
      <c r="G73" s="105" t="n">
        <v>1000000</v>
      </c>
    </row>
    <row r="74">
      <c r="A74" s="5" t="n">
        <v>68</v>
      </c>
      <c r="B74" s="5" t="inlineStr">
        <is>
          <t>25809600042</t>
        </is>
      </c>
      <c r="C74" s="6" t="inlineStr">
        <is>
          <t>Nguyeãn Phuùc Khoâi</t>
        </is>
      </c>
      <c r="D74" s="6" t="inlineStr">
        <is>
          <t>Nguyeân</t>
        </is>
      </c>
      <c r="E74" s="5" t="inlineStr">
        <is>
          <t>25-Sep-07</t>
        </is>
      </c>
      <c r="F74" s="5" t="inlineStr">
        <is>
          <t>LNH0925ND01</t>
        </is>
      </c>
      <c r="G74" s="105" t="n">
        <v>1000000</v>
      </c>
    </row>
    <row r="75">
      <c r="A75" s="5" t="n">
        <v>69</v>
      </c>
      <c r="B75" s="5" t="inlineStr">
        <is>
          <t>25808200132</t>
        </is>
      </c>
      <c r="C75" s="6" t="inlineStr">
        <is>
          <t>Vuõ Cao Minh</t>
        </is>
      </c>
      <c r="D75" s="6" t="inlineStr">
        <is>
          <t>Trí</t>
        </is>
      </c>
      <c r="E75" s="5" t="inlineStr">
        <is>
          <t>05-May-07</t>
        </is>
      </c>
      <c r="F75" s="5" t="inlineStr">
        <is>
          <t>LNH0925ND01</t>
        </is>
      </c>
      <c r="G75" s="105" t="n">
        <v>1000000</v>
      </c>
    </row>
    <row r="76">
      <c r="A76" s="5" t="n">
        <v>70</v>
      </c>
      <c r="B76" s="5" t="inlineStr">
        <is>
          <t>25801800085</t>
        </is>
      </c>
      <c r="C76" s="6" t="inlineStr">
        <is>
          <t>Traàn Caåm</t>
        </is>
      </c>
      <c r="D76" s="6" t="inlineStr">
        <is>
          <t>Vaân</t>
        </is>
      </c>
      <c r="E76" s="5" t="inlineStr">
        <is>
          <t>31-Dec-07</t>
        </is>
      </c>
      <c r="F76" s="5" t="inlineStr">
        <is>
          <t>LNH0925ND01</t>
        </is>
      </c>
      <c r="G76" s="105" t="n">
        <v>1000000</v>
      </c>
    </row>
    <row r="77">
      <c r="A77" s="5" t="n">
        <v>71</v>
      </c>
      <c r="B77" s="5" t="inlineStr">
        <is>
          <t>25807600017</t>
        </is>
      </c>
      <c r="C77" s="6" t="inlineStr">
        <is>
          <t>Phan Maïnh</t>
        </is>
      </c>
      <c r="D77" s="6" t="inlineStr">
        <is>
          <t>Huøng</t>
        </is>
      </c>
      <c r="E77" s="5" t="inlineStr">
        <is>
          <t>23-Jul-07</t>
        </is>
      </c>
      <c r="F77" s="5" t="inlineStr">
        <is>
          <t>LNH0925ND01</t>
        </is>
      </c>
      <c r="G77" s="105" t="n">
        <v>1000000</v>
      </c>
    </row>
    <row r="78">
      <c r="A78" s="5" t="n">
        <v>72</v>
      </c>
      <c r="B78" s="5" t="inlineStr">
        <is>
          <t>25802800061</t>
        </is>
      </c>
      <c r="C78" s="6" t="inlineStr">
        <is>
          <t>Phan Tröông Bích</t>
        </is>
      </c>
      <c r="D78" s="6" t="inlineStr">
        <is>
          <t>Haèng</t>
        </is>
      </c>
      <c r="E78" s="5" t="inlineStr">
        <is>
          <t>03-Jan-07</t>
        </is>
      </c>
      <c r="F78" s="5" t="inlineStr">
        <is>
          <t>LNH0925ND01</t>
        </is>
      </c>
      <c r="G78" s="105" t="n">
        <v>1000000</v>
      </c>
    </row>
    <row r="79">
      <c r="A79" s="5" t="n">
        <v>73</v>
      </c>
      <c r="B79" s="5" t="inlineStr">
        <is>
          <t>25802800036</t>
        </is>
      </c>
      <c r="C79" s="6" t="inlineStr">
        <is>
          <t>Nguyeãn Quyønh</t>
        </is>
      </c>
      <c r="D79" s="6" t="inlineStr">
        <is>
          <t>Duyeân</t>
        </is>
      </c>
      <c r="E79" s="5" t="inlineStr">
        <is>
          <t>02-Dec-07</t>
        </is>
      </c>
      <c r="F79" s="5" t="inlineStr">
        <is>
          <t>LNH0925ND01</t>
        </is>
      </c>
      <c r="G79" s="105" t="n">
        <v>1000000</v>
      </c>
    </row>
    <row r="80">
      <c r="A80" s="5" t="n">
        <v>74</v>
      </c>
      <c r="B80" s="5" t="inlineStr">
        <is>
          <t>25801300009</t>
        </is>
      </c>
      <c r="C80" s="6" t="inlineStr">
        <is>
          <t>Nguyeãn Ngoïc Trung</t>
        </is>
      </c>
      <c r="D80" s="6" t="inlineStr">
        <is>
          <t>Hoaøng</t>
        </is>
      </c>
      <c r="E80" s="5" t="inlineStr">
        <is>
          <t>09-Mar-07</t>
        </is>
      </c>
      <c r="F80" s="5" t="inlineStr">
        <is>
          <t>LNH0925ND01</t>
        </is>
      </c>
      <c r="G80" s="105" t="n">
        <v>1000000</v>
      </c>
    </row>
    <row r="81">
      <c r="A81" s="5" t="n">
        <v>75</v>
      </c>
      <c r="B81" s="5" t="inlineStr">
        <is>
          <t>25801300027</t>
        </is>
      </c>
      <c r="C81" s="6" t="inlineStr">
        <is>
          <t>Ñinh Leâ Haân</t>
        </is>
      </c>
      <c r="D81" s="6" t="inlineStr">
        <is>
          <t>Nhi</t>
        </is>
      </c>
      <c r="E81" s="5" t="inlineStr">
        <is>
          <t>17-Apr-07</t>
        </is>
      </c>
      <c r="F81" s="5" t="inlineStr">
        <is>
          <t>LNH0925ND01</t>
        </is>
      </c>
      <c r="G81" s="105" t="n">
        <v>1000000</v>
      </c>
    </row>
    <row r="82">
      <c r="A82" s="5" t="n">
        <v>76</v>
      </c>
      <c r="B82" s="5" t="inlineStr">
        <is>
          <t>25800400097</t>
        </is>
      </c>
      <c r="C82" s="6" t="inlineStr">
        <is>
          <t>Leâ Ñöùc</t>
        </is>
      </c>
      <c r="D82" s="6" t="inlineStr">
        <is>
          <t>Löôïng</t>
        </is>
      </c>
      <c r="E82" s="5" t="inlineStr">
        <is>
          <t>12-Mar-07</t>
        </is>
      </c>
      <c r="F82" s="5" t="inlineStr">
        <is>
          <t>LNH0925ND01</t>
        </is>
      </c>
      <c r="G82" s="105" t="n">
        <v>1000000</v>
      </c>
    </row>
    <row r="83">
      <c r="A83" s="5" t="n">
        <v>77</v>
      </c>
      <c r="B83" s="5" t="inlineStr">
        <is>
          <t>25808200146</t>
        </is>
      </c>
      <c r="C83" s="6" t="inlineStr">
        <is>
          <t>Ngoâ Quoác</t>
        </is>
      </c>
      <c r="D83" s="6" t="inlineStr">
        <is>
          <t>Vieät</t>
        </is>
      </c>
      <c r="E83" s="5" t="inlineStr">
        <is>
          <t>02-Mar-07</t>
        </is>
      </c>
      <c r="F83" s="5" t="inlineStr">
        <is>
          <t>LNH0925ND01</t>
        </is>
      </c>
      <c r="G83" s="105" t="n">
        <v>1000000</v>
      </c>
    </row>
    <row r="84">
      <c r="A84" s="5" t="n">
        <v>78</v>
      </c>
      <c r="B84" s="5" t="inlineStr">
        <is>
          <t>25820200051</t>
        </is>
      </c>
      <c r="C84" s="6" t="inlineStr">
        <is>
          <t>Nguyeãn Troïng</t>
        </is>
      </c>
      <c r="D84" s="6" t="inlineStr">
        <is>
          <t>Phuùc</t>
        </is>
      </c>
      <c r="E84" s="5" t="inlineStr">
        <is>
          <t>06-Feb-07</t>
        </is>
      </c>
      <c r="F84" s="5" t="inlineStr">
        <is>
          <t>LNH0925ND01</t>
        </is>
      </c>
      <c r="G84" s="105" t="n">
        <v>1000000</v>
      </c>
    </row>
    <row r="85">
      <c r="A85" s="5" t="n">
        <v>79</v>
      </c>
      <c r="B85" s="5" t="inlineStr">
        <is>
          <t>25808900039</t>
        </is>
      </c>
      <c r="C85" s="6" t="inlineStr">
        <is>
          <t>Voõ Tröông Kim</t>
        </is>
      </c>
      <c r="D85" s="6" t="inlineStr">
        <is>
          <t>Hoaøn</t>
        </is>
      </c>
      <c r="E85" s="5" t="inlineStr">
        <is>
          <t>16-Oct-07</t>
        </is>
      </c>
      <c r="F85" s="5" t="inlineStr">
        <is>
          <t>LNH0925ND01</t>
        </is>
      </c>
      <c r="G85" s="105" t="n">
        <v>1000000</v>
      </c>
    </row>
    <row r="86">
      <c r="A86" s="5" t="n">
        <v>80</v>
      </c>
      <c r="B86" s="5" t="inlineStr">
        <is>
          <t>25820300092</t>
        </is>
      </c>
      <c r="C86" s="6" t="inlineStr">
        <is>
          <t>Nguyeãn Duy</t>
        </is>
      </c>
      <c r="D86" s="6" t="inlineStr">
        <is>
          <t>Hoaøng</t>
        </is>
      </c>
      <c r="E86" s="5" t="inlineStr">
        <is>
          <t>15-Jul-07</t>
        </is>
      </c>
      <c r="F86" s="5" t="inlineStr">
        <is>
          <t>LNH0925ND01</t>
        </is>
      </c>
      <c r="G86" s="105" t="n">
        <v>1000000</v>
      </c>
    </row>
    <row r="87">
      <c r="A87" s="5" t="n">
        <v>81</v>
      </c>
      <c r="B87" s="5" t="inlineStr">
        <is>
          <t>25808700063</t>
        </is>
      </c>
      <c r="C87" s="6" t="inlineStr">
        <is>
          <t>Ñoã Traàn Thieän</t>
        </is>
      </c>
      <c r="D87" s="6" t="inlineStr">
        <is>
          <t>Nhaân</t>
        </is>
      </c>
      <c r="E87" s="5" t="inlineStr">
        <is>
          <t>20-Apr-07</t>
        </is>
      </c>
      <c r="F87" s="5" t="inlineStr">
        <is>
          <t>LNH0925ND01</t>
        </is>
      </c>
      <c r="G87" s="105" t="n">
        <v>1000000</v>
      </c>
    </row>
    <row r="88">
      <c r="A88" s="5" t="n">
        <v>82</v>
      </c>
      <c r="B88" s="5" t="inlineStr">
        <is>
          <t>25800500004</t>
        </is>
      </c>
      <c r="C88" s="6" t="inlineStr">
        <is>
          <t>Leâ Nguyeãn Vieät</t>
        </is>
      </c>
      <c r="D88" s="6" t="inlineStr">
        <is>
          <t>Anh</t>
        </is>
      </c>
      <c r="E88" s="5" t="inlineStr">
        <is>
          <t>09-Jul-07</t>
        </is>
      </c>
      <c r="F88" s="5" t="inlineStr">
        <is>
          <t>LNH0925ND01</t>
        </is>
      </c>
      <c r="G88" s="105" t="n">
        <v>1000000</v>
      </c>
    </row>
    <row r="89">
      <c r="A89" s="5" t="n">
        <v>83</v>
      </c>
      <c r="B89" s="5" t="inlineStr">
        <is>
          <t>25820200048</t>
        </is>
      </c>
      <c r="C89" s="6" t="inlineStr">
        <is>
          <t>Vuõ Thieân</t>
        </is>
      </c>
      <c r="D89" s="6" t="inlineStr">
        <is>
          <t>Phuù</t>
        </is>
      </c>
      <c r="E89" s="5" t="inlineStr">
        <is>
          <t>06-Jan-07</t>
        </is>
      </c>
      <c r="F89" s="5" t="inlineStr">
        <is>
          <t>LNH0925ND01</t>
        </is>
      </c>
      <c r="G89" s="105" t="n">
        <v>1000000</v>
      </c>
    </row>
    <row r="90">
      <c r="A90" s="5" t="n">
        <v>84</v>
      </c>
      <c r="B90" s="5" t="inlineStr">
        <is>
          <t>25808600257</t>
        </is>
      </c>
      <c r="C90" s="6" t="inlineStr">
        <is>
          <t>Traàn Anh</t>
        </is>
      </c>
      <c r="D90" s="6" t="inlineStr">
        <is>
          <t>Khoa</t>
        </is>
      </c>
      <c r="E90" s="5" t="inlineStr">
        <is>
          <t>22-May-07</t>
        </is>
      </c>
      <c r="F90" s="5" t="inlineStr">
        <is>
          <t>LNH0925ND01</t>
        </is>
      </c>
      <c r="G90" s="105" t="n">
        <v>1000000</v>
      </c>
    </row>
    <row r="91">
      <c r="A91" s="5" t="n">
        <v>85</v>
      </c>
      <c r="B91" s="5" t="inlineStr">
        <is>
          <t>25800400025</t>
        </is>
      </c>
      <c r="C91" s="6" t="inlineStr">
        <is>
          <t>Nguyeãn Hoaøng</t>
        </is>
      </c>
      <c r="D91" s="6" t="inlineStr">
        <is>
          <t>Duy</t>
        </is>
      </c>
      <c r="E91" s="5" t="inlineStr">
        <is>
          <t>22-Jul-07</t>
        </is>
      </c>
      <c r="F91" s="5" t="inlineStr">
        <is>
          <t>LNH0925ND01</t>
        </is>
      </c>
      <c r="G91" s="105" t="n">
        <v>1000000</v>
      </c>
    </row>
    <row r="92">
      <c r="A92" s="5" t="n">
        <v>86</v>
      </c>
      <c r="B92" s="5" t="inlineStr">
        <is>
          <t>25801300005</t>
        </is>
      </c>
      <c r="C92" s="6" t="inlineStr">
        <is>
          <t>Mai Ngoïc</t>
        </is>
      </c>
      <c r="D92" s="6" t="inlineStr">
        <is>
          <t>Caån</t>
        </is>
      </c>
      <c r="E92" s="5" t="inlineStr">
        <is>
          <t>18-Jun-06</t>
        </is>
      </c>
      <c r="F92" s="5" t="inlineStr">
        <is>
          <t>LNH0925ND01</t>
        </is>
      </c>
      <c r="G92" s="105" t="n">
        <v>1000000</v>
      </c>
    </row>
    <row r="93">
      <c r="A93" s="5" t="n">
        <v>87</v>
      </c>
      <c r="B93" s="5" t="inlineStr">
        <is>
          <t>25802100067</t>
        </is>
      </c>
      <c r="C93" s="6" t="inlineStr">
        <is>
          <t>Nguyeãn Haø Haïnh</t>
        </is>
      </c>
      <c r="D93" s="6" t="inlineStr">
        <is>
          <t>Phöông</t>
        </is>
      </c>
      <c r="E93" s="5" t="inlineStr">
        <is>
          <t>11-Jul-07</t>
        </is>
      </c>
      <c r="F93" s="5" t="inlineStr">
        <is>
          <t>LNH0925ND01</t>
        </is>
      </c>
      <c r="G93" s="105" t="n">
        <v>1000000</v>
      </c>
    </row>
    <row r="94">
      <c r="A94" s="5" t="n">
        <v>88</v>
      </c>
      <c r="B94" s="5" t="inlineStr">
        <is>
          <t>25802800436</t>
        </is>
      </c>
      <c r="C94" s="6" t="inlineStr">
        <is>
          <t>Phan Minh</t>
        </is>
      </c>
      <c r="D94" s="6" t="inlineStr">
        <is>
          <t>Phaùt</t>
        </is>
      </c>
      <c r="E94" s="5" t="inlineStr">
        <is>
          <t>31-Mar-07</t>
        </is>
      </c>
      <c r="F94" s="5" t="inlineStr">
        <is>
          <t>LNH0925ND01</t>
        </is>
      </c>
      <c r="G94" s="105" t="n">
        <v>1000000</v>
      </c>
    </row>
    <row r="95">
      <c r="A95" s="5" t="n">
        <v>89</v>
      </c>
      <c r="B95" s="5" t="inlineStr">
        <is>
          <t>25807500045</t>
        </is>
      </c>
      <c r="C95" s="6" t="inlineStr">
        <is>
          <t>Traàn Quang</t>
        </is>
      </c>
      <c r="D95" s="6" t="inlineStr">
        <is>
          <t>Huy</t>
        </is>
      </c>
      <c r="E95" s="5" t="inlineStr">
        <is>
          <t>27-Feb-07</t>
        </is>
      </c>
      <c r="F95" s="5" t="inlineStr">
        <is>
          <t>LNH0925ND01</t>
        </is>
      </c>
      <c r="G95" s="105" t="n">
        <v>1000000</v>
      </c>
    </row>
    <row r="96">
      <c r="A96" s="5" t="n">
        <v>90</v>
      </c>
      <c r="B96" s="5" t="inlineStr">
        <is>
          <t>25808900052</t>
        </is>
      </c>
      <c r="C96" s="6" t="inlineStr">
        <is>
          <t>Nguyeãn Baûo</t>
        </is>
      </c>
      <c r="D96" s="6" t="inlineStr">
        <is>
          <t>Khang</t>
        </is>
      </c>
      <c r="E96" s="5" t="inlineStr">
        <is>
          <t>14-Feb-07</t>
        </is>
      </c>
      <c r="F96" s="5" t="inlineStr">
        <is>
          <t>LNH0925ND01</t>
        </is>
      </c>
      <c r="G96" s="105" t="n">
        <v>1000000</v>
      </c>
    </row>
    <row r="97">
      <c r="A97" s="5" t="n">
        <v>91</v>
      </c>
      <c r="B97" s="5" t="inlineStr">
        <is>
          <t>25820200049</t>
        </is>
      </c>
      <c r="C97" s="6" t="inlineStr">
        <is>
          <t>Döông Vuõ</t>
        </is>
      </c>
      <c r="D97" s="6" t="inlineStr">
        <is>
          <t>Phuùc</t>
        </is>
      </c>
      <c r="E97" s="5" t="inlineStr">
        <is>
          <t>22-Sep-07</t>
        </is>
      </c>
      <c r="F97" s="5" t="inlineStr">
        <is>
          <t>LNH0925ND01</t>
        </is>
      </c>
      <c r="G97" s="105" t="n">
        <v>1000000</v>
      </c>
    </row>
    <row r="98">
      <c r="A98" s="5" t="n">
        <v>92</v>
      </c>
      <c r="B98" s="5" t="inlineStr">
        <is>
          <t>25806400013</t>
        </is>
      </c>
      <c r="C98" s="6" t="inlineStr">
        <is>
          <t>Ñaëng Vaên</t>
        </is>
      </c>
      <c r="D98" s="6" t="inlineStr">
        <is>
          <t>Lôïi</t>
        </is>
      </c>
      <c r="E98" s="5" t="inlineStr">
        <is>
          <t>23-Jun-07</t>
        </is>
      </c>
      <c r="F98" s="5" t="inlineStr">
        <is>
          <t>LNH0925ND01</t>
        </is>
      </c>
      <c r="G98" s="105" t="n">
        <v>1000000</v>
      </c>
    </row>
    <row r="99">
      <c r="A99" s="5" t="n">
        <v>93</v>
      </c>
      <c r="B99" s="5" t="inlineStr">
        <is>
          <t>25801700078</t>
        </is>
      </c>
      <c r="C99" s="6" t="inlineStr">
        <is>
          <t>Leâ Haø Thuyù</t>
        </is>
      </c>
      <c r="D99" s="6" t="inlineStr">
        <is>
          <t>My</t>
        </is>
      </c>
      <c r="E99" s="5" t="inlineStr">
        <is>
          <t>04-Aug-06</t>
        </is>
      </c>
      <c r="F99" s="5" t="inlineStr">
        <is>
          <t>LNH0925ND01</t>
        </is>
      </c>
      <c r="G99" s="105" t="n">
        <v>1000000</v>
      </c>
    </row>
    <row r="100">
      <c r="A100" s="5" t="n">
        <v>94</v>
      </c>
      <c r="B100" s="5" t="inlineStr">
        <is>
          <t>25809600027</t>
        </is>
      </c>
      <c r="C100" s="6" t="inlineStr">
        <is>
          <t>Traàn Löông Gia</t>
        </is>
      </c>
      <c r="D100" s="6" t="inlineStr">
        <is>
          <t>Khieâm</t>
        </is>
      </c>
      <c r="E100" s="5" t="inlineStr">
        <is>
          <t>30-Aug-07</t>
        </is>
      </c>
      <c r="F100" s="5" t="inlineStr">
        <is>
          <t>LNH0925ND01</t>
        </is>
      </c>
      <c r="G100" s="105" t="n">
        <v>1000000</v>
      </c>
    </row>
    <row r="101">
      <c r="A101" s="5" t="n">
        <v>95</v>
      </c>
      <c r="B101" s="5" t="inlineStr">
        <is>
          <t>25800400294</t>
        </is>
      </c>
      <c r="C101" s="6" t="inlineStr">
        <is>
          <t>Ñinh Ngoïc Xuaân</t>
        </is>
      </c>
      <c r="D101" s="6" t="inlineStr">
        <is>
          <t>Giang</t>
        </is>
      </c>
      <c r="E101" s="5" t="inlineStr">
        <is>
          <t>10-Mar-07</t>
        </is>
      </c>
      <c r="F101" s="5" t="inlineStr">
        <is>
          <t>LNH0925ND01</t>
        </is>
      </c>
      <c r="G101" s="105" t="n">
        <v>1000000</v>
      </c>
    </row>
    <row r="102">
      <c r="A102" s="5" t="n">
        <v>96</v>
      </c>
      <c r="B102" s="5" t="inlineStr">
        <is>
          <t>25801000042</t>
        </is>
      </c>
      <c r="C102" s="6" t="inlineStr">
        <is>
          <t>Nguyeãn Hoaøng Anh</t>
        </is>
      </c>
      <c r="D102" s="6" t="inlineStr">
        <is>
          <t>Thö</t>
        </is>
      </c>
      <c r="E102" s="5" t="inlineStr">
        <is>
          <t>01-Jun-07</t>
        </is>
      </c>
      <c r="F102" s="5" t="inlineStr">
        <is>
          <t>LNH0925ND01</t>
        </is>
      </c>
      <c r="G102" s="105" t="n">
        <v>1000000</v>
      </c>
    </row>
    <row r="103">
      <c r="A103" s="5" t="n">
        <v>97</v>
      </c>
      <c r="B103" s="5" t="inlineStr">
        <is>
          <t>25803800087</t>
        </is>
      </c>
      <c r="C103" s="6" t="inlineStr">
        <is>
          <t>Cao Hoaøng</t>
        </is>
      </c>
      <c r="D103" s="6" t="inlineStr">
        <is>
          <t>Minh</t>
        </is>
      </c>
      <c r="E103" s="5" t="inlineStr">
        <is>
          <t>23-Jan-03</t>
        </is>
      </c>
      <c r="F103" s="5" t="inlineStr">
        <is>
          <t>LNH0925ND01</t>
        </is>
      </c>
      <c r="G103" s="105" t="n">
        <v>1000000</v>
      </c>
    </row>
    <row r="104">
      <c r="A104" s="5" t="n">
        <v>98</v>
      </c>
      <c r="B104" s="5" t="inlineStr">
        <is>
          <t>25809600031</t>
        </is>
      </c>
      <c r="C104" s="6" t="inlineStr">
        <is>
          <t>Rô Chaâm</t>
        </is>
      </c>
      <c r="D104" s="6" t="inlineStr">
        <is>
          <t>Khuyn</t>
        </is>
      </c>
      <c r="E104" s="5" t="inlineStr">
        <is>
          <t>24-Jan-06</t>
        </is>
      </c>
      <c r="F104" s="5" t="inlineStr">
        <is>
          <t>LNH0925ND01</t>
        </is>
      </c>
      <c r="G104" s="105" t="n">
        <v>1000000</v>
      </c>
    </row>
    <row r="105">
      <c r="A105" s="5" t="n">
        <v>99</v>
      </c>
      <c r="B105" s="5" t="inlineStr">
        <is>
          <t>25801400646</t>
        </is>
      </c>
      <c r="C105" s="6" t="inlineStr">
        <is>
          <t>Nguyeãn Hoaøng</t>
        </is>
      </c>
      <c r="D105" s="6" t="inlineStr">
        <is>
          <t>Minh</t>
        </is>
      </c>
      <c r="E105" s="5" t="inlineStr">
        <is>
          <t>02-Nov-07</t>
        </is>
      </c>
      <c r="F105" s="5" t="inlineStr">
        <is>
          <t>LNH0925ND01</t>
        </is>
      </c>
      <c r="G105" s="105" t="n">
        <v>1000000</v>
      </c>
    </row>
    <row r="106">
      <c r="A106" s="5" t="n">
        <v>100</v>
      </c>
      <c r="B106" s="5" t="inlineStr">
        <is>
          <t>25802800249</t>
        </is>
      </c>
      <c r="C106" s="6" t="inlineStr">
        <is>
          <t>Traàn Hoàng Hoaøng</t>
        </is>
      </c>
      <c r="D106" s="6" t="inlineStr">
        <is>
          <t>Thònh</t>
        </is>
      </c>
      <c r="E106" s="5" t="inlineStr">
        <is>
          <t>23-Jun-07</t>
        </is>
      </c>
      <c r="F106" s="5" t="inlineStr">
        <is>
          <t>LNH0925ND01</t>
        </is>
      </c>
      <c r="G106" s="105" t="n">
        <v>1000000</v>
      </c>
    </row>
    <row r="107">
      <c r="A107" s="5" t="n">
        <v>101</v>
      </c>
      <c r="B107" s="5" t="inlineStr">
        <is>
          <t>25820200039</t>
        </is>
      </c>
      <c r="C107" s="6" t="inlineStr">
        <is>
          <t>Nguyeãn Hoàng Lan</t>
        </is>
      </c>
      <c r="D107" s="6" t="inlineStr">
        <is>
          <t>Mai</t>
        </is>
      </c>
      <c r="E107" s="5" t="inlineStr">
        <is>
          <t>09-Jan-07</t>
        </is>
      </c>
      <c r="F107" s="5" t="inlineStr">
        <is>
          <t>LNH0925NL01</t>
        </is>
      </c>
      <c r="G107" s="105" t="n">
        <v>1000000</v>
      </c>
    </row>
    <row r="108">
      <c r="A108" s="5" t="n">
        <v>102</v>
      </c>
      <c r="B108" s="5" t="inlineStr">
        <is>
          <t>25808200103</t>
        </is>
      </c>
      <c r="C108" s="6" t="inlineStr">
        <is>
          <t>Vuõ Hoaøng</t>
        </is>
      </c>
      <c r="D108" s="6" t="inlineStr">
        <is>
          <t>Phuùc</t>
        </is>
      </c>
      <c r="E108" s="5" t="inlineStr">
        <is>
          <t>03-Nov-07</t>
        </is>
      </c>
      <c r="F108" s="5" t="inlineStr">
        <is>
          <t>LNH0925NL01</t>
        </is>
      </c>
      <c r="G108" s="105" t="n">
        <v>1000000</v>
      </c>
    </row>
    <row r="109">
      <c r="A109" s="5" t="n">
        <v>103</v>
      </c>
      <c r="B109" s="5" t="inlineStr">
        <is>
          <t>25805800023</t>
        </is>
      </c>
      <c r="C109" s="6" t="inlineStr">
        <is>
          <t>Buøi Thieän</t>
        </is>
      </c>
      <c r="D109" s="6" t="inlineStr">
        <is>
          <t>Nhaân</t>
        </is>
      </c>
      <c r="E109" s="5" t="inlineStr">
        <is>
          <t>06-Jan-07</t>
        </is>
      </c>
      <c r="F109" s="5" t="inlineStr">
        <is>
          <t>LNH0925NL01</t>
        </is>
      </c>
      <c r="G109" s="105" t="n">
        <v>1000000</v>
      </c>
    </row>
    <row r="110">
      <c r="A110" s="5" t="n">
        <v>104</v>
      </c>
      <c r="B110" s="5" t="inlineStr">
        <is>
          <t>25800600034</t>
        </is>
      </c>
      <c r="C110" s="6" t="inlineStr">
        <is>
          <t>Ñaøo Quoác</t>
        </is>
      </c>
      <c r="D110" s="6" t="inlineStr">
        <is>
          <t>Baûo</t>
        </is>
      </c>
      <c r="E110" s="5" t="inlineStr">
        <is>
          <t>05-Jul-07</t>
        </is>
      </c>
      <c r="F110" s="5" t="inlineStr">
        <is>
          <t>LNH0925NL01</t>
        </is>
      </c>
      <c r="G110" s="105" t="n">
        <v>1000000</v>
      </c>
    </row>
    <row r="111">
      <c r="A111" s="5" t="n">
        <v>105</v>
      </c>
      <c r="B111" s="5" t="inlineStr">
        <is>
          <t>25801300019</t>
        </is>
      </c>
      <c r="C111" s="6" t="inlineStr">
        <is>
          <t>Nguyeãn Thò Kim</t>
        </is>
      </c>
      <c r="D111" s="6" t="inlineStr">
        <is>
          <t>Ngaân</t>
        </is>
      </c>
      <c r="E111" s="5" t="inlineStr">
        <is>
          <t>03-Jan-07</t>
        </is>
      </c>
      <c r="F111" s="5" t="inlineStr">
        <is>
          <t>LNH0925NL01</t>
        </is>
      </c>
      <c r="G111" s="105" t="n">
        <v>1000000</v>
      </c>
    </row>
    <row r="112">
      <c r="A112" s="5" t="n">
        <v>106</v>
      </c>
      <c r="B112" s="5" t="inlineStr">
        <is>
          <t>25806300024</t>
        </is>
      </c>
      <c r="C112" s="6" t="inlineStr">
        <is>
          <t>Tröông Hoaøng</t>
        </is>
      </c>
      <c r="D112" s="6" t="inlineStr">
        <is>
          <t>Long</t>
        </is>
      </c>
      <c r="E112" s="5" t="inlineStr">
        <is>
          <t>25-May-07</t>
        </is>
      </c>
      <c r="F112" s="5" t="inlineStr">
        <is>
          <t>LNH0925NL01</t>
        </is>
      </c>
      <c r="G112" s="105" t="n">
        <v>1000000</v>
      </c>
    </row>
    <row r="113">
      <c r="A113" s="5" t="n">
        <v>107</v>
      </c>
      <c r="B113" s="5" t="inlineStr">
        <is>
          <t>25803800066</t>
        </is>
      </c>
      <c r="C113" s="6" t="inlineStr">
        <is>
          <t>Leâ Nguyeãn Anh</t>
        </is>
      </c>
      <c r="D113" s="6" t="inlineStr">
        <is>
          <t>Tröôøng</t>
        </is>
      </c>
      <c r="E113" s="5" t="inlineStr">
        <is>
          <t>26-Jul-07</t>
        </is>
      </c>
      <c r="F113" s="5" t="inlineStr">
        <is>
          <t>LNH0925NL01</t>
        </is>
      </c>
      <c r="G113" s="105" t="n">
        <v>1000000</v>
      </c>
    </row>
    <row r="114">
      <c r="A114" s="5" t="n">
        <v>108</v>
      </c>
      <c r="B114" s="5" t="inlineStr">
        <is>
          <t>25801100058</t>
        </is>
      </c>
      <c r="C114" s="6" t="inlineStr">
        <is>
          <t>Traàn Minh</t>
        </is>
      </c>
      <c r="D114" s="6" t="inlineStr">
        <is>
          <t>Quí</t>
        </is>
      </c>
      <c r="E114" s="5" t="inlineStr">
        <is>
          <t>16-Jan-07</t>
        </is>
      </c>
      <c r="F114" s="5" t="inlineStr">
        <is>
          <t>LNH0925ND01</t>
        </is>
      </c>
      <c r="G114" s="105" t="n">
        <v>1465000</v>
      </c>
    </row>
    <row r="115">
      <c r="A115" s="5" t="n">
        <v>109</v>
      </c>
      <c r="B115" s="5" t="inlineStr">
        <is>
          <t>25807800229</t>
        </is>
      </c>
      <c r="C115" s="6" t="inlineStr">
        <is>
          <t>Phan Huyønh Quoác</t>
        </is>
      </c>
      <c r="D115" s="6" t="inlineStr">
        <is>
          <t>Thaéng</t>
        </is>
      </c>
      <c r="E115" s="5" t="inlineStr">
        <is>
          <t>09-Nov-07</t>
        </is>
      </c>
      <c r="F115" s="5" t="inlineStr">
        <is>
          <t>LNH0925ND01</t>
        </is>
      </c>
      <c r="G115" s="105" t="n">
        <v>1600000</v>
      </c>
    </row>
    <row r="116">
      <c r="A116" s="5" t="n">
        <v>110</v>
      </c>
      <c r="B116" s="5" t="inlineStr">
        <is>
          <t>25807800148</t>
        </is>
      </c>
      <c r="C116" s="6" t="inlineStr">
        <is>
          <t>Traàn Phan Ñöùc</t>
        </is>
      </c>
      <c r="D116" s="6" t="inlineStr">
        <is>
          <t>Trí</t>
        </is>
      </c>
      <c r="E116" s="5" t="inlineStr">
        <is>
          <t>29-Sep-07</t>
        </is>
      </c>
      <c r="F116" s="5" t="inlineStr">
        <is>
          <t>LNH0925NL01</t>
        </is>
      </c>
      <c r="G116" s="105" t="n">
        <v>1600000</v>
      </c>
    </row>
    <row r="117">
      <c r="A117" s="5" t="n">
        <v>111</v>
      </c>
      <c r="B117" s="5" t="inlineStr">
        <is>
          <t>2288903513</t>
        </is>
      </c>
      <c r="C117" s="6" t="inlineStr">
        <is>
          <t>Tröông Nguyeãn Vaên</t>
        </is>
      </c>
      <c r="D117" s="6" t="inlineStr">
        <is>
          <t>Tieàn</t>
        </is>
      </c>
      <c r="E117" s="5" t="inlineStr">
        <is>
          <t>03-Dec-04</t>
        </is>
      </c>
      <c r="F117" s="5" t="inlineStr">
        <is>
          <t>LNH0925NL01</t>
        </is>
      </c>
      <c r="G117" s="105" t="n">
        <v>1600000</v>
      </c>
    </row>
    <row r="118">
      <c r="A118" s="5" t="n">
        <v>112</v>
      </c>
      <c r="B118" s="5" t="inlineStr">
        <is>
          <t>25801700096</t>
        </is>
      </c>
      <c r="C118" s="6" t="inlineStr">
        <is>
          <t>Ñaëng Chí</t>
        </is>
      </c>
      <c r="D118" s="6" t="inlineStr">
        <is>
          <t>Duõng</t>
        </is>
      </c>
      <c r="E118" s="5" t="inlineStr">
        <is>
          <t>17-Apr-07</t>
        </is>
      </c>
      <c r="F118" s="5" t="inlineStr">
        <is>
          <t>LNH0925NL01</t>
        </is>
      </c>
      <c r="G118" s="105" t="n">
        <v>1600000</v>
      </c>
    </row>
    <row r="119">
      <c r="A119" s="5" t="n">
        <v>113</v>
      </c>
      <c r="B119" s="5" t="inlineStr">
        <is>
          <t>25802300124</t>
        </is>
      </c>
      <c r="C119" s="6" t="inlineStr">
        <is>
          <t>Nguyeãn Thuøy</t>
        </is>
      </c>
      <c r="D119" s="6" t="inlineStr">
        <is>
          <t>Linh</t>
        </is>
      </c>
      <c r="E119" s="5" t="inlineStr">
        <is>
          <t>11-Jul-07</t>
        </is>
      </c>
      <c r="F119" s="5" t="inlineStr">
        <is>
          <t>LNH0925NL01</t>
        </is>
      </c>
      <c r="G119" s="105" t="n">
        <v>1600000</v>
      </c>
    </row>
    <row r="120">
      <c r="A120" s="5" t="n">
        <v>114</v>
      </c>
      <c r="B120" s="28" t="inlineStr">
        <is>
          <t>2388500585</t>
        </is>
      </c>
      <c r="C120" s="29" t="inlineStr">
        <is>
          <t xml:space="preserve">Nguyeãn Phuùc Minh    </t>
        </is>
      </c>
      <c r="D120" s="29" t="inlineStr">
        <is>
          <t xml:space="preserve">Thö    </t>
        </is>
      </c>
      <c r="E120" s="28" t="n">
        <v>38625</v>
      </c>
      <c r="F120" s="28" t="inlineStr">
        <is>
          <t xml:space="preserve">LNH0925NL01 </t>
        </is>
      </c>
      <c r="G120" s="110" t="n">
        <v>1600000</v>
      </c>
    </row>
    <row r="121">
      <c r="A121" s="5" t="n">
        <v>115</v>
      </c>
      <c r="B121" s="28" t="inlineStr">
        <is>
          <t>2180606153</t>
        </is>
      </c>
      <c r="C121" s="29" t="inlineStr">
        <is>
          <t xml:space="preserve">Nguyeãn Ñình          </t>
        </is>
      </c>
      <c r="D121" s="29" t="inlineStr">
        <is>
          <t xml:space="preserve">Huy    </t>
        </is>
      </c>
      <c r="E121" s="28" t="n">
        <v>37938</v>
      </c>
      <c r="F121" s="28" t="inlineStr">
        <is>
          <t xml:space="preserve">LNH0925NL01 </t>
        </is>
      </c>
      <c r="G121" s="110" t="n">
        <v>1600000</v>
      </c>
    </row>
    <row r="122">
      <c r="A122" s="5" t="n">
        <v>116</v>
      </c>
      <c r="B122" s="5" t="inlineStr">
        <is>
          <t>25802800346</t>
        </is>
      </c>
      <c r="C122" s="6" t="inlineStr">
        <is>
          <t>Nguyeãn Hoà Coâng</t>
        </is>
      </c>
      <c r="D122" s="6" t="inlineStr">
        <is>
          <t>Phuù</t>
        </is>
      </c>
      <c r="E122" s="5" t="inlineStr">
        <is>
          <t>15-Feb-07</t>
        </is>
      </c>
      <c r="F122" s="5" t="inlineStr">
        <is>
          <t>LNH0925ND01</t>
        </is>
      </c>
      <c r="G122" s="105" t="n">
        <v>2000000</v>
      </c>
    </row>
    <row r="123">
      <c r="A123" s="5" t="n">
        <v>117</v>
      </c>
      <c r="B123" s="5" t="inlineStr">
        <is>
          <t>25801700034</t>
        </is>
      </c>
      <c r="C123" s="6" t="inlineStr">
        <is>
          <t>Nguyeãn Buøi Troïng</t>
        </is>
      </c>
      <c r="D123" s="6" t="inlineStr">
        <is>
          <t>Nghóa</t>
        </is>
      </c>
      <c r="E123" s="5" t="inlineStr">
        <is>
          <t>19-Jan-07</t>
        </is>
      </c>
      <c r="F123" s="5" t="inlineStr">
        <is>
          <t>LNH0925ND01</t>
        </is>
      </c>
      <c r="G123" s="105" t="n">
        <v>2000000</v>
      </c>
    </row>
    <row r="124">
      <c r="A124" s="5" t="n">
        <v>118</v>
      </c>
      <c r="B124" s="5" t="inlineStr">
        <is>
          <t>25802600087</t>
        </is>
      </c>
      <c r="C124" s="6" t="inlineStr">
        <is>
          <t>Phaïm Thò Thanh</t>
        </is>
      </c>
      <c r="D124" s="6" t="inlineStr">
        <is>
          <t>Ngaân</t>
        </is>
      </c>
      <c r="E124" s="5" t="inlineStr">
        <is>
          <t>09-Jul-07</t>
        </is>
      </c>
      <c r="F124" s="5" t="inlineStr">
        <is>
          <t>LNH0925NL01</t>
        </is>
      </c>
      <c r="G124" s="105" t="n">
        <v>2000000</v>
      </c>
    </row>
    <row r="125">
      <c r="A125" s="5" t="n">
        <v>119</v>
      </c>
      <c r="B125" s="5" t="inlineStr">
        <is>
          <t>25807800024</t>
        </is>
      </c>
      <c r="C125" s="6" t="inlineStr">
        <is>
          <t>Hoà Minh</t>
        </is>
      </c>
      <c r="D125" s="6" t="inlineStr">
        <is>
          <t>Duy</t>
        </is>
      </c>
      <c r="E125" s="5" t="inlineStr">
        <is>
          <t>19-Jan-07</t>
        </is>
      </c>
      <c r="F125" s="5" t="inlineStr">
        <is>
          <t>LNH0925ND01</t>
        </is>
      </c>
      <c r="G125" s="105" t="n">
        <v>2100000</v>
      </c>
    </row>
    <row r="126">
      <c r="A126" s="5" t="n">
        <v>120</v>
      </c>
      <c r="B126" s="5" t="inlineStr">
        <is>
          <t>25800400220</t>
        </is>
      </c>
      <c r="C126" s="6" t="inlineStr">
        <is>
          <t>Nguyeãn Traàn Vöông</t>
        </is>
      </c>
      <c r="D126" s="6" t="inlineStr">
        <is>
          <t>Thònh</t>
        </is>
      </c>
      <c r="E126" s="5" t="inlineStr">
        <is>
          <t>14-Aug-07</t>
        </is>
      </c>
      <c r="F126" s="5" t="inlineStr">
        <is>
          <t>LNH0925ND01</t>
        </is>
      </c>
      <c r="G126" s="105" t="n">
        <v>2100000</v>
      </c>
    </row>
    <row r="127">
      <c r="A127" s="5" t="n">
        <v>121</v>
      </c>
      <c r="B127" s="5" t="inlineStr">
        <is>
          <t>25802600070</t>
        </is>
      </c>
      <c r="C127" s="6" t="inlineStr">
        <is>
          <t>Nguyeãn Quyønh</t>
        </is>
      </c>
      <c r="D127" s="6" t="inlineStr">
        <is>
          <t>Loan</t>
        </is>
      </c>
      <c r="E127" s="5" t="inlineStr">
        <is>
          <t>06-Sep-07</t>
        </is>
      </c>
      <c r="F127" s="5" t="inlineStr">
        <is>
          <t>LNH0925ND01</t>
        </is>
      </c>
      <c r="G127" s="105" t="n">
        <v>2100000</v>
      </c>
    </row>
    <row r="128">
      <c r="A128" s="5" t="n">
        <v>122</v>
      </c>
      <c r="B128" s="5" t="inlineStr">
        <is>
          <t>25808500496</t>
        </is>
      </c>
      <c r="C128" s="6" t="inlineStr">
        <is>
          <t>Nguyeãn Minh</t>
        </is>
      </c>
      <c r="D128" s="6" t="inlineStr">
        <is>
          <t>Nhö</t>
        </is>
      </c>
      <c r="E128" s="5" t="inlineStr">
        <is>
          <t>06-Sep-07</t>
        </is>
      </c>
      <c r="F128" s="5" t="inlineStr">
        <is>
          <t>LNH0925ND01</t>
        </is>
      </c>
      <c r="G128" s="105" t="n">
        <v>2100000</v>
      </c>
    </row>
    <row r="129">
      <c r="A129" s="5" t="n">
        <v>123</v>
      </c>
      <c r="B129" s="5" t="inlineStr">
        <is>
          <t>25802800201</t>
        </is>
      </c>
      <c r="C129" s="6" t="inlineStr">
        <is>
          <t>Cao Vuõ Anh</t>
        </is>
      </c>
      <c r="D129" s="6" t="inlineStr">
        <is>
          <t>Phong</t>
        </is>
      </c>
      <c r="E129" s="5" t="inlineStr">
        <is>
          <t>03-Dec-07</t>
        </is>
      </c>
      <c r="F129" s="5" t="inlineStr">
        <is>
          <t>LNH0925ND01</t>
        </is>
      </c>
      <c r="G129" s="105" t="n">
        <v>2100000</v>
      </c>
    </row>
    <row r="130">
      <c r="A130" s="5" t="n">
        <v>124</v>
      </c>
      <c r="B130" s="5" t="inlineStr">
        <is>
          <t>25801600178</t>
        </is>
      </c>
      <c r="C130" s="6" t="inlineStr">
        <is>
          <t>Leâ Ngoïc Thaûo</t>
        </is>
      </c>
      <c r="D130" s="6" t="inlineStr">
        <is>
          <t>Vy</t>
        </is>
      </c>
      <c r="E130" s="5" t="inlineStr">
        <is>
          <t>11-Jan-07</t>
        </is>
      </c>
      <c r="F130" s="5" t="inlineStr">
        <is>
          <t>LNH0925ND01</t>
        </is>
      </c>
      <c r="G130" s="105" t="n">
        <v>2100000</v>
      </c>
    </row>
    <row r="131">
      <c r="A131" s="5" t="n">
        <v>125</v>
      </c>
      <c r="B131" s="5" t="inlineStr">
        <is>
          <t>25807400009</t>
        </is>
      </c>
      <c r="C131" s="6" t="inlineStr">
        <is>
          <t>Traàn Thanh</t>
        </is>
      </c>
      <c r="D131" s="6" t="inlineStr">
        <is>
          <t>Nhaøn</t>
        </is>
      </c>
      <c r="E131" s="5" t="inlineStr">
        <is>
          <t>24-Aug-07</t>
        </is>
      </c>
      <c r="F131" s="5" t="inlineStr">
        <is>
          <t>LNH0925ND01</t>
        </is>
      </c>
      <c r="G131" s="105" t="n">
        <v>2100000</v>
      </c>
    </row>
    <row r="132">
      <c r="A132" s="5" t="n">
        <v>126</v>
      </c>
      <c r="B132" s="5" t="inlineStr">
        <is>
          <t>25800400256</t>
        </is>
      </c>
      <c r="C132" s="6" t="inlineStr">
        <is>
          <t>Tröông Hoàng</t>
        </is>
      </c>
      <c r="D132" s="6" t="inlineStr">
        <is>
          <t>Khaõi</t>
        </is>
      </c>
      <c r="E132" s="5" t="inlineStr">
        <is>
          <t>30-May-07</t>
        </is>
      </c>
      <c r="F132" s="5" t="inlineStr">
        <is>
          <t>LNH0925ND01</t>
        </is>
      </c>
      <c r="G132" s="105" t="n">
        <v>2100000</v>
      </c>
    </row>
    <row r="133">
      <c r="A133" s="5" t="n">
        <v>127</v>
      </c>
      <c r="B133" s="5" t="inlineStr">
        <is>
          <t>25808300060</t>
        </is>
      </c>
      <c r="C133" s="6" t="inlineStr">
        <is>
          <t>Ñaëng Ngoïc Tuù</t>
        </is>
      </c>
      <c r="D133" s="6" t="inlineStr">
        <is>
          <t>Uyeân</t>
        </is>
      </c>
      <c r="E133" s="5" t="inlineStr">
        <is>
          <t>25-Aug-06</t>
        </is>
      </c>
      <c r="F133" s="5" t="inlineStr">
        <is>
          <t>LNH0925ND01</t>
        </is>
      </c>
      <c r="G133" s="105" t="n">
        <v>2100000</v>
      </c>
    </row>
    <row r="134">
      <c r="A134" s="5" t="n">
        <v>128</v>
      </c>
      <c r="B134" s="5" t="inlineStr">
        <is>
          <t>25809600002</t>
        </is>
      </c>
      <c r="C134" s="6" t="inlineStr">
        <is>
          <t>Nguyeãn Traàn Tuaán</t>
        </is>
      </c>
      <c r="D134" s="6" t="inlineStr">
        <is>
          <t>Anh</t>
        </is>
      </c>
      <c r="E134" s="5" t="inlineStr">
        <is>
          <t>14-Jun-06</t>
        </is>
      </c>
      <c r="F134" s="5" t="inlineStr">
        <is>
          <t>LNH0925ND01</t>
        </is>
      </c>
      <c r="G134" s="105" t="n">
        <v>2100000</v>
      </c>
    </row>
    <row r="135">
      <c r="A135" s="5" t="n">
        <v>129</v>
      </c>
      <c r="B135" s="5" t="inlineStr">
        <is>
          <t>25807000019</t>
        </is>
      </c>
      <c r="C135" s="6" t="inlineStr">
        <is>
          <t>Vaên Thaønh</t>
        </is>
      </c>
      <c r="D135" s="6" t="inlineStr">
        <is>
          <t>Nhöït</t>
        </is>
      </c>
      <c r="E135" s="5" t="inlineStr">
        <is>
          <t>18-Jan-07</t>
        </is>
      </c>
      <c r="F135" s="5" t="inlineStr">
        <is>
          <t>LNH0925ND01</t>
        </is>
      </c>
      <c r="G135" s="105" t="n">
        <v>2100000</v>
      </c>
    </row>
    <row r="136">
      <c r="A136" s="5" t="n">
        <v>130</v>
      </c>
      <c r="B136" s="5" t="inlineStr">
        <is>
          <t>25808900070</t>
        </is>
      </c>
      <c r="C136" s="6" t="inlineStr">
        <is>
          <t>Traàn Khaùnh</t>
        </is>
      </c>
      <c r="D136" s="6" t="inlineStr">
        <is>
          <t>Linh</t>
        </is>
      </c>
      <c r="E136" s="5" t="inlineStr">
        <is>
          <t>15-Apr-07</t>
        </is>
      </c>
      <c r="F136" s="5" t="inlineStr">
        <is>
          <t>LNH0925ND01</t>
        </is>
      </c>
      <c r="G136" s="105" t="n">
        <v>2100000</v>
      </c>
    </row>
    <row r="137">
      <c r="A137" s="5" t="n">
        <v>131</v>
      </c>
      <c r="B137" s="5" t="inlineStr">
        <is>
          <t>25801700022</t>
        </is>
      </c>
      <c r="C137" s="6" t="inlineStr">
        <is>
          <t>Phaïm Hoaøng</t>
        </is>
      </c>
      <c r="D137" s="6" t="inlineStr">
        <is>
          <t>Khang</t>
        </is>
      </c>
      <c r="E137" s="5" t="inlineStr">
        <is>
          <t>11-Apr-07</t>
        </is>
      </c>
      <c r="F137" s="5" t="inlineStr">
        <is>
          <t>LNH0925ND01</t>
        </is>
      </c>
      <c r="G137" s="105" t="n">
        <v>2100000</v>
      </c>
    </row>
    <row r="138">
      <c r="A138" s="5" t="n">
        <v>132</v>
      </c>
      <c r="B138" s="5" t="inlineStr">
        <is>
          <t>25800500081</t>
        </is>
      </c>
      <c r="C138" s="6" t="inlineStr">
        <is>
          <t>Phan Minh</t>
        </is>
      </c>
      <c r="D138" s="6" t="inlineStr">
        <is>
          <t>Khang</t>
        </is>
      </c>
      <c r="E138" s="5" t="inlineStr">
        <is>
          <t>13-Sep-07</t>
        </is>
      </c>
      <c r="F138" s="5" t="inlineStr">
        <is>
          <t>LNH0925ND01</t>
        </is>
      </c>
      <c r="G138" s="105" t="n">
        <v>2100000</v>
      </c>
    </row>
    <row r="139">
      <c r="A139" s="5" t="n">
        <v>133</v>
      </c>
      <c r="B139" s="5" t="inlineStr">
        <is>
          <t>25807900051</t>
        </is>
      </c>
      <c r="C139" s="6" t="inlineStr">
        <is>
          <t>Traàn Chí</t>
        </is>
      </c>
      <c r="D139" s="6" t="inlineStr">
        <is>
          <t>Thieän</t>
        </is>
      </c>
      <c r="E139" s="5" t="inlineStr">
        <is>
          <t>01-Jan-07</t>
        </is>
      </c>
      <c r="F139" s="5" t="inlineStr">
        <is>
          <t>LNH0925ND01</t>
        </is>
      </c>
      <c r="G139" s="105" t="n">
        <v>2100000</v>
      </c>
    </row>
    <row r="140">
      <c r="A140" s="5" t="n">
        <v>134</v>
      </c>
      <c r="B140" s="5" t="inlineStr">
        <is>
          <t>25808200109</t>
        </is>
      </c>
      <c r="C140" s="6" t="inlineStr">
        <is>
          <t>Phaïm Hoaøng</t>
        </is>
      </c>
      <c r="D140" s="6" t="inlineStr">
        <is>
          <t>Sôn</t>
        </is>
      </c>
      <c r="E140" s="5" t="inlineStr">
        <is>
          <t>01-Jun-07</t>
        </is>
      </c>
      <c r="F140" s="5" t="inlineStr">
        <is>
          <t>LNH0925ND01</t>
        </is>
      </c>
      <c r="G140" s="105" t="n">
        <v>2100000</v>
      </c>
    </row>
    <row r="141">
      <c r="A141" s="5" t="n">
        <v>135</v>
      </c>
      <c r="B141" s="5" t="inlineStr">
        <is>
          <t>25802800122</t>
        </is>
      </c>
      <c r="C141" s="6" t="inlineStr">
        <is>
          <t>Nguyeãn Tuaán</t>
        </is>
      </c>
      <c r="D141" s="6" t="inlineStr">
        <is>
          <t>Kieät</t>
        </is>
      </c>
      <c r="E141" s="5" t="inlineStr">
        <is>
          <t>25-Jun-07</t>
        </is>
      </c>
      <c r="F141" s="5" t="inlineStr">
        <is>
          <t>LNH0925ND01</t>
        </is>
      </c>
      <c r="G141" s="105" t="n">
        <v>2100000</v>
      </c>
    </row>
    <row r="142">
      <c r="A142" s="5" t="n">
        <v>136</v>
      </c>
      <c r="B142" s="5" t="inlineStr">
        <is>
          <t>25808200082</t>
        </is>
      </c>
      <c r="C142" s="6" t="inlineStr">
        <is>
          <t>Nguyeãn Trung</t>
        </is>
      </c>
      <c r="D142" s="6" t="inlineStr">
        <is>
          <t>Luaân</t>
        </is>
      </c>
      <c r="E142" s="5" t="inlineStr">
        <is>
          <t>10-Oct-07</t>
        </is>
      </c>
      <c r="F142" s="5" t="inlineStr">
        <is>
          <t>LNH0925ND01</t>
        </is>
      </c>
      <c r="G142" s="105" t="n">
        <v>2100000</v>
      </c>
    </row>
    <row r="143">
      <c r="A143" s="5" t="n">
        <v>137</v>
      </c>
      <c r="B143" s="5" t="inlineStr">
        <is>
          <t>25806800029</t>
        </is>
      </c>
      <c r="C143" s="6" t="inlineStr">
        <is>
          <t>Kieàu Anh</t>
        </is>
      </c>
      <c r="D143" s="6" t="inlineStr">
        <is>
          <t>Khoâi</t>
        </is>
      </c>
      <c r="E143" s="5" t="inlineStr">
        <is>
          <t>16-Jul-07</t>
        </is>
      </c>
      <c r="F143" s="5" t="inlineStr">
        <is>
          <t>LNH0925ND01</t>
        </is>
      </c>
      <c r="G143" s="105" t="n">
        <v>2100000</v>
      </c>
    </row>
    <row r="144">
      <c r="A144" s="5" t="n">
        <v>138</v>
      </c>
      <c r="B144" s="5" t="inlineStr">
        <is>
          <t>25808200141</t>
        </is>
      </c>
      <c r="C144" s="6" t="inlineStr">
        <is>
          <t>Nguyeãn Thaùi</t>
        </is>
      </c>
      <c r="D144" s="6" t="inlineStr">
        <is>
          <t>Tuaán</t>
        </is>
      </c>
      <c r="E144" s="5" t="inlineStr">
        <is>
          <t>27-Jan-07</t>
        </is>
      </c>
      <c r="F144" s="5" t="inlineStr">
        <is>
          <t>LNH0925ND01</t>
        </is>
      </c>
      <c r="G144" s="105" t="n">
        <v>2100000</v>
      </c>
    </row>
    <row r="145">
      <c r="A145" s="5" t="n">
        <v>139</v>
      </c>
      <c r="B145" s="5" t="inlineStr">
        <is>
          <t>25808300046</t>
        </is>
      </c>
      <c r="C145" s="6" t="inlineStr">
        <is>
          <t>Laâm Thanh</t>
        </is>
      </c>
      <c r="D145" s="6" t="inlineStr">
        <is>
          <t>Thuùy</t>
        </is>
      </c>
      <c r="E145" s="5" t="inlineStr">
        <is>
          <t>25-Oct-07</t>
        </is>
      </c>
      <c r="F145" s="5" t="inlineStr">
        <is>
          <t>LNH0925ND01</t>
        </is>
      </c>
      <c r="G145" s="105" t="n">
        <v>2100000</v>
      </c>
    </row>
    <row r="146">
      <c r="A146" s="5" t="n">
        <v>140</v>
      </c>
      <c r="B146" s="5" t="inlineStr">
        <is>
          <t>25807900026</t>
        </is>
      </c>
      <c r="C146" s="6" t="inlineStr">
        <is>
          <t>Phan Taán Gia</t>
        </is>
      </c>
      <c r="D146" s="6" t="inlineStr">
        <is>
          <t>Khang</t>
        </is>
      </c>
      <c r="E146" s="5" t="inlineStr">
        <is>
          <t>30-Dec-07</t>
        </is>
      </c>
      <c r="F146" s="5" t="inlineStr">
        <is>
          <t>LNH0925ND01</t>
        </is>
      </c>
      <c r="G146" s="105" t="n">
        <v>2100000</v>
      </c>
    </row>
    <row r="147">
      <c r="A147" s="5" t="n">
        <v>141</v>
      </c>
      <c r="B147" s="5" t="inlineStr">
        <is>
          <t>25803000333</t>
        </is>
      </c>
      <c r="C147" s="6" t="inlineStr">
        <is>
          <t>Ñaëng Ngoïc Quyønh</t>
        </is>
      </c>
      <c r="D147" s="6" t="inlineStr">
        <is>
          <t>Mai</t>
        </is>
      </c>
      <c r="E147" s="5" t="inlineStr">
        <is>
          <t>09-Jan-07</t>
        </is>
      </c>
      <c r="F147" s="5" t="inlineStr">
        <is>
          <t>LNH0925ND01</t>
        </is>
      </c>
      <c r="G147" s="105" t="n">
        <v>2100000</v>
      </c>
    </row>
    <row r="148">
      <c r="A148" s="5" t="n">
        <v>142</v>
      </c>
      <c r="B148" s="5" t="inlineStr">
        <is>
          <t>25807900062</t>
        </is>
      </c>
      <c r="C148" s="6" t="inlineStr">
        <is>
          <t>Phaïm Vaên</t>
        </is>
      </c>
      <c r="D148" s="6" t="inlineStr">
        <is>
          <t>Vöôïng</t>
        </is>
      </c>
      <c r="E148" s="5" t="inlineStr">
        <is>
          <t>10-Jan-07</t>
        </is>
      </c>
      <c r="F148" s="5" t="inlineStr">
        <is>
          <t>LNH0925ND01</t>
        </is>
      </c>
      <c r="G148" s="105" t="n">
        <v>2100000</v>
      </c>
    </row>
    <row r="149">
      <c r="A149" s="5" t="n">
        <v>143</v>
      </c>
      <c r="B149" s="5" t="inlineStr">
        <is>
          <t>25820200036</t>
        </is>
      </c>
      <c r="C149" s="6" t="inlineStr">
        <is>
          <t>Voõ Hoaøng Anh</t>
        </is>
      </c>
      <c r="D149" s="6" t="inlineStr">
        <is>
          <t>Kieät</t>
        </is>
      </c>
      <c r="E149" s="5" t="inlineStr">
        <is>
          <t>15-May-07</t>
        </is>
      </c>
      <c r="F149" s="5" t="inlineStr">
        <is>
          <t>LNH0925ND01</t>
        </is>
      </c>
      <c r="G149" s="105" t="n">
        <v>2100000</v>
      </c>
    </row>
    <row r="150">
      <c r="A150" s="5" t="n">
        <v>144</v>
      </c>
      <c r="B150" s="5" t="inlineStr">
        <is>
          <t>25806800024</t>
        </is>
      </c>
      <c r="C150" s="6" t="inlineStr">
        <is>
          <t>Phan Thò Kim</t>
        </is>
      </c>
      <c r="D150" s="6" t="inlineStr">
        <is>
          <t>Hieàn</t>
        </is>
      </c>
      <c r="E150" s="5" t="inlineStr">
        <is>
          <t>11-Jul-07</t>
        </is>
      </c>
      <c r="F150" s="5" t="inlineStr">
        <is>
          <t>LNH0925ND01</t>
        </is>
      </c>
      <c r="G150" s="105" t="n">
        <v>2100000</v>
      </c>
    </row>
    <row r="151">
      <c r="A151" s="5" t="n">
        <v>145</v>
      </c>
      <c r="B151" s="5" t="inlineStr">
        <is>
          <t>25802700084</t>
        </is>
      </c>
      <c r="C151" s="6" t="inlineStr">
        <is>
          <t>Voõ Phöôùc</t>
        </is>
      </c>
      <c r="D151" s="6" t="inlineStr">
        <is>
          <t>Thònh</t>
        </is>
      </c>
      <c r="E151" s="5" t="inlineStr">
        <is>
          <t>08-Mar-07</t>
        </is>
      </c>
      <c r="F151" s="5" t="inlineStr">
        <is>
          <t>LNH0925ND01</t>
        </is>
      </c>
      <c r="G151" s="105" t="n">
        <v>2100000</v>
      </c>
    </row>
    <row r="152">
      <c r="A152" s="5" t="n">
        <v>146</v>
      </c>
      <c r="B152" s="5" t="inlineStr">
        <is>
          <t>25802300057</t>
        </is>
      </c>
      <c r="C152" s="6" t="inlineStr">
        <is>
          <t>Nguyeãn Vaên</t>
        </is>
      </c>
      <c r="D152" s="6" t="inlineStr">
        <is>
          <t>Ñònh</t>
        </is>
      </c>
      <c r="E152" s="5" t="inlineStr">
        <is>
          <t>08-Apr-07</t>
        </is>
      </c>
      <c r="F152" s="5" t="inlineStr">
        <is>
          <t>LNH0925ND01</t>
        </is>
      </c>
      <c r="G152" s="105" t="n">
        <v>2100000</v>
      </c>
    </row>
    <row r="153">
      <c r="A153" s="5" t="n">
        <v>147</v>
      </c>
      <c r="B153" s="5" t="inlineStr">
        <is>
          <t>25801200005</t>
        </is>
      </c>
      <c r="C153" s="6" t="inlineStr">
        <is>
          <t>Nguyeãn Theá</t>
        </is>
      </c>
      <c r="D153" s="6" t="inlineStr">
        <is>
          <t>Baûo</t>
        </is>
      </c>
      <c r="E153" s="5" t="inlineStr">
        <is>
          <t>10-Apr-07</t>
        </is>
      </c>
      <c r="F153" s="5" t="inlineStr">
        <is>
          <t>LNH0925ND01</t>
        </is>
      </c>
      <c r="G153" s="105" t="n">
        <v>2100000</v>
      </c>
    </row>
    <row r="154">
      <c r="A154" s="5" t="n">
        <v>148</v>
      </c>
      <c r="B154" s="5" t="inlineStr">
        <is>
          <t>25807700079</t>
        </is>
      </c>
      <c r="C154" s="6" t="inlineStr">
        <is>
          <t>Leâ Thanh</t>
        </is>
      </c>
      <c r="D154" s="6" t="inlineStr">
        <is>
          <t>Töôøng</t>
        </is>
      </c>
      <c r="E154" s="5" t="inlineStr">
        <is>
          <t>02-Dec-07</t>
        </is>
      </c>
      <c r="F154" s="5" t="inlineStr">
        <is>
          <t>LNH0925ND01</t>
        </is>
      </c>
      <c r="G154" s="105" t="n">
        <v>2100000</v>
      </c>
    </row>
    <row r="155">
      <c r="A155" s="5" t="n">
        <v>149</v>
      </c>
      <c r="B155" s="5" t="inlineStr">
        <is>
          <t>25801200024</t>
        </is>
      </c>
      <c r="C155" s="6" t="inlineStr">
        <is>
          <t>Leâ Thaùi</t>
        </is>
      </c>
      <c r="D155" s="6" t="inlineStr">
        <is>
          <t>Nguyeân</t>
        </is>
      </c>
      <c r="E155" s="5" t="inlineStr">
        <is>
          <t>02-Jan-07</t>
        </is>
      </c>
      <c r="F155" s="5" t="inlineStr">
        <is>
          <t>LNH0925ND01</t>
        </is>
      </c>
      <c r="G155" s="105" t="n">
        <v>2100000</v>
      </c>
    </row>
    <row r="156">
      <c r="A156" s="5" t="n">
        <v>150</v>
      </c>
      <c r="B156" s="5" t="inlineStr">
        <is>
          <t>25801700016</t>
        </is>
      </c>
      <c r="C156" s="6" t="inlineStr">
        <is>
          <t>Leâ Nguyeãn Thu</t>
        </is>
      </c>
      <c r="D156" s="6" t="inlineStr">
        <is>
          <t>Haø</t>
        </is>
      </c>
      <c r="E156" s="5" t="inlineStr">
        <is>
          <t>12-Jul-07</t>
        </is>
      </c>
      <c r="F156" s="5" t="inlineStr">
        <is>
          <t>LNH0925ND01</t>
        </is>
      </c>
      <c r="G156" s="105" t="n">
        <v>2100000</v>
      </c>
    </row>
    <row r="157">
      <c r="A157" s="5" t="n">
        <v>151</v>
      </c>
      <c r="B157" s="5" t="inlineStr">
        <is>
          <t>25802600010</t>
        </is>
      </c>
      <c r="C157" s="6" t="inlineStr">
        <is>
          <t>Taêng Hoàng</t>
        </is>
      </c>
      <c r="D157" s="6" t="inlineStr">
        <is>
          <t>Anh</t>
        </is>
      </c>
      <c r="E157" s="5" t="inlineStr">
        <is>
          <t>17-Aug-07</t>
        </is>
      </c>
      <c r="F157" s="5" t="inlineStr">
        <is>
          <t>LNH0925ND01</t>
        </is>
      </c>
      <c r="G157" s="105" t="n">
        <v>2100000</v>
      </c>
    </row>
    <row r="158">
      <c r="A158" s="5" t="n">
        <v>152</v>
      </c>
      <c r="B158" s="5" t="inlineStr">
        <is>
          <t>25800601198</t>
        </is>
      </c>
      <c r="C158" s="6" t="inlineStr">
        <is>
          <t>Voõ Quoác</t>
        </is>
      </c>
      <c r="D158" s="6" t="inlineStr">
        <is>
          <t>Baûo</t>
        </is>
      </c>
      <c r="E158" s="5" t="inlineStr">
        <is>
          <t>15-Oct-07</t>
        </is>
      </c>
      <c r="F158" s="5" t="inlineStr">
        <is>
          <t>LNH0925ND01</t>
        </is>
      </c>
      <c r="G158" s="105" t="n">
        <v>2100000</v>
      </c>
    </row>
    <row r="159">
      <c r="A159" s="5" t="n">
        <v>153</v>
      </c>
      <c r="B159" s="5" t="inlineStr">
        <is>
          <t>25808600158</t>
        </is>
      </c>
      <c r="C159" s="6" t="inlineStr">
        <is>
          <t>Tröông Ngoïc Minh</t>
        </is>
      </c>
      <c r="D159" s="6" t="inlineStr">
        <is>
          <t>Vy</t>
        </is>
      </c>
      <c r="E159" s="5" t="inlineStr">
        <is>
          <t>07-Aug-07</t>
        </is>
      </c>
      <c r="F159" s="5" t="inlineStr">
        <is>
          <t>LNH0925ND01</t>
        </is>
      </c>
      <c r="G159" s="105" t="n">
        <v>2100000</v>
      </c>
    </row>
    <row r="160">
      <c r="A160" s="5" t="n">
        <v>154</v>
      </c>
      <c r="B160" s="5" t="inlineStr">
        <is>
          <t>25801100071</t>
        </is>
      </c>
      <c r="C160" s="6" t="inlineStr">
        <is>
          <t>Traàn Troïng</t>
        </is>
      </c>
      <c r="D160" s="6" t="inlineStr">
        <is>
          <t>Tính</t>
        </is>
      </c>
      <c r="E160" s="5" t="inlineStr">
        <is>
          <t>29-Jun-07</t>
        </is>
      </c>
      <c r="F160" s="5" t="inlineStr">
        <is>
          <t>LNH0925ND01</t>
        </is>
      </c>
      <c r="G160" s="105" t="n">
        <v>2100000</v>
      </c>
    </row>
    <row r="161">
      <c r="A161" s="5" t="n">
        <v>155</v>
      </c>
      <c r="B161" s="5" t="inlineStr">
        <is>
          <t>25802800401</t>
        </is>
      </c>
      <c r="C161" s="6" t="inlineStr">
        <is>
          <t>Nguyeãn Phan Phöông</t>
        </is>
      </c>
      <c r="D161" s="6" t="inlineStr">
        <is>
          <t>Truùc</t>
        </is>
      </c>
      <c r="E161" s="5" t="inlineStr">
        <is>
          <t>03-Dec-07</t>
        </is>
      </c>
      <c r="F161" s="5" t="inlineStr">
        <is>
          <t>LNH0925ND01</t>
        </is>
      </c>
      <c r="G161" s="105" t="n">
        <v>2100000</v>
      </c>
    </row>
    <row r="162">
      <c r="A162" s="5" t="n">
        <v>156</v>
      </c>
      <c r="B162" s="5" t="inlineStr">
        <is>
          <t>25800400019</t>
        </is>
      </c>
      <c r="C162" s="6" t="inlineStr">
        <is>
          <t>Cao Quang</t>
        </is>
      </c>
      <c r="D162" s="6" t="inlineStr">
        <is>
          <t>Bieân</t>
        </is>
      </c>
      <c r="E162" s="5" t="inlineStr">
        <is>
          <t>11-Dec-07</t>
        </is>
      </c>
      <c r="F162" s="5" t="inlineStr">
        <is>
          <t>LNH0925ND01</t>
        </is>
      </c>
      <c r="G162" s="105" t="n">
        <v>2100000</v>
      </c>
    </row>
    <row r="163">
      <c r="A163" s="5" t="n">
        <v>157</v>
      </c>
      <c r="B163" s="5" t="inlineStr">
        <is>
          <t>25808900246</t>
        </is>
      </c>
      <c r="C163" s="6" t="inlineStr">
        <is>
          <t>Traàn Thanh</t>
        </is>
      </c>
      <c r="D163" s="6" t="inlineStr">
        <is>
          <t>An</t>
        </is>
      </c>
      <c r="E163" s="5" t="inlineStr">
        <is>
          <t>17-Feb-07</t>
        </is>
      </c>
      <c r="F163" s="5" t="inlineStr">
        <is>
          <t>LNH0925ND01</t>
        </is>
      </c>
      <c r="G163" s="105" t="n">
        <v>2100000</v>
      </c>
    </row>
    <row r="164">
      <c r="A164" s="5" t="n">
        <v>158</v>
      </c>
      <c r="B164" s="5" t="inlineStr">
        <is>
          <t>25807400006</t>
        </is>
      </c>
      <c r="C164" s="6" t="inlineStr">
        <is>
          <t>Nguyeãn Vaên</t>
        </is>
      </c>
      <c r="D164" s="6" t="inlineStr">
        <is>
          <t>Höng</t>
        </is>
      </c>
      <c r="E164" s="5" t="inlineStr">
        <is>
          <t>04-Jan-04</t>
        </is>
      </c>
      <c r="F164" s="5" t="inlineStr">
        <is>
          <t>LNH0925ND01</t>
        </is>
      </c>
      <c r="G164" s="105" t="n">
        <v>2100000</v>
      </c>
    </row>
    <row r="165">
      <c r="A165" s="5" t="n">
        <v>159</v>
      </c>
      <c r="B165" s="5" t="inlineStr">
        <is>
          <t>25806800097</t>
        </is>
      </c>
      <c r="C165" s="6" t="inlineStr">
        <is>
          <t>Hoà Nguyeãn Haûi</t>
        </is>
      </c>
      <c r="D165" s="6" t="inlineStr">
        <is>
          <t>Anh</t>
        </is>
      </c>
      <c r="E165" s="5" t="inlineStr">
        <is>
          <t>17-Mar-07</t>
        </is>
      </c>
      <c r="F165" s="5" t="inlineStr">
        <is>
          <t>LNH0925ND01</t>
        </is>
      </c>
      <c r="G165" s="105" t="n">
        <v>2100000</v>
      </c>
    </row>
    <row r="166">
      <c r="A166" s="5" t="n">
        <v>160</v>
      </c>
      <c r="B166" s="5" t="inlineStr">
        <is>
          <t>25808500274</t>
        </is>
      </c>
      <c r="C166" s="6" t="inlineStr">
        <is>
          <t>Nguyeãn Troïng</t>
        </is>
      </c>
      <c r="D166" s="6" t="inlineStr">
        <is>
          <t>Phaùt</t>
        </is>
      </c>
      <c r="E166" s="5" t="inlineStr">
        <is>
          <t>22-Dec-07</t>
        </is>
      </c>
      <c r="F166" s="5" t="inlineStr">
        <is>
          <t>LNH0925ND01</t>
        </is>
      </c>
      <c r="G166" s="105" t="n">
        <v>2100000</v>
      </c>
    </row>
    <row r="167">
      <c r="A167" s="5" t="n">
        <v>161</v>
      </c>
      <c r="B167" s="5" t="inlineStr">
        <is>
          <t>25806300034</t>
        </is>
      </c>
      <c r="C167" s="6" t="inlineStr">
        <is>
          <t>Phaïm Minh</t>
        </is>
      </c>
      <c r="D167" s="6" t="inlineStr">
        <is>
          <t>Sang</t>
        </is>
      </c>
      <c r="E167" s="5" t="inlineStr">
        <is>
          <t>02-Nov-06</t>
        </is>
      </c>
      <c r="F167" s="5" t="inlineStr">
        <is>
          <t>LNH0925ND01</t>
        </is>
      </c>
      <c r="G167" s="105" t="n">
        <v>2100000</v>
      </c>
    </row>
    <row r="168">
      <c r="A168" s="5" t="n">
        <v>162</v>
      </c>
      <c r="B168" s="5" t="inlineStr">
        <is>
          <t>25808500344</t>
        </is>
      </c>
      <c r="C168" s="6" t="inlineStr">
        <is>
          <t>Nguyeãn Kim Tröôøng</t>
        </is>
      </c>
      <c r="D168" s="6" t="inlineStr">
        <is>
          <t>Thònh</t>
        </is>
      </c>
      <c r="E168" s="5" t="inlineStr">
        <is>
          <t>24-Nov-07</t>
        </is>
      </c>
      <c r="F168" s="5" t="inlineStr">
        <is>
          <t>LNH0925ND01</t>
        </is>
      </c>
      <c r="G168" s="105" t="n">
        <v>2100000</v>
      </c>
    </row>
    <row r="169">
      <c r="A169" s="5" t="n">
        <v>163</v>
      </c>
      <c r="B169" s="5" t="inlineStr">
        <is>
          <t>25806600120</t>
        </is>
      </c>
      <c r="C169" s="6" t="inlineStr">
        <is>
          <t>Nguyeãn Haûi</t>
        </is>
      </c>
      <c r="D169" s="6" t="inlineStr">
        <is>
          <t>Maïnh</t>
        </is>
      </c>
      <c r="E169" s="5" t="inlineStr">
        <is>
          <t>30-Oct-07</t>
        </is>
      </c>
      <c r="F169" s="5" t="inlineStr">
        <is>
          <t>LNH0925ND01</t>
        </is>
      </c>
      <c r="G169" s="105" t="n">
        <v>2100000</v>
      </c>
    </row>
    <row r="170">
      <c r="A170" s="5" t="n">
        <v>164</v>
      </c>
      <c r="B170" s="5" t="inlineStr">
        <is>
          <t>25806600042</t>
        </is>
      </c>
      <c r="C170" s="6" t="inlineStr">
        <is>
          <t>Nguyeãn Höõu Hoaøng</t>
        </is>
      </c>
      <c r="D170" s="6" t="inlineStr">
        <is>
          <t>Ñaït</t>
        </is>
      </c>
      <c r="E170" s="5" t="inlineStr">
        <is>
          <t>24-Apr-07</t>
        </is>
      </c>
      <c r="F170" s="5" t="inlineStr">
        <is>
          <t>LNH0925ND01</t>
        </is>
      </c>
      <c r="G170" s="105" t="n">
        <v>2100000</v>
      </c>
    </row>
    <row r="171">
      <c r="A171" s="5" t="n">
        <v>165</v>
      </c>
      <c r="B171" s="5" t="inlineStr">
        <is>
          <t>25800500072</t>
        </is>
      </c>
      <c r="C171" s="6" t="inlineStr">
        <is>
          <t>Nguyeãn</t>
        </is>
      </c>
      <c r="D171" s="6" t="inlineStr">
        <is>
          <t>Höng</t>
        </is>
      </c>
      <c r="E171" s="5" t="inlineStr">
        <is>
          <t>11-Jun-07</t>
        </is>
      </c>
      <c r="F171" s="5" t="inlineStr">
        <is>
          <t>LNH0925ND01</t>
        </is>
      </c>
      <c r="G171" s="105" t="n">
        <v>2600000</v>
      </c>
    </row>
    <row r="172">
      <c r="A172" s="5" t="n">
        <v>166</v>
      </c>
      <c r="B172" s="5" t="inlineStr">
        <is>
          <t>25820100087</t>
        </is>
      </c>
      <c r="C172" s="6" t="inlineStr">
        <is>
          <t>Vuõ Hoaøng</t>
        </is>
      </c>
      <c r="D172" s="6" t="inlineStr">
        <is>
          <t>Duy</t>
        </is>
      </c>
      <c r="E172" s="5" t="inlineStr">
        <is>
          <t>18-Oct-07</t>
        </is>
      </c>
      <c r="F172" s="5" t="inlineStr">
        <is>
          <t>LNH0925ND01</t>
        </is>
      </c>
      <c r="G172" s="105" t="n">
        <v>2600000</v>
      </c>
    </row>
    <row r="173">
      <c r="A173" s="5" t="n">
        <v>167</v>
      </c>
      <c r="B173" s="5" t="inlineStr">
        <is>
          <t>25808900066</t>
        </is>
      </c>
      <c r="C173" s="6" t="inlineStr">
        <is>
          <t>Nguyeãn Vaên</t>
        </is>
      </c>
      <c r="D173" s="6" t="inlineStr">
        <is>
          <t>Lai</t>
        </is>
      </c>
      <c r="E173" s="5" t="inlineStr">
        <is>
          <t>20-Apr-07</t>
        </is>
      </c>
      <c r="F173" s="5" t="inlineStr">
        <is>
          <t>LNH0925ND01</t>
        </is>
      </c>
      <c r="G173" s="105" t="n">
        <v>3000000</v>
      </c>
    </row>
    <row r="174">
      <c r="A174" s="5" t="n">
        <v>168</v>
      </c>
      <c r="B174" s="5" t="inlineStr">
        <is>
          <t>25803800012</t>
        </is>
      </c>
      <c r="C174" s="6" t="inlineStr">
        <is>
          <t>Leâ Thanh</t>
        </is>
      </c>
      <c r="D174" s="6" t="inlineStr">
        <is>
          <t>Ñaït</t>
        </is>
      </c>
      <c r="E174" s="5" t="inlineStr">
        <is>
          <t>16-Jul-07</t>
        </is>
      </c>
      <c r="F174" s="5" t="inlineStr">
        <is>
          <t>LNH0925NL01</t>
        </is>
      </c>
      <c r="G174" s="105" t="n">
        <v>3800000</v>
      </c>
    </row>
    <row r="175">
      <c r="A175" s="5" t="n">
        <v>169</v>
      </c>
      <c r="B175" s="5" t="inlineStr">
        <is>
          <t>25808200221</t>
        </is>
      </c>
      <c r="C175" s="6" t="inlineStr">
        <is>
          <t>Buøi Ñaëng Quang</t>
        </is>
      </c>
      <c r="D175" s="6" t="inlineStr">
        <is>
          <t>Minh</t>
        </is>
      </c>
      <c r="E175" s="5" t="inlineStr">
        <is>
          <t>16-Jan-07</t>
        </is>
      </c>
      <c r="F175" s="5" t="inlineStr">
        <is>
          <t>LNH0925ND01</t>
        </is>
      </c>
      <c r="G175" s="105" t="n">
        <v>4000000</v>
      </c>
    </row>
    <row r="176">
      <c r="A176" s="5" t="n">
        <v>170</v>
      </c>
      <c r="B176" s="5" t="inlineStr">
        <is>
          <t>25802800371</t>
        </is>
      </c>
      <c r="C176" s="6" t="inlineStr">
        <is>
          <t>Vuõ Leâ Minh</t>
        </is>
      </c>
      <c r="D176" s="6" t="inlineStr">
        <is>
          <t>Vöông</t>
        </is>
      </c>
      <c r="E176" s="5" t="inlineStr">
        <is>
          <t>17-Oct-07</t>
        </is>
      </c>
      <c r="F176" s="5" t="inlineStr">
        <is>
          <t>LNH0925ND01</t>
        </is>
      </c>
      <c r="G176" s="105" t="n">
        <v>4415000</v>
      </c>
    </row>
    <row r="177">
      <c r="A177" s="5" t="n">
        <v>171</v>
      </c>
      <c r="B177" s="5" t="inlineStr">
        <is>
          <t>25801100045</t>
        </is>
      </c>
      <c r="C177" s="6" t="inlineStr">
        <is>
          <t>Pham Minh</t>
        </is>
      </c>
      <c r="D177" s="6" t="inlineStr">
        <is>
          <t>Nhat</t>
        </is>
      </c>
      <c r="E177" s="5" t="inlineStr">
        <is>
          <t xml:space="preserve">  -   -</t>
        </is>
      </c>
      <c r="F177" s="5" t="inlineStr">
        <is>
          <t>LNH0925ND01</t>
        </is>
      </c>
      <c r="G177" s="105" t="n">
        <v>4465000</v>
      </c>
    </row>
    <row r="178">
      <c r="A178" s="5" t="n">
        <v>172</v>
      </c>
      <c r="B178" s="5" t="inlineStr">
        <is>
          <t>25802600109</t>
        </is>
      </c>
      <c r="C178" s="6" t="inlineStr">
        <is>
          <t>Ngoâ Taâm</t>
        </is>
      </c>
      <c r="D178" s="6" t="inlineStr">
        <is>
          <t>Thanh</t>
        </is>
      </c>
      <c r="E178" s="5" t="inlineStr">
        <is>
          <t>12-Jul-07</t>
        </is>
      </c>
      <c r="F178" s="5" t="inlineStr">
        <is>
          <t>LNH0925ND01</t>
        </is>
      </c>
      <c r="G178" s="105" t="n">
        <v>4465000</v>
      </c>
    </row>
    <row r="179">
      <c r="A179" s="5" t="n">
        <v>173</v>
      </c>
      <c r="B179" s="5" t="inlineStr">
        <is>
          <t>25802800260</t>
        </is>
      </c>
      <c r="C179" s="6" t="inlineStr">
        <is>
          <t>Traàn Leâ Thuûy</t>
        </is>
      </c>
      <c r="D179" s="6" t="inlineStr">
        <is>
          <t>Tieân</t>
        </is>
      </c>
      <c r="E179" s="5" t="inlineStr">
        <is>
          <t>20-Sep-06</t>
        </is>
      </c>
      <c r="F179" s="5" t="inlineStr">
        <is>
          <t>LNH0925ND01</t>
        </is>
      </c>
      <c r="G179" s="105" t="n">
        <v>4465000</v>
      </c>
    </row>
    <row r="180">
      <c r="A180" s="5" t="n">
        <v>174</v>
      </c>
      <c r="B180" s="5" t="inlineStr">
        <is>
          <t>25802600082</t>
        </is>
      </c>
      <c r="C180" s="6" t="inlineStr">
        <is>
          <t>Döông Nguyeãn Haïnh</t>
        </is>
      </c>
      <c r="D180" s="6" t="inlineStr">
        <is>
          <t>Ngaân</t>
        </is>
      </c>
      <c r="E180" s="5" t="inlineStr">
        <is>
          <t>10-Jun-07</t>
        </is>
      </c>
      <c r="F180" s="5" t="inlineStr">
        <is>
          <t>LNH0925ND01</t>
        </is>
      </c>
      <c r="G180" s="105" t="n">
        <v>4465000</v>
      </c>
    </row>
    <row r="181">
      <c r="A181" s="5" t="n">
        <v>175</v>
      </c>
      <c r="B181" s="5" t="inlineStr">
        <is>
          <t>25807000043</t>
        </is>
      </c>
      <c r="C181" s="6" t="inlineStr">
        <is>
          <t>Phan Thò Thuyù</t>
        </is>
      </c>
      <c r="D181" s="6" t="inlineStr">
        <is>
          <t>Vi</t>
        </is>
      </c>
      <c r="E181" s="5" t="inlineStr">
        <is>
          <t>25-Feb-07</t>
        </is>
      </c>
      <c r="F181" s="5" t="inlineStr">
        <is>
          <t>LNH0925ND01</t>
        </is>
      </c>
      <c r="G181" s="105" t="n">
        <v>4465000</v>
      </c>
    </row>
    <row r="182">
      <c r="A182" s="5" t="n">
        <v>176</v>
      </c>
      <c r="B182" s="5" t="inlineStr">
        <is>
          <t>25807800112</t>
        </is>
      </c>
      <c r="C182" s="6" t="inlineStr">
        <is>
          <t>Nguyeãn Hoaøng Minh</t>
        </is>
      </c>
      <c r="D182" s="6" t="inlineStr">
        <is>
          <t>Quang</t>
        </is>
      </c>
      <c r="E182" s="5" t="inlineStr">
        <is>
          <t>13-Oct-07</t>
        </is>
      </c>
      <c r="F182" s="5" t="inlineStr">
        <is>
          <t>LNH0925ND01</t>
        </is>
      </c>
      <c r="G182" s="105" t="n">
        <v>4465000</v>
      </c>
    </row>
    <row r="183">
      <c r="A183" s="5" t="n">
        <v>177</v>
      </c>
      <c r="B183" s="5" t="inlineStr">
        <is>
          <t>25805800030</t>
        </is>
      </c>
      <c r="C183" s="6" t="inlineStr">
        <is>
          <t>Ngoâ Ngoïc Minh</t>
        </is>
      </c>
      <c r="D183" s="6" t="inlineStr">
        <is>
          <t>Thö</t>
        </is>
      </c>
      <c r="E183" s="5" t="inlineStr">
        <is>
          <t>02-Mar-07</t>
        </is>
      </c>
      <c r="F183" s="5" t="inlineStr">
        <is>
          <t>LNH0925ND01</t>
        </is>
      </c>
      <c r="G183" s="105" t="n">
        <v>4465000</v>
      </c>
    </row>
    <row r="184">
      <c r="A184" s="5" t="n">
        <v>178</v>
      </c>
      <c r="B184" s="5" t="inlineStr">
        <is>
          <t>25808200053</t>
        </is>
      </c>
      <c r="C184" s="6" t="inlineStr">
        <is>
          <t>Thaùi Ngoïc</t>
        </is>
      </c>
      <c r="D184" s="6" t="inlineStr">
        <is>
          <t>Huy</t>
        </is>
      </c>
      <c r="E184" s="5" t="inlineStr">
        <is>
          <t>16-Aug-07</t>
        </is>
      </c>
      <c r="F184" s="5" t="inlineStr">
        <is>
          <t>LNH0925ND01</t>
        </is>
      </c>
      <c r="G184" s="105" t="n">
        <v>4465000</v>
      </c>
    </row>
    <row r="185">
      <c r="A185" s="5" t="n">
        <v>179</v>
      </c>
      <c r="B185" s="5" t="inlineStr">
        <is>
          <t>25807000012</t>
        </is>
      </c>
      <c r="C185" s="6" t="inlineStr">
        <is>
          <t>Traàn Ngoïc Minh</t>
        </is>
      </c>
      <c r="D185" s="6" t="inlineStr">
        <is>
          <t>Huyeàn</t>
        </is>
      </c>
      <c r="E185" s="5" t="inlineStr">
        <is>
          <t>20-Apr-07</t>
        </is>
      </c>
      <c r="F185" s="5" t="inlineStr">
        <is>
          <t>LNH0925ND01</t>
        </is>
      </c>
      <c r="G185" s="105" t="n">
        <v>4465000</v>
      </c>
    </row>
    <row r="186">
      <c r="A186" s="5" t="n">
        <v>180</v>
      </c>
      <c r="B186" s="5" t="inlineStr">
        <is>
          <t>25808900011</t>
        </is>
      </c>
      <c r="C186" s="6" t="inlineStr">
        <is>
          <t>Döông Hoaøng</t>
        </is>
      </c>
      <c r="D186" s="6" t="inlineStr">
        <is>
          <t>AÂn</t>
        </is>
      </c>
      <c r="E186" s="5" t="inlineStr">
        <is>
          <t>07-Apr-07</t>
        </is>
      </c>
      <c r="F186" s="5" t="inlineStr">
        <is>
          <t>LNH0925ND01</t>
        </is>
      </c>
      <c r="G186" s="105" t="n">
        <v>4465000</v>
      </c>
    </row>
    <row r="187">
      <c r="A187" s="5" t="n">
        <v>181</v>
      </c>
      <c r="B187" s="5" t="inlineStr">
        <is>
          <t>25820300030</t>
        </is>
      </c>
      <c r="C187" s="6" t="inlineStr">
        <is>
          <t>Laâm Hoaøng</t>
        </is>
      </c>
      <c r="D187" s="6" t="inlineStr">
        <is>
          <t>Long</t>
        </is>
      </c>
      <c r="E187" s="5" t="inlineStr">
        <is>
          <t>30-Dec-07</t>
        </is>
      </c>
      <c r="F187" s="5" t="inlineStr">
        <is>
          <t>LNH0925ND01</t>
        </is>
      </c>
      <c r="G187" s="105" t="n">
        <v>4465000</v>
      </c>
    </row>
    <row r="188">
      <c r="A188" s="5" t="n">
        <v>182</v>
      </c>
      <c r="B188" s="5" t="inlineStr">
        <is>
          <t>25808200028</t>
        </is>
      </c>
      <c r="C188" s="6" t="inlineStr">
        <is>
          <t>Nguyeãn Baù Hoaøng</t>
        </is>
      </c>
      <c r="D188" s="6" t="inlineStr">
        <is>
          <t>Döông</t>
        </is>
      </c>
      <c r="E188" s="5" t="inlineStr">
        <is>
          <t>28-Nov-07</t>
        </is>
      </c>
      <c r="F188" s="5" t="inlineStr">
        <is>
          <t>LNH0925ND01</t>
        </is>
      </c>
      <c r="G188" s="105" t="n">
        <v>4465000</v>
      </c>
    </row>
    <row r="189">
      <c r="A189" s="5" t="n">
        <v>183</v>
      </c>
      <c r="B189" s="5" t="inlineStr">
        <is>
          <t>25802800107</t>
        </is>
      </c>
      <c r="C189" s="6" t="inlineStr">
        <is>
          <t>Traàn Vónh</t>
        </is>
      </c>
      <c r="D189" s="6" t="inlineStr">
        <is>
          <t>Khang</t>
        </is>
      </c>
      <c r="E189" s="5" t="inlineStr">
        <is>
          <t>21-Aug-07</t>
        </is>
      </c>
      <c r="F189" s="5" t="inlineStr">
        <is>
          <t>LNH0925ND01</t>
        </is>
      </c>
      <c r="G189" s="105" t="n">
        <v>4465000</v>
      </c>
    </row>
    <row r="190">
      <c r="A190" s="5" t="n">
        <v>184</v>
      </c>
      <c r="B190" s="5" t="inlineStr">
        <is>
          <t>25802100038</t>
        </is>
      </c>
      <c r="C190" s="6" t="inlineStr">
        <is>
          <t>Ngoâ Xuaân</t>
        </is>
      </c>
      <c r="D190" s="6" t="inlineStr">
        <is>
          <t>Thieân</t>
        </is>
      </c>
      <c r="E190" s="5" t="inlineStr">
        <is>
          <t>12-Dec-06</t>
        </is>
      </c>
      <c r="F190" s="5" t="inlineStr">
        <is>
          <t>LNH0925ND01</t>
        </is>
      </c>
      <c r="G190" s="105" t="n">
        <v>4465000</v>
      </c>
    </row>
    <row r="191">
      <c r="A191" s="5" t="n">
        <v>185</v>
      </c>
      <c r="B191" s="5" t="inlineStr">
        <is>
          <t>25807500161</t>
        </is>
      </c>
      <c r="C191" s="6" t="inlineStr">
        <is>
          <t>Nguyeãn Phöông</t>
        </is>
      </c>
      <c r="D191" s="6" t="inlineStr">
        <is>
          <t>Uyeân</t>
        </is>
      </c>
      <c r="E191" s="5" t="inlineStr">
        <is>
          <t>23-Jul-07</t>
        </is>
      </c>
      <c r="F191" s="5" t="inlineStr">
        <is>
          <t>LNH0925ND01</t>
        </is>
      </c>
      <c r="G191" s="105" t="n">
        <v>4465000</v>
      </c>
    </row>
    <row r="192">
      <c r="A192" s="5" t="n">
        <v>186</v>
      </c>
      <c r="B192" s="5" t="inlineStr">
        <is>
          <t>25806800057</t>
        </is>
      </c>
      <c r="C192" s="6" t="inlineStr">
        <is>
          <t>Leâ Taâm</t>
        </is>
      </c>
      <c r="D192" s="6" t="inlineStr">
        <is>
          <t>Nhö</t>
        </is>
      </c>
      <c r="E192" s="5" t="inlineStr">
        <is>
          <t>01-Feb-07</t>
        </is>
      </c>
      <c r="F192" s="5" t="inlineStr">
        <is>
          <t>LNH0925ND01</t>
        </is>
      </c>
      <c r="G192" s="105" t="n">
        <v>4465000</v>
      </c>
    </row>
    <row r="193">
      <c r="A193" s="5" t="n">
        <v>187</v>
      </c>
      <c r="B193" s="5" t="inlineStr">
        <is>
          <t>25807500126</t>
        </is>
      </c>
      <c r="C193" s="6" t="inlineStr">
        <is>
          <t>Phan Ngoïc Anh</t>
        </is>
      </c>
      <c r="D193" s="6" t="inlineStr">
        <is>
          <t>Thö</t>
        </is>
      </c>
      <c r="E193" s="5" t="inlineStr">
        <is>
          <t>28-Feb-07</t>
        </is>
      </c>
      <c r="F193" s="5" t="inlineStr">
        <is>
          <t>LNH0925ND01</t>
        </is>
      </c>
      <c r="G193" s="105" t="n">
        <v>4465000</v>
      </c>
    </row>
    <row r="194">
      <c r="A194" s="5" t="n">
        <v>188</v>
      </c>
      <c r="B194" s="5" t="inlineStr">
        <is>
          <t>25805900035</t>
        </is>
      </c>
      <c r="C194" s="6" t="inlineStr">
        <is>
          <t>Chu Laäp</t>
        </is>
      </c>
      <c r="D194" s="6" t="inlineStr">
        <is>
          <t>Quoác</t>
        </is>
      </c>
      <c r="E194" s="5" t="inlineStr">
        <is>
          <t>23-Dec-07</t>
        </is>
      </c>
      <c r="F194" s="5" t="inlineStr">
        <is>
          <t>LNH0925ND01</t>
        </is>
      </c>
      <c r="G194" s="105" t="n">
        <v>4465000</v>
      </c>
    </row>
    <row r="195">
      <c r="A195" s="5" t="n">
        <v>189</v>
      </c>
      <c r="B195" s="5" t="inlineStr">
        <is>
          <t>25808600190</t>
        </is>
      </c>
      <c r="C195" s="6" t="inlineStr">
        <is>
          <t>Dinh Viet</t>
        </is>
      </c>
      <c r="D195" s="6" t="inlineStr">
        <is>
          <t>Nguyen</t>
        </is>
      </c>
      <c r="E195" s="5" t="inlineStr">
        <is>
          <t xml:space="preserve">  -   -</t>
        </is>
      </c>
      <c r="F195" s="5" t="inlineStr">
        <is>
          <t>LNH0925ND01</t>
        </is>
      </c>
      <c r="G195" s="105" t="n">
        <v>4465000</v>
      </c>
    </row>
    <row r="196">
      <c r="A196" s="5" t="n">
        <v>190</v>
      </c>
      <c r="B196" s="5" t="inlineStr">
        <is>
          <t>25806100240</t>
        </is>
      </c>
      <c r="C196" s="6" t="inlineStr">
        <is>
          <t>Buøi Thò Nguyeät</t>
        </is>
      </c>
      <c r="D196" s="6" t="inlineStr">
        <is>
          <t>Haèng</t>
        </is>
      </c>
      <c r="E196" s="5" t="inlineStr">
        <is>
          <t>29-Oct-07</t>
        </is>
      </c>
      <c r="F196" s="5" t="inlineStr">
        <is>
          <t>LNH0925ND01</t>
        </is>
      </c>
      <c r="G196" s="105" t="n">
        <v>4465000</v>
      </c>
    </row>
    <row r="197">
      <c r="A197" s="5" t="n">
        <v>191</v>
      </c>
      <c r="B197" s="5" t="inlineStr">
        <is>
          <t>25807500093</t>
        </is>
      </c>
      <c r="C197" s="6" t="inlineStr">
        <is>
          <t>Voõ Thaønh</t>
        </is>
      </c>
      <c r="D197" s="6" t="inlineStr">
        <is>
          <t>Phaùt</t>
        </is>
      </c>
      <c r="E197" s="5" t="inlineStr">
        <is>
          <t>09-Aug-07</t>
        </is>
      </c>
      <c r="F197" s="5" t="inlineStr">
        <is>
          <t>LNH0925ND01</t>
        </is>
      </c>
      <c r="G197" s="105" t="n">
        <v>4465000</v>
      </c>
    </row>
    <row r="198">
      <c r="A198" s="5" t="n">
        <v>192</v>
      </c>
      <c r="B198" s="5" t="inlineStr">
        <is>
          <t>25807500153</t>
        </is>
      </c>
      <c r="C198" s="6" t="inlineStr">
        <is>
          <t>Buøi Anh</t>
        </is>
      </c>
      <c r="D198" s="6" t="inlineStr">
        <is>
          <t>Tuù</t>
        </is>
      </c>
      <c r="E198" s="5" t="inlineStr">
        <is>
          <t>13-Jun-07</t>
        </is>
      </c>
      <c r="F198" s="5" t="inlineStr">
        <is>
          <t>LNH0925ND01</t>
        </is>
      </c>
      <c r="G198" s="105" t="n">
        <v>4465000</v>
      </c>
    </row>
    <row r="199">
      <c r="A199" s="5" t="n">
        <v>193</v>
      </c>
      <c r="B199" s="5" t="inlineStr">
        <is>
          <t>25801800063</t>
        </is>
      </c>
      <c r="C199" s="6" t="inlineStr">
        <is>
          <t>Nguyeãn Thanh</t>
        </is>
      </c>
      <c r="D199" s="6" t="inlineStr">
        <is>
          <t>Thaûo</t>
        </is>
      </c>
      <c r="E199" s="5" t="inlineStr">
        <is>
          <t>16-Apr-07</t>
        </is>
      </c>
      <c r="F199" s="5" t="inlineStr">
        <is>
          <t>LNH0925ND01</t>
        </is>
      </c>
      <c r="G199" s="105" t="n">
        <v>4465000</v>
      </c>
    </row>
    <row r="200">
      <c r="A200" s="5" t="n">
        <v>194</v>
      </c>
      <c r="B200" s="5" t="inlineStr">
        <is>
          <t>25803800045</t>
        </is>
      </c>
      <c r="C200" s="6" t="inlineStr">
        <is>
          <t>Traàn Ngoïc Kieàu</t>
        </is>
      </c>
      <c r="D200" s="6" t="inlineStr">
        <is>
          <t>Oanh</t>
        </is>
      </c>
      <c r="E200" s="5" t="inlineStr">
        <is>
          <t>04-Aug-05</t>
        </is>
      </c>
      <c r="F200" s="5" t="inlineStr">
        <is>
          <t>LNH0925ND01</t>
        </is>
      </c>
      <c r="G200" s="105" t="n">
        <v>4465000</v>
      </c>
    </row>
    <row r="201">
      <c r="A201" s="5" t="n">
        <v>195</v>
      </c>
      <c r="B201" s="5" t="inlineStr">
        <is>
          <t>25802600074</t>
        </is>
      </c>
      <c r="C201" s="6" t="inlineStr">
        <is>
          <t>Huyønh Thanh</t>
        </is>
      </c>
      <c r="D201" s="6" t="inlineStr">
        <is>
          <t>Luaân</t>
        </is>
      </c>
      <c r="E201" s="5" t="inlineStr">
        <is>
          <t>02-Oct-06</t>
        </is>
      </c>
      <c r="F201" s="5" t="inlineStr">
        <is>
          <t>LNH0925ND01</t>
        </is>
      </c>
      <c r="G201" s="105" t="n">
        <v>4465000</v>
      </c>
    </row>
    <row r="202">
      <c r="A202" s="5" t="n">
        <v>196</v>
      </c>
      <c r="B202" s="5" t="inlineStr">
        <is>
          <t>25800400020</t>
        </is>
      </c>
      <c r="C202" s="6" t="inlineStr">
        <is>
          <t>Loâ Khaùnh</t>
        </is>
      </c>
      <c r="D202" s="6" t="inlineStr">
        <is>
          <t>Chöông</t>
        </is>
      </c>
      <c r="E202" s="5" t="inlineStr">
        <is>
          <t>23-Nov-07</t>
        </is>
      </c>
      <c r="F202" s="5" t="inlineStr">
        <is>
          <t>LNH0925ND01</t>
        </is>
      </c>
      <c r="G202" s="105" t="n">
        <v>4465000</v>
      </c>
    </row>
    <row r="203">
      <c r="A203" s="5" t="n">
        <v>197</v>
      </c>
      <c r="B203" s="5" t="inlineStr">
        <is>
          <t>25806000044</t>
        </is>
      </c>
      <c r="C203" s="6" t="inlineStr">
        <is>
          <t>Mai Lan</t>
        </is>
      </c>
      <c r="D203" s="6" t="inlineStr">
        <is>
          <t>Vy</t>
        </is>
      </c>
      <c r="E203" s="5" t="inlineStr">
        <is>
          <t>21-Feb-07</t>
        </is>
      </c>
      <c r="F203" s="5" t="inlineStr">
        <is>
          <t>LNH0925ND01</t>
        </is>
      </c>
      <c r="G203" s="105" t="n">
        <v>4465000</v>
      </c>
    </row>
    <row r="204">
      <c r="A204" s="5" t="n">
        <v>198</v>
      </c>
      <c r="B204" s="5" t="inlineStr">
        <is>
          <t>25803000403</t>
        </is>
      </c>
      <c r="C204" s="6" t="inlineStr">
        <is>
          <t>Nguyeãn Ngoïc Maån</t>
        </is>
      </c>
      <c r="D204" s="6" t="inlineStr">
        <is>
          <t>Nghi</t>
        </is>
      </c>
      <c r="E204" s="5" t="inlineStr">
        <is>
          <t>19-Mar-07</t>
        </is>
      </c>
      <c r="F204" s="5" t="inlineStr">
        <is>
          <t>LNH0925ND01</t>
        </is>
      </c>
      <c r="G204" s="105" t="n">
        <v>4465000</v>
      </c>
    </row>
    <row r="205">
      <c r="A205" s="5" t="n">
        <v>199</v>
      </c>
      <c r="B205" s="5" t="inlineStr">
        <is>
          <t>25806000082</t>
        </is>
      </c>
      <c r="C205" s="6" t="inlineStr">
        <is>
          <t>Nguyeãn Tuù</t>
        </is>
      </c>
      <c r="D205" s="6" t="inlineStr">
        <is>
          <t>Trinh</t>
        </is>
      </c>
      <c r="E205" s="5" t="inlineStr">
        <is>
          <t>18-Feb-07</t>
        </is>
      </c>
      <c r="F205" s="5" t="inlineStr">
        <is>
          <t>LNH0925ND01</t>
        </is>
      </c>
      <c r="G205" s="105" t="n">
        <v>4465000</v>
      </c>
    </row>
    <row r="206">
      <c r="A206" s="5" t="n">
        <v>200</v>
      </c>
      <c r="B206" s="5" t="inlineStr">
        <is>
          <t>25805900032</t>
        </is>
      </c>
      <c r="C206" s="6" t="inlineStr">
        <is>
          <t>Nguyeãn Leâ</t>
        </is>
      </c>
      <c r="D206" s="6" t="inlineStr">
        <is>
          <t>Phaùt</t>
        </is>
      </c>
      <c r="E206" s="5" t="inlineStr">
        <is>
          <t>27-Jun-07</t>
        </is>
      </c>
      <c r="F206" s="5" t="inlineStr">
        <is>
          <t>LNH0925ND01</t>
        </is>
      </c>
      <c r="G206" s="105" t="n">
        <v>4465000</v>
      </c>
    </row>
    <row r="207">
      <c r="A207" s="5" t="n">
        <v>201</v>
      </c>
      <c r="B207" s="5" t="inlineStr">
        <is>
          <t>25808900095</t>
        </is>
      </c>
      <c r="C207" s="6" t="inlineStr">
        <is>
          <t>Nguyeãn Höõu</t>
        </is>
      </c>
      <c r="D207" s="6" t="inlineStr">
        <is>
          <t>Phaùt</t>
        </is>
      </c>
      <c r="E207" s="5" t="inlineStr">
        <is>
          <t>28-Nov-06</t>
        </is>
      </c>
      <c r="F207" s="5" t="inlineStr">
        <is>
          <t>LNH0925ND01</t>
        </is>
      </c>
      <c r="G207" s="105" t="n">
        <v>4465000</v>
      </c>
    </row>
    <row r="208">
      <c r="A208" s="5" t="n">
        <v>202</v>
      </c>
      <c r="B208" s="5" t="inlineStr">
        <is>
          <t>25807800199</t>
        </is>
      </c>
      <c r="C208" s="6" t="inlineStr">
        <is>
          <t>Traàn Vónh</t>
        </is>
      </c>
      <c r="D208" s="6" t="inlineStr">
        <is>
          <t>Phuùc</t>
        </is>
      </c>
      <c r="E208" s="5" t="inlineStr">
        <is>
          <t>28-Sep-07</t>
        </is>
      </c>
      <c r="F208" s="5" t="inlineStr">
        <is>
          <t>LNH0925ND01</t>
        </is>
      </c>
      <c r="G208" s="105" t="n">
        <v>4465000</v>
      </c>
    </row>
    <row r="209">
      <c r="A209" s="5" t="n">
        <v>203</v>
      </c>
      <c r="B209" s="5" t="inlineStr">
        <is>
          <t>25820500007</t>
        </is>
      </c>
      <c r="C209" s="6" t="inlineStr">
        <is>
          <t>Traàn Vuõ Anh</t>
        </is>
      </c>
      <c r="D209" s="6" t="inlineStr">
        <is>
          <t>Kieät</t>
        </is>
      </c>
      <c r="E209" s="5" t="inlineStr">
        <is>
          <t>15-Sep-07</t>
        </is>
      </c>
      <c r="F209" s="5" t="inlineStr">
        <is>
          <t>LNH0925ND01</t>
        </is>
      </c>
      <c r="G209" s="105" t="n">
        <v>4465000</v>
      </c>
    </row>
    <row r="210">
      <c r="A210" s="5" t="n">
        <v>204</v>
      </c>
      <c r="B210" s="5" t="inlineStr">
        <is>
          <t>25801100105</t>
        </is>
      </c>
      <c r="C210" s="6" t="inlineStr">
        <is>
          <t>Voõ Anh</t>
        </is>
      </c>
      <c r="D210" s="6" t="inlineStr">
        <is>
          <t>Tuaán</t>
        </is>
      </c>
      <c r="E210" s="5" t="inlineStr">
        <is>
          <t>17-Jul-07</t>
        </is>
      </c>
      <c r="F210" s="5" t="inlineStr">
        <is>
          <t>LNH0925ND01</t>
        </is>
      </c>
      <c r="G210" s="105" t="n">
        <v>4465000</v>
      </c>
    </row>
    <row r="211">
      <c r="A211" s="5" t="n">
        <v>205</v>
      </c>
      <c r="B211" s="5" t="inlineStr">
        <is>
          <t>25808900055</t>
        </is>
      </c>
      <c r="C211" s="6" t="inlineStr">
        <is>
          <t>Huyønh Ngoïc Nguyeân</t>
        </is>
      </c>
      <c r="D211" s="6" t="inlineStr">
        <is>
          <t>Khanh</t>
        </is>
      </c>
      <c r="E211" s="5" t="inlineStr">
        <is>
          <t>02-Jan-07</t>
        </is>
      </c>
      <c r="F211" s="5" t="inlineStr">
        <is>
          <t>LNH0925ND01</t>
        </is>
      </c>
      <c r="G211" s="105" t="n">
        <v>4465000</v>
      </c>
    </row>
    <row r="212">
      <c r="A212" s="5" t="n">
        <v>206</v>
      </c>
      <c r="B212" s="5" t="inlineStr">
        <is>
          <t>25808600139</t>
        </is>
      </c>
      <c r="C212" s="6" t="inlineStr">
        <is>
          <t>Nguyeãn Thanh</t>
        </is>
      </c>
      <c r="D212" s="6" t="inlineStr">
        <is>
          <t>Truùc</t>
        </is>
      </c>
      <c r="E212" s="5" t="inlineStr">
        <is>
          <t>25-May-07</t>
        </is>
      </c>
      <c r="F212" s="5" t="inlineStr">
        <is>
          <t>LNH0925ND01</t>
        </is>
      </c>
      <c r="G212" s="105" t="n">
        <v>4465000</v>
      </c>
    </row>
    <row r="213">
      <c r="A213" s="5" t="n">
        <v>207</v>
      </c>
      <c r="B213" s="5" t="inlineStr">
        <is>
          <t>25800400145</t>
        </is>
      </c>
      <c r="C213" s="6" t="inlineStr">
        <is>
          <t>Leâ Ñaêng</t>
        </is>
      </c>
      <c r="D213" s="6" t="inlineStr">
        <is>
          <t>Thieân</t>
        </is>
      </c>
      <c r="E213" s="5" t="inlineStr">
        <is>
          <t>10-Oct-07</t>
        </is>
      </c>
      <c r="F213" s="5" t="inlineStr">
        <is>
          <t>LNH0925ND01</t>
        </is>
      </c>
      <c r="G213" s="105" t="n">
        <v>4465000</v>
      </c>
    </row>
    <row r="214">
      <c r="A214" s="5" t="n">
        <v>208</v>
      </c>
      <c r="B214" s="5" t="inlineStr">
        <is>
          <t>25801000013</t>
        </is>
      </c>
      <c r="C214" s="6" t="inlineStr">
        <is>
          <t>Traàn Ñaëng Kim</t>
        </is>
      </c>
      <c r="D214" s="6" t="inlineStr">
        <is>
          <t>Ngaân</t>
        </is>
      </c>
      <c r="E214" s="5" t="inlineStr">
        <is>
          <t>17-Oct-07</t>
        </is>
      </c>
      <c r="F214" s="5" t="inlineStr">
        <is>
          <t>LNH0925ND01</t>
        </is>
      </c>
      <c r="G214" s="105" t="n">
        <v>4465000</v>
      </c>
    </row>
    <row r="215">
      <c r="A215" s="5" t="n">
        <v>209</v>
      </c>
      <c r="B215" s="5" t="inlineStr">
        <is>
          <t>25801600005</t>
        </is>
      </c>
      <c r="C215" s="6" t="inlineStr">
        <is>
          <t>Ngoâ Khaéc Vaân</t>
        </is>
      </c>
      <c r="D215" s="6" t="inlineStr">
        <is>
          <t>Anh</t>
        </is>
      </c>
      <c r="E215" s="5" t="inlineStr">
        <is>
          <t>18-Mar-07</t>
        </is>
      </c>
      <c r="F215" s="5" t="inlineStr">
        <is>
          <t>LNH0925ND01</t>
        </is>
      </c>
      <c r="G215" s="105" t="n">
        <v>4465000</v>
      </c>
    </row>
    <row r="216">
      <c r="A216" s="5" t="n">
        <v>210</v>
      </c>
      <c r="B216" s="5" t="inlineStr">
        <is>
          <t>25801800033</t>
        </is>
      </c>
      <c r="C216" s="6" t="inlineStr">
        <is>
          <t>Ñoaøn Ñaéc</t>
        </is>
      </c>
      <c r="D216" s="6" t="inlineStr">
        <is>
          <t>Maïnh</t>
        </is>
      </c>
      <c r="E216" s="5" t="inlineStr">
        <is>
          <t>24-Sep-07</t>
        </is>
      </c>
      <c r="F216" s="5" t="inlineStr">
        <is>
          <t>LNH0925ND01</t>
        </is>
      </c>
      <c r="G216" s="105" t="n">
        <v>4465000</v>
      </c>
    </row>
    <row r="217">
      <c r="A217" s="5" t="n">
        <v>211</v>
      </c>
      <c r="B217" s="5" t="inlineStr">
        <is>
          <t>25806800008</t>
        </is>
      </c>
      <c r="C217" s="6" t="inlineStr">
        <is>
          <t>Baøng Thanh</t>
        </is>
      </c>
      <c r="D217" s="6" t="inlineStr">
        <is>
          <t>Baûo</t>
        </is>
      </c>
      <c r="E217" s="5" t="inlineStr">
        <is>
          <t>06-Feb-07</t>
        </is>
      </c>
      <c r="F217" s="5" t="inlineStr">
        <is>
          <t>LNH0925ND01</t>
        </is>
      </c>
      <c r="G217" s="105" t="n">
        <v>4465000</v>
      </c>
    </row>
    <row r="218">
      <c r="A218" s="5" t="n">
        <v>212</v>
      </c>
      <c r="B218" s="5" t="inlineStr">
        <is>
          <t>25808200180</t>
        </is>
      </c>
      <c r="C218" s="6" t="inlineStr">
        <is>
          <t>Traàn Phöôùc</t>
        </is>
      </c>
      <c r="D218" s="6" t="inlineStr">
        <is>
          <t>Ñaït</t>
        </is>
      </c>
      <c r="E218" s="5" t="inlineStr">
        <is>
          <t>03-Jan-07</t>
        </is>
      </c>
      <c r="F218" s="5" t="inlineStr">
        <is>
          <t>LNH0925ND01</t>
        </is>
      </c>
      <c r="G218" s="105" t="n">
        <v>4465000</v>
      </c>
    </row>
    <row r="219">
      <c r="A219" s="5" t="n">
        <v>213</v>
      </c>
      <c r="B219" s="5" t="inlineStr">
        <is>
          <t>25800400130</t>
        </is>
      </c>
      <c r="C219" s="6" t="inlineStr">
        <is>
          <t>Nguyeãn Löu Ñoâng</t>
        </is>
      </c>
      <c r="D219" s="6" t="inlineStr">
        <is>
          <t>Quaân</t>
        </is>
      </c>
      <c r="E219" s="5" t="inlineStr">
        <is>
          <t>27-Jun-07</t>
        </is>
      </c>
      <c r="F219" s="5" t="inlineStr">
        <is>
          <t>LNH0925ND01</t>
        </is>
      </c>
      <c r="G219" s="105" t="n">
        <v>4465000</v>
      </c>
    </row>
    <row r="220">
      <c r="A220" s="5" t="n">
        <v>214</v>
      </c>
      <c r="B220" s="5" t="inlineStr">
        <is>
          <t>25802800014</t>
        </is>
      </c>
      <c r="C220" s="6" t="inlineStr">
        <is>
          <t>Buøi Voõ Thieân</t>
        </is>
      </c>
      <c r="D220" s="6" t="inlineStr">
        <is>
          <t>AÂn</t>
        </is>
      </c>
      <c r="E220" s="5" t="inlineStr">
        <is>
          <t>01-Jan-07</t>
        </is>
      </c>
      <c r="F220" s="5" t="inlineStr">
        <is>
          <t>LNH0925ND01</t>
        </is>
      </c>
      <c r="G220" s="105" t="n">
        <v>4465000</v>
      </c>
    </row>
    <row r="221">
      <c r="A221" s="5" t="n">
        <v>215</v>
      </c>
      <c r="B221" s="5" t="inlineStr">
        <is>
          <t>25808900096</t>
        </is>
      </c>
      <c r="C221" s="6" t="inlineStr">
        <is>
          <t>Ñinh Cao</t>
        </is>
      </c>
      <c r="D221" s="6" t="inlineStr">
        <is>
          <t>Phong</t>
        </is>
      </c>
      <c r="E221" s="5" t="inlineStr">
        <is>
          <t>24-Oct-07</t>
        </is>
      </c>
      <c r="F221" s="5" t="inlineStr">
        <is>
          <t>LNH0925ND01</t>
        </is>
      </c>
      <c r="G221" s="105" t="n">
        <v>4465000</v>
      </c>
    </row>
    <row r="222">
      <c r="A222" s="5" t="n">
        <v>216</v>
      </c>
      <c r="B222" s="5" t="inlineStr">
        <is>
          <t>25801100080</t>
        </is>
      </c>
      <c r="C222" s="6" t="inlineStr">
        <is>
          <t>Tröông Quang</t>
        </is>
      </c>
      <c r="D222" s="6" t="inlineStr">
        <is>
          <t>Vinh</t>
        </is>
      </c>
      <c r="E222" s="5" t="inlineStr">
        <is>
          <t>05-Oct-07</t>
        </is>
      </c>
      <c r="F222" s="5" t="inlineStr">
        <is>
          <t>LNH0925ND01</t>
        </is>
      </c>
      <c r="G222" s="105" t="n">
        <v>4465000</v>
      </c>
    </row>
    <row r="223">
      <c r="A223" s="5" t="n">
        <v>217</v>
      </c>
      <c r="B223" s="5" t="inlineStr">
        <is>
          <t>25802700054</t>
        </is>
      </c>
      <c r="C223" s="6" t="inlineStr">
        <is>
          <t>Leâ Thò Tuyeát</t>
        </is>
      </c>
      <c r="D223" s="6" t="inlineStr">
        <is>
          <t>Ngaân</t>
        </is>
      </c>
      <c r="E223" s="5" t="inlineStr">
        <is>
          <t>22-Jul-07</t>
        </is>
      </c>
      <c r="F223" s="5" t="inlineStr">
        <is>
          <t>LNH0925ND01</t>
        </is>
      </c>
      <c r="G223" s="105" t="n">
        <v>4465000</v>
      </c>
    </row>
    <row r="224">
      <c r="A224" s="5" t="n">
        <v>218</v>
      </c>
      <c r="B224" s="5" t="inlineStr">
        <is>
          <t>25801800072</t>
        </is>
      </c>
      <c r="C224" s="6" t="inlineStr">
        <is>
          <t>Nguyeãn Ngoïc Baûo</t>
        </is>
      </c>
      <c r="D224" s="6" t="inlineStr">
        <is>
          <t>Thy</t>
        </is>
      </c>
      <c r="E224" s="5" t="inlineStr">
        <is>
          <t>20-Jan-07</t>
        </is>
      </c>
      <c r="F224" s="5" t="inlineStr">
        <is>
          <t>LNH0925ND01</t>
        </is>
      </c>
      <c r="G224" s="105" t="n">
        <v>4465000</v>
      </c>
    </row>
    <row r="225">
      <c r="A225" s="5" t="n">
        <v>219</v>
      </c>
      <c r="B225" s="5" t="inlineStr">
        <is>
          <t>25800400273</t>
        </is>
      </c>
      <c r="C225" s="6" t="inlineStr">
        <is>
          <t>Nguyeãn Duy</t>
        </is>
      </c>
      <c r="D225" s="6" t="inlineStr">
        <is>
          <t>An</t>
        </is>
      </c>
      <c r="E225" s="5" t="inlineStr">
        <is>
          <t>22-Mar-07</t>
        </is>
      </c>
      <c r="F225" s="5" t="inlineStr">
        <is>
          <t>LNH0925ND01</t>
        </is>
      </c>
      <c r="G225" s="105" t="n">
        <v>4465000</v>
      </c>
    </row>
    <row r="226">
      <c r="A226" s="5" t="n">
        <v>220</v>
      </c>
      <c r="B226" s="5" t="inlineStr">
        <is>
          <t>25802700094</t>
        </is>
      </c>
      <c r="C226" s="6" t="inlineStr">
        <is>
          <t>Buøi Thò Ngoïc</t>
        </is>
      </c>
      <c r="D226" s="6" t="inlineStr">
        <is>
          <t>Traâm</t>
        </is>
      </c>
      <c r="E226" s="5" t="inlineStr">
        <is>
          <t>19-Dec-07</t>
        </is>
      </c>
      <c r="F226" s="5" t="inlineStr">
        <is>
          <t>LNH0925ND01</t>
        </is>
      </c>
      <c r="G226" s="105" t="n">
        <v>4465000</v>
      </c>
    </row>
    <row r="227">
      <c r="A227" s="5" t="n">
        <v>221</v>
      </c>
      <c r="B227" s="5" t="inlineStr">
        <is>
          <t>25801800015</t>
        </is>
      </c>
      <c r="C227" s="6" t="inlineStr">
        <is>
          <t>Ñaëng Nguyeãn Gia</t>
        </is>
      </c>
      <c r="D227" s="6" t="inlineStr">
        <is>
          <t>Haân</t>
        </is>
      </c>
      <c r="E227" s="5" t="inlineStr">
        <is>
          <t>31-Jul-07</t>
        </is>
      </c>
      <c r="F227" s="5" t="inlineStr">
        <is>
          <t>LNH0925ND01</t>
        </is>
      </c>
      <c r="G227" s="105" t="n">
        <v>4465000</v>
      </c>
    </row>
    <row r="228">
      <c r="A228" s="5" t="n">
        <v>222</v>
      </c>
      <c r="B228" s="5" t="inlineStr">
        <is>
          <t>25800500253</t>
        </is>
      </c>
      <c r="C228" s="6" t="inlineStr">
        <is>
          <t>Haø Höõu</t>
        </is>
      </c>
      <c r="D228" s="6" t="inlineStr">
        <is>
          <t>Minh</t>
        </is>
      </c>
      <c r="E228" s="5" t="inlineStr">
        <is>
          <t>19-Jun-07</t>
        </is>
      </c>
      <c r="F228" s="5" t="inlineStr">
        <is>
          <t>LNH0925ND01</t>
        </is>
      </c>
      <c r="G228" s="105" t="n">
        <v>4465000</v>
      </c>
    </row>
    <row r="229">
      <c r="A229" s="5" t="n">
        <v>223</v>
      </c>
      <c r="B229" s="5" t="inlineStr">
        <is>
          <t>25820700044</t>
        </is>
      </c>
      <c r="C229" s="6" t="inlineStr">
        <is>
          <t>Nguyeãn Ngoïc Baûo</t>
        </is>
      </c>
      <c r="D229" s="6" t="inlineStr">
        <is>
          <t>Traâm</t>
        </is>
      </c>
      <c r="E229" s="5" t="inlineStr">
        <is>
          <t>31-Mar-07</t>
        </is>
      </c>
      <c r="F229" s="5" t="inlineStr">
        <is>
          <t>LNH0925ND01</t>
        </is>
      </c>
      <c r="G229" s="105" t="n">
        <v>4465000</v>
      </c>
    </row>
    <row r="230">
      <c r="A230" s="5" t="n">
        <v>224</v>
      </c>
      <c r="B230" s="5" t="inlineStr">
        <is>
          <t>25808500293</t>
        </is>
      </c>
      <c r="C230" s="6" t="inlineStr">
        <is>
          <t>Bui Anh</t>
        </is>
      </c>
      <c r="D230" s="6" t="inlineStr">
        <is>
          <t>Quaân</t>
        </is>
      </c>
      <c r="E230" s="5" t="inlineStr">
        <is>
          <t xml:space="preserve">  -   -</t>
        </is>
      </c>
      <c r="F230" s="5" t="inlineStr">
        <is>
          <t>LNH0925ND01</t>
        </is>
      </c>
      <c r="G230" s="105" t="n">
        <v>4465000</v>
      </c>
    </row>
    <row r="231">
      <c r="A231" s="5" t="n">
        <v>225</v>
      </c>
      <c r="B231" s="5" t="inlineStr">
        <is>
          <t>25803800008</t>
        </is>
      </c>
      <c r="C231" s="6" t="inlineStr">
        <is>
          <t>Traàn Quoác</t>
        </is>
      </c>
      <c r="D231" s="6" t="inlineStr">
        <is>
          <t>Baûo</t>
        </is>
      </c>
      <c r="E231" s="5" t="inlineStr">
        <is>
          <t>10-Dec-06</t>
        </is>
      </c>
      <c r="F231" s="5" t="inlineStr">
        <is>
          <t>LNH0925ND01</t>
        </is>
      </c>
      <c r="G231" s="105" t="n">
        <v>4465000</v>
      </c>
    </row>
    <row r="232">
      <c r="A232" s="5" t="n">
        <v>226</v>
      </c>
      <c r="B232" s="5" t="inlineStr">
        <is>
          <t>25807900052</t>
        </is>
      </c>
      <c r="C232" s="6" t="inlineStr">
        <is>
          <t>Traàn Minh</t>
        </is>
      </c>
      <c r="D232" s="6" t="inlineStr">
        <is>
          <t>Thieän</t>
        </is>
      </c>
      <c r="E232" s="5" t="inlineStr">
        <is>
          <t>09-May-07</t>
        </is>
      </c>
      <c r="F232" s="5" t="inlineStr">
        <is>
          <t>LNH0925ND01</t>
        </is>
      </c>
      <c r="G232" s="105" t="n">
        <v>4465000</v>
      </c>
    </row>
    <row r="233">
      <c r="A233" s="5" t="n">
        <v>227</v>
      </c>
      <c r="B233" s="5" t="inlineStr">
        <is>
          <t>25801400076</t>
        </is>
      </c>
      <c r="C233" s="6" t="inlineStr">
        <is>
          <t>Laâm Kieán</t>
        </is>
      </c>
      <c r="D233" s="6" t="inlineStr">
        <is>
          <t>Haøo</t>
        </is>
      </c>
      <c r="E233" s="5" t="inlineStr">
        <is>
          <t>07-Dec-07</t>
        </is>
      </c>
      <c r="F233" s="5" t="inlineStr">
        <is>
          <t>LNH0925ND01</t>
        </is>
      </c>
      <c r="G233" s="105" t="n">
        <v>4465000</v>
      </c>
    </row>
    <row r="234">
      <c r="A234" s="5" t="n">
        <v>228</v>
      </c>
      <c r="B234" s="5" t="inlineStr">
        <is>
          <t>25802700181</t>
        </is>
      </c>
      <c r="C234" s="6" t="inlineStr">
        <is>
          <t>Nguyeãn Khaéc</t>
        </is>
      </c>
      <c r="D234" s="6" t="inlineStr">
        <is>
          <t>UÙc</t>
        </is>
      </c>
      <c r="E234" s="5" t="inlineStr">
        <is>
          <t>25-Dec-07</t>
        </is>
      </c>
      <c r="F234" s="5" t="inlineStr">
        <is>
          <t>LNH0925ND01</t>
        </is>
      </c>
      <c r="G234" s="105" t="n">
        <v>4465000</v>
      </c>
    </row>
    <row r="235">
      <c r="A235" s="5" t="n">
        <v>229</v>
      </c>
      <c r="B235" s="5" t="inlineStr">
        <is>
          <t>25807000055</t>
        </is>
      </c>
      <c r="C235" s="6" t="inlineStr">
        <is>
          <t>Traàn Minh</t>
        </is>
      </c>
      <c r="D235" s="6" t="inlineStr">
        <is>
          <t>Maãn</t>
        </is>
      </c>
      <c r="E235" s="5" t="inlineStr">
        <is>
          <t>14-Sep-07</t>
        </is>
      </c>
      <c r="F235" s="5" t="inlineStr">
        <is>
          <t>LNH0925ND01</t>
        </is>
      </c>
      <c r="G235" s="105" t="n">
        <v>4465000</v>
      </c>
    </row>
    <row r="236">
      <c r="A236" s="5" t="n">
        <v>230</v>
      </c>
      <c r="B236" s="5" t="inlineStr">
        <is>
          <t>25808700053</t>
        </is>
      </c>
      <c r="C236" s="6" t="inlineStr">
        <is>
          <t>Ñaëng Coâng</t>
        </is>
      </c>
      <c r="D236" s="6" t="inlineStr">
        <is>
          <t>Minh</t>
        </is>
      </c>
      <c r="E236" s="5" t="inlineStr">
        <is>
          <t>25-Sep-07</t>
        </is>
      </c>
      <c r="F236" s="5" t="inlineStr">
        <is>
          <t>LNH0925ND01</t>
        </is>
      </c>
      <c r="G236" s="105" t="n">
        <v>4465000</v>
      </c>
    </row>
    <row r="237">
      <c r="A237" s="5" t="n">
        <v>231</v>
      </c>
      <c r="B237" s="5" t="inlineStr">
        <is>
          <t>25808200036</t>
        </is>
      </c>
      <c r="C237" s="6" t="inlineStr">
        <is>
          <t>Nguyeãn Haûi</t>
        </is>
      </c>
      <c r="D237" s="6" t="inlineStr">
        <is>
          <t>Ñaêng</t>
        </is>
      </c>
      <c r="E237" s="5" t="inlineStr">
        <is>
          <t>12-Jul-07</t>
        </is>
      </c>
      <c r="F237" s="5" t="inlineStr">
        <is>
          <t>LNH0925ND01</t>
        </is>
      </c>
      <c r="G237" s="105" t="n">
        <v>4465000</v>
      </c>
    </row>
    <row r="238">
      <c r="A238" s="5" t="n">
        <v>232</v>
      </c>
      <c r="B238" s="5" t="inlineStr">
        <is>
          <t>25802600022</t>
        </is>
      </c>
      <c r="C238" s="6" t="inlineStr">
        <is>
          <t>Huyønh Quang</t>
        </is>
      </c>
      <c r="D238" s="6" t="inlineStr">
        <is>
          <t>Duy</t>
        </is>
      </c>
      <c r="E238" s="5" t="inlineStr">
        <is>
          <t>08-Sep-07</t>
        </is>
      </c>
      <c r="F238" s="5" t="inlineStr">
        <is>
          <t>LNH0925ND01</t>
        </is>
      </c>
      <c r="G238" s="105" t="n">
        <v>4465000</v>
      </c>
    </row>
    <row r="239">
      <c r="A239" s="5" t="n">
        <v>233</v>
      </c>
      <c r="B239" s="5" t="inlineStr">
        <is>
          <t>25802800025</t>
        </is>
      </c>
      <c r="C239" s="6" t="inlineStr">
        <is>
          <t>Traàn Vuõ Baûo</t>
        </is>
      </c>
      <c r="D239" s="6" t="inlineStr">
        <is>
          <t>Chaâu</t>
        </is>
      </c>
      <c r="E239" s="5" t="inlineStr">
        <is>
          <t>26-Oct-07</t>
        </is>
      </c>
      <c r="F239" s="5" t="inlineStr">
        <is>
          <t>LNH0925ND01</t>
        </is>
      </c>
      <c r="G239" s="105" t="n">
        <v>4465000</v>
      </c>
    </row>
    <row r="240">
      <c r="A240" s="5" t="n">
        <v>234</v>
      </c>
      <c r="B240" s="5" t="inlineStr">
        <is>
          <t>25807700083</t>
        </is>
      </c>
      <c r="C240" s="6" t="inlineStr">
        <is>
          <t>Buøi Xuaân</t>
        </is>
      </c>
      <c r="D240" s="6" t="inlineStr">
        <is>
          <t>Vónh</t>
        </is>
      </c>
      <c r="E240" s="5" t="inlineStr">
        <is>
          <t>25-Nov-07</t>
        </is>
      </c>
      <c r="F240" s="5" t="inlineStr">
        <is>
          <t>LNH0925ND01</t>
        </is>
      </c>
      <c r="G240" s="105" t="n">
        <v>4465000</v>
      </c>
    </row>
    <row r="241">
      <c r="A241" s="5" t="n">
        <v>235</v>
      </c>
      <c r="B241" s="5" t="inlineStr">
        <is>
          <t>25808300043</t>
        </is>
      </c>
      <c r="C241" s="6" t="inlineStr">
        <is>
          <t>Y</t>
        </is>
      </c>
      <c r="D241" s="6" t="inlineStr">
        <is>
          <t>Theâ</t>
        </is>
      </c>
      <c r="E241" s="5" t="inlineStr">
        <is>
          <t>10-Jun-93</t>
        </is>
      </c>
      <c r="F241" s="5" t="inlineStr">
        <is>
          <t>LNH0925ND01</t>
        </is>
      </c>
      <c r="G241" s="105" t="n">
        <v>4465000</v>
      </c>
    </row>
    <row r="242">
      <c r="A242" s="5" t="n">
        <v>236</v>
      </c>
      <c r="B242" s="5" t="inlineStr">
        <is>
          <t>25801900315</t>
        </is>
      </c>
      <c r="C242" s="6" t="inlineStr">
        <is>
          <t>Buøi Ñöùc</t>
        </is>
      </c>
      <c r="D242" s="6" t="inlineStr">
        <is>
          <t>Duõng</t>
        </is>
      </c>
      <c r="E242" s="5" t="inlineStr">
        <is>
          <t>27-Sep-07</t>
        </is>
      </c>
      <c r="F242" s="5" t="inlineStr">
        <is>
          <t>LNH0925ND01</t>
        </is>
      </c>
      <c r="G242" s="105" t="n">
        <v>4465000</v>
      </c>
    </row>
    <row r="243">
      <c r="A243" s="5" t="n">
        <v>237</v>
      </c>
      <c r="B243" s="5" t="inlineStr">
        <is>
          <t>25800500113</t>
        </is>
      </c>
      <c r="C243" s="6" t="inlineStr">
        <is>
          <t>Nguyeãn Chí</t>
        </is>
      </c>
      <c r="D243" s="6" t="inlineStr">
        <is>
          <t>Nam</t>
        </is>
      </c>
      <c r="E243" s="5" t="inlineStr">
        <is>
          <t>24-Sep-07</t>
        </is>
      </c>
      <c r="F243" s="5" t="inlineStr">
        <is>
          <t>LNH0925ND01</t>
        </is>
      </c>
      <c r="G243" s="105" t="n">
        <v>4465000</v>
      </c>
    </row>
    <row r="244">
      <c r="A244" s="5" t="n">
        <v>238</v>
      </c>
      <c r="B244" s="5" t="inlineStr">
        <is>
          <t>25802300142</t>
        </is>
      </c>
      <c r="C244" s="6" t="inlineStr">
        <is>
          <t>Ñaëng Thò Khaùnh</t>
        </is>
      </c>
      <c r="D244" s="6" t="inlineStr">
        <is>
          <t>Ly</t>
        </is>
      </c>
      <c r="E244" s="5" t="inlineStr">
        <is>
          <t>22-Jun-07</t>
        </is>
      </c>
      <c r="F244" s="5" t="inlineStr">
        <is>
          <t>LNH0925ND01</t>
        </is>
      </c>
      <c r="G244" s="105" t="n">
        <v>4465000</v>
      </c>
    </row>
    <row r="245">
      <c r="A245" s="5" t="n">
        <v>239</v>
      </c>
      <c r="B245" s="5" t="inlineStr">
        <is>
          <t>25805900060</t>
        </is>
      </c>
      <c r="C245" s="6" t="inlineStr">
        <is>
          <t>Nguyeãn Cöûu Minh</t>
        </is>
      </c>
      <c r="D245" s="6" t="inlineStr">
        <is>
          <t>Trí</t>
        </is>
      </c>
      <c r="E245" s="5" t="inlineStr">
        <is>
          <t>20-May-07</t>
        </is>
      </c>
      <c r="F245" s="5" t="inlineStr">
        <is>
          <t>LNH0925ND01</t>
        </is>
      </c>
      <c r="G245" s="105" t="n">
        <v>4465000</v>
      </c>
    </row>
    <row r="246">
      <c r="A246" s="5" t="n">
        <v>240</v>
      </c>
      <c r="B246" s="5" t="inlineStr">
        <is>
          <t>25800400012</t>
        </is>
      </c>
      <c r="C246" s="6" t="inlineStr">
        <is>
          <t>Nguyeãn Gia</t>
        </is>
      </c>
      <c r="D246" s="6" t="inlineStr">
        <is>
          <t>Baûo</t>
        </is>
      </c>
      <c r="E246" s="5" t="inlineStr">
        <is>
          <t>12-Dec-07</t>
        </is>
      </c>
      <c r="F246" s="5" t="inlineStr">
        <is>
          <t>LNH0925ND01</t>
        </is>
      </c>
      <c r="G246" s="105" t="n">
        <v>4465000</v>
      </c>
    </row>
    <row r="247">
      <c r="A247" s="5" t="n">
        <v>241</v>
      </c>
      <c r="B247" s="5" t="inlineStr">
        <is>
          <t>25820300033</t>
        </is>
      </c>
      <c r="C247" s="6" t="inlineStr">
        <is>
          <t>Phaïm Hoà Taân</t>
        </is>
      </c>
      <c r="D247" s="6" t="inlineStr">
        <is>
          <t>Minh</t>
        </is>
      </c>
      <c r="E247" s="5" t="inlineStr">
        <is>
          <t>26-Jan-07</t>
        </is>
      </c>
      <c r="F247" s="5" t="inlineStr">
        <is>
          <t>LNH0925ND01</t>
        </is>
      </c>
      <c r="G247" s="105" t="n">
        <v>4465000</v>
      </c>
    </row>
    <row r="248">
      <c r="A248" s="5" t="n">
        <v>242</v>
      </c>
      <c r="B248" s="5" t="inlineStr">
        <is>
          <t>25800600195</t>
        </is>
      </c>
      <c r="C248" s="6" t="inlineStr">
        <is>
          <t>Nguyeãn Thanh</t>
        </is>
      </c>
      <c r="D248" s="6" t="inlineStr">
        <is>
          <t>Hieàn</t>
        </is>
      </c>
      <c r="E248" s="5" t="inlineStr">
        <is>
          <t>09-Aug-07</t>
        </is>
      </c>
      <c r="F248" s="5" t="inlineStr">
        <is>
          <t>LNH0925ND01</t>
        </is>
      </c>
      <c r="G248" s="105" t="n">
        <v>4465000</v>
      </c>
    </row>
    <row r="249">
      <c r="A249" s="5" t="n">
        <v>243</v>
      </c>
      <c r="B249" s="5" t="inlineStr">
        <is>
          <t>25808900099</t>
        </is>
      </c>
      <c r="C249" s="6" t="inlineStr">
        <is>
          <t>Traàn Vaên</t>
        </is>
      </c>
      <c r="D249" s="6" t="inlineStr">
        <is>
          <t>Phuùc</t>
        </is>
      </c>
      <c r="E249" s="5" t="inlineStr">
        <is>
          <t>07-Mar-07</t>
        </is>
      </c>
      <c r="F249" s="5" t="inlineStr">
        <is>
          <t>LNH0925ND01</t>
        </is>
      </c>
      <c r="G249" s="105" t="n">
        <v>4465000</v>
      </c>
    </row>
    <row r="250">
      <c r="A250" s="5" t="n">
        <v>244</v>
      </c>
      <c r="B250" s="5" t="inlineStr">
        <is>
          <t>25803800063</t>
        </is>
      </c>
      <c r="C250" s="6" t="inlineStr">
        <is>
          <t>Nguyeãn Hoaøng Nhöït</t>
        </is>
      </c>
      <c r="D250" s="6" t="inlineStr">
        <is>
          <t>Trí</t>
        </is>
      </c>
      <c r="E250" s="5" t="inlineStr">
        <is>
          <t>17-Oct-07</t>
        </is>
      </c>
      <c r="F250" s="5" t="inlineStr">
        <is>
          <t>LNH0925ND01</t>
        </is>
      </c>
      <c r="G250" s="105" t="n">
        <v>4465000</v>
      </c>
    </row>
    <row r="251">
      <c r="A251" s="5" t="n">
        <v>245</v>
      </c>
      <c r="B251" s="5" t="inlineStr">
        <is>
          <t>25809600043</t>
        </is>
      </c>
      <c r="C251" s="6" t="inlineStr">
        <is>
          <t>Nguyeãn Troïng</t>
        </is>
      </c>
      <c r="D251" s="6" t="inlineStr">
        <is>
          <t>Nhaân</t>
        </is>
      </c>
      <c r="E251" s="5" t="inlineStr">
        <is>
          <t>03-Jul-07</t>
        </is>
      </c>
      <c r="F251" s="5" t="inlineStr">
        <is>
          <t>LNH0925ND01</t>
        </is>
      </c>
      <c r="G251" s="105" t="n">
        <v>4465000</v>
      </c>
    </row>
    <row r="252">
      <c r="A252" s="5" t="n">
        <v>246</v>
      </c>
      <c r="B252" s="5" t="inlineStr">
        <is>
          <t>25805900091</t>
        </is>
      </c>
      <c r="C252" s="6" t="inlineStr">
        <is>
          <t>Phaïm Phöông</t>
        </is>
      </c>
      <c r="D252" s="6" t="inlineStr">
        <is>
          <t>Uyeân</t>
        </is>
      </c>
      <c r="E252" s="5" t="inlineStr">
        <is>
          <t>02-Sep-07</t>
        </is>
      </c>
      <c r="F252" s="5" t="inlineStr">
        <is>
          <t>LNH0925ND01</t>
        </is>
      </c>
      <c r="G252" s="105" t="n">
        <v>4465000</v>
      </c>
    </row>
    <row r="253">
      <c r="A253" s="5" t="n">
        <v>247</v>
      </c>
      <c r="B253" s="5" t="inlineStr">
        <is>
          <t>25808600240</t>
        </is>
      </c>
      <c r="C253" s="6" t="inlineStr">
        <is>
          <t>Nguyeãn Haøn Myõ</t>
        </is>
      </c>
      <c r="D253" s="6" t="inlineStr">
        <is>
          <t>Dung</t>
        </is>
      </c>
      <c r="E253" s="5" t="inlineStr">
        <is>
          <t>13-Nov-07</t>
        </is>
      </c>
      <c r="F253" s="5" t="inlineStr">
        <is>
          <t>LNH0925ND01</t>
        </is>
      </c>
      <c r="G253" s="105" t="n">
        <v>4465000</v>
      </c>
    </row>
    <row r="254">
      <c r="A254" s="5" t="n">
        <v>248</v>
      </c>
      <c r="B254" s="5" t="inlineStr">
        <is>
          <t>25802800151</t>
        </is>
      </c>
      <c r="C254" s="6" t="inlineStr">
        <is>
          <t>Rô Chaâm</t>
        </is>
      </c>
      <c r="D254" s="6" t="inlineStr">
        <is>
          <t>Ngaoh</t>
        </is>
      </c>
      <c r="E254" s="5" t="inlineStr">
        <is>
          <t>18-Jun-07</t>
        </is>
      </c>
      <c r="F254" s="5" t="inlineStr">
        <is>
          <t>LNH0925ND01</t>
        </is>
      </c>
      <c r="G254" s="105" t="n">
        <v>4465000</v>
      </c>
    </row>
    <row r="255">
      <c r="A255" s="5" t="n">
        <v>249</v>
      </c>
      <c r="B255" s="5" t="inlineStr">
        <is>
          <t>25807700081</t>
        </is>
      </c>
      <c r="C255" s="6" t="inlineStr">
        <is>
          <t>Ñaëng Hoaøng</t>
        </is>
      </c>
      <c r="D255" s="6" t="inlineStr">
        <is>
          <t>Vinh</t>
        </is>
      </c>
      <c r="E255" s="5" t="inlineStr">
        <is>
          <t>29-Sep-07</t>
        </is>
      </c>
      <c r="F255" s="5" t="inlineStr">
        <is>
          <t>LNH0925ND01</t>
        </is>
      </c>
      <c r="G255" s="105" t="n">
        <v>4465000</v>
      </c>
    </row>
    <row r="256">
      <c r="A256" s="5" t="n">
        <v>250</v>
      </c>
      <c r="B256" s="5" t="inlineStr">
        <is>
          <t>25803800044</t>
        </is>
      </c>
      <c r="C256" s="6" t="inlineStr">
        <is>
          <t>Phaïm Minh</t>
        </is>
      </c>
      <c r="D256" s="6" t="inlineStr">
        <is>
          <t>Nhöït</t>
        </is>
      </c>
      <c r="E256" s="5" t="inlineStr">
        <is>
          <t>17-Mar-07</t>
        </is>
      </c>
      <c r="F256" s="5" t="inlineStr">
        <is>
          <t>LNH0925ND01</t>
        </is>
      </c>
      <c r="G256" s="105" t="n">
        <v>4465000</v>
      </c>
    </row>
    <row r="257">
      <c r="A257" s="5" t="n">
        <v>251</v>
      </c>
      <c r="B257" s="5" t="inlineStr">
        <is>
          <t>25820100011</t>
        </is>
      </c>
      <c r="C257" s="6" t="inlineStr">
        <is>
          <t>Nguyeãn Hoaøng Minh</t>
        </is>
      </c>
      <c r="D257" s="6" t="inlineStr">
        <is>
          <t>Ñöùc</t>
        </is>
      </c>
      <c r="E257" s="5" t="inlineStr">
        <is>
          <t>02-Jul-07</t>
        </is>
      </c>
      <c r="F257" s="5" t="inlineStr">
        <is>
          <t>LNH0925ND01</t>
        </is>
      </c>
      <c r="G257" s="105" t="n">
        <v>4465000</v>
      </c>
    </row>
    <row r="258">
      <c r="A258" s="5" t="n">
        <v>252</v>
      </c>
      <c r="B258" s="5" t="inlineStr">
        <is>
          <t>25809600006</t>
        </is>
      </c>
      <c r="C258" s="6" t="inlineStr">
        <is>
          <t>Vuõ Quoác</t>
        </is>
      </c>
      <c r="D258" s="6" t="inlineStr">
        <is>
          <t>Baûo</t>
        </is>
      </c>
      <c r="E258" s="5" t="inlineStr">
        <is>
          <t>25-Jan-07</t>
        </is>
      </c>
      <c r="F258" s="5" t="inlineStr">
        <is>
          <t>LNH0925ND01</t>
        </is>
      </c>
      <c r="G258" s="105" t="n">
        <v>4465000</v>
      </c>
    </row>
    <row r="259">
      <c r="A259" s="5" t="n">
        <v>253</v>
      </c>
      <c r="B259" s="5" t="inlineStr">
        <is>
          <t>25802700193</t>
        </is>
      </c>
      <c r="C259" s="6" t="inlineStr">
        <is>
          <t>Lyù Thò Ngoïc</t>
        </is>
      </c>
      <c r="D259" s="6" t="inlineStr">
        <is>
          <t>Traâm</t>
        </is>
      </c>
      <c r="E259" s="5" t="inlineStr">
        <is>
          <t>06-Mar-07</t>
        </is>
      </c>
      <c r="F259" s="5" t="inlineStr">
        <is>
          <t>LNH0925ND01</t>
        </is>
      </c>
      <c r="G259" s="105" t="n">
        <v>4465000</v>
      </c>
    </row>
    <row r="260">
      <c r="A260" s="5" t="n">
        <v>254</v>
      </c>
      <c r="B260" s="5" t="inlineStr">
        <is>
          <t>25809600056</t>
        </is>
      </c>
      <c r="C260" s="6" t="inlineStr">
        <is>
          <t>Nguyeãn Minh</t>
        </is>
      </c>
      <c r="D260" s="6" t="inlineStr">
        <is>
          <t>Quaân</t>
        </is>
      </c>
      <c r="E260" s="5" t="inlineStr">
        <is>
          <t>08-Aug-07</t>
        </is>
      </c>
      <c r="F260" s="5" t="inlineStr">
        <is>
          <t>LNH0925ND01</t>
        </is>
      </c>
      <c r="G260" s="105" t="n">
        <v>4465000</v>
      </c>
    </row>
    <row r="261">
      <c r="A261" s="5" t="n">
        <v>255</v>
      </c>
      <c r="B261" s="5" t="inlineStr">
        <is>
          <t>25809100019</t>
        </is>
      </c>
      <c r="C261" s="6" t="inlineStr">
        <is>
          <t>Leâ Traàn Anh</t>
        </is>
      </c>
      <c r="D261" s="6" t="inlineStr">
        <is>
          <t>Tuaán</t>
        </is>
      </c>
      <c r="E261" s="5" t="inlineStr">
        <is>
          <t>08-Aug-07</t>
        </is>
      </c>
      <c r="F261" s="5" t="inlineStr">
        <is>
          <t>LNH0925ND01</t>
        </is>
      </c>
      <c r="G261" s="105" t="n">
        <v>4465000</v>
      </c>
    </row>
    <row r="262">
      <c r="A262" s="5" t="n">
        <v>256</v>
      </c>
      <c r="B262" s="5" t="inlineStr">
        <is>
          <t>25802100007</t>
        </is>
      </c>
      <c r="C262" s="6" t="inlineStr">
        <is>
          <t>Voõ Thaønh</t>
        </is>
      </c>
      <c r="D262" s="6" t="inlineStr">
        <is>
          <t>Ñaït</t>
        </is>
      </c>
      <c r="E262" s="5" t="inlineStr">
        <is>
          <t>14-Apr-07</t>
        </is>
      </c>
      <c r="F262" s="5" t="inlineStr">
        <is>
          <t>LNH0925ND01</t>
        </is>
      </c>
      <c r="G262" s="105" t="n">
        <v>4465000</v>
      </c>
    </row>
    <row r="263">
      <c r="A263" s="5" t="n">
        <v>257</v>
      </c>
      <c r="B263" s="5" t="inlineStr">
        <is>
          <t>25802800242</t>
        </is>
      </c>
      <c r="C263" s="6" t="inlineStr">
        <is>
          <t>Phaïm Thuøy Phöông</t>
        </is>
      </c>
      <c r="D263" s="6" t="inlineStr">
        <is>
          <t>Thaûo</t>
        </is>
      </c>
      <c r="E263" s="5" t="inlineStr">
        <is>
          <t>19-Mar-06</t>
        </is>
      </c>
      <c r="F263" s="5" t="inlineStr">
        <is>
          <t>LNH0925ND01</t>
        </is>
      </c>
      <c r="G263" s="105" t="n">
        <v>4465000</v>
      </c>
    </row>
    <row r="264">
      <c r="A264" s="5" t="n">
        <v>258</v>
      </c>
      <c r="B264" s="5" t="inlineStr">
        <is>
          <t>25807100002</t>
        </is>
      </c>
      <c r="C264" s="6" t="inlineStr">
        <is>
          <t>Löu Nguyeãn Hoaøng</t>
        </is>
      </c>
      <c r="D264" s="6" t="inlineStr">
        <is>
          <t>Haø</t>
        </is>
      </c>
      <c r="E264" s="5" t="inlineStr">
        <is>
          <t>07-Jul-07</t>
        </is>
      </c>
      <c r="F264" s="5" t="inlineStr">
        <is>
          <t>LNH0925ND01</t>
        </is>
      </c>
      <c r="G264" s="105" t="n">
        <v>4465000</v>
      </c>
    </row>
    <row r="265">
      <c r="A265" s="5" t="n">
        <v>259</v>
      </c>
      <c r="B265" s="5" t="inlineStr">
        <is>
          <t>25807500028</t>
        </is>
      </c>
      <c r="C265" s="6" t="inlineStr">
        <is>
          <t>Toâ Gia</t>
        </is>
      </c>
      <c r="D265" s="6" t="inlineStr">
        <is>
          <t>Haân</t>
        </is>
      </c>
      <c r="E265" s="5" t="inlineStr">
        <is>
          <t>10-Mar-07</t>
        </is>
      </c>
      <c r="F265" s="5" t="inlineStr">
        <is>
          <t>LNH0925ND01</t>
        </is>
      </c>
      <c r="G265" s="105" t="n">
        <v>4465000</v>
      </c>
    </row>
    <row r="266">
      <c r="A266" s="5" t="n">
        <v>260</v>
      </c>
      <c r="B266" s="5" t="inlineStr">
        <is>
          <t>25820300063</t>
        </is>
      </c>
      <c r="C266" s="6" t="inlineStr">
        <is>
          <t>Thaùi Thaønh</t>
        </is>
      </c>
      <c r="D266" s="6" t="inlineStr">
        <is>
          <t>Trí</t>
        </is>
      </c>
      <c r="E266" s="5" t="inlineStr">
        <is>
          <t>01-Jul-07</t>
        </is>
      </c>
      <c r="F266" s="5" t="inlineStr">
        <is>
          <t>LNH0925ND01</t>
        </is>
      </c>
      <c r="G266" s="105" t="n">
        <v>4465000</v>
      </c>
    </row>
    <row r="267">
      <c r="A267" s="5" t="n">
        <v>261</v>
      </c>
      <c r="B267" s="5" t="inlineStr">
        <is>
          <t>25802800240</t>
        </is>
      </c>
      <c r="C267" s="6" t="inlineStr">
        <is>
          <t>Nguyeãn Thò Hoàng</t>
        </is>
      </c>
      <c r="D267" s="6" t="inlineStr">
        <is>
          <t>Thaûo</t>
        </is>
      </c>
      <c r="E267" s="5" t="inlineStr">
        <is>
          <t>04-Mar-07</t>
        </is>
      </c>
      <c r="F267" s="5" t="inlineStr">
        <is>
          <t>LNH0925ND01</t>
        </is>
      </c>
      <c r="G267" s="105" t="n">
        <v>4465000</v>
      </c>
    </row>
    <row r="268">
      <c r="A268" s="5" t="n">
        <v>262</v>
      </c>
      <c r="B268" s="5" t="inlineStr">
        <is>
          <t>25806000008</t>
        </is>
      </c>
      <c r="C268" s="6" t="inlineStr">
        <is>
          <t>Trònh Thuøy</t>
        </is>
      </c>
      <c r="D268" s="6" t="inlineStr">
        <is>
          <t>Döông</t>
        </is>
      </c>
      <c r="E268" s="5" t="inlineStr">
        <is>
          <t>03-Apr-07</t>
        </is>
      </c>
      <c r="F268" s="5" t="inlineStr">
        <is>
          <t>LNH0925ND01</t>
        </is>
      </c>
      <c r="G268" s="105" t="n">
        <v>4465000</v>
      </c>
    </row>
    <row r="269">
      <c r="A269" s="5" t="n">
        <v>263</v>
      </c>
      <c r="B269" s="5" t="inlineStr">
        <is>
          <t>25807700031</t>
        </is>
      </c>
      <c r="C269" s="6" t="inlineStr">
        <is>
          <t>Nguyeãn Vaên</t>
        </is>
      </c>
      <c r="D269" s="6" t="inlineStr">
        <is>
          <t>Hoaøng</t>
        </is>
      </c>
      <c r="E269" s="5" t="inlineStr">
        <is>
          <t>03-Dec-05</t>
        </is>
      </c>
      <c r="F269" s="5" t="inlineStr">
        <is>
          <t>LNH0925ND01</t>
        </is>
      </c>
      <c r="G269" s="105" t="n">
        <v>4465000</v>
      </c>
    </row>
    <row r="270">
      <c r="A270" s="5" t="n">
        <v>264</v>
      </c>
      <c r="B270" s="5" t="inlineStr">
        <is>
          <t>25802600209</t>
        </is>
      </c>
      <c r="C270" s="6" t="inlineStr">
        <is>
          <t>Baïch Ñoan</t>
        </is>
      </c>
      <c r="D270" s="6" t="inlineStr">
        <is>
          <t>Linh</t>
        </is>
      </c>
      <c r="E270" s="5" t="inlineStr">
        <is>
          <t>03-Aug-07</t>
        </is>
      </c>
      <c r="F270" s="5" t="inlineStr">
        <is>
          <t>LNH0925ND01</t>
        </is>
      </c>
      <c r="G270" s="105" t="n">
        <v>4465000</v>
      </c>
    </row>
    <row r="271">
      <c r="A271" s="5" t="n">
        <v>265</v>
      </c>
      <c r="B271" s="5" t="inlineStr">
        <is>
          <t>25808700211</t>
        </is>
      </c>
      <c r="C271" s="6" t="inlineStr">
        <is>
          <t>Nguyeãn Thanh</t>
        </is>
      </c>
      <c r="D271" s="6" t="inlineStr">
        <is>
          <t>Phong</t>
        </is>
      </c>
      <c r="E271" s="5" t="inlineStr">
        <is>
          <t>22-Oct-07</t>
        </is>
      </c>
      <c r="F271" s="5" t="inlineStr">
        <is>
          <t>LNH0925ND01</t>
        </is>
      </c>
      <c r="G271" s="105" t="n">
        <v>4465000</v>
      </c>
    </row>
    <row r="272">
      <c r="A272" s="5" t="n">
        <v>266</v>
      </c>
      <c r="B272" s="5" t="inlineStr">
        <is>
          <t>25808200090</t>
        </is>
      </c>
      <c r="C272" s="6" t="inlineStr">
        <is>
          <t>Phan Tuaán</t>
        </is>
      </c>
      <c r="D272" s="6" t="inlineStr">
        <is>
          <t>Nghóa</t>
        </is>
      </c>
      <c r="E272" s="5" t="inlineStr">
        <is>
          <t>02-Dec-07</t>
        </is>
      </c>
      <c r="F272" s="5" t="inlineStr">
        <is>
          <t>LNH0925ND01</t>
        </is>
      </c>
      <c r="G272" s="105" t="n">
        <v>4465000</v>
      </c>
    </row>
    <row r="273">
      <c r="A273" s="5" t="n">
        <v>267</v>
      </c>
      <c r="B273" s="5" t="inlineStr">
        <is>
          <t>25820100086</t>
        </is>
      </c>
      <c r="C273" s="6" t="inlineStr">
        <is>
          <t>Nguyeãn Tuaán</t>
        </is>
      </c>
      <c r="D273" s="6" t="inlineStr">
        <is>
          <t>Anh</t>
        </is>
      </c>
      <c r="E273" s="5" t="inlineStr">
        <is>
          <t>10-Apr-07</t>
        </is>
      </c>
      <c r="F273" s="5" t="inlineStr">
        <is>
          <t>LNH0925ND01</t>
        </is>
      </c>
      <c r="G273" s="105" t="n">
        <v>4465000</v>
      </c>
    </row>
    <row r="274">
      <c r="A274" s="5" t="n">
        <v>268</v>
      </c>
      <c r="B274" s="5" t="inlineStr">
        <is>
          <t>25808600067</t>
        </is>
      </c>
      <c r="C274" s="6" t="inlineStr">
        <is>
          <t>Voõ Leâ Thaûo</t>
        </is>
      </c>
      <c r="D274" s="6" t="inlineStr">
        <is>
          <t>My</t>
        </is>
      </c>
      <c r="E274" s="5" t="inlineStr">
        <is>
          <t>12-Oct-07</t>
        </is>
      </c>
      <c r="F274" s="5" t="inlineStr">
        <is>
          <t>LNH0925ND01</t>
        </is>
      </c>
      <c r="G274" s="105" t="n">
        <v>4465000</v>
      </c>
    </row>
    <row r="275">
      <c r="A275" s="5" t="n">
        <v>269</v>
      </c>
      <c r="B275" s="5" t="inlineStr">
        <is>
          <t>25802800255</t>
        </is>
      </c>
      <c r="C275" s="6" t="inlineStr">
        <is>
          <t>Phaïm Nguyeãn Anh</t>
        </is>
      </c>
      <c r="D275" s="6" t="inlineStr">
        <is>
          <t>Thö</t>
        </is>
      </c>
      <c r="E275" s="5" t="inlineStr">
        <is>
          <t>22-Apr-07</t>
        </is>
      </c>
      <c r="F275" s="5" t="inlineStr">
        <is>
          <t>LNH0925ND01</t>
        </is>
      </c>
      <c r="G275" s="105" t="n">
        <v>4465000</v>
      </c>
    </row>
    <row r="276">
      <c r="A276" s="5" t="n">
        <v>270</v>
      </c>
      <c r="B276" s="5" t="inlineStr">
        <is>
          <t>25808900138</t>
        </is>
      </c>
      <c r="C276" s="6" t="inlineStr">
        <is>
          <t>Vuõ Minh</t>
        </is>
      </c>
      <c r="D276" s="6" t="inlineStr">
        <is>
          <t>Trieát</t>
        </is>
      </c>
      <c r="E276" s="5" t="inlineStr">
        <is>
          <t>01-Jan-07</t>
        </is>
      </c>
      <c r="F276" s="5" t="inlineStr">
        <is>
          <t>LNH0925ND01</t>
        </is>
      </c>
      <c r="G276" s="105" t="n">
        <v>4465000</v>
      </c>
    </row>
    <row r="277">
      <c r="A277" s="5" t="n">
        <v>271</v>
      </c>
      <c r="B277" s="5" t="inlineStr">
        <is>
          <t>25802600218</t>
        </is>
      </c>
      <c r="C277" s="6" t="inlineStr">
        <is>
          <t>Nguyeãn Thò Vaân</t>
        </is>
      </c>
      <c r="D277" s="6" t="inlineStr">
        <is>
          <t>Anh</t>
        </is>
      </c>
      <c r="E277" s="5" t="inlineStr">
        <is>
          <t>06-Oct-07</t>
        </is>
      </c>
      <c r="F277" s="5" t="inlineStr">
        <is>
          <t>LNH0925ND01</t>
        </is>
      </c>
      <c r="G277" s="105" t="n">
        <v>4465000</v>
      </c>
    </row>
    <row r="278">
      <c r="A278" s="5" t="n">
        <v>272</v>
      </c>
      <c r="B278" s="5" t="inlineStr">
        <is>
          <t>25807800116</t>
        </is>
      </c>
      <c r="C278" s="6" t="inlineStr">
        <is>
          <t>Nguyeãn Traàn Minh</t>
        </is>
      </c>
      <c r="D278" s="6" t="inlineStr">
        <is>
          <t>Quaân</t>
        </is>
      </c>
      <c r="E278" s="5" t="inlineStr">
        <is>
          <t>09-Sep-07</t>
        </is>
      </c>
      <c r="F278" s="5" t="inlineStr">
        <is>
          <t>LNH0925ND01</t>
        </is>
      </c>
      <c r="G278" s="105" t="n">
        <v>4465000</v>
      </c>
    </row>
    <row r="279">
      <c r="A279" s="5" t="n">
        <v>273</v>
      </c>
      <c r="B279" s="5" t="inlineStr">
        <is>
          <t>25806000115</t>
        </is>
      </c>
      <c r="C279" s="6" t="inlineStr">
        <is>
          <t>Phaïm Quang</t>
        </is>
      </c>
      <c r="D279" s="6" t="inlineStr">
        <is>
          <t>Huy</t>
        </is>
      </c>
      <c r="E279" s="5" t="inlineStr">
        <is>
          <t>14-Oct-06</t>
        </is>
      </c>
      <c r="F279" s="5" t="inlineStr">
        <is>
          <t>LNH0925ND01</t>
        </is>
      </c>
      <c r="G279" s="105" t="n">
        <v>4465000</v>
      </c>
    </row>
    <row r="280">
      <c r="A280" s="5" t="n">
        <v>274</v>
      </c>
      <c r="B280" s="5" t="inlineStr">
        <is>
          <t>25801700103</t>
        </is>
      </c>
      <c r="C280" s="6" t="inlineStr">
        <is>
          <t>Phaïm Trung</t>
        </is>
      </c>
      <c r="D280" s="6" t="inlineStr">
        <is>
          <t>Nghóa</t>
        </is>
      </c>
      <c r="E280" s="5" t="inlineStr">
        <is>
          <t>12-Jun-07</t>
        </is>
      </c>
      <c r="F280" s="5" t="inlineStr">
        <is>
          <t>LNH0925ND01</t>
        </is>
      </c>
      <c r="G280" s="105" t="n">
        <v>4500000</v>
      </c>
    </row>
    <row r="281">
      <c r="A281" s="5" t="n">
        <v>275</v>
      </c>
      <c r="B281" s="5" t="inlineStr">
        <is>
          <t>25800500056</t>
        </is>
      </c>
      <c r="C281" s="6" t="inlineStr">
        <is>
          <t>Ñoàng Minh</t>
        </is>
      </c>
      <c r="D281" s="6" t="inlineStr">
        <is>
          <t>Hoaøng</t>
        </is>
      </c>
      <c r="E281" s="5" t="inlineStr">
        <is>
          <t>17-Nov-07</t>
        </is>
      </c>
      <c r="F281" s="5" t="inlineStr">
        <is>
          <t>LNH0925ND01</t>
        </is>
      </c>
      <c r="G281" s="105" t="n">
        <v>4940000</v>
      </c>
    </row>
    <row r="282">
      <c r="A282" s="5" t="n">
        <v>276</v>
      </c>
      <c r="B282" s="5" t="inlineStr">
        <is>
          <t>25807700041</t>
        </is>
      </c>
      <c r="C282" s="6" t="inlineStr">
        <is>
          <t>Phan Töû Gia</t>
        </is>
      </c>
      <c r="D282" s="6" t="inlineStr">
        <is>
          <t>Khieâm</t>
        </is>
      </c>
      <c r="E282" s="5" t="inlineStr">
        <is>
          <t>29-Jun-07</t>
        </is>
      </c>
      <c r="F282" s="5" t="inlineStr">
        <is>
          <t>LNH0925ND01</t>
        </is>
      </c>
      <c r="G282" s="105" t="n">
        <v>4940000</v>
      </c>
    </row>
    <row r="283">
      <c r="A283" s="5" t="n">
        <v>277</v>
      </c>
      <c r="B283" s="5" t="inlineStr">
        <is>
          <t>25800500112</t>
        </is>
      </c>
      <c r="C283" s="6" t="inlineStr">
        <is>
          <t>Leâ Hoaøi</t>
        </is>
      </c>
      <c r="D283" s="6" t="inlineStr">
        <is>
          <t>Nam</t>
        </is>
      </c>
      <c r="E283" s="5" t="inlineStr">
        <is>
          <t>15-May-07</t>
        </is>
      </c>
      <c r="F283" s="5" t="inlineStr">
        <is>
          <t>LNH0925ND01</t>
        </is>
      </c>
      <c r="G283" s="105" t="n">
        <v>4940000</v>
      </c>
    </row>
    <row r="284">
      <c r="A284" s="5" t="n">
        <v>278</v>
      </c>
      <c r="B284" s="5" t="inlineStr">
        <is>
          <t>25807900018</t>
        </is>
      </c>
      <c r="C284" s="6" t="inlineStr">
        <is>
          <t>Leâ Döông Gia</t>
        </is>
      </c>
      <c r="D284" s="6" t="inlineStr">
        <is>
          <t>Huy</t>
        </is>
      </c>
      <c r="E284" s="5" t="inlineStr">
        <is>
          <t>04-Jan-07</t>
        </is>
      </c>
      <c r="F284" s="5" t="inlineStr">
        <is>
          <t>LNH0925ND01</t>
        </is>
      </c>
      <c r="G284" s="105" t="n">
        <v>4940000</v>
      </c>
    </row>
    <row r="285">
      <c r="A285" s="5" t="n">
        <v>279</v>
      </c>
      <c r="B285" s="5" t="inlineStr">
        <is>
          <t>25802400010</t>
        </is>
      </c>
      <c r="C285" s="6" t="inlineStr">
        <is>
          <t>Nguyeãn Thò Thaûo</t>
        </is>
      </c>
      <c r="D285" s="6" t="inlineStr">
        <is>
          <t>Linh</t>
        </is>
      </c>
      <c r="E285" s="5" t="inlineStr">
        <is>
          <t>22-Jan-07</t>
        </is>
      </c>
      <c r="F285" s="5" t="inlineStr">
        <is>
          <t>LNH0925ND01</t>
        </is>
      </c>
      <c r="G285" s="105" t="n">
        <v>4940000</v>
      </c>
    </row>
    <row r="286">
      <c r="A286" s="5" t="n">
        <v>280</v>
      </c>
      <c r="B286" s="5" t="inlineStr">
        <is>
          <t>25808200061</t>
        </is>
      </c>
      <c r="C286" s="6" t="inlineStr">
        <is>
          <t>Nguyeãn Huy</t>
        </is>
      </c>
      <c r="D286" s="6" t="inlineStr">
        <is>
          <t>Kha</t>
        </is>
      </c>
      <c r="E286" s="5" t="inlineStr">
        <is>
          <t>01-Jan-07</t>
        </is>
      </c>
      <c r="F286" s="5" t="inlineStr">
        <is>
          <t>LNH0925ND01</t>
        </is>
      </c>
      <c r="G286" s="105" t="n">
        <v>4940000</v>
      </c>
    </row>
    <row r="287">
      <c r="A287" s="5" t="n">
        <v>281</v>
      </c>
      <c r="B287" s="5" t="inlineStr">
        <is>
          <t>25808200014</t>
        </is>
      </c>
      <c r="C287" s="6" t="inlineStr">
        <is>
          <t>Ñinh Ñaêng</t>
        </is>
      </c>
      <c r="D287" s="6" t="inlineStr">
        <is>
          <t>Baûo</t>
        </is>
      </c>
      <c r="E287" s="5" t="inlineStr">
        <is>
          <t>23-Jun-07</t>
        </is>
      </c>
      <c r="F287" s="5" t="inlineStr">
        <is>
          <t>LNH0925ND01</t>
        </is>
      </c>
      <c r="G287" s="105" t="n">
        <v>4940000</v>
      </c>
    </row>
    <row r="288">
      <c r="A288" s="5" t="n">
        <v>282</v>
      </c>
      <c r="B288" s="5" t="inlineStr">
        <is>
          <t>25806300036</t>
        </is>
      </c>
      <c r="C288" s="6" t="inlineStr">
        <is>
          <t>Huyønh Minh</t>
        </is>
      </c>
      <c r="D288" s="6" t="inlineStr">
        <is>
          <t>Trí</t>
        </is>
      </c>
      <c r="E288" s="5" t="inlineStr">
        <is>
          <t>01-Oct-07</t>
        </is>
      </c>
      <c r="F288" s="5" t="inlineStr">
        <is>
          <t>LNH0925ND01</t>
        </is>
      </c>
      <c r="G288" s="105" t="n">
        <v>4940000</v>
      </c>
    </row>
    <row r="289">
      <c r="A289" s="5" t="n">
        <v>283</v>
      </c>
      <c r="B289" s="5" t="inlineStr">
        <is>
          <t>25802800167</t>
        </is>
      </c>
      <c r="C289" s="6" t="inlineStr">
        <is>
          <t>Nguyeãn Traàn Phöông</t>
        </is>
      </c>
      <c r="D289" s="6" t="inlineStr">
        <is>
          <t>Ngoïc</t>
        </is>
      </c>
      <c r="E289" s="5" t="inlineStr">
        <is>
          <t>20-Jun-07</t>
        </is>
      </c>
      <c r="F289" s="5" t="inlineStr">
        <is>
          <t>LNH0925ND01</t>
        </is>
      </c>
      <c r="G289" s="105" t="n">
        <v>4940000</v>
      </c>
    </row>
    <row r="290">
      <c r="A290" s="5" t="n">
        <v>284</v>
      </c>
      <c r="B290" s="5" t="inlineStr">
        <is>
          <t>25802700050</t>
        </is>
      </c>
      <c r="C290" s="6" t="inlineStr">
        <is>
          <t>Vuõ Nguyeãn Hoaøng</t>
        </is>
      </c>
      <c r="D290" s="6" t="inlineStr">
        <is>
          <t>Minh</t>
        </is>
      </c>
      <c r="E290" s="5" t="inlineStr">
        <is>
          <t>24-Apr-07</t>
        </is>
      </c>
      <c r="F290" s="5" t="inlineStr">
        <is>
          <t>LNH0925ND01</t>
        </is>
      </c>
      <c r="G290" s="105" t="n">
        <v>4940000</v>
      </c>
    </row>
    <row r="291">
      <c r="A291" s="5" t="n">
        <v>285</v>
      </c>
      <c r="B291" s="5" t="inlineStr">
        <is>
          <t>25808600258</t>
        </is>
      </c>
      <c r="C291" s="6" t="inlineStr">
        <is>
          <t>Nguyeãn Ngoïc Tuù</t>
        </is>
      </c>
      <c r="D291" s="6" t="inlineStr">
        <is>
          <t>Nhö</t>
        </is>
      </c>
      <c r="E291" s="5" t="inlineStr">
        <is>
          <t>12-Aug-07</t>
        </is>
      </c>
      <c r="F291" s="5" t="inlineStr">
        <is>
          <t>LNH0925ND01</t>
        </is>
      </c>
      <c r="G291" s="105" t="n">
        <v>4940000</v>
      </c>
    </row>
    <row r="292">
      <c r="A292" s="5" t="n">
        <v>286</v>
      </c>
      <c r="B292" s="5" t="inlineStr">
        <is>
          <t>25806400024</t>
        </is>
      </c>
      <c r="C292" s="6" t="inlineStr">
        <is>
          <t>Traàn Döông Kim</t>
        </is>
      </c>
      <c r="D292" s="6" t="inlineStr">
        <is>
          <t>Tuyeán</t>
        </is>
      </c>
      <c r="E292" s="5" t="inlineStr">
        <is>
          <t>08-Apr-07</t>
        </is>
      </c>
      <c r="F292" s="5" t="inlineStr">
        <is>
          <t>LNH0925ND01</t>
        </is>
      </c>
      <c r="G292" s="105" t="n">
        <v>4940000</v>
      </c>
    </row>
    <row r="293">
      <c r="A293" s="5" t="n">
        <v>287</v>
      </c>
      <c r="B293" s="5" t="inlineStr">
        <is>
          <t>25802800120</t>
        </is>
      </c>
      <c r="C293" s="6" t="inlineStr">
        <is>
          <t>Döông Gia</t>
        </is>
      </c>
      <c r="D293" s="6" t="inlineStr">
        <is>
          <t>Kieät</t>
        </is>
      </c>
      <c r="E293" s="5" t="inlineStr">
        <is>
          <t>01-Jun-07</t>
        </is>
      </c>
      <c r="F293" s="5" t="inlineStr">
        <is>
          <t>LNH0925ND01</t>
        </is>
      </c>
      <c r="G293" s="105" t="n">
        <v>4940000</v>
      </c>
    </row>
    <row r="294">
      <c r="A294" s="5" t="n">
        <v>288</v>
      </c>
      <c r="B294" s="5" t="inlineStr">
        <is>
          <t>25802400007</t>
        </is>
      </c>
      <c r="C294" s="6" t="inlineStr">
        <is>
          <t>Leâ Gia</t>
        </is>
      </c>
      <c r="D294" s="6" t="inlineStr">
        <is>
          <t>Haân</t>
        </is>
      </c>
      <c r="E294" s="5" t="inlineStr">
        <is>
          <t>15-Apr-07</t>
        </is>
      </c>
      <c r="F294" s="5" t="inlineStr">
        <is>
          <t>LNH0925ND01</t>
        </is>
      </c>
      <c r="G294" s="105" t="n">
        <v>4940000</v>
      </c>
    </row>
    <row r="295">
      <c r="A295" s="5" t="n">
        <v>289</v>
      </c>
      <c r="B295" s="5" t="inlineStr">
        <is>
          <t>25807000027</t>
        </is>
      </c>
      <c r="C295" s="6" t="inlineStr">
        <is>
          <t>Hoà Kieàu</t>
        </is>
      </c>
      <c r="D295" s="6" t="inlineStr">
        <is>
          <t>Trang</t>
        </is>
      </c>
      <c r="E295" s="5" t="inlineStr">
        <is>
          <t>24-Dec-07</t>
        </is>
      </c>
      <c r="F295" s="5" t="inlineStr">
        <is>
          <t>LNH0925ND01</t>
        </is>
      </c>
      <c r="G295" s="105" t="n">
        <v>4940000</v>
      </c>
    </row>
    <row r="296">
      <c r="A296" s="5" t="n">
        <v>290</v>
      </c>
      <c r="B296" s="5" t="inlineStr">
        <is>
          <t>25800500277</t>
        </is>
      </c>
      <c r="C296" s="6" t="inlineStr">
        <is>
          <t>Vuõ Ñöùc</t>
        </is>
      </c>
      <c r="D296" s="6" t="inlineStr">
        <is>
          <t>Hoøa</t>
        </is>
      </c>
      <c r="E296" s="5" t="inlineStr">
        <is>
          <t>23-Jan-07</t>
        </is>
      </c>
      <c r="F296" s="5" t="inlineStr">
        <is>
          <t>LNH0925ND01</t>
        </is>
      </c>
      <c r="G296" s="105" t="n">
        <v>5000000</v>
      </c>
    </row>
    <row r="297">
      <c r="A297" s="5" t="n">
        <v>291</v>
      </c>
      <c r="B297" s="5" t="inlineStr">
        <is>
          <t>25808200072</t>
        </is>
      </c>
      <c r="C297" s="6" t="inlineStr">
        <is>
          <t>Hoàng Vaên</t>
        </is>
      </c>
      <c r="D297" s="6" t="inlineStr">
        <is>
          <t>Kieân</t>
        </is>
      </c>
      <c r="E297" s="5" t="inlineStr">
        <is>
          <t>10-Nov-07</t>
        </is>
      </c>
      <c r="F297" s="5" t="inlineStr">
        <is>
          <t>LNH0925ND01</t>
        </is>
      </c>
      <c r="G297" s="105" t="n">
        <v>5000000</v>
      </c>
    </row>
    <row r="298">
      <c r="A298" s="5" t="n">
        <v>292</v>
      </c>
      <c r="B298" s="5" t="inlineStr">
        <is>
          <t>25809600077</t>
        </is>
      </c>
      <c r="C298" s="6" t="inlineStr">
        <is>
          <t>Leâ Thaønh</t>
        </is>
      </c>
      <c r="D298" s="6" t="inlineStr">
        <is>
          <t>Vieät</t>
        </is>
      </c>
      <c r="E298" s="5" t="inlineStr">
        <is>
          <t>18-Nov-07</t>
        </is>
      </c>
      <c r="F298" s="5" t="inlineStr">
        <is>
          <t>LNH0925ND01</t>
        </is>
      </c>
      <c r="G298" s="105" t="n">
        <v>5000000</v>
      </c>
    </row>
    <row r="299">
      <c r="A299" s="5" t="n">
        <v>293</v>
      </c>
      <c r="B299" s="5" t="inlineStr">
        <is>
          <t>25802800021</t>
        </is>
      </c>
      <c r="C299" s="6" t="inlineStr">
        <is>
          <t>Traàn Ngoïc</t>
        </is>
      </c>
      <c r="D299" s="6" t="inlineStr">
        <is>
          <t>Bích</t>
        </is>
      </c>
      <c r="E299" s="5" t="inlineStr">
        <is>
          <t>23-Oct-06</t>
        </is>
      </c>
      <c r="F299" s="5" t="inlineStr">
        <is>
          <t>LNH0925ND01</t>
        </is>
      </c>
      <c r="G299" s="105" t="n">
        <v>5000000</v>
      </c>
    </row>
    <row r="300">
      <c r="A300" s="5" t="n">
        <v>294</v>
      </c>
      <c r="B300" s="5" t="inlineStr">
        <is>
          <t>25806300003</t>
        </is>
      </c>
      <c r="C300" s="6" t="inlineStr">
        <is>
          <t>Mai Khaùnh</t>
        </is>
      </c>
      <c r="D300" s="6" t="inlineStr">
        <is>
          <t>Duy</t>
        </is>
      </c>
      <c r="E300" s="5" t="inlineStr">
        <is>
          <t>18-Nov-07</t>
        </is>
      </c>
      <c r="F300" s="5" t="inlineStr">
        <is>
          <t>LNH0925ND01</t>
        </is>
      </c>
      <c r="G300" s="105" t="n">
        <v>5000000</v>
      </c>
    </row>
    <row r="301">
      <c r="A301" s="5" t="n">
        <v>295</v>
      </c>
      <c r="B301" s="5" t="inlineStr">
        <is>
          <t>25808600127</t>
        </is>
      </c>
      <c r="C301" s="6" t="inlineStr">
        <is>
          <t>Nguyeãn Trung</t>
        </is>
      </c>
      <c r="D301" s="6" t="inlineStr">
        <is>
          <t>Tín</t>
        </is>
      </c>
      <c r="E301" s="5" t="inlineStr">
        <is>
          <t>02-Jan-99</t>
        </is>
      </c>
      <c r="F301" s="5" t="inlineStr">
        <is>
          <t>LNH0925ND01</t>
        </is>
      </c>
      <c r="G301" s="105" t="n">
        <v>5000000</v>
      </c>
    </row>
    <row r="302">
      <c r="A302" s="5" t="n">
        <v>296</v>
      </c>
      <c r="B302" s="5" t="inlineStr">
        <is>
          <t>25802800113</t>
        </is>
      </c>
      <c r="C302" s="6" t="inlineStr">
        <is>
          <t>Huyønh Phaïm Ñaêng</t>
        </is>
      </c>
      <c r="D302" s="6" t="inlineStr">
        <is>
          <t>Khoa</t>
        </is>
      </c>
      <c r="E302" s="5" t="inlineStr">
        <is>
          <t>29-Dec-07</t>
        </is>
      </c>
      <c r="F302" s="5" t="inlineStr">
        <is>
          <t>LNH0925ND01</t>
        </is>
      </c>
      <c r="G302" s="105" t="n">
        <v>5000000</v>
      </c>
    </row>
    <row r="303">
      <c r="A303" s="5" t="n">
        <v>297</v>
      </c>
      <c r="B303" s="5" t="inlineStr">
        <is>
          <t>25820200119</t>
        </is>
      </c>
      <c r="C303" s="6" t="inlineStr">
        <is>
          <t>Nguyeãn Minh</t>
        </is>
      </c>
      <c r="D303" s="6" t="inlineStr">
        <is>
          <t>Hieáu</t>
        </is>
      </c>
      <c r="E303" s="5" t="inlineStr">
        <is>
          <t>27-Nov-07</t>
        </is>
      </c>
      <c r="F303" s="5" t="inlineStr">
        <is>
          <t>LNH0925ND01</t>
        </is>
      </c>
      <c r="G303" s="105" t="n">
        <v>5000000</v>
      </c>
    </row>
    <row r="304">
      <c r="A304" s="5" t="n">
        <v>298</v>
      </c>
      <c r="B304" s="5" t="inlineStr">
        <is>
          <t>25820700064</t>
        </is>
      </c>
      <c r="C304" s="6" t="inlineStr">
        <is>
          <t>Voõ Thò Huyeàn</t>
        </is>
      </c>
      <c r="D304" s="6" t="inlineStr">
        <is>
          <t>Traân</t>
        </is>
      </c>
      <c r="E304" s="5" t="inlineStr">
        <is>
          <t>08-Apr-07</t>
        </is>
      </c>
      <c r="F304" s="5" t="inlineStr">
        <is>
          <t>LNH0925ND01</t>
        </is>
      </c>
      <c r="G304" s="105" t="n">
        <v>5000000</v>
      </c>
    </row>
    <row r="305">
      <c r="A305" s="5" t="n">
        <v>299</v>
      </c>
      <c r="B305" s="5" t="inlineStr">
        <is>
          <t>25802800250</t>
        </is>
      </c>
      <c r="C305" s="6" t="inlineStr">
        <is>
          <t>Mai Thanh</t>
        </is>
      </c>
      <c r="D305" s="6" t="inlineStr">
        <is>
          <t>Thuùy</t>
        </is>
      </c>
      <c r="E305" s="5" t="inlineStr">
        <is>
          <t>15-Jun-07</t>
        </is>
      </c>
      <c r="F305" s="5" t="inlineStr">
        <is>
          <t>LNH0925ND01</t>
        </is>
      </c>
      <c r="G305" s="105" t="n">
        <v>5415000</v>
      </c>
    </row>
    <row r="306">
      <c r="A306" s="5" t="n">
        <v>300</v>
      </c>
      <c r="B306" s="5" t="inlineStr">
        <is>
          <t>25809700009</t>
        </is>
      </c>
      <c r="C306" s="6" t="inlineStr">
        <is>
          <t>Thaïch Thò Huyønh</t>
        </is>
      </c>
      <c r="D306" s="6" t="inlineStr">
        <is>
          <t>Nhö</t>
        </is>
      </c>
      <c r="E306" s="5" t="inlineStr">
        <is>
          <t>04-Aug-07</t>
        </is>
      </c>
      <c r="F306" s="5" t="inlineStr">
        <is>
          <t>LNH0925NL01</t>
        </is>
      </c>
      <c r="G306" s="105" t="n">
        <v>6000000</v>
      </c>
    </row>
    <row r="307">
      <c r="A307" s="5" t="n">
        <v>301</v>
      </c>
      <c r="B307" s="20" t="inlineStr">
        <is>
          <t>25802100002</t>
        </is>
      </c>
      <c r="C307" s="6" t="inlineStr">
        <is>
          <t>Nguyeãn Hoaøng</t>
        </is>
      </c>
      <c r="D307" s="6" t="inlineStr">
        <is>
          <t>Anh</t>
        </is>
      </c>
      <c r="E307" s="5" t="inlineStr">
        <is>
          <t>09-Apr-02</t>
        </is>
      </c>
      <c r="F307" s="5" t="inlineStr">
        <is>
          <t>LNH0925NL01</t>
        </is>
      </c>
      <c r="G307" s="105" t="n">
        <v>6120000</v>
      </c>
      <c r="H307" s="19" t="n"/>
    </row>
    <row r="308">
      <c r="A308" s="5" t="n">
        <v>302</v>
      </c>
      <c r="B308" s="5" t="inlineStr">
        <is>
          <t>25802800108</t>
        </is>
      </c>
      <c r="C308" s="6" t="inlineStr">
        <is>
          <t>Voõ Traàn Baûo</t>
        </is>
      </c>
      <c r="D308" s="6" t="inlineStr">
        <is>
          <t>Khang</t>
        </is>
      </c>
      <c r="E308" s="5" t="inlineStr">
        <is>
          <t>19-Sep-07</t>
        </is>
      </c>
      <c r="F308" s="5" t="inlineStr">
        <is>
          <t>LNH0925NL01</t>
        </is>
      </c>
      <c r="G308" s="105" t="n">
        <v>6120000</v>
      </c>
    </row>
    <row r="309">
      <c r="A309" s="5" t="n">
        <v>303</v>
      </c>
      <c r="B309" s="5" t="inlineStr">
        <is>
          <t>25807800066</t>
        </is>
      </c>
      <c r="C309" s="6" t="inlineStr">
        <is>
          <t>Ñinh Duy Anh</t>
        </is>
      </c>
      <c r="D309" s="6" t="inlineStr">
        <is>
          <t>Khoâi</t>
        </is>
      </c>
      <c r="E309" s="5" t="inlineStr">
        <is>
          <t>21-Jun-07</t>
        </is>
      </c>
      <c r="F309" s="5" t="inlineStr">
        <is>
          <t>LNH0925NL01</t>
        </is>
      </c>
      <c r="G309" s="105" t="n">
        <v>6120000</v>
      </c>
    </row>
    <row r="310">
      <c r="A310" s="5" t="n">
        <v>304</v>
      </c>
      <c r="B310" s="5" t="inlineStr">
        <is>
          <t>25808200042</t>
        </is>
      </c>
      <c r="C310" s="6" t="inlineStr">
        <is>
          <t>Nguyeãn Phi</t>
        </is>
      </c>
      <c r="D310" s="6" t="inlineStr">
        <is>
          <t>Hieäp</t>
        </is>
      </c>
      <c r="E310" s="5" t="inlineStr">
        <is>
          <t>14-Dec-07</t>
        </is>
      </c>
      <c r="F310" s="5" t="inlineStr">
        <is>
          <t>LNH0925NL01</t>
        </is>
      </c>
      <c r="G310" s="105" t="n">
        <v>6120000</v>
      </c>
    </row>
    <row r="311">
      <c r="A311" s="5" t="n">
        <v>305</v>
      </c>
      <c r="B311" s="5" t="inlineStr">
        <is>
          <t>25802600075</t>
        </is>
      </c>
      <c r="C311" s="6" t="inlineStr">
        <is>
          <t>Huyønh Thanh Mai</t>
        </is>
      </c>
      <c r="D311" s="6" t="inlineStr">
        <is>
          <t>Ly</t>
        </is>
      </c>
      <c r="E311" s="5" t="inlineStr">
        <is>
          <t>26-Aug-07</t>
        </is>
      </c>
      <c r="F311" s="5" t="inlineStr">
        <is>
          <t>LNH0925NL01</t>
        </is>
      </c>
      <c r="G311" s="105" t="n">
        <v>6120000</v>
      </c>
    </row>
    <row r="312">
      <c r="A312" s="5" t="n">
        <v>306</v>
      </c>
      <c r="B312" s="5" t="inlineStr">
        <is>
          <t>25820200020</t>
        </is>
      </c>
      <c r="C312" s="6" t="inlineStr">
        <is>
          <t>Nguyeãn Nhaät</t>
        </is>
      </c>
      <c r="D312" s="6" t="inlineStr">
        <is>
          <t>Haøo</t>
        </is>
      </c>
      <c r="E312" s="5" t="inlineStr">
        <is>
          <t>28-Apr-07</t>
        </is>
      </c>
      <c r="F312" s="5" t="inlineStr">
        <is>
          <t>LNH0925NL01</t>
        </is>
      </c>
      <c r="G312" s="105" t="n">
        <v>6120000</v>
      </c>
    </row>
    <row r="313">
      <c r="A313" s="5" t="n">
        <v>307</v>
      </c>
      <c r="B313" s="5" t="inlineStr">
        <is>
          <t>25805900027</t>
        </is>
      </c>
      <c r="C313" s="6" t="inlineStr">
        <is>
          <t>Traàn Thò Ngoïc</t>
        </is>
      </c>
      <c r="D313" s="6" t="inlineStr">
        <is>
          <t>Nhi</t>
        </is>
      </c>
      <c r="E313" s="5" t="inlineStr">
        <is>
          <t>10-Nov-07</t>
        </is>
      </c>
      <c r="F313" s="5" t="inlineStr">
        <is>
          <t>LNH0925NL01</t>
        </is>
      </c>
      <c r="G313" s="105" t="n">
        <v>6120000</v>
      </c>
    </row>
    <row r="314">
      <c r="A314" s="5" t="n">
        <v>308</v>
      </c>
      <c r="B314" s="5" t="inlineStr">
        <is>
          <t>25820600001</t>
        </is>
      </c>
      <c r="C314" s="6" t="inlineStr">
        <is>
          <t>Löu Hoàng</t>
        </is>
      </c>
      <c r="D314" s="6" t="inlineStr">
        <is>
          <t>Anh</t>
        </is>
      </c>
      <c r="E314" s="5" t="inlineStr">
        <is>
          <t>06-Sep-07</t>
        </is>
      </c>
      <c r="F314" s="5" t="inlineStr">
        <is>
          <t>LNH0925NL01</t>
        </is>
      </c>
      <c r="G314" s="105" t="n">
        <v>6120000</v>
      </c>
    </row>
    <row r="315">
      <c r="A315" s="5" t="n">
        <v>309</v>
      </c>
      <c r="B315" s="5" t="inlineStr">
        <is>
          <t>25807800065</t>
        </is>
      </c>
      <c r="C315" s="6" t="inlineStr">
        <is>
          <t>Traàn Voõ Minh</t>
        </is>
      </c>
      <c r="D315" s="6" t="inlineStr">
        <is>
          <t>Khoa</t>
        </is>
      </c>
      <c r="E315" s="5" t="inlineStr">
        <is>
          <t>06-Jul-07</t>
        </is>
      </c>
      <c r="F315" s="5" t="inlineStr">
        <is>
          <t>LNH0925NL01</t>
        </is>
      </c>
      <c r="G315" s="105" t="n">
        <v>6120000</v>
      </c>
    </row>
    <row r="316">
      <c r="A316" s="5" t="n">
        <v>310</v>
      </c>
      <c r="B316" s="5" t="inlineStr">
        <is>
          <t>25808800045</t>
        </is>
      </c>
      <c r="C316" s="6" t="inlineStr">
        <is>
          <t>Phaïm Thò Myõ</t>
        </is>
      </c>
      <c r="D316" s="6" t="inlineStr">
        <is>
          <t>Leä</t>
        </is>
      </c>
      <c r="E316" s="5" t="inlineStr">
        <is>
          <t>04-Apr-07</t>
        </is>
      </c>
      <c r="F316" s="5" t="inlineStr">
        <is>
          <t>LNH0925NL01</t>
        </is>
      </c>
      <c r="G316" s="105" t="n">
        <v>6120000</v>
      </c>
    </row>
    <row r="317">
      <c r="A317" s="5" t="n">
        <v>311</v>
      </c>
      <c r="B317" s="5" t="inlineStr">
        <is>
          <t>25801700104</t>
        </is>
      </c>
      <c r="C317" s="6" t="inlineStr">
        <is>
          <t>Nguyeãn Thanh</t>
        </is>
      </c>
      <c r="D317" s="6" t="inlineStr">
        <is>
          <t>Duy</t>
        </is>
      </c>
      <c r="E317" s="5" t="inlineStr">
        <is>
          <t>27-Mar-07</t>
        </is>
      </c>
      <c r="F317" s="5" t="inlineStr">
        <is>
          <t>LNH0925NL01</t>
        </is>
      </c>
      <c r="G317" s="105" t="n">
        <v>6120000</v>
      </c>
    </row>
    <row r="318">
      <c r="A318" s="5" t="n">
        <v>312</v>
      </c>
      <c r="B318" s="5" t="inlineStr">
        <is>
          <t>25800500124</t>
        </is>
      </c>
      <c r="C318" s="6" t="inlineStr">
        <is>
          <t>Traàn Coâng Vónh</t>
        </is>
      </c>
      <c r="D318" s="6" t="inlineStr">
        <is>
          <t>Nguyeân</t>
        </is>
      </c>
      <c r="E318" s="5" t="inlineStr">
        <is>
          <t>26-Dec-07</t>
        </is>
      </c>
      <c r="F318" s="5" t="inlineStr">
        <is>
          <t>LNH0925NL01</t>
        </is>
      </c>
      <c r="G318" s="105" t="n">
        <v>6120000</v>
      </c>
    </row>
    <row r="319">
      <c r="A319" s="5" t="n">
        <v>313</v>
      </c>
      <c r="B319" s="5" t="inlineStr">
        <is>
          <t>25802800098</t>
        </is>
      </c>
      <c r="C319" s="6" t="inlineStr">
        <is>
          <t>Nguyeãn Leä</t>
        </is>
      </c>
      <c r="D319" s="6" t="inlineStr">
        <is>
          <t>Höông</t>
        </is>
      </c>
      <c r="E319" s="5" t="inlineStr">
        <is>
          <t>05-Apr-07</t>
        </is>
      </c>
      <c r="F319" s="5" t="inlineStr">
        <is>
          <t>LNH0925NL01</t>
        </is>
      </c>
      <c r="G319" s="105" t="n">
        <v>6120000</v>
      </c>
    </row>
    <row r="320">
      <c r="A320" s="5" t="n">
        <v>314</v>
      </c>
      <c r="B320" s="5" t="inlineStr">
        <is>
          <t>25800400028</t>
        </is>
      </c>
      <c r="C320" s="6" t="inlineStr">
        <is>
          <t>Traàn Thanh</t>
        </is>
      </c>
      <c r="D320" s="6" t="inlineStr">
        <is>
          <t>Döông</t>
        </is>
      </c>
      <c r="E320" s="5" t="inlineStr">
        <is>
          <t>02-Feb-07</t>
        </is>
      </c>
      <c r="F320" s="5" t="inlineStr">
        <is>
          <t>LNH0925NL01</t>
        </is>
      </c>
      <c r="G320" s="105" t="n">
        <v>6120000</v>
      </c>
    </row>
    <row r="321">
      <c r="A321" s="5" t="n">
        <v>315</v>
      </c>
      <c r="B321" s="5" t="inlineStr">
        <is>
          <t>25807800048</t>
        </is>
      </c>
      <c r="C321" s="6" t="inlineStr">
        <is>
          <t>Leâ Haûi Huy</t>
        </is>
      </c>
      <c r="D321" s="6" t="inlineStr">
        <is>
          <t>Hoaøng</t>
        </is>
      </c>
      <c r="E321" s="5" t="inlineStr">
        <is>
          <t>14-Mar-07</t>
        </is>
      </c>
      <c r="F321" s="5" t="inlineStr">
        <is>
          <t>LNH0925NL01</t>
        </is>
      </c>
      <c r="G321" s="105" t="n">
        <v>6120000</v>
      </c>
    </row>
    <row r="322">
      <c r="A322" s="5" t="n">
        <v>316</v>
      </c>
      <c r="B322" s="5" t="inlineStr">
        <is>
          <t>25802600143</t>
        </is>
      </c>
      <c r="C322" s="6" t="inlineStr">
        <is>
          <t>Phaïm Thò Haûi</t>
        </is>
      </c>
      <c r="D322" s="6" t="inlineStr">
        <is>
          <t>Yeán</t>
        </is>
      </c>
      <c r="E322" s="5" t="inlineStr">
        <is>
          <t>10-Aug-07</t>
        </is>
      </c>
      <c r="F322" s="5" t="inlineStr">
        <is>
          <t>LNH0925NL01</t>
        </is>
      </c>
      <c r="G322" s="105" t="n">
        <v>6120000</v>
      </c>
    </row>
    <row r="323">
      <c r="A323" s="5" t="n">
        <v>317</v>
      </c>
      <c r="B323" s="5" t="inlineStr">
        <is>
          <t>25800400268</t>
        </is>
      </c>
      <c r="C323" s="6" t="inlineStr">
        <is>
          <t>Nguyeãn Hoaøng Ñaêng</t>
        </is>
      </c>
      <c r="D323" s="6" t="inlineStr">
        <is>
          <t>Khoa</t>
        </is>
      </c>
      <c r="E323" s="5" t="inlineStr">
        <is>
          <t>18-Feb-07</t>
        </is>
      </c>
      <c r="F323" s="5" t="inlineStr">
        <is>
          <t>LNH0925NL01</t>
        </is>
      </c>
      <c r="G323" s="105" t="n">
        <v>6120000</v>
      </c>
    </row>
    <row r="324">
      <c r="A324" s="5" t="n">
        <v>318</v>
      </c>
      <c r="B324" s="5" t="inlineStr">
        <is>
          <t>25808100040</t>
        </is>
      </c>
      <c r="C324" s="6" t="inlineStr">
        <is>
          <t>Nguyeãn Hoaøng Trí</t>
        </is>
      </c>
      <c r="D324" s="6" t="inlineStr">
        <is>
          <t>Nhaân</t>
        </is>
      </c>
      <c r="E324" s="5" t="inlineStr">
        <is>
          <t>02-Jun-07</t>
        </is>
      </c>
      <c r="F324" s="5" t="inlineStr">
        <is>
          <t>LNH0925NL01</t>
        </is>
      </c>
      <c r="G324" s="105" t="n">
        <v>6120000</v>
      </c>
    </row>
    <row r="325">
      <c r="A325" s="5" t="n">
        <v>319</v>
      </c>
      <c r="B325" s="5" t="inlineStr">
        <is>
          <t>25803000213</t>
        </is>
      </c>
      <c r="C325" s="6" t="inlineStr">
        <is>
          <t>Vöông Quoác</t>
        </is>
      </c>
      <c r="D325" s="6" t="inlineStr">
        <is>
          <t>Huy</t>
        </is>
      </c>
      <c r="E325" s="5" t="inlineStr">
        <is>
          <t>04-Feb-07</t>
        </is>
      </c>
      <c r="F325" s="5" t="inlineStr">
        <is>
          <t>LNH0925NL01</t>
        </is>
      </c>
      <c r="G325" s="105" t="n">
        <v>6120000</v>
      </c>
    </row>
    <row r="326">
      <c r="A326" s="5" t="n">
        <v>320</v>
      </c>
      <c r="B326" s="5" t="inlineStr">
        <is>
          <t>25808700134</t>
        </is>
      </c>
      <c r="C326" s="6" t="inlineStr">
        <is>
          <t>Ñoã Gia</t>
        </is>
      </c>
      <c r="D326" s="6" t="inlineStr">
        <is>
          <t>Huy</t>
        </is>
      </c>
      <c r="E326" s="5" t="inlineStr">
        <is>
          <t>26-Apr-07</t>
        </is>
      </c>
      <c r="F326" s="5" t="inlineStr">
        <is>
          <t>LNH0925NL01</t>
        </is>
      </c>
      <c r="G326" s="105" t="n">
        <v>6120000</v>
      </c>
    </row>
    <row r="327">
      <c r="A327" s="5" t="n">
        <v>321</v>
      </c>
      <c r="B327" s="5" t="inlineStr">
        <is>
          <t>25806600141</t>
        </is>
      </c>
      <c r="C327" s="6" t="inlineStr">
        <is>
          <t>Traàn Thò Maãn</t>
        </is>
      </c>
      <c r="D327" s="6" t="inlineStr">
        <is>
          <t>Nghi</t>
        </is>
      </c>
      <c r="E327" s="5" t="inlineStr">
        <is>
          <t>06-Jan-07</t>
        </is>
      </c>
      <c r="F327" s="5" t="inlineStr">
        <is>
          <t>LNH0925NL01</t>
        </is>
      </c>
      <c r="G327" s="105" t="n">
        <v>6120000</v>
      </c>
    </row>
    <row r="328">
      <c r="A328" s="5" t="n">
        <v>322</v>
      </c>
      <c r="B328" s="5" t="inlineStr">
        <is>
          <t>25820700012</t>
        </is>
      </c>
      <c r="C328" s="6" t="inlineStr">
        <is>
          <t>Ngoâ Maïnh Tröôøng</t>
        </is>
      </c>
      <c r="D328" s="6" t="inlineStr">
        <is>
          <t>Huy</t>
        </is>
      </c>
      <c r="E328" s="5" t="inlineStr">
        <is>
          <t>18-Aug-07</t>
        </is>
      </c>
      <c r="F328" s="5" t="inlineStr">
        <is>
          <t>LNH0925ND01</t>
        </is>
      </c>
      <c r="G328" s="105" t="n">
        <v>7415000</v>
      </c>
    </row>
    <row r="329">
      <c r="A329" s="5" t="n">
        <v>323</v>
      </c>
      <c r="B329" s="5" t="inlineStr">
        <is>
          <t>25802800245</t>
        </is>
      </c>
      <c r="C329" s="6" t="inlineStr">
        <is>
          <t>Traàn Anh</t>
        </is>
      </c>
      <c r="D329" s="6" t="inlineStr">
        <is>
          <t>Thi</t>
        </is>
      </c>
      <c r="E329" s="5" t="inlineStr">
        <is>
          <t>05-Sep-07</t>
        </is>
      </c>
      <c r="F329" s="5" t="inlineStr">
        <is>
          <t>LNH0925ND01</t>
        </is>
      </c>
      <c r="G329" s="105" t="n">
        <v>7540000</v>
      </c>
    </row>
    <row r="330">
      <c r="A330" s="5" t="n">
        <v>324</v>
      </c>
      <c r="B330" s="5" t="inlineStr">
        <is>
          <t>25820500009</t>
        </is>
      </c>
      <c r="C330" s="6" t="inlineStr">
        <is>
          <t>Huyønh Uyeån</t>
        </is>
      </c>
      <c r="D330" s="6" t="inlineStr">
        <is>
          <t>My</t>
        </is>
      </c>
      <c r="E330" s="5" t="inlineStr">
        <is>
          <t>08-Apr-07</t>
        </is>
      </c>
      <c r="F330" s="5" t="inlineStr">
        <is>
          <t>LNH0925ND01</t>
        </is>
      </c>
      <c r="G330" s="105" t="n">
        <v>7540000</v>
      </c>
    </row>
    <row r="331">
      <c r="A331" s="5" t="n">
        <v>325</v>
      </c>
      <c r="B331" s="5" t="inlineStr">
        <is>
          <t>25807900080</t>
        </is>
      </c>
      <c r="C331" s="6" t="inlineStr">
        <is>
          <t>Hoaøng Gia Anh</t>
        </is>
      </c>
      <c r="D331" s="6" t="inlineStr">
        <is>
          <t>Kieät</t>
        </is>
      </c>
      <c r="E331" s="5" t="inlineStr">
        <is>
          <t>13-Dec-07</t>
        </is>
      </c>
      <c r="F331" s="5" t="inlineStr">
        <is>
          <t>LNH0925ND01</t>
        </is>
      </c>
      <c r="G331" s="105" t="n">
        <v>7540000</v>
      </c>
    </row>
    <row r="332">
      <c r="A332" s="5" t="n">
        <v>326</v>
      </c>
      <c r="B332" s="5" t="inlineStr">
        <is>
          <t>25802800019</t>
        </is>
      </c>
      <c r="C332" s="6" t="inlineStr">
        <is>
          <t>Ninh Gia</t>
        </is>
      </c>
      <c r="D332" s="6" t="inlineStr">
        <is>
          <t>Baûo</t>
        </is>
      </c>
      <c r="E332" s="5" t="inlineStr">
        <is>
          <t>15-Oct-07</t>
        </is>
      </c>
      <c r="F332" s="5" t="inlineStr">
        <is>
          <t>LNH0925ND01</t>
        </is>
      </c>
      <c r="G332" s="105" t="n">
        <v>7540000</v>
      </c>
    </row>
    <row r="333">
      <c r="A333" s="5" t="n">
        <v>327</v>
      </c>
      <c r="B333" s="5" t="inlineStr">
        <is>
          <t>25802800018</t>
        </is>
      </c>
      <c r="C333" s="6" t="inlineStr">
        <is>
          <t>Nguyeãn Duy</t>
        </is>
      </c>
      <c r="D333" s="6" t="inlineStr">
        <is>
          <t>Baûo</t>
        </is>
      </c>
      <c r="E333" s="5" t="inlineStr">
        <is>
          <t>30-Mar-07</t>
        </is>
      </c>
      <c r="F333" s="5" t="inlineStr">
        <is>
          <t>LNH0925ND01</t>
        </is>
      </c>
      <c r="G333" s="105" t="n">
        <v>7540000</v>
      </c>
    </row>
    <row r="334">
      <c r="A334" s="5" t="n">
        <v>328</v>
      </c>
      <c r="B334" s="5" t="inlineStr">
        <is>
          <t>25808600027</t>
        </is>
      </c>
      <c r="C334" s="6" t="inlineStr">
        <is>
          <t>Leâ Thu Haûi</t>
        </is>
      </c>
      <c r="D334" s="6" t="inlineStr">
        <is>
          <t>Haø</t>
        </is>
      </c>
      <c r="E334" s="5" t="inlineStr">
        <is>
          <t>06-Oct-07</t>
        </is>
      </c>
      <c r="F334" s="5" t="inlineStr">
        <is>
          <t>LNH0925ND01</t>
        </is>
      </c>
      <c r="G334" s="105" t="n">
        <v>7540000</v>
      </c>
    </row>
    <row r="335">
      <c r="A335" s="5" t="n">
        <v>329</v>
      </c>
      <c r="B335" s="5" t="inlineStr">
        <is>
          <t>25807500108</t>
        </is>
      </c>
      <c r="C335" s="6" t="inlineStr">
        <is>
          <t>Phan Nhö Ngoïc</t>
        </is>
      </c>
      <c r="D335" s="6" t="inlineStr">
        <is>
          <t>Thanh</t>
        </is>
      </c>
      <c r="E335" s="5" t="inlineStr">
        <is>
          <t>18-May-07</t>
        </is>
      </c>
      <c r="F335" s="5" t="inlineStr">
        <is>
          <t>LNH0925ND01</t>
        </is>
      </c>
      <c r="G335" s="105" t="n">
        <v>7540000</v>
      </c>
    </row>
    <row r="336">
      <c r="A336" s="5" t="n">
        <v>330</v>
      </c>
      <c r="B336" s="5" t="inlineStr">
        <is>
          <t>25802600110</t>
        </is>
      </c>
      <c r="C336" s="6" t="inlineStr">
        <is>
          <t>Nguyeãn Traàn Nhaät</t>
        </is>
      </c>
      <c r="D336" s="6" t="inlineStr">
        <is>
          <t>Thanh</t>
        </is>
      </c>
      <c r="E336" s="5" t="inlineStr">
        <is>
          <t>28-Jun-07</t>
        </is>
      </c>
      <c r="F336" s="5" t="inlineStr">
        <is>
          <t>LNH0925ND01</t>
        </is>
      </c>
      <c r="G336" s="105" t="n">
        <v>8000000</v>
      </c>
    </row>
    <row r="337">
      <c r="A337" s="5" t="n">
        <v>331</v>
      </c>
      <c r="B337" s="5" t="inlineStr">
        <is>
          <t>25807500215</t>
        </is>
      </c>
      <c r="C337" s="6" t="inlineStr">
        <is>
          <t>Tröông Ngoïc Nhaõ</t>
        </is>
      </c>
      <c r="D337" s="6" t="inlineStr">
        <is>
          <t>Ñoan</t>
        </is>
      </c>
      <c r="E337" s="5" t="inlineStr">
        <is>
          <t>06-Dec-07</t>
        </is>
      </c>
      <c r="F337" s="5" t="inlineStr">
        <is>
          <t>LNH0925ND01</t>
        </is>
      </c>
      <c r="G337" s="105" t="n">
        <v>8145000</v>
      </c>
    </row>
    <row r="338">
      <c r="A338" s="5" t="n">
        <v>332</v>
      </c>
      <c r="B338" s="5" t="inlineStr">
        <is>
          <t>25802300384</t>
        </is>
      </c>
      <c r="C338" s="6" t="inlineStr">
        <is>
          <t>Mai Thien</t>
        </is>
      </c>
      <c r="D338" s="6" t="inlineStr">
        <is>
          <t>Tan</t>
        </is>
      </c>
      <c r="E338" s="5" t="inlineStr">
        <is>
          <t xml:space="preserve">  -   -</t>
        </is>
      </c>
      <c r="F338" s="5" t="inlineStr">
        <is>
          <t>LNH0925ND01</t>
        </is>
      </c>
      <c r="G338" s="105" t="n">
        <v>8415000</v>
      </c>
    </row>
    <row r="339">
      <c r="A339" s="5" t="n">
        <v>333</v>
      </c>
      <c r="B339" s="5" t="inlineStr">
        <is>
          <t>25801700020</t>
        </is>
      </c>
      <c r="C339" s="6" t="inlineStr">
        <is>
          <t>Bui Quang</t>
        </is>
      </c>
      <c r="D339" s="6" t="inlineStr">
        <is>
          <t>Huy</t>
        </is>
      </c>
      <c r="E339" s="5" t="inlineStr">
        <is>
          <t xml:space="preserve">  -   -</t>
        </is>
      </c>
      <c r="F339" s="5" t="inlineStr">
        <is>
          <t>LNH0925ND01</t>
        </is>
      </c>
      <c r="G339" s="105" t="n">
        <v>8415000</v>
      </c>
    </row>
    <row r="340">
      <c r="A340" s="5" t="n">
        <v>334</v>
      </c>
      <c r="B340" s="5" t="inlineStr">
        <is>
          <t>25808900008</t>
        </is>
      </c>
      <c r="C340" s="6" t="inlineStr">
        <is>
          <t>Le Do Hung</t>
        </is>
      </c>
      <c r="D340" s="6" t="inlineStr">
        <is>
          <t>Anh</t>
        </is>
      </c>
      <c r="E340" s="5" t="inlineStr">
        <is>
          <t xml:space="preserve">  -   -</t>
        </is>
      </c>
      <c r="F340" s="5" t="inlineStr">
        <is>
          <t>LNH0925ND01</t>
        </is>
      </c>
      <c r="G340" s="105" t="n">
        <v>8415000</v>
      </c>
    </row>
    <row r="341">
      <c r="A341" s="5" t="n">
        <v>335</v>
      </c>
      <c r="B341" s="5" t="inlineStr">
        <is>
          <t>25800400162</t>
        </is>
      </c>
      <c r="C341" s="6" t="inlineStr">
        <is>
          <t>Nguyen Van</t>
        </is>
      </c>
      <c r="D341" s="6" t="inlineStr">
        <is>
          <t>Truyen</t>
        </is>
      </c>
      <c r="E341" s="5" t="inlineStr">
        <is>
          <t xml:space="preserve">  -   -</t>
        </is>
      </c>
      <c r="F341" s="5" t="inlineStr">
        <is>
          <t>LNH0925ND01</t>
        </is>
      </c>
      <c r="G341" s="105" t="n">
        <v>8415000</v>
      </c>
    </row>
    <row r="342">
      <c r="A342" s="5" t="n">
        <v>336</v>
      </c>
      <c r="B342" s="5" t="inlineStr">
        <is>
          <t>25808300049</t>
        </is>
      </c>
      <c r="C342" s="6" t="inlineStr">
        <is>
          <t>Nguyen Thi Anh</t>
        </is>
      </c>
      <c r="D342" s="6" t="inlineStr">
        <is>
          <t>Thu</t>
        </is>
      </c>
      <c r="E342" s="5" t="inlineStr">
        <is>
          <t xml:space="preserve">  -   -</t>
        </is>
      </c>
      <c r="F342" s="5" t="inlineStr">
        <is>
          <t>LNH0925ND01</t>
        </is>
      </c>
      <c r="G342" s="105" t="n">
        <v>8415000</v>
      </c>
    </row>
    <row r="343">
      <c r="A343" s="5" t="n">
        <v>337</v>
      </c>
      <c r="B343" s="5" t="inlineStr">
        <is>
          <t>25808200085</t>
        </is>
      </c>
      <c r="C343" s="6" t="inlineStr">
        <is>
          <t>Nguyen Hoang</t>
        </is>
      </c>
      <c r="D343" s="6" t="inlineStr">
        <is>
          <t>Minh</t>
        </is>
      </c>
      <c r="E343" s="5" t="inlineStr">
        <is>
          <t xml:space="preserve">  -   -</t>
        </is>
      </c>
      <c r="F343" s="5" t="inlineStr">
        <is>
          <t>LNH0925ND01</t>
        </is>
      </c>
      <c r="G343" s="105" t="n">
        <v>8415000</v>
      </c>
    </row>
    <row r="344">
      <c r="A344" s="5" t="n">
        <v>338</v>
      </c>
      <c r="B344" s="5" t="inlineStr">
        <is>
          <t>25802600004</t>
        </is>
      </c>
      <c r="C344" s="6" t="inlineStr">
        <is>
          <t>Nguyen Chau</t>
        </is>
      </c>
      <c r="D344" s="6" t="inlineStr">
        <is>
          <t>Anh</t>
        </is>
      </c>
      <c r="E344" s="5" t="inlineStr">
        <is>
          <t xml:space="preserve">  -   -</t>
        </is>
      </c>
      <c r="F344" s="5" t="inlineStr">
        <is>
          <t>LNH0925ND01</t>
        </is>
      </c>
      <c r="G344" s="105" t="n">
        <v>8415000</v>
      </c>
    </row>
    <row r="345">
      <c r="A345" s="5" t="n">
        <v>339</v>
      </c>
      <c r="B345" s="5" t="inlineStr">
        <is>
          <t>25808900260</t>
        </is>
      </c>
      <c r="C345" s="6" t="inlineStr">
        <is>
          <t>Dinh Gia</t>
        </is>
      </c>
      <c r="D345" s="6" t="inlineStr">
        <is>
          <t>Bao</t>
        </is>
      </c>
      <c r="E345" s="5" t="inlineStr">
        <is>
          <t xml:space="preserve">  -   -</t>
        </is>
      </c>
      <c r="F345" s="5" t="inlineStr">
        <is>
          <t>LNH0925ND01</t>
        </is>
      </c>
      <c r="G345" s="105" t="n">
        <v>8415000</v>
      </c>
    </row>
    <row r="346">
      <c r="A346" s="5" t="n">
        <v>340</v>
      </c>
      <c r="B346" s="5" t="inlineStr">
        <is>
          <t>25801800110</t>
        </is>
      </c>
      <c r="C346" s="6" t="inlineStr">
        <is>
          <t>Leâ Thò</t>
        </is>
      </c>
      <c r="D346" s="6" t="inlineStr">
        <is>
          <t>Nguyeân</t>
        </is>
      </c>
      <c r="E346" s="5" t="inlineStr">
        <is>
          <t>14-Dec-07</t>
        </is>
      </c>
      <c r="F346" s="5" t="inlineStr">
        <is>
          <t>LNH0925ND01</t>
        </is>
      </c>
      <c r="G346" s="105" t="n">
        <v>8415000</v>
      </c>
    </row>
    <row r="347">
      <c r="A347" s="5" t="n">
        <v>341</v>
      </c>
      <c r="B347" s="5" t="inlineStr">
        <is>
          <t>25802800180</t>
        </is>
      </c>
      <c r="C347" s="6" t="inlineStr">
        <is>
          <t>Thaùi Huyønh</t>
        </is>
      </c>
      <c r="D347" s="6" t="inlineStr">
        <is>
          <t>Nhaân</t>
        </is>
      </c>
      <c r="E347" s="5" t="inlineStr">
        <is>
          <t>30-Oct-07</t>
        </is>
      </c>
      <c r="F347" s="5" t="inlineStr">
        <is>
          <t>LNH0925ND01</t>
        </is>
      </c>
      <c r="G347" s="105" t="n">
        <v>8415000</v>
      </c>
    </row>
    <row r="348">
      <c r="A348" s="5" t="n">
        <v>342</v>
      </c>
      <c r="B348" s="5" t="inlineStr">
        <is>
          <t>25800400117</t>
        </is>
      </c>
      <c r="C348" s="6" t="inlineStr">
        <is>
          <t>Vuõ Hoaøng Minh</t>
        </is>
      </c>
      <c r="D348" s="6" t="inlineStr">
        <is>
          <t>Nhaät</t>
        </is>
      </c>
      <c r="E348" s="5" t="inlineStr">
        <is>
          <t>01-Jan-07</t>
        </is>
      </c>
      <c r="F348" s="5" t="inlineStr">
        <is>
          <t>LNH0925ND01</t>
        </is>
      </c>
      <c r="G348" s="105" t="n">
        <v>8415000</v>
      </c>
    </row>
    <row r="349">
      <c r="A349" s="5" t="n">
        <v>343</v>
      </c>
      <c r="B349" s="5" t="inlineStr">
        <is>
          <t>25807500152</t>
        </is>
      </c>
      <c r="C349" s="6" t="inlineStr">
        <is>
          <t>Ñaëng Minh</t>
        </is>
      </c>
      <c r="D349" s="6" t="inlineStr">
        <is>
          <t>Tröôøng</t>
        </is>
      </c>
      <c r="E349" s="5" t="inlineStr">
        <is>
          <t>03-Dec-07</t>
        </is>
      </c>
      <c r="F349" s="5" t="inlineStr">
        <is>
          <t>LNH0925ND01</t>
        </is>
      </c>
      <c r="G349" s="105" t="n">
        <v>8415000</v>
      </c>
    </row>
    <row r="350">
      <c r="A350" s="5" t="n">
        <v>344</v>
      </c>
      <c r="B350" s="5" t="inlineStr">
        <is>
          <t>25801600070</t>
        </is>
      </c>
      <c r="C350" s="6" t="inlineStr">
        <is>
          <t>Phan Thaønh</t>
        </is>
      </c>
      <c r="D350" s="6" t="inlineStr">
        <is>
          <t>Nhaân</t>
        </is>
      </c>
      <c r="E350" s="5" t="inlineStr">
        <is>
          <t>09-Nov-07</t>
        </is>
      </c>
      <c r="F350" s="5" t="inlineStr">
        <is>
          <t>LNH0925ND01</t>
        </is>
      </c>
      <c r="G350" s="105" t="n">
        <v>8415000</v>
      </c>
    </row>
    <row r="351">
      <c r="A351" s="5" t="n">
        <v>345</v>
      </c>
      <c r="B351" s="5" t="inlineStr">
        <is>
          <t>25808600150</t>
        </is>
      </c>
      <c r="C351" s="6" t="inlineStr">
        <is>
          <t>Nguyeãn Thò Ngoïc</t>
        </is>
      </c>
      <c r="D351" s="6" t="inlineStr">
        <is>
          <t>Vi</t>
        </is>
      </c>
      <c r="E351" s="5" t="inlineStr">
        <is>
          <t>31-Jul-07</t>
        </is>
      </c>
      <c r="F351" s="5" t="inlineStr">
        <is>
          <t>LNH0925ND01</t>
        </is>
      </c>
      <c r="G351" s="105" t="n">
        <v>8415000</v>
      </c>
    </row>
    <row r="352">
      <c r="A352" s="5" t="n">
        <v>346</v>
      </c>
      <c r="B352" s="5" t="inlineStr">
        <is>
          <t>25808600083</t>
        </is>
      </c>
      <c r="C352" s="6" t="inlineStr">
        <is>
          <t>Nguyeãn Thò Khaùnh</t>
        </is>
      </c>
      <c r="D352" s="6" t="inlineStr">
        <is>
          <t>Nhi</t>
        </is>
      </c>
      <c r="E352" s="5" t="inlineStr">
        <is>
          <t>24-Apr-07</t>
        </is>
      </c>
      <c r="F352" s="5" t="inlineStr">
        <is>
          <t>LNH0925ND01</t>
        </is>
      </c>
      <c r="G352" s="105" t="n">
        <v>8415000</v>
      </c>
    </row>
    <row r="353">
      <c r="A353" s="5" t="n">
        <v>347</v>
      </c>
      <c r="B353" s="5" t="inlineStr">
        <is>
          <t>25808600120</t>
        </is>
      </c>
      <c r="C353" s="6" t="inlineStr">
        <is>
          <t>Traàn Nguyeãn Anh</t>
        </is>
      </c>
      <c r="D353" s="6" t="inlineStr">
        <is>
          <t>Thö</t>
        </is>
      </c>
      <c r="E353" s="5" t="inlineStr">
        <is>
          <t>27-May-07</t>
        </is>
      </c>
      <c r="F353" s="5" t="inlineStr">
        <is>
          <t>LNH0925ND01</t>
        </is>
      </c>
      <c r="G353" s="105" t="n">
        <v>8415000</v>
      </c>
    </row>
    <row r="354">
      <c r="A354" s="5" t="n">
        <v>348</v>
      </c>
      <c r="B354" s="5" t="inlineStr">
        <is>
          <t>25801100062</t>
        </is>
      </c>
      <c r="C354" s="6" t="inlineStr">
        <is>
          <t>Phaïm Nhaät</t>
        </is>
      </c>
      <c r="D354" s="6" t="inlineStr">
        <is>
          <t>Thieân</t>
        </is>
      </c>
      <c r="E354" s="5" t="inlineStr">
        <is>
          <t>10-Aug-07</t>
        </is>
      </c>
      <c r="F354" s="5" t="inlineStr">
        <is>
          <t>LNH0925ND01</t>
        </is>
      </c>
      <c r="G354" s="105" t="n">
        <v>8415000</v>
      </c>
    </row>
    <row r="355">
      <c r="A355" s="5" t="n">
        <v>349</v>
      </c>
      <c r="B355" s="5" t="inlineStr">
        <is>
          <t>25808600065</t>
        </is>
      </c>
      <c r="C355" s="6" t="inlineStr">
        <is>
          <t>Nguyeãn Traø</t>
        </is>
      </c>
      <c r="D355" s="6" t="inlineStr">
        <is>
          <t>My</t>
        </is>
      </c>
      <c r="E355" s="5" t="inlineStr">
        <is>
          <t>13-May-07</t>
        </is>
      </c>
      <c r="F355" s="5" t="inlineStr">
        <is>
          <t>LNH0925ND01</t>
        </is>
      </c>
      <c r="G355" s="105" t="n">
        <v>8415000</v>
      </c>
    </row>
    <row r="356">
      <c r="A356" s="5" t="n">
        <v>350</v>
      </c>
      <c r="B356" s="5" t="inlineStr">
        <is>
          <t>25802700127</t>
        </is>
      </c>
      <c r="C356" s="6" t="inlineStr">
        <is>
          <t>Leâ Xuaân</t>
        </is>
      </c>
      <c r="D356" s="6" t="inlineStr">
        <is>
          <t>Höng</t>
        </is>
      </c>
      <c r="E356" s="5" t="inlineStr">
        <is>
          <t>20-Jun-07</t>
        </is>
      </c>
      <c r="F356" s="5" t="inlineStr">
        <is>
          <t>LNH0925ND01</t>
        </is>
      </c>
      <c r="G356" s="105" t="n">
        <v>8415000</v>
      </c>
    </row>
    <row r="357">
      <c r="A357" s="5" t="n">
        <v>351</v>
      </c>
      <c r="B357" s="5" t="inlineStr">
        <is>
          <t>25802800205</t>
        </is>
      </c>
      <c r="C357" s="6" t="inlineStr">
        <is>
          <t>Phuøng Theá</t>
        </is>
      </c>
      <c r="D357" s="6" t="inlineStr">
        <is>
          <t>Phong</t>
        </is>
      </c>
      <c r="E357" s="5" t="inlineStr">
        <is>
          <t>24-Dec-07</t>
        </is>
      </c>
      <c r="F357" s="5" t="inlineStr">
        <is>
          <t>LNH0925ND01</t>
        </is>
      </c>
      <c r="G357" s="105" t="n">
        <v>8415000</v>
      </c>
    </row>
    <row r="358">
      <c r="A358" s="5" t="n">
        <v>352</v>
      </c>
      <c r="B358" s="5" t="inlineStr">
        <is>
          <t>25802800160</t>
        </is>
      </c>
      <c r="C358" s="6" t="inlineStr">
        <is>
          <t>Cao Nguyeãn Yeán</t>
        </is>
      </c>
      <c r="D358" s="6" t="inlineStr">
        <is>
          <t>Ngoïc</t>
        </is>
      </c>
      <c r="E358" s="5" t="inlineStr">
        <is>
          <t>05-Jan-07</t>
        </is>
      </c>
      <c r="F358" s="5" t="inlineStr">
        <is>
          <t>LNH0925ND01</t>
        </is>
      </c>
      <c r="G358" s="105" t="n">
        <v>8415000</v>
      </c>
    </row>
    <row r="359">
      <c r="A359" s="5" t="n">
        <v>353</v>
      </c>
      <c r="B359" s="5" t="inlineStr">
        <is>
          <t>25807500079</t>
        </is>
      </c>
      <c r="C359" s="6" t="inlineStr">
        <is>
          <t>Leâ Thaûo Haïnh</t>
        </is>
      </c>
      <c r="D359" s="6" t="inlineStr">
        <is>
          <t>Nguyeân</t>
        </is>
      </c>
      <c r="E359" s="5" t="inlineStr">
        <is>
          <t>23-Dec-07</t>
        </is>
      </c>
      <c r="F359" s="5" t="inlineStr">
        <is>
          <t>LNH0925ND01</t>
        </is>
      </c>
      <c r="G359" s="105" t="n">
        <v>8415000</v>
      </c>
    </row>
    <row r="360">
      <c r="A360" s="5" t="n">
        <v>354</v>
      </c>
      <c r="B360" s="5" t="inlineStr">
        <is>
          <t>25803800039</t>
        </is>
      </c>
      <c r="C360" s="6" t="inlineStr">
        <is>
          <t>Laâm Ñinh Baûo</t>
        </is>
      </c>
      <c r="D360" s="6" t="inlineStr">
        <is>
          <t>Nghi</t>
        </is>
      </c>
      <c r="E360" s="5" t="inlineStr">
        <is>
          <t>01-Nov-07</t>
        </is>
      </c>
      <c r="F360" s="5" t="inlineStr">
        <is>
          <t>LNH0925ND01</t>
        </is>
      </c>
      <c r="G360" s="105" t="n">
        <v>8415000</v>
      </c>
    </row>
    <row r="361">
      <c r="A361" s="5" t="n">
        <v>355</v>
      </c>
      <c r="B361" s="5" t="inlineStr">
        <is>
          <t>25801100079</t>
        </is>
      </c>
      <c r="C361" s="6" t="inlineStr">
        <is>
          <t>Traàn Thò Bích</t>
        </is>
      </c>
      <c r="D361" s="6" t="inlineStr">
        <is>
          <t>Tuyeàn</t>
        </is>
      </c>
      <c r="E361" s="5" t="inlineStr">
        <is>
          <t>23-May-07</t>
        </is>
      </c>
      <c r="F361" s="5" t="inlineStr">
        <is>
          <t>LNH0925ND01</t>
        </is>
      </c>
      <c r="G361" s="105" t="n">
        <v>8415000</v>
      </c>
    </row>
    <row r="362">
      <c r="A362" s="5" t="n">
        <v>356</v>
      </c>
      <c r="B362" s="5" t="inlineStr">
        <is>
          <t>25808200070</t>
        </is>
      </c>
      <c r="C362" s="6" t="inlineStr">
        <is>
          <t>Traàn Minh</t>
        </is>
      </c>
      <c r="D362" s="6" t="inlineStr">
        <is>
          <t>Khoa</t>
        </is>
      </c>
      <c r="E362" s="5" t="inlineStr">
        <is>
          <t>20-Dec-07</t>
        </is>
      </c>
      <c r="F362" s="5" t="inlineStr">
        <is>
          <t>LNH0925ND01</t>
        </is>
      </c>
      <c r="G362" s="105" t="n">
        <v>8415000</v>
      </c>
    </row>
    <row r="363">
      <c r="A363" s="5" t="n">
        <v>357</v>
      </c>
      <c r="B363" s="5" t="inlineStr">
        <is>
          <t>25801100042</t>
        </is>
      </c>
      <c r="C363" s="6" t="inlineStr">
        <is>
          <t>Nguyeãn Troïng</t>
        </is>
      </c>
      <c r="D363" s="6" t="inlineStr">
        <is>
          <t>Nguyeãn</t>
        </is>
      </c>
      <c r="E363" s="5" t="inlineStr">
        <is>
          <t>29-Dec-07</t>
        </is>
      </c>
      <c r="F363" s="5" t="inlineStr">
        <is>
          <t>LNH0925ND01</t>
        </is>
      </c>
      <c r="G363" s="105" t="n">
        <v>8415000</v>
      </c>
    </row>
    <row r="364">
      <c r="A364" s="5" t="n">
        <v>358</v>
      </c>
      <c r="B364" s="5" t="inlineStr">
        <is>
          <t>25808600086</t>
        </is>
      </c>
      <c r="C364" s="6" t="inlineStr">
        <is>
          <t>Taï Thò Tuyeát</t>
        </is>
      </c>
      <c r="D364" s="6" t="inlineStr">
        <is>
          <t>Nhung</t>
        </is>
      </c>
      <c r="E364" s="5" t="inlineStr">
        <is>
          <t>22-May-06</t>
        </is>
      </c>
      <c r="F364" s="5" t="inlineStr">
        <is>
          <t>LNH0925ND01</t>
        </is>
      </c>
      <c r="G364" s="105" t="n">
        <v>8415000</v>
      </c>
    </row>
    <row r="365">
      <c r="A365" s="5" t="n">
        <v>359</v>
      </c>
      <c r="B365" s="5" t="inlineStr">
        <is>
          <t>25807900008</t>
        </is>
      </c>
      <c r="C365" s="6" t="inlineStr">
        <is>
          <t>Voõ Khaéc</t>
        </is>
      </c>
      <c r="D365" s="6" t="inlineStr">
        <is>
          <t>Duy</t>
        </is>
      </c>
      <c r="E365" s="5" t="inlineStr">
        <is>
          <t>01-Jun-07</t>
        </is>
      </c>
      <c r="F365" s="5" t="inlineStr">
        <is>
          <t>LNH0925ND01</t>
        </is>
      </c>
      <c r="G365" s="105" t="n">
        <v>8415000</v>
      </c>
    </row>
    <row r="366">
      <c r="A366" s="5" t="n">
        <v>360</v>
      </c>
      <c r="B366" s="5" t="inlineStr">
        <is>
          <t>25805800009</t>
        </is>
      </c>
      <c r="C366" s="6" t="inlineStr">
        <is>
          <t>Vuõ Haûi</t>
        </is>
      </c>
      <c r="D366" s="6" t="inlineStr">
        <is>
          <t>Haø</t>
        </is>
      </c>
      <c r="E366" s="5" t="inlineStr">
        <is>
          <t>12-Nov-07</t>
        </is>
      </c>
      <c r="F366" s="5" t="inlineStr">
        <is>
          <t>LNH0925ND01</t>
        </is>
      </c>
      <c r="G366" s="105" t="n">
        <v>8415000</v>
      </c>
    </row>
    <row r="367">
      <c r="A367" s="5" t="n">
        <v>361</v>
      </c>
      <c r="B367" s="5" t="inlineStr">
        <is>
          <t>25800400110</t>
        </is>
      </c>
      <c r="C367" s="6" t="inlineStr">
        <is>
          <t>Leâ Trung</t>
        </is>
      </c>
      <c r="D367" s="6" t="inlineStr">
        <is>
          <t>Nguyeân</t>
        </is>
      </c>
      <c r="E367" s="5" t="inlineStr">
        <is>
          <t>12-Aug-07</t>
        </is>
      </c>
      <c r="F367" s="5" t="inlineStr">
        <is>
          <t>LNH0925ND01</t>
        </is>
      </c>
      <c r="G367" s="105" t="n">
        <v>8415000</v>
      </c>
    </row>
    <row r="368">
      <c r="A368" s="5" t="n">
        <v>362</v>
      </c>
      <c r="B368" s="5" t="inlineStr">
        <is>
          <t>25806000071</t>
        </is>
      </c>
      <c r="C368" s="6" t="inlineStr">
        <is>
          <t>Traàn Gia</t>
        </is>
      </c>
      <c r="D368" s="6" t="inlineStr">
        <is>
          <t>Nghi</t>
        </is>
      </c>
      <c r="E368" s="5" t="inlineStr">
        <is>
          <t>12-Jun-07</t>
        </is>
      </c>
      <c r="F368" s="5" t="inlineStr">
        <is>
          <t>LNH0925ND01</t>
        </is>
      </c>
      <c r="G368" s="105" t="n">
        <v>8415000</v>
      </c>
    </row>
    <row r="369">
      <c r="A369" s="5" t="n">
        <v>363</v>
      </c>
      <c r="B369" s="5" t="inlineStr">
        <is>
          <t>25808900060</t>
        </is>
      </c>
      <c r="C369" s="6" t="inlineStr">
        <is>
          <t>Vuõ Minh</t>
        </is>
      </c>
      <c r="D369" s="6" t="inlineStr">
        <is>
          <t>Khoâi</t>
        </is>
      </c>
      <c r="E369" s="5" t="inlineStr">
        <is>
          <t>20-Mar-07</t>
        </is>
      </c>
      <c r="F369" s="5" t="inlineStr">
        <is>
          <t>LNH0925ND01</t>
        </is>
      </c>
      <c r="G369" s="105" t="n">
        <v>8415000</v>
      </c>
    </row>
    <row r="370">
      <c r="A370" s="5" t="n">
        <v>364</v>
      </c>
      <c r="B370" s="5" t="inlineStr">
        <is>
          <t>25820500001</t>
        </is>
      </c>
      <c r="C370" s="6" t="inlineStr">
        <is>
          <t>Buøi Duy</t>
        </is>
      </c>
      <c r="D370" s="6" t="inlineStr">
        <is>
          <t>Baûo</t>
        </is>
      </c>
      <c r="E370" s="5" t="inlineStr">
        <is>
          <t>28-Jul-07</t>
        </is>
      </c>
      <c r="F370" s="5" t="inlineStr">
        <is>
          <t>LNH0925ND01</t>
        </is>
      </c>
      <c r="G370" s="105" t="n">
        <v>8415000</v>
      </c>
    </row>
    <row r="371">
      <c r="A371" s="5" t="n">
        <v>365</v>
      </c>
      <c r="B371" s="5" t="inlineStr">
        <is>
          <t>25800500107</t>
        </is>
      </c>
      <c r="C371" s="6" t="inlineStr">
        <is>
          <t>Nguyeãn Phaïm Taán</t>
        </is>
      </c>
      <c r="D371" s="6" t="inlineStr">
        <is>
          <t>Loäc</t>
        </is>
      </c>
      <c r="E371" s="5" t="inlineStr">
        <is>
          <t>01-Nov-07</t>
        </is>
      </c>
      <c r="F371" s="5" t="inlineStr">
        <is>
          <t>LNH0925ND01</t>
        </is>
      </c>
      <c r="G371" s="105" t="n">
        <v>8415000</v>
      </c>
    </row>
    <row r="372">
      <c r="A372" s="5" t="n">
        <v>366</v>
      </c>
      <c r="B372" s="5" t="inlineStr">
        <is>
          <t>25802800379</t>
        </is>
      </c>
      <c r="C372" s="6" t="inlineStr">
        <is>
          <t>Nguyen Thien</t>
        </is>
      </c>
      <c r="D372" s="6" t="inlineStr">
        <is>
          <t>Phuc</t>
        </is>
      </c>
      <c r="E372" s="5" t="inlineStr">
        <is>
          <t xml:space="preserve">  -   -</t>
        </is>
      </c>
      <c r="F372" s="5" t="inlineStr">
        <is>
          <t>LNH0925ND01</t>
        </is>
      </c>
      <c r="G372" s="105" t="n">
        <v>8415000</v>
      </c>
    </row>
    <row r="373">
      <c r="A373" s="5" t="n">
        <v>367</v>
      </c>
      <c r="B373" s="5" t="inlineStr">
        <is>
          <t>25800600669</t>
        </is>
      </c>
      <c r="C373" s="6" t="inlineStr">
        <is>
          <t>Traàn Thò Hoaøi</t>
        </is>
      </c>
      <c r="D373" s="6" t="inlineStr">
        <is>
          <t>Thöông</t>
        </is>
      </c>
      <c r="E373" s="5" t="inlineStr">
        <is>
          <t>26-Apr-07</t>
        </is>
      </c>
      <c r="F373" s="5" t="inlineStr">
        <is>
          <t>LNH0925ND01</t>
        </is>
      </c>
      <c r="G373" s="105" t="n">
        <v>8415000</v>
      </c>
    </row>
    <row r="374">
      <c r="A374" s="5" t="n">
        <v>368</v>
      </c>
      <c r="B374" s="5" t="inlineStr">
        <is>
          <t>25820500002</t>
        </is>
      </c>
      <c r="C374" s="6" t="inlineStr">
        <is>
          <t>Ñaëng Quoác</t>
        </is>
      </c>
      <c r="D374" s="6" t="inlineStr">
        <is>
          <t>Baûo</t>
        </is>
      </c>
      <c r="E374" s="5" t="inlineStr">
        <is>
          <t>11-Nov-07</t>
        </is>
      </c>
      <c r="F374" s="5" t="inlineStr">
        <is>
          <t>LNH0925ND01</t>
        </is>
      </c>
      <c r="G374" s="105" t="n">
        <v>8415000</v>
      </c>
    </row>
    <row r="375">
      <c r="A375" s="5" t="n">
        <v>369</v>
      </c>
      <c r="B375" s="5" t="inlineStr">
        <is>
          <t>25808600084</t>
        </is>
      </c>
      <c r="C375" s="6" t="inlineStr">
        <is>
          <t>Lyù Thò Tuyeát</t>
        </is>
      </c>
      <c r="D375" s="6" t="inlineStr">
        <is>
          <t>Nhung</t>
        </is>
      </c>
      <c r="E375" s="5" t="inlineStr">
        <is>
          <t>11-Feb-07</t>
        </is>
      </c>
      <c r="F375" s="5" t="inlineStr">
        <is>
          <t>LNH0925ND01</t>
        </is>
      </c>
      <c r="G375" s="105" t="n">
        <v>8415000</v>
      </c>
    </row>
    <row r="376">
      <c r="A376" s="5" t="n">
        <v>370</v>
      </c>
      <c r="B376" s="5" t="inlineStr">
        <is>
          <t>25806300028</t>
        </is>
      </c>
      <c r="C376" s="6" t="inlineStr">
        <is>
          <t>Traàn Hoaøi</t>
        </is>
      </c>
      <c r="D376" s="6" t="inlineStr">
        <is>
          <t>Nam</t>
        </is>
      </c>
      <c r="E376" s="5" t="inlineStr">
        <is>
          <t>24-Jul-07</t>
        </is>
      </c>
      <c r="F376" s="5" t="inlineStr">
        <is>
          <t>LNH0925ND01</t>
        </is>
      </c>
      <c r="G376" s="105" t="n">
        <v>8415000</v>
      </c>
    </row>
    <row r="377">
      <c r="A377" s="5" t="n">
        <v>371</v>
      </c>
      <c r="B377" s="5" t="inlineStr">
        <is>
          <t>25820700014</t>
        </is>
      </c>
      <c r="C377" s="6" t="inlineStr">
        <is>
          <t>Nguyeãn Thò Kieàu</t>
        </is>
      </c>
      <c r="D377" s="6" t="inlineStr">
        <is>
          <t>Loan</t>
        </is>
      </c>
      <c r="E377" s="5" t="inlineStr">
        <is>
          <t>04-Oct-07</t>
        </is>
      </c>
      <c r="F377" s="5" t="inlineStr">
        <is>
          <t>LNH0925ND01</t>
        </is>
      </c>
      <c r="G377" s="105" t="n">
        <v>8415000</v>
      </c>
    </row>
    <row r="378">
      <c r="A378" s="5" t="n">
        <v>372</v>
      </c>
      <c r="B378" s="5" t="inlineStr">
        <is>
          <t>25809600050</t>
        </is>
      </c>
      <c r="C378" s="6" t="inlineStr">
        <is>
          <t>Nguyeãn Hoaøng Baûo</t>
        </is>
      </c>
      <c r="D378" s="6" t="inlineStr">
        <is>
          <t>Phuùc</t>
        </is>
      </c>
      <c r="E378" s="5" t="inlineStr">
        <is>
          <t>19-May-07</t>
        </is>
      </c>
      <c r="F378" s="5" t="inlineStr">
        <is>
          <t>LNH0925ND01</t>
        </is>
      </c>
      <c r="G378" s="105" t="n">
        <v>8415000</v>
      </c>
    </row>
    <row r="379">
      <c r="A379" s="5" t="n">
        <v>373</v>
      </c>
      <c r="B379" s="5" t="inlineStr">
        <is>
          <t>25800500108</t>
        </is>
      </c>
      <c r="C379" s="6" t="inlineStr">
        <is>
          <t>Toâ Taán</t>
        </is>
      </c>
      <c r="D379" s="6" t="inlineStr">
        <is>
          <t>Loäc</t>
        </is>
      </c>
      <c r="E379" s="5" t="inlineStr">
        <is>
          <t>21-Oct-07</t>
        </is>
      </c>
      <c r="F379" s="5" t="inlineStr">
        <is>
          <t>LNH0925ND01</t>
        </is>
      </c>
      <c r="G379" s="105" t="n">
        <v>8415000</v>
      </c>
    </row>
    <row r="380">
      <c r="A380" s="5" t="n">
        <v>374</v>
      </c>
      <c r="B380" s="5" t="inlineStr">
        <is>
          <t>25808500135</t>
        </is>
      </c>
      <c r="C380" s="6" t="inlineStr">
        <is>
          <t>Chu Quang</t>
        </is>
      </c>
      <c r="D380" s="6" t="inlineStr">
        <is>
          <t>Huy</t>
        </is>
      </c>
      <c r="E380" s="5" t="inlineStr">
        <is>
          <t>03-Dec-07</t>
        </is>
      </c>
      <c r="F380" s="5" t="inlineStr">
        <is>
          <t>LNH0925ND01</t>
        </is>
      </c>
      <c r="G380" s="105" t="n">
        <v>8415000</v>
      </c>
    </row>
    <row r="381">
      <c r="A381" s="5" t="n">
        <v>375</v>
      </c>
      <c r="B381" s="5" t="inlineStr">
        <is>
          <t>25801400451</t>
        </is>
      </c>
      <c r="C381" s="6" t="inlineStr">
        <is>
          <t>Nguyeãn Thaønh</t>
        </is>
      </c>
      <c r="D381" s="6" t="inlineStr">
        <is>
          <t>Taøi</t>
        </is>
      </c>
      <c r="E381" s="5" t="inlineStr">
        <is>
          <t>08-Jun-06</t>
        </is>
      </c>
      <c r="F381" s="5" t="inlineStr">
        <is>
          <t>LNH0925ND01</t>
        </is>
      </c>
      <c r="G381" s="105" t="n">
        <v>8415000</v>
      </c>
    </row>
    <row r="382">
      <c r="A382" s="5" t="n">
        <v>376</v>
      </c>
      <c r="B382" s="5" t="inlineStr">
        <is>
          <t>25802600167</t>
        </is>
      </c>
      <c r="C382" s="6" t="inlineStr">
        <is>
          <t>Leâ Thò Ngoïc</t>
        </is>
      </c>
      <c r="D382" s="6" t="inlineStr">
        <is>
          <t>Vy</t>
        </is>
      </c>
      <c r="E382" s="5" t="inlineStr">
        <is>
          <t>21-Feb-07</t>
        </is>
      </c>
      <c r="F382" s="5" t="inlineStr">
        <is>
          <t>LNH0925ND01</t>
        </is>
      </c>
      <c r="G382" s="105" t="n">
        <v>8415000</v>
      </c>
    </row>
    <row r="383">
      <c r="A383" s="5" t="n">
        <v>377</v>
      </c>
      <c r="B383" s="5" t="inlineStr">
        <is>
          <t>25802800355</t>
        </is>
      </c>
      <c r="C383" s="6" t="inlineStr">
        <is>
          <t>Traàn Thanh</t>
        </is>
      </c>
      <c r="D383" s="6" t="inlineStr">
        <is>
          <t>Tín</t>
        </is>
      </c>
      <c r="E383" s="5" t="inlineStr">
        <is>
          <t>06-Sep-07</t>
        </is>
      </c>
      <c r="F383" s="5" t="inlineStr">
        <is>
          <t>LNH0925ND01</t>
        </is>
      </c>
      <c r="G383" s="105" t="n">
        <v>8415000</v>
      </c>
    </row>
    <row r="384">
      <c r="A384" s="5" t="n">
        <v>378</v>
      </c>
      <c r="B384" s="5" t="inlineStr">
        <is>
          <t>25802800185</t>
        </is>
      </c>
      <c r="C384" s="6" t="inlineStr">
        <is>
          <t>Chu Yeán</t>
        </is>
      </c>
      <c r="D384" s="6" t="inlineStr">
        <is>
          <t>Nhi</t>
        </is>
      </c>
      <c r="E384" s="5" t="inlineStr">
        <is>
          <t>10-Dec-07</t>
        </is>
      </c>
      <c r="F384" s="5" t="inlineStr">
        <is>
          <t>LNH0925ND01</t>
        </is>
      </c>
      <c r="G384" s="105" t="n">
        <v>8415000</v>
      </c>
    </row>
    <row r="385">
      <c r="A385" s="5" t="n">
        <v>379</v>
      </c>
      <c r="B385" s="5" t="inlineStr">
        <is>
          <t>25807500078</t>
        </is>
      </c>
      <c r="C385" s="6" t="inlineStr">
        <is>
          <t>Nguyeãn Hoaøi Nhö</t>
        </is>
      </c>
      <c r="D385" s="6" t="inlineStr">
        <is>
          <t>Ngoïc</t>
        </is>
      </c>
      <c r="E385" s="5" t="inlineStr">
        <is>
          <t>27-May-07</t>
        </is>
      </c>
      <c r="F385" s="5" t="inlineStr">
        <is>
          <t>LNH0925ND01</t>
        </is>
      </c>
      <c r="G385" s="105" t="n">
        <v>8415000</v>
      </c>
    </row>
    <row r="386">
      <c r="A386" s="5" t="n">
        <v>380</v>
      </c>
      <c r="B386" s="5" t="inlineStr">
        <is>
          <t>25802100009</t>
        </is>
      </c>
      <c r="C386" s="6" t="inlineStr">
        <is>
          <t>Nguyeãn Vaên</t>
        </is>
      </c>
      <c r="D386" s="6" t="inlineStr">
        <is>
          <t>Ñoâng</t>
        </is>
      </c>
      <c r="E386" s="5" t="inlineStr">
        <is>
          <t>11-Nov-07</t>
        </is>
      </c>
      <c r="F386" s="5" t="inlineStr">
        <is>
          <t>LNH0925ND01</t>
        </is>
      </c>
      <c r="G386" s="105" t="n">
        <v>8415000</v>
      </c>
    </row>
    <row r="387">
      <c r="A387" s="5" t="n">
        <v>381</v>
      </c>
      <c r="B387" s="5" t="inlineStr">
        <is>
          <t>25802700104</t>
        </is>
      </c>
      <c r="C387" s="6" t="inlineStr">
        <is>
          <t>Leâ Thò Myõ</t>
        </is>
      </c>
      <c r="D387" s="6" t="inlineStr">
        <is>
          <t>Tuyeàn</t>
        </is>
      </c>
      <c r="E387" s="5" t="inlineStr">
        <is>
          <t>14-Apr-07</t>
        </is>
      </c>
      <c r="F387" s="5" t="inlineStr">
        <is>
          <t>LNH0925ND01</t>
        </is>
      </c>
      <c r="G387" s="105" t="n">
        <v>8415000</v>
      </c>
    </row>
    <row r="388">
      <c r="A388" s="5" t="n">
        <v>382</v>
      </c>
      <c r="B388" s="5" t="inlineStr">
        <is>
          <t>25806500029</t>
        </is>
      </c>
      <c r="C388" s="6" t="inlineStr">
        <is>
          <t>Laâm Phuùc</t>
        </is>
      </c>
      <c r="D388" s="6" t="inlineStr">
        <is>
          <t>Nguyeân</t>
        </is>
      </c>
      <c r="E388" s="5" t="inlineStr">
        <is>
          <t>21-Feb-06</t>
        </is>
      </c>
      <c r="F388" s="5" t="inlineStr">
        <is>
          <t>LNH0925ND01</t>
        </is>
      </c>
      <c r="G388" s="105" t="n">
        <v>8415000</v>
      </c>
    </row>
    <row r="389">
      <c r="A389" s="5" t="n">
        <v>383</v>
      </c>
      <c r="B389" s="5" t="inlineStr">
        <is>
          <t>25808600094</t>
        </is>
      </c>
      <c r="C389" s="6" t="inlineStr">
        <is>
          <t>Döông Tuù</t>
        </is>
      </c>
      <c r="D389" s="6" t="inlineStr">
        <is>
          <t>Quaân</t>
        </is>
      </c>
      <c r="E389" s="5" t="inlineStr">
        <is>
          <t>30-Jul-07</t>
        </is>
      </c>
      <c r="F389" s="5" t="inlineStr">
        <is>
          <t>LNH0925ND01</t>
        </is>
      </c>
      <c r="G389" s="105" t="n">
        <v>8415000</v>
      </c>
    </row>
    <row r="390">
      <c r="A390" s="5" t="n">
        <v>384</v>
      </c>
      <c r="B390" s="5" t="inlineStr">
        <is>
          <t>25806800058</t>
        </is>
      </c>
      <c r="C390" s="6" t="inlineStr">
        <is>
          <t>Huyønh Hoa Trinh</t>
        </is>
      </c>
      <c r="D390" s="6" t="inlineStr">
        <is>
          <t>Nöõ</t>
        </is>
      </c>
      <c r="E390" s="5" t="inlineStr">
        <is>
          <t>08-Oct-07</t>
        </is>
      </c>
      <c r="F390" s="5" t="inlineStr">
        <is>
          <t>LNH0925ND01</t>
        </is>
      </c>
      <c r="G390" s="105" t="n">
        <v>8415000</v>
      </c>
    </row>
    <row r="391">
      <c r="A391" s="5" t="n">
        <v>385</v>
      </c>
      <c r="B391" s="5" t="inlineStr">
        <is>
          <t>25808200079</t>
        </is>
      </c>
      <c r="C391" s="6" t="inlineStr">
        <is>
          <t>Ñaëng Thaùi</t>
        </is>
      </c>
      <c r="D391" s="6" t="inlineStr">
        <is>
          <t>Loäc</t>
        </is>
      </c>
      <c r="E391" s="5" t="inlineStr">
        <is>
          <t>01-Nov-07</t>
        </is>
      </c>
      <c r="F391" s="5" t="inlineStr">
        <is>
          <t>LNH0925ND01</t>
        </is>
      </c>
      <c r="G391" s="105" t="n">
        <v>8415000</v>
      </c>
    </row>
    <row r="392">
      <c r="A392" s="5" t="n">
        <v>386</v>
      </c>
      <c r="B392" s="5" t="inlineStr">
        <is>
          <t>25802700162</t>
        </is>
      </c>
      <c r="C392" s="6" t="inlineStr">
        <is>
          <t>Vuõ Thò Minh</t>
        </is>
      </c>
      <c r="D392" s="6" t="inlineStr">
        <is>
          <t>Thö</t>
        </is>
      </c>
      <c r="E392" s="5" t="inlineStr">
        <is>
          <t>01-May-07</t>
        </is>
      </c>
      <c r="F392" s="5" t="inlineStr">
        <is>
          <t>LNH0925ND01</t>
        </is>
      </c>
      <c r="G392" s="105" t="n">
        <v>8415000</v>
      </c>
    </row>
    <row r="393">
      <c r="A393" s="5" t="n">
        <v>387</v>
      </c>
      <c r="B393" s="5" t="inlineStr">
        <is>
          <t>25800500278</t>
        </is>
      </c>
      <c r="C393" s="6" t="inlineStr">
        <is>
          <t>Phaïm Theá</t>
        </is>
      </c>
      <c r="D393" s="6" t="inlineStr">
        <is>
          <t>Laân</t>
        </is>
      </c>
      <c r="E393" s="5" t="inlineStr">
        <is>
          <t>30-Oct-07</t>
        </is>
      </c>
      <c r="F393" s="5" t="inlineStr">
        <is>
          <t>LNH0925ND01</t>
        </is>
      </c>
      <c r="G393" s="105" t="n">
        <v>8415000</v>
      </c>
    </row>
    <row r="394">
      <c r="A394" s="5" t="n">
        <v>388</v>
      </c>
      <c r="B394" s="5" t="inlineStr">
        <is>
          <t>25807500098</t>
        </is>
      </c>
      <c r="C394" s="6" t="inlineStr">
        <is>
          <t>Phan Ngoïc Phuù</t>
        </is>
      </c>
      <c r="D394" s="6" t="inlineStr">
        <is>
          <t>Quí</t>
        </is>
      </c>
      <c r="E394" s="5" t="inlineStr">
        <is>
          <t>12-Sep-07</t>
        </is>
      </c>
      <c r="F394" s="5" t="inlineStr">
        <is>
          <t>LNH0925ND01</t>
        </is>
      </c>
      <c r="G394" s="105" t="n">
        <v>8415000</v>
      </c>
    </row>
    <row r="395">
      <c r="A395" s="5" t="n">
        <v>389</v>
      </c>
      <c r="B395" s="5" t="inlineStr">
        <is>
          <t>25802700153</t>
        </is>
      </c>
      <c r="C395" s="6" t="inlineStr">
        <is>
          <t>Leâ Thaùi</t>
        </is>
      </c>
      <c r="D395" s="6" t="inlineStr">
        <is>
          <t>Long</t>
        </is>
      </c>
      <c r="E395" s="5" t="inlineStr">
        <is>
          <t>20-May-07</t>
        </is>
      </c>
      <c r="F395" s="5" t="inlineStr">
        <is>
          <t>LNH0925ND01</t>
        </is>
      </c>
      <c r="G395" s="105" t="n">
        <v>8415000</v>
      </c>
    </row>
    <row r="396">
      <c r="A396" s="5" t="n">
        <v>390</v>
      </c>
      <c r="B396" s="5" t="inlineStr">
        <is>
          <t>25808600054</t>
        </is>
      </c>
      <c r="C396" s="6" t="inlineStr">
        <is>
          <t>Ñaëng Thò Thuøy</t>
        </is>
      </c>
      <c r="D396" s="6" t="inlineStr">
        <is>
          <t>Linh</t>
        </is>
      </c>
      <c r="E396" s="5" t="inlineStr">
        <is>
          <t>16-Feb-07</t>
        </is>
      </c>
      <c r="F396" s="5" t="inlineStr">
        <is>
          <t>LNH0925ND01</t>
        </is>
      </c>
      <c r="G396" s="105" t="n">
        <v>8415000</v>
      </c>
    </row>
    <row r="397">
      <c r="A397" s="5" t="n">
        <v>391</v>
      </c>
      <c r="B397" s="5" t="inlineStr">
        <is>
          <t>25800500248</t>
        </is>
      </c>
      <c r="C397" s="6" t="inlineStr">
        <is>
          <t>Vuõ Minh</t>
        </is>
      </c>
      <c r="D397" s="6" t="inlineStr">
        <is>
          <t>Hieáu</t>
        </is>
      </c>
      <c r="E397" s="5" t="inlineStr">
        <is>
          <t>09-Jul-07</t>
        </is>
      </c>
      <c r="F397" s="5" t="inlineStr">
        <is>
          <t>LNH0925ND01</t>
        </is>
      </c>
      <c r="G397" s="105" t="n">
        <v>8415000</v>
      </c>
    </row>
    <row r="398">
      <c r="A398" s="5" t="n">
        <v>392</v>
      </c>
      <c r="B398" s="5" t="inlineStr">
        <is>
          <t>25806000038</t>
        </is>
      </c>
      <c r="C398" s="6" t="inlineStr">
        <is>
          <t>Nguyeãn Hoà Thu</t>
        </is>
      </c>
      <c r="D398" s="6" t="inlineStr">
        <is>
          <t>Thuûy</t>
        </is>
      </c>
      <c r="E398" s="5" t="inlineStr">
        <is>
          <t>29-Mar-07</t>
        </is>
      </c>
      <c r="F398" s="5" t="inlineStr">
        <is>
          <t>LNH0925ND01</t>
        </is>
      </c>
      <c r="G398" s="105" t="n">
        <v>8415000</v>
      </c>
    </row>
    <row r="399">
      <c r="A399" s="5" t="n">
        <v>393</v>
      </c>
      <c r="B399" s="5" t="inlineStr">
        <is>
          <t>25800500025</t>
        </is>
      </c>
      <c r="C399" s="6" t="inlineStr">
        <is>
          <t>Hoaøng Ngoïc</t>
        </is>
      </c>
      <c r="D399" s="6" t="inlineStr">
        <is>
          <t>Duy</t>
        </is>
      </c>
      <c r="E399" s="5" t="inlineStr">
        <is>
          <t>13-Jan-07</t>
        </is>
      </c>
      <c r="F399" s="5" t="inlineStr">
        <is>
          <t>LNH0925ND01</t>
        </is>
      </c>
      <c r="G399" s="105" t="n">
        <v>8415000</v>
      </c>
    </row>
    <row r="400">
      <c r="A400" s="5" t="n">
        <v>394</v>
      </c>
      <c r="B400" s="5" t="inlineStr">
        <is>
          <t>25803800060</t>
        </is>
      </c>
      <c r="C400" s="6" t="inlineStr">
        <is>
          <t>Nguyeãn Thuøy</t>
        </is>
      </c>
      <c r="D400" s="6" t="inlineStr">
        <is>
          <t>Trang</t>
        </is>
      </c>
      <c r="E400" s="5" t="inlineStr">
        <is>
          <t>12-Sep-07</t>
        </is>
      </c>
      <c r="F400" s="5" t="inlineStr">
        <is>
          <t>LNH0925ND01</t>
        </is>
      </c>
      <c r="G400" s="105" t="n">
        <v>8415000</v>
      </c>
    </row>
    <row r="401">
      <c r="A401" s="5" t="n">
        <v>395</v>
      </c>
      <c r="B401" s="5" t="inlineStr">
        <is>
          <t>25807800074</t>
        </is>
      </c>
      <c r="C401" s="6" t="inlineStr">
        <is>
          <t>Nguyeãn Haûi</t>
        </is>
      </c>
      <c r="D401" s="6" t="inlineStr">
        <is>
          <t>Lónh</t>
        </is>
      </c>
      <c r="E401" s="5" t="inlineStr">
        <is>
          <t>04-Apr-07</t>
        </is>
      </c>
      <c r="F401" s="5" t="inlineStr">
        <is>
          <t>LNH0925ND01</t>
        </is>
      </c>
      <c r="G401" s="105" t="n">
        <v>8415000</v>
      </c>
    </row>
    <row r="402">
      <c r="A402" s="5" t="n">
        <v>396</v>
      </c>
      <c r="B402" s="5" t="inlineStr">
        <is>
          <t>25808300013</t>
        </is>
      </c>
      <c r="C402" s="6" t="inlineStr">
        <is>
          <t>Vi Thò Tuù</t>
        </is>
      </c>
      <c r="D402" s="6" t="inlineStr">
        <is>
          <t>Haûo</t>
        </is>
      </c>
      <c r="E402" s="5" t="inlineStr">
        <is>
          <t>02-Nov-07</t>
        </is>
      </c>
      <c r="F402" s="5" t="inlineStr">
        <is>
          <t>LNH0925ND01</t>
        </is>
      </c>
      <c r="G402" s="105" t="n">
        <v>8415000</v>
      </c>
    </row>
    <row r="403">
      <c r="A403" s="5" t="n">
        <v>397</v>
      </c>
      <c r="B403" s="5" t="inlineStr">
        <is>
          <t>25800500096</t>
        </is>
      </c>
      <c r="C403" s="6" t="inlineStr">
        <is>
          <t>Ñoã Chí</t>
        </is>
      </c>
      <c r="D403" s="6" t="inlineStr">
        <is>
          <t>Kieân</t>
        </is>
      </c>
      <c r="E403" s="5" t="inlineStr">
        <is>
          <t>23-Jan-07</t>
        </is>
      </c>
      <c r="F403" s="5" t="inlineStr">
        <is>
          <t>LNH0925ND01</t>
        </is>
      </c>
      <c r="G403" s="105" t="n">
        <v>8415000</v>
      </c>
    </row>
    <row r="404">
      <c r="A404" s="5" t="n">
        <v>398</v>
      </c>
      <c r="B404" s="5" t="inlineStr">
        <is>
          <t>25808600135</t>
        </is>
      </c>
      <c r="C404" s="6" t="inlineStr">
        <is>
          <t>Traàn Thò Huyeàn</t>
        </is>
      </c>
      <c r="D404" s="6" t="inlineStr">
        <is>
          <t>Traân</t>
        </is>
      </c>
      <c r="E404" s="5" t="inlineStr">
        <is>
          <t>25-Feb-07</t>
        </is>
      </c>
      <c r="F404" s="5" t="inlineStr">
        <is>
          <t>LNH0925ND01</t>
        </is>
      </c>
      <c r="G404" s="105" t="n">
        <v>8415000</v>
      </c>
    </row>
    <row r="405">
      <c r="A405" s="5" t="n">
        <v>399</v>
      </c>
      <c r="B405" s="5" t="inlineStr">
        <is>
          <t>25820700032</t>
        </is>
      </c>
      <c r="C405" s="6" t="inlineStr">
        <is>
          <t>Nguyeãn Haø Linh</t>
        </is>
      </c>
      <c r="D405" s="6" t="inlineStr">
        <is>
          <t>Phöông</t>
        </is>
      </c>
      <c r="E405" s="5" t="inlineStr">
        <is>
          <t>07-Aug-07</t>
        </is>
      </c>
      <c r="F405" s="5" t="inlineStr">
        <is>
          <t>LNH0925ND01</t>
        </is>
      </c>
      <c r="G405" s="105" t="n">
        <v>8415000</v>
      </c>
    </row>
    <row r="406">
      <c r="A406" s="5" t="n">
        <v>400</v>
      </c>
      <c r="B406" s="5" t="inlineStr">
        <is>
          <t>25807800073</t>
        </is>
      </c>
      <c r="C406" s="6" t="inlineStr">
        <is>
          <t>Voõ Thanh</t>
        </is>
      </c>
      <c r="D406" s="6" t="inlineStr">
        <is>
          <t>Lieâm</t>
        </is>
      </c>
      <c r="E406" s="5" t="inlineStr">
        <is>
          <t>19-Nov-07</t>
        </is>
      </c>
      <c r="F406" s="5" t="inlineStr">
        <is>
          <t>LNH0925ND01</t>
        </is>
      </c>
      <c r="G406" s="105" t="n">
        <v>8415000</v>
      </c>
    </row>
    <row r="407">
      <c r="A407" s="5" t="n">
        <v>401</v>
      </c>
      <c r="B407" s="5" t="inlineStr">
        <is>
          <t>25800500134</t>
        </is>
      </c>
      <c r="C407" s="6" t="inlineStr">
        <is>
          <t>Huyønh Nguyeãn Laâm</t>
        </is>
      </c>
      <c r="D407" s="6" t="inlineStr">
        <is>
          <t>Phong</t>
        </is>
      </c>
      <c r="E407" s="5" t="inlineStr">
        <is>
          <t>25-Dec-07</t>
        </is>
      </c>
      <c r="F407" s="5" t="inlineStr">
        <is>
          <t>LNH0925ND01</t>
        </is>
      </c>
      <c r="G407" s="105" t="n">
        <v>8415000</v>
      </c>
    </row>
    <row r="408">
      <c r="A408" s="5" t="n">
        <v>402</v>
      </c>
      <c r="B408" s="5" t="inlineStr">
        <is>
          <t>25808200049</t>
        </is>
      </c>
      <c r="C408" s="6" t="inlineStr">
        <is>
          <t>Nguyeãn Tuaán</t>
        </is>
      </c>
      <c r="D408" s="6" t="inlineStr">
        <is>
          <t>Huøng</t>
        </is>
      </c>
      <c r="E408" s="5" t="inlineStr">
        <is>
          <t>18-Oct-07</t>
        </is>
      </c>
      <c r="F408" s="5" t="inlineStr">
        <is>
          <t>LNH0925ND01</t>
        </is>
      </c>
      <c r="G408" s="105" t="n">
        <v>8415000</v>
      </c>
    </row>
    <row r="409">
      <c r="A409" s="5" t="n">
        <v>403</v>
      </c>
      <c r="B409" s="5" t="inlineStr">
        <is>
          <t>25801800021</t>
        </is>
      </c>
      <c r="C409" s="6" t="inlineStr">
        <is>
          <t>Voõ Thaûo</t>
        </is>
      </c>
      <c r="D409" s="6" t="inlineStr">
        <is>
          <t>Huyeàn</t>
        </is>
      </c>
      <c r="E409" s="5" t="inlineStr">
        <is>
          <t>03-Dec-05</t>
        </is>
      </c>
      <c r="F409" s="5" t="inlineStr">
        <is>
          <t>LNH0925ND01</t>
        </is>
      </c>
      <c r="G409" s="105" t="n">
        <v>8415000</v>
      </c>
    </row>
    <row r="410">
      <c r="A410" s="5" t="n">
        <v>404</v>
      </c>
      <c r="B410" s="5" t="inlineStr">
        <is>
          <t>25800500121</t>
        </is>
      </c>
      <c r="C410" s="6" t="inlineStr">
        <is>
          <t>Nguyeãn Chænh</t>
        </is>
      </c>
      <c r="D410" s="6" t="inlineStr">
        <is>
          <t>Nghieâm</t>
        </is>
      </c>
      <c r="E410" s="5" t="inlineStr">
        <is>
          <t>02-Dec-07</t>
        </is>
      </c>
      <c r="F410" s="5" t="inlineStr">
        <is>
          <t>LNH0925ND01</t>
        </is>
      </c>
      <c r="G410" s="105" t="n">
        <v>8415000</v>
      </c>
    </row>
    <row r="411">
      <c r="A411" s="5" t="n">
        <v>405</v>
      </c>
      <c r="B411" s="5" t="inlineStr">
        <is>
          <t>25802800274</t>
        </is>
      </c>
      <c r="C411" s="6" t="inlineStr">
        <is>
          <t>Leâ Hoaøng Baûo</t>
        </is>
      </c>
      <c r="D411" s="6" t="inlineStr">
        <is>
          <t>Traân</t>
        </is>
      </c>
      <c r="E411" s="5" t="inlineStr">
        <is>
          <t>22-Jul-07</t>
        </is>
      </c>
      <c r="F411" s="5" t="inlineStr">
        <is>
          <t>LNH0925ND01</t>
        </is>
      </c>
      <c r="G411" s="105" t="n">
        <v>8415000</v>
      </c>
    </row>
    <row r="412">
      <c r="A412" s="5" t="n">
        <v>406</v>
      </c>
      <c r="B412" s="5" t="inlineStr">
        <is>
          <t>25802600056</t>
        </is>
      </c>
      <c r="C412" s="6" t="inlineStr">
        <is>
          <t>Nguyeãn Duy</t>
        </is>
      </c>
      <c r="D412" s="6" t="inlineStr">
        <is>
          <t>Khang</t>
        </is>
      </c>
      <c r="E412" s="5" t="inlineStr">
        <is>
          <t>23-Mar-07</t>
        </is>
      </c>
      <c r="F412" s="5" t="inlineStr">
        <is>
          <t>LNH0925ND01</t>
        </is>
      </c>
      <c r="G412" s="105" t="n">
        <v>8415000</v>
      </c>
    </row>
    <row r="413">
      <c r="A413" s="5" t="n">
        <v>407</v>
      </c>
      <c r="B413" s="5" t="inlineStr">
        <is>
          <t>25809600015</t>
        </is>
      </c>
      <c r="C413" s="6" t="inlineStr">
        <is>
          <t>Leâ Duy Haûi</t>
        </is>
      </c>
      <c r="D413" s="6" t="inlineStr">
        <is>
          <t>Ñaêng</t>
        </is>
      </c>
      <c r="E413" s="5" t="inlineStr">
        <is>
          <t>21-Dec-06</t>
        </is>
      </c>
      <c r="F413" s="5" t="inlineStr">
        <is>
          <t>LNH0925ND01</t>
        </is>
      </c>
      <c r="G413" s="105" t="n">
        <v>8415000</v>
      </c>
    </row>
    <row r="414">
      <c r="A414" s="5" t="n">
        <v>408</v>
      </c>
      <c r="B414" s="5" t="inlineStr">
        <is>
          <t>25802800114</t>
        </is>
      </c>
      <c r="C414" s="6" t="inlineStr">
        <is>
          <t>Vuõ Buøi Ñaêng</t>
        </is>
      </c>
      <c r="D414" s="6" t="inlineStr">
        <is>
          <t>Khoa</t>
        </is>
      </c>
      <c r="E414" s="5" t="inlineStr">
        <is>
          <t>28-Apr-07</t>
        </is>
      </c>
      <c r="F414" s="5" t="inlineStr">
        <is>
          <t>LNH0925ND01</t>
        </is>
      </c>
      <c r="G414" s="105" t="n">
        <v>8415000</v>
      </c>
    </row>
    <row r="415">
      <c r="A415" s="5" t="n">
        <v>409</v>
      </c>
      <c r="B415" s="5" t="inlineStr">
        <is>
          <t>25805900036</t>
        </is>
      </c>
      <c r="C415" s="6" t="inlineStr">
        <is>
          <t>Buøi Huyønh</t>
        </is>
      </c>
      <c r="D415" s="6" t="inlineStr">
        <is>
          <t>Quyeân</t>
        </is>
      </c>
      <c r="E415" s="5" t="inlineStr">
        <is>
          <t>04-Oct-07</t>
        </is>
      </c>
      <c r="F415" s="5" t="inlineStr">
        <is>
          <t>LNH0925ND01</t>
        </is>
      </c>
      <c r="G415" s="105" t="n">
        <v>8415000</v>
      </c>
    </row>
    <row r="416">
      <c r="A416" s="5" t="n">
        <v>410</v>
      </c>
      <c r="B416" s="5" t="inlineStr">
        <is>
          <t>25808700079</t>
        </is>
      </c>
      <c r="C416" s="6" t="inlineStr">
        <is>
          <t>Ñaëng Hieåu</t>
        </is>
      </c>
      <c r="D416" s="6" t="inlineStr">
        <is>
          <t>Phuùc</t>
        </is>
      </c>
      <c r="E416" s="5" t="inlineStr">
        <is>
          <t>30-Jan-07</t>
        </is>
      </c>
      <c r="F416" s="5" t="inlineStr">
        <is>
          <t>LNH0925ND01</t>
        </is>
      </c>
      <c r="G416" s="105" t="n">
        <v>8415000</v>
      </c>
    </row>
    <row r="417">
      <c r="A417" s="5" t="n">
        <v>411</v>
      </c>
      <c r="B417" s="5" t="inlineStr">
        <is>
          <t>25806800034</t>
        </is>
      </c>
      <c r="C417" s="6" t="inlineStr">
        <is>
          <t>Nguyeãn Huyønh Gia</t>
        </is>
      </c>
      <c r="D417" s="6" t="inlineStr">
        <is>
          <t>Linh</t>
        </is>
      </c>
      <c r="E417" s="5" t="inlineStr">
        <is>
          <t>03-Dec-07</t>
        </is>
      </c>
      <c r="F417" s="5" t="inlineStr">
        <is>
          <t>LNH0925ND01</t>
        </is>
      </c>
      <c r="G417" s="105" t="n">
        <v>8415000</v>
      </c>
    </row>
    <row r="418">
      <c r="A418" s="5" t="n">
        <v>412</v>
      </c>
      <c r="B418" s="5" t="inlineStr">
        <is>
          <t>25808600137</t>
        </is>
      </c>
      <c r="C418" s="6" t="inlineStr">
        <is>
          <t>Löông Thò Tuyeát</t>
        </is>
      </c>
      <c r="D418" s="6" t="inlineStr">
        <is>
          <t>Trinh</t>
        </is>
      </c>
      <c r="E418" s="5" t="inlineStr">
        <is>
          <t>04-Jul-07</t>
        </is>
      </c>
      <c r="F418" s="5" t="inlineStr">
        <is>
          <t>LNH0925ND01</t>
        </is>
      </c>
      <c r="G418" s="105" t="n">
        <v>8415000</v>
      </c>
    </row>
    <row r="419">
      <c r="A419" s="5" t="n">
        <v>413</v>
      </c>
      <c r="B419" s="5" t="inlineStr">
        <is>
          <t>25807500011</t>
        </is>
      </c>
      <c r="C419" s="6" t="inlineStr">
        <is>
          <t>Buøi Gia</t>
        </is>
      </c>
      <c r="D419" s="6" t="inlineStr">
        <is>
          <t>Baûo</t>
        </is>
      </c>
      <c r="E419" s="5" t="inlineStr">
        <is>
          <t>16-Mar-07</t>
        </is>
      </c>
      <c r="F419" s="5" t="inlineStr">
        <is>
          <t>LNH0925ND01</t>
        </is>
      </c>
      <c r="G419" s="105" t="n">
        <v>8415000</v>
      </c>
    </row>
    <row r="420">
      <c r="A420" s="5" t="n">
        <v>414</v>
      </c>
      <c r="B420" s="5" t="inlineStr">
        <is>
          <t>25807500115</t>
        </is>
      </c>
      <c r="C420" s="6" t="inlineStr">
        <is>
          <t>Huyønh</t>
        </is>
      </c>
      <c r="D420" s="6" t="inlineStr">
        <is>
          <t>Thaân</t>
        </is>
      </c>
      <c r="E420" s="5" t="inlineStr">
        <is>
          <t>20-Jun-07</t>
        </is>
      </c>
      <c r="F420" s="5" t="inlineStr">
        <is>
          <t>LNH0925ND01</t>
        </is>
      </c>
      <c r="G420" s="105" t="n">
        <v>8415000</v>
      </c>
    </row>
    <row r="421">
      <c r="A421" s="5" t="n">
        <v>415</v>
      </c>
      <c r="B421" s="5" t="inlineStr">
        <is>
          <t>25807900049</t>
        </is>
      </c>
      <c r="C421" s="6" t="inlineStr">
        <is>
          <t>Traàn Höõu</t>
        </is>
      </c>
      <c r="D421" s="6" t="inlineStr">
        <is>
          <t>Thaønh</t>
        </is>
      </c>
      <c r="E421" s="5" t="inlineStr">
        <is>
          <t>21-Feb-07</t>
        </is>
      </c>
      <c r="F421" s="5" t="inlineStr">
        <is>
          <t>LNH0925ND01</t>
        </is>
      </c>
      <c r="G421" s="105" t="n">
        <v>8415000</v>
      </c>
    </row>
    <row r="422">
      <c r="A422" s="5" t="n">
        <v>416</v>
      </c>
      <c r="B422" s="5" t="inlineStr">
        <is>
          <t>25800400077</t>
        </is>
      </c>
      <c r="C422" s="6" t="inlineStr">
        <is>
          <t>Nguyeãn Ñaêng</t>
        </is>
      </c>
      <c r="D422" s="6" t="inlineStr">
        <is>
          <t>Khoa</t>
        </is>
      </c>
      <c r="E422" s="5" t="inlineStr">
        <is>
          <t>21-Jan-07</t>
        </is>
      </c>
      <c r="F422" s="5" t="inlineStr">
        <is>
          <t>LNH0925ND01</t>
        </is>
      </c>
      <c r="G422" s="105" t="n">
        <v>8415000</v>
      </c>
    </row>
    <row r="423">
      <c r="A423" s="5" t="n">
        <v>417</v>
      </c>
      <c r="B423" s="5" t="inlineStr">
        <is>
          <t>25806400021</t>
        </is>
      </c>
      <c r="C423" s="6" t="inlineStr">
        <is>
          <t>Leâ Ngoïc Quyønh</t>
        </is>
      </c>
      <c r="D423" s="6" t="inlineStr">
        <is>
          <t>Trang</t>
        </is>
      </c>
      <c r="E423" s="5" t="inlineStr">
        <is>
          <t>28-Mar-07</t>
        </is>
      </c>
      <c r="F423" s="5" t="inlineStr">
        <is>
          <t>LNH0925ND01</t>
        </is>
      </c>
      <c r="G423" s="105" t="n">
        <v>8415000</v>
      </c>
    </row>
    <row r="424">
      <c r="A424" s="5" t="n">
        <v>418</v>
      </c>
      <c r="B424" s="5" t="inlineStr">
        <is>
          <t>25809600021</t>
        </is>
      </c>
      <c r="C424" s="6" t="inlineStr">
        <is>
          <t>Nguyeãn Gia</t>
        </is>
      </c>
      <c r="D424" s="6" t="inlineStr">
        <is>
          <t>Höng</t>
        </is>
      </c>
      <c r="E424" s="5" t="inlineStr">
        <is>
          <t>16-Mar-07</t>
        </is>
      </c>
      <c r="F424" s="5" t="inlineStr">
        <is>
          <t>LNH0925ND01</t>
        </is>
      </c>
      <c r="G424" s="105" t="n">
        <v>8415000</v>
      </c>
    </row>
    <row r="425">
      <c r="A425" s="5" t="n">
        <v>419</v>
      </c>
      <c r="B425" s="5" t="inlineStr">
        <is>
          <t>25808700023</t>
        </is>
      </c>
      <c r="C425" s="6" t="inlineStr">
        <is>
          <t>Phuøng Thanh</t>
        </is>
      </c>
      <c r="D425" s="6" t="inlineStr">
        <is>
          <t>Haèng</t>
        </is>
      </c>
      <c r="E425" s="5" t="inlineStr">
        <is>
          <t>14-May-07</t>
        </is>
      </c>
      <c r="F425" s="5" t="inlineStr">
        <is>
          <t>LNH0925ND01</t>
        </is>
      </c>
      <c r="G425" s="105" t="n">
        <v>8415000</v>
      </c>
    </row>
    <row r="426">
      <c r="A426" s="5" t="n">
        <v>420</v>
      </c>
      <c r="B426" s="5" t="inlineStr">
        <is>
          <t>25801700057</t>
        </is>
      </c>
      <c r="C426" s="6" t="inlineStr">
        <is>
          <t>Nguyeãn Thò Thuûy</t>
        </is>
      </c>
      <c r="D426" s="6" t="inlineStr">
        <is>
          <t>Tieân</t>
        </is>
      </c>
      <c r="E426" s="5" t="inlineStr">
        <is>
          <t>23-Nov-01</t>
        </is>
      </c>
      <c r="F426" s="5" t="inlineStr">
        <is>
          <t>LNH0925ND01</t>
        </is>
      </c>
      <c r="G426" s="105" t="n">
        <v>8415000</v>
      </c>
    </row>
    <row r="427">
      <c r="A427" s="5" t="n">
        <v>421</v>
      </c>
      <c r="B427" s="5" t="inlineStr">
        <is>
          <t>25800500075</t>
        </is>
      </c>
      <c r="C427" s="6" t="inlineStr">
        <is>
          <t>Leâ Troïng</t>
        </is>
      </c>
      <c r="D427" s="6" t="inlineStr">
        <is>
          <t>Kha</t>
        </is>
      </c>
      <c r="E427" s="5" t="inlineStr">
        <is>
          <t>23-Jun-07</t>
        </is>
      </c>
      <c r="F427" s="5" t="inlineStr">
        <is>
          <t>LNH0925ND01</t>
        </is>
      </c>
      <c r="G427" s="105" t="n">
        <v>8415000</v>
      </c>
    </row>
    <row r="428">
      <c r="A428" s="5" t="n">
        <v>422</v>
      </c>
      <c r="B428" s="5" t="inlineStr">
        <is>
          <t>25820300020</t>
        </is>
      </c>
      <c r="C428" s="6" t="inlineStr">
        <is>
          <t>Nguyeãn</t>
        </is>
      </c>
      <c r="D428" s="6" t="inlineStr">
        <is>
          <t>Huyønh</t>
        </is>
      </c>
      <c r="E428" s="5" t="inlineStr">
        <is>
          <t>14-May-07</t>
        </is>
      </c>
      <c r="F428" s="5" t="inlineStr">
        <is>
          <t>LNH0925ND01</t>
        </is>
      </c>
      <c r="G428" s="105" t="n">
        <v>8415000</v>
      </c>
    </row>
    <row r="429">
      <c r="A429" s="5" t="n">
        <v>423</v>
      </c>
      <c r="B429" s="5" t="inlineStr">
        <is>
          <t>25808600039</t>
        </is>
      </c>
      <c r="C429" s="6" t="inlineStr">
        <is>
          <t>Ñinh Nguyeãn Nhöït</t>
        </is>
      </c>
      <c r="D429" s="6" t="inlineStr">
        <is>
          <t>Huy</t>
        </is>
      </c>
      <c r="E429" s="5" t="inlineStr">
        <is>
          <t>04-Aug-06</t>
        </is>
      </c>
      <c r="F429" s="5" t="inlineStr">
        <is>
          <t>LNH0925ND01</t>
        </is>
      </c>
      <c r="G429" s="105" t="n">
        <v>8415000</v>
      </c>
    </row>
    <row r="430">
      <c r="A430" s="5" t="n">
        <v>424</v>
      </c>
      <c r="B430" s="5" t="inlineStr">
        <is>
          <t>25802800347</t>
        </is>
      </c>
      <c r="C430" s="6" t="inlineStr">
        <is>
          <t>Hoaøng Minh</t>
        </is>
      </c>
      <c r="D430" s="6" t="inlineStr">
        <is>
          <t>Quaân</t>
        </is>
      </c>
      <c r="E430" s="5" t="inlineStr">
        <is>
          <t>08-May-07</t>
        </is>
      </c>
      <c r="F430" s="5" t="inlineStr">
        <is>
          <t>LNH0925ND01</t>
        </is>
      </c>
      <c r="G430" s="105" t="n">
        <v>8415000</v>
      </c>
    </row>
    <row r="431">
      <c r="A431" s="5" t="n">
        <v>425</v>
      </c>
      <c r="B431" s="5" t="inlineStr">
        <is>
          <t>25803800098</t>
        </is>
      </c>
      <c r="C431" s="6" t="inlineStr">
        <is>
          <t>Höùa Myõ</t>
        </is>
      </c>
      <c r="D431" s="6" t="inlineStr">
        <is>
          <t>Linh</t>
        </is>
      </c>
      <c r="E431" s="5" t="inlineStr">
        <is>
          <t>04-Nov-07</t>
        </is>
      </c>
      <c r="F431" s="5" t="inlineStr">
        <is>
          <t>LNH0925ND01</t>
        </is>
      </c>
      <c r="G431" s="105" t="n">
        <v>8415000</v>
      </c>
    </row>
    <row r="432">
      <c r="A432" s="5" t="n">
        <v>426</v>
      </c>
      <c r="B432" s="5" t="inlineStr">
        <is>
          <t>25805900021</t>
        </is>
      </c>
      <c r="C432" s="6" t="inlineStr">
        <is>
          <t>Nguyeãn Thò Xuaân</t>
        </is>
      </c>
      <c r="D432" s="6" t="inlineStr">
        <is>
          <t>Mai</t>
        </is>
      </c>
      <c r="E432" s="5" t="inlineStr">
        <is>
          <t>03-Sep-07</t>
        </is>
      </c>
      <c r="F432" s="5" t="inlineStr">
        <is>
          <t>LNH0925ND01</t>
        </is>
      </c>
      <c r="G432" s="105" t="n">
        <v>8415000</v>
      </c>
    </row>
    <row r="433">
      <c r="A433" s="5" t="n">
        <v>427</v>
      </c>
      <c r="B433" s="5" t="inlineStr">
        <is>
          <t>25805900029</t>
        </is>
      </c>
      <c r="C433" s="6" t="inlineStr">
        <is>
          <t>Döông Huyønh Thanh</t>
        </is>
      </c>
      <c r="D433" s="6" t="inlineStr">
        <is>
          <t>Nhö</t>
        </is>
      </c>
      <c r="E433" s="5" t="inlineStr">
        <is>
          <t>11-Jan-07</t>
        </is>
      </c>
      <c r="F433" s="5" t="inlineStr">
        <is>
          <t>LNH0925ND01</t>
        </is>
      </c>
      <c r="G433" s="105" t="n">
        <v>8415000</v>
      </c>
    </row>
    <row r="434">
      <c r="A434" s="5" t="n">
        <v>428</v>
      </c>
      <c r="B434" s="5" t="inlineStr">
        <is>
          <t>25800500109</t>
        </is>
      </c>
      <c r="C434" s="6" t="inlineStr">
        <is>
          <t>Nguyeãn Huyønh Nhöït</t>
        </is>
      </c>
      <c r="D434" s="6" t="inlineStr">
        <is>
          <t>Minh</t>
        </is>
      </c>
      <c r="E434" s="5" t="inlineStr">
        <is>
          <t>30-Aug-07</t>
        </is>
      </c>
      <c r="F434" s="5" t="inlineStr">
        <is>
          <t>LNH0925ND01</t>
        </is>
      </c>
      <c r="G434" s="105" t="n">
        <v>8415000</v>
      </c>
    </row>
    <row r="435">
      <c r="A435" s="5" t="n">
        <v>429</v>
      </c>
      <c r="B435" s="5" t="inlineStr">
        <is>
          <t>25807800158</t>
        </is>
      </c>
      <c r="C435" s="6" t="inlineStr">
        <is>
          <t>Ñoã Thanh</t>
        </is>
      </c>
      <c r="D435" s="6" t="inlineStr">
        <is>
          <t>Tuøng</t>
        </is>
      </c>
      <c r="E435" s="5" t="inlineStr">
        <is>
          <t>24-Apr-07</t>
        </is>
      </c>
      <c r="F435" s="5" t="inlineStr">
        <is>
          <t>LNH0925ND01</t>
        </is>
      </c>
      <c r="G435" s="105" t="n">
        <v>8415000</v>
      </c>
    </row>
    <row r="436">
      <c r="A436" s="5" t="n">
        <v>430</v>
      </c>
      <c r="B436" s="5" t="inlineStr">
        <is>
          <t>25801700013</t>
        </is>
      </c>
      <c r="C436" s="6" t="inlineStr">
        <is>
          <t>Traàn Vaên Anh</t>
        </is>
      </c>
      <c r="D436" s="6" t="inlineStr">
        <is>
          <t>Ñöùc</t>
        </is>
      </c>
      <c r="E436" s="5" t="inlineStr">
        <is>
          <t>01-May-07</t>
        </is>
      </c>
      <c r="F436" s="5" t="inlineStr">
        <is>
          <t>LNH0925ND01</t>
        </is>
      </c>
      <c r="G436" s="105" t="n">
        <v>8415000</v>
      </c>
    </row>
    <row r="437">
      <c r="A437" s="5" t="n">
        <v>431</v>
      </c>
      <c r="B437" s="5" t="inlineStr">
        <is>
          <t>25805900005</t>
        </is>
      </c>
      <c r="C437" s="6" t="inlineStr">
        <is>
          <t>Nguyeãn Chí</t>
        </is>
      </c>
      <c r="D437" s="6" t="inlineStr">
        <is>
          <t>Beàn</t>
        </is>
      </c>
      <c r="E437" s="5" t="inlineStr">
        <is>
          <t>29-Oct-07</t>
        </is>
      </c>
      <c r="F437" s="5" t="inlineStr">
        <is>
          <t>LNH0925ND01</t>
        </is>
      </c>
      <c r="G437" s="105" t="n">
        <v>8415000</v>
      </c>
    </row>
    <row r="438">
      <c r="A438" s="5" t="n">
        <v>432</v>
      </c>
      <c r="B438" s="5" t="inlineStr">
        <is>
          <t>25806800005</t>
        </is>
      </c>
      <c r="C438" s="6" t="inlineStr">
        <is>
          <t>Tröông Thò Thuùy</t>
        </is>
      </c>
      <c r="D438" s="6" t="inlineStr">
        <is>
          <t>An</t>
        </is>
      </c>
      <c r="E438" s="5" t="inlineStr">
        <is>
          <t>11-Aug-07</t>
        </is>
      </c>
      <c r="F438" s="5" t="inlineStr">
        <is>
          <t>LNH0925ND01</t>
        </is>
      </c>
      <c r="G438" s="105" t="n">
        <v>8415000</v>
      </c>
    </row>
    <row r="439">
      <c r="A439" s="5" t="n">
        <v>433</v>
      </c>
      <c r="B439" s="5" t="inlineStr">
        <is>
          <t>25807800030</t>
        </is>
      </c>
      <c r="C439" s="6" t="inlineStr">
        <is>
          <t>Nguyeãn Baù Coâng</t>
        </is>
      </c>
      <c r="D439" s="6" t="inlineStr">
        <is>
          <t>Ñònh</t>
        </is>
      </c>
      <c r="E439" s="5" t="inlineStr">
        <is>
          <t>22-Jul-07</t>
        </is>
      </c>
      <c r="F439" s="5" t="inlineStr">
        <is>
          <t>LNH0925ND01</t>
        </is>
      </c>
      <c r="G439" s="105" t="n">
        <v>8415000</v>
      </c>
    </row>
    <row r="440">
      <c r="A440" s="5" t="n">
        <v>434</v>
      </c>
      <c r="B440" s="5" t="inlineStr">
        <is>
          <t>25806400003</t>
        </is>
      </c>
      <c r="C440" s="6" t="inlineStr">
        <is>
          <t>Ñoã</t>
        </is>
      </c>
      <c r="D440" s="6" t="inlineStr">
        <is>
          <t>Duaãn</t>
        </is>
      </c>
      <c r="E440" s="5" t="inlineStr">
        <is>
          <t>16-Oct-07</t>
        </is>
      </c>
      <c r="F440" s="5" t="inlineStr">
        <is>
          <t>LNH0925ND01</t>
        </is>
      </c>
      <c r="G440" s="105" t="n">
        <v>8415000</v>
      </c>
    </row>
    <row r="441">
      <c r="A441" s="5" t="n">
        <v>435</v>
      </c>
      <c r="B441" s="5" t="inlineStr">
        <is>
          <t>25808900091</t>
        </is>
      </c>
      <c r="C441" s="6" t="inlineStr">
        <is>
          <t>Döông Thò Tuyeát</t>
        </is>
      </c>
      <c r="D441" s="6" t="inlineStr">
        <is>
          <t>Nhi</t>
        </is>
      </c>
      <c r="E441" s="5" t="inlineStr">
        <is>
          <t>19-Jul-07</t>
        </is>
      </c>
      <c r="F441" s="5" t="inlineStr">
        <is>
          <t>LNH0925ND01</t>
        </is>
      </c>
      <c r="G441" s="105" t="n">
        <v>8415000</v>
      </c>
    </row>
    <row r="442">
      <c r="A442" s="5" t="n">
        <v>436</v>
      </c>
      <c r="B442" s="5" t="inlineStr">
        <is>
          <t>25801200041</t>
        </is>
      </c>
      <c r="C442" s="6" t="inlineStr">
        <is>
          <t>Nguyeãn Thò Töôøng</t>
        </is>
      </c>
      <c r="D442" s="6" t="inlineStr">
        <is>
          <t>Vy</t>
        </is>
      </c>
      <c r="E442" s="5" t="inlineStr">
        <is>
          <t>25-Jan-07</t>
        </is>
      </c>
      <c r="F442" s="5" t="inlineStr">
        <is>
          <t>LNH0925ND01</t>
        </is>
      </c>
      <c r="G442" s="105" t="n">
        <v>8415000</v>
      </c>
    </row>
    <row r="443">
      <c r="A443" s="5" t="n">
        <v>437</v>
      </c>
      <c r="B443" s="5" t="inlineStr">
        <is>
          <t>25808200100</t>
        </is>
      </c>
      <c r="C443" s="6" t="inlineStr">
        <is>
          <t>Phaïm Taán</t>
        </is>
      </c>
      <c r="D443" s="6" t="inlineStr">
        <is>
          <t>Phaùt</t>
        </is>
      </c>
      <c r="E443" s="5" t="inlineStr">
        <is>
          <t>07-Oct-07</t>
        </is>
      </c>
      <c r="F443" s="5" t="inlineStr">
        <is>
          <t>LNH0925ND01</t>
        </is>
      </c>
      <c r="G443" s="105" t="n">
        <v>8415000</v>
      </c>
    </row>
    <row r="444">
      <c r="A444" s="5" t="n">
        <v>438</v>
      </c>
      <c r="B444" s="5" t="inlineStr">
        <is>
          <t>25801000044</t>
        </is>
      </c>
      <c r="C444" s="6" t="inlineStr">
        <is>
          <t>Phaïm Hoaøng Trang</t>
        </is>
      </c>
      <c r="D444" s="6" t="inlineStr">
        <is>
          <t>Nguyeân</t>
        </is>
      </c>
      <c r="E444" s="5" t="inlineStr">
        <is>
          <t>15-Jan-07</t>
        </is>
      </c>
      <c r="F444" s="5" t="inlineStr">
        <is>
          <t>LNH0925ND01</t>
        </is>
      </c>
      <c r="G444" s="105" t="n">
        <v>8415000</v>
      </c>
    </row>
    <row r="445">
      <c r="A445" s="5" t="n">
        <v>439</v>
      </c>
      <c r="B445" s="5" t="inlineStr">
        <is>
          <t>25808200093</t>
        </is>
      </c>
      <c r="C445" s="6" t="inlineStr">
        <is>
          <t>Nguyeãn Khaéc</t>
        </is>
      </c>
      <c r="D445" s="6" t="inlineStr">
        <is>
          <t>Nguyeân</t>
        </is>
      </c>
      <c r="E445" s="5" t="inlineStr">
        <is>
          <t>06-Feb-07</t>
        </is>
      </c>
      <c r="F445" s="5" t="inlineStr">
        <is>
          <t>LNH0925ND01</t>
        </is>
      </c>
      <c r="G445" s="105" t="n">
        <v>8415000</v>
      </c>
    </row>
    <row r="446">
      <c r="A446" s="5" t="n">
        <v>440</v>
      </c>
      <c r="B446" s="5" t="inlineStr">
        <is>
          <t>25800500215</t>
        </is>
      </c>
      <c r="C446" s="6" t="inlineStr">
        <is>
          <t>Nguyeãn Xuaân</t>
        </is>
      </c>
      <c r="D446" s="6" t="inlineStr">
        <is>
          <t>Tröôøng</t>
        </is>
      </c>
      <c r="E446" s="5" t="inlineStr">
        <is>
          <t>22-Nov-07</t>
        </is>
      </c>
      <c r="F446" s="5" t="inlineStr">
        <is>
          <t>LNH0925ND01</t>
        </is>
      </c>
      <c r="G446" s="105" t="n">
        <v>8415000</v>
      </c>
    </row>
    <row r="447">
      <c r="A447" s="5" t="n">
        <v>441</v>
      </c>
      <c r="B447" s="5" t="inlineStr">
        <is>
          <t>25803000304</t>
        </is>
      </c>
      <c r="C447" s="6" t="inlineStr">
        <is>
          <t>Nguyeãn Thò Thuøy</t>
        </is>
      </c>
      <c r="D447" s="6" t="inlineStr">
        <is>
          <t>Linh</t>
        </is>
      </c>
      <c r="E447" s="5" t="inlineStr">
        <is>
          <t>09-Mar-07</t>
        </is>
      </c>
      <c r="F447" s="5" t="inlineStr">
        <is>
          <t>LNH0925ND01</t>
        </is>
      </c>
      <c r="G447" s="105" t="n">
        <v>8415000</v>
      </c>
    </row>
    <row r="448">
      <c r="A448" s="5" t="n">
        <v>442</v>
      </c>
      <c r="B448" s="5" t="inlineStr">
        <is>
          <t>25808100019</t>
        </is>
      </c>
      <c r="C448" s="6" t="inlineStr">
        <is>
          <t>Traàn Gia</t>
        </is>
      </c>
      <c r="D448" s="6" t="inlineStr">
        <is>
          <t>Huy</t>
        </is>
      </c>
      <c r="E448" s="5" t="inlineStr">
        <is>
          <t>19-Oct-07</t>
        </is>
      </c>
      <c r="F448" s="5" t="inlineStr">
        <is>
          <t>LNH0925ND01</t>
        </is>
      </c>
      <c r="G448" s="105" t="n">
        <v>8415000</v>
      </c>
    </row>
    <row r="449">
      <c r="A449" s="5" t="n">
        <v>443</v>
      </c>
      <c r="B449" s="5" t="inlineStr">
        <is>
          <t>25801200018</t>
        </is>
      </c>
      <c r="C449" s="6" t="inlineStr">
        <is>
          <t>Nguyeãn Thò Hoaøng</t>
        </is>
      </c>
      <c r="D449" s="6" t="inlineStr">
        <is>
          <t>Kieàu</t>
        </is>
      </c>
      <c r="E449" s="5" t="inlineStr">
        <is>
          <t>18-Feb-07</t>
        </is>
      </c>
      <c r="F449" s="5" t="inlineStr">
        <is>
          <t>LNH0925ND01</t>
        </is>
      </c>
      <c r="G449" s="105" t="n">
        <v>8415000</v>
      </c>
    </row>
    <row r="450">
      <c r="A450" s="5" t="n">
        <v>444</v>
      </c>
      <c r="B450" s="5" t="inlineStr">
        <is>
          <t>25800400244</t>
        </is>
      </c>
      <c r="C450" s="6" t="inlineStr">
        <is>
          <t>Nguyeãn Ñaêng</t>
        </is>
      </c>
      <c r="D450" s="6" t="inlineStr">
        <is>
          <t>Khang</t>
        </is>
      </c>
      <c r="E450" s="5" t="inlineStr">
        <is>
          <t>31-Mar-07</t>
        </is>
      </c>
      <c r="F450" s="5" t="inlineStr">
        <is>
          <t>LNH0925ND01</t>
        </is>
      </c>
      <c r="G450" s="105" t="n">
        <v>8415000</v>
      </c>
    </row>
    <row r="451">
      <c r="A451" s="5" t="n">
        <v>445</v>
      </c>
      <c r="B451" s="5" t="inlineStr">
        <is>
          <t>25807800151</t>
        </is>
      </c>
      <c r="C451" s="6" t="inlineStr">
        <is>
          <t>Nguyeãn Phöôùc</t>
        </is>
      </c>
      <c r="D451" s="6" t="inlineStr">
        <is>
          <t>Trung</t>
        </is>
      </c>
      <c r="E451" s="5" t="inlineStr">
        <is>
          <t>04-Dec-07</t>
        </is>
      </c>
      <c r="F451" s="5" t="inlineStr">
        <is>
          <t>LNH0925ND01</t>
        </is>
      </c>
      <c r="G451" s="105" t="n">
        <v>8415000</v>
      </c>
    </row>
    <row r="452">
      <c r="A452" s="5" t="n">
        <v>446</v>
      </c>
      <c r="B452" s="5" t="inlineStr">
        <is>
          <t>25808200002</t>
        </is>
      </c>
      <c r="C452" s="6" t="inlineStr">
        <is>
          <t>Nguyeãn Tröôøng</t>
        </is>
      </c>
      <c r="D452" s="6" t="inlineStr">
        <is>
          <t>An</t>
        </is>
      </c>
      <c r="E452" s="5" t="inlineStr">
        <is>
          <t>11-Feb-07</t>
        </is>
      </c>
      <c r="F452" s="5" t="inlineStr">
        <is>
          <t>LNH0925ND01</t>
        </is>
      </c>
      <c r="G452" s="105" t="n">
        <v>8415000</v>
      </c>
    </row>
    <row r="453">
      <c r="A453" s="5" t="n">
        <v>447</v>
      </c>
      <c r="B453" s="5" t="inlineStr">
        <is>
          <t>25805900103</t>
        </is>
      </c>
      <c r="C453" s="6" t="inlineStr">
        <is>
          <t>Leâ Myõ</t>
        </is>
      </c>
      <c r="D453" s="6" t="inlineStr">
        <is>
          <t>Nhaøn</t>
        </is>
      </c>
      <c r="E453" s="5" t="inlineStr">
        <is>
          <t>11-Aug-07</t>
        </is>
      </c>
      <c r="F453" s="5" t="inlineStr">
        <is>
          <t>LNH0925ND01</t>
        </is>
      </c>
      <c r="G453" s="105" t="n">
        <v>8415000</v>
      </c>
    </row>
    <row r="454">
      <c r="A454" s="5" t="n">
        <v>448</v>
      </c>
      <c r="B454" s="5" t="inlineStr">
        <is>
          <t>25820700021</t>
        </is>
      </c>
      <c r="C454" s="6" t="inlineStr">
        <is>
          <t>Ngoâ Thò Baûo</t>
        </is>
      </c>
      <c r="D454" s="6" t="inlineStr">
        <is>
          <t>Ngoïc</t>
        </is>
      </c>
      <c r="E454" s="5" t="inlineStr">
        <is>
          <t>29-Nov-07</t>
        </is>
      </c>
      <c r="F454" s="5" t="inlineStr">
        <is>
          <t>LNH0925ND01</t>
        </is>
      </c>
      <c r="G454" s="105" t="n">
        <v>8415000</v>
      </c>
    </row>
    <row r="455">
      <c r="A455" s="5" t="n">
        <v>449</v>
      </c>
      <c r="B455" s="5" t="inlineStr">
        <is>
          <t>25806000094</t>
        </is>
      </c>
      <c r="C455" s="6" t="inlineStr">
        <is>
          <t>Nguyeãn Thanh</t>
        </is>
      </c>
      <c r="D455" s="6" t="inlineStr">
        <is>
          <t>Ngaân</t>
        </is>
      </c>
      <c r="E455" s="5" t="inlineStr">
        <is>
          <t>21-May-07</t>
        </is>
      </c>
      <c r="F455" s="5" t="inlineStr">
        <is>
          <t>LNH0925ND01</t>
        </is>
      </c>
      <c r="G455" s="105" t="n">
        <v>8415000</v>
      </c>
    </row>
    <row r="456">
      <c r="A456" s="5" t="n">
        <v>450</v>
      </c>
      <c r="B456" s="5" t="inlineStr">
        <is>
          <t>25802800290</t>
        </is>
      </c>
      <c r="C456" s="6" t="inlineStr">
        <is>
          <t>Ngoâ Baûo</t>
        </is>
      </c>
      <c r="D456" s="6" t="inlineStr">
        <is>
          <t>Uyeân</t>
        </is>
      </c>
      <c r="E456" s="5" t="inlineStr">
        <is>
          <t>16-May-07</t>
        </is>
      </c>
      <c r="F456" s="5" t="inlineStr">
        <is>
          <t>LNH0925ND01</t>
        </is>
      </c>
      <c r="G456" s="105" t="n">
        <v>8415000</v>
      </c>
    </row>
    <row r="457">
      <c r="A457" s="5" t="n">
        <v>451</v>
      </c>
      <c r="B457" s="5" t="inlineStr">
        <is>
          <t>25807500072</t>
        </is>
      </c>
      <c r="C457" s="6" t="inlineStr">
        <is>
          <t>Phan Thò</t>
        </is>
      </c>
      <c r="D457" s="6" t="inlineStr">
        <is>
          <t>Möøng</t>
        </is>
      </c>
      <c r="E457" s="5" t="inlineStr">
        <is>
          <t>26-Aug-84</t>
        </is>
      </c>
      <c r="F457" s="5" t="inlineStr">
        <is>
          <t>LNH0925ND01</t>
        </is>
      </c>
      <c r="G457" s="105" t="n">
        <v>8415000</v>
      </c>
    </row>
    <row r="458">
      <c r="A458" s="5" t="n">
        <v>452</v>
      </c>
      <c r="B458" s="5" t="inlineStr">
        <is>
          <t>25809100020</t>
        </is>
      </c>
      <c r="C458" s="6" t="inlineStr">
        <is>
          <t>Phaïm Huyønh Hai</t>
        </is>
      </c>
      <c r="D458" s="6" t="inlineStr">
        <is>
          <t>Tyû</t>
        </is>
      </c>
      <c r="E458" s="5" t="inlineStr">
        <is>
          <t>10-Jun-07</t>
        </is>
      </c>
      <c r="F458" s="5" t="inlineStr">
        <is>
          <t>LNH0925ND01</t>
        </is>
      </c>
      <c r="G458" s="105" t="n">
        <v>8415000</v>
      </c>
    </row>
    <row r="459">
      <c r="A459" s="5" t="n">
        <v>453</v>
      </c>
      <c r="B459" s="5" t="inlineStr">
        <is>
          <t>25802400028</t>
        </is>
      </c>
      <c r="C459" s="6" t="inlineStr">
        <is>
          <t>Nguyeãn Thò Xuaân</t>
        </is>
      </c>
      <c r="D459" s="6" t="inlineStr">
        <is>
          <t>Thaûo</t>
        </is>
      </c>
      <c r="E459" s="5" t="inlineStr">
        <is>
          <t>11-Aug-06</t>
        </is>
      </c>
      <c r="F459" s="5" t="inlineStr">
        <is>
          <t>LNH0925ND01</t>
        </is>
      </c>
      <c r="G459" s="105" t="n">
        <v>8415000</v>
      </c>
    </row>
    <row r="460">
      <c r="A460" s="5" t="n">
        <v>454</v>
      </c>
      <c r="B460" s="5" t="inlineStr">
        <is>
          <t>25808900092</t>
        </is>
      </c>
      <c r="C460" s="6" t="inlineStr">
        <is>
          <t>Traàn Yeán</t>
        </is>
      </c>
      <c r="D460" s="6" t="inlineStr">
        <is>
          <t>Nhi</t>
        </is>
      </c>
      <c r="E460" s="5" t="inlineStr">
        <is>
          <t>14-Nov-07</t>
        </is>
      </c>
      <c r="F460" s="5" t="inlineStr">
        <is>
          <t>LNH0925ND01</t>
        </is>
      </c>
      <c r="G460" s="105" t="n">
        <v>8415000</v>
      </c>
    </row>
    <row r="461">
      <c r="A461" s="5" t="n">
        <v>455</v>
      </c>
      <c r="B461" s="5" t="inlineStr">
        <is>
          <t>25802800095</t>
        </is>
      </c>
      <c r="C461" s="6" t="inlineStr">
        <is>
          <t>Taï Quang</t>
        </is>
      </c>
      <c r="D461" s="6" t="inlineStr">
        <is>
          <t>Huy</t>
        </is>
      </c>
      <c r="E461" s="5" t="inlineStr">
        <is>
          <t>14-Nov-07</t>
        </is>
      </c>
      <c r="F461" s="5" t="inlineStr">
        <is>
          <t>LNH0925ND01</t>
        </is>
      </c>
      <c r="G461" s="105" t="n">
        <v>8415000</v>
      </c>
    </row>
    <row r="462">
      <c r="A462" s="5" t="n">
        <v>456</v>
      </c>
      <c r="B462" s="5" t="inlineStr">
        <is>
          <t>25802700134</t>
        </is>
      </c>
      <c r="C462" s="6" t="inlineStr">
        <is>
          <t>Phan Baûo</t>
        </is>
      </c>
      <c r="D462" s="6" t="inlineStr">
        <is>
          <t>Luaân</t>
        </is>
      </c>
      <c r="E462" s="5" t="inlineStr">
        <is>
          <t>24-Sep-07</t>
        </is>
      </c>
      <c r="F462" s="5" t="inlineStr">
        <is>
          <t>LNH0925ND01</t>
        </is>
      </c>
      <c r="G462" s="105" t="n">
        <v>8415000</v>
      </c>
    </row>
    <row r="463">
      <c r="A463" s="5" t="n">
        <v>457</v>
      </c>
      <c r="B463" s="5" t="inlineStr">
        <is>
          <t>25808700026</t>
        </is>
      </c>
      <c r="C463" s="6" t="inlineStr">
        <is>
          <t>Nguyeãn Phaïm Minh</t>
        </is>
      </c>
      <c r="D463" s="6" t="inlineStr">
        <is>
          <t>Hieáu</t>
        </is>
      </c>
      <c r="E463" s="5" t="inlineStr">
        <is>
          <t>17-Dec-07</t>
        </is>
      </c>
      <c r="F463" s="5" t="inlineStr">
        <is>
          <t>LNH0925ND01</t>
        </is>
      </c>
      <c r="G463" s="105" t="n">
        <v>8415000</v>
      </c>
    </row>
    <row r="464">
      <c r="A464" s="5" t="n">
        <v>458</v>
      </c>
      <c r="B464" s="5" t="inlineStr">
        <is>
          <t>25806000007</t>
        </is>
      </c>
      <c r="C464" s="6" t="inlineStr">
        <is>
          <t>Nguyeãn Quoác</t>
        </is>
      </c>
      <c r="D464" s="6" t="inlineStr">
        <is>
          <t>Duy</t>
        </is>
      </c>
      <c r="E464" s="5" t="inlineStr">
        <is>
          <t>27-Dec-07</t>
        </is>
      </c>
      <c r="F464" s="5" t="inlineStr">
        <is>
          <t>LNH0925ND01</t>
        </is>
      </c>
      <c r="G464" s="105" t="n">
        <v>8415000</v>
      </c>
    </row>
    <row r="465">
      <c r="A465" s="5" t="n">
        <v>459</v>
      </c>
      <c r="B465" s="5" t="inlineStr">
        <is>
          <t>25802300306</t>
        </is>
      </c>
      <c r="C465" s="6" t="inlineStr">
        <is>
          <t>Leâ Ngoïc Kieàu</t>
        </is>
      </c>
      <c r="D465" s="6" t="inlineStr">
        <is>
          <t>Vy</t>
        </is>
      </c>
      <c r="E465" s="5" t="inlineStr">
        <is>
          <t>20-Aug-07</t>
        </is>
      </c>
      <c r="F465" s="5" t="inlineStr">
        <is>
          <t>LNH0925ND01</t>
        </is>
      </c>
      <c r="G465" s="105" t="n">
        <v>8415000</v>
      </c>
    </row>
    <row r="466">
      <c r="A466" s="5" t="n">
        <v>460</v>
      </c>
      <c r="B466" s="5" t="inlineStr">
        <is>
          <t>25820300026</t>
        </is>
      </c>
      <c r="C466" s="6" t="inlineStr">
        <is>
          <t>Phaïm Nguyeãn Ñaêng</t>
        </is>
      </c>
      <c r="D466" s="6" t="inlineStr">
        <is>
          <t>Khoa</t>
        </is>
      </c>
      <c r="E466" s="5" t="inlineStr">
        <is>
          <t>14-Dec-07</t>
        </is>
      </c>
      <c r="F466" s="5" t="inlineStr">
        <is>
          <t>LNH0925ND01</t>
        </is>
      </c>
      <c r="G466" s="105" t="n">
        <v>8415000</v>
      </c>
    </row>
    <row r="467">
      <c r="A467" s="5" t="n">
        <v>461</v>
      </c>
      <c r="B467" s="5" t="inlineStr">
        <is>
          <t>25801900288</t>
        </is>
      </c>
      <c r="C467" s="6" t="inlineStr">
        <is>
          <t>Buøi Anh</t>
        </is>
      </c>
      <c r="D467" s="6" t="inlineStr">
        <is>
          <t>Thö</t>
        </is>
      </c>
      <c r="E467" s="5" t="inlineStr">
        <is>
          <t>09-Jan-07</t>
        </is>
      </c>
      <c r="F467" s="5" t="inlineStr">
        <is>
          <t>LNH0925ND01</t>
        </is>
      </c>
      <c r="G467" s="105" t="n">
        <v>8415000</v>
      </c>
    </row>
    <row r="468">
      <c r="A468" s="5" t="n">
        <v>462</v>
      </c>
      <c r="B468" s="5" t="inlineStr">
        <is>
          <t>25802800041</t>
        </is>
      </c>
      <c r="C468" s="6" t="inlineStr">
        <is>
          <t>Nguyeãn Quoác</t>
        </is>
      </c>
      <c r="D468" s="6" t="inlineStr">
        <is>
          <t>Ñaït</t>
        </is>
      </c>
      <c r="E468" s="5" t="inlineStr">
        <is>
          <t>02-Feb-06</t>
        </is>
      </c>
      <c r="F468" s="5" t="inlineStr">
        <is>
          <t>LNH0925ND01</t>
        </is>
      </c>
      <c r="G468" s="105" t="n">
        <v>8415000</v>
      </c>
    </row>
    <row r="469">
      <c r="A469" s="5" t="n">
        <v>463</v>
      </c>
      <c r="B469" s="5" t="inlineStr">
        <is>
          <t>25807900003</t>
        </is>
      </c>
      <c r="C469" s="6" t="inlineStr">
        <is>
          <t>Leâ Gia</t>
        </is>
      </c>
      <c r="D469" s="6" t="inlineStr">
        <is>
          <t>Baûo</t>
        </is>
      </c>
      <c r="E469" s="5" t="inlineStr">
        <is>
          <t>16-Feb-07</t>
        </is>
      </c>
      <c r="F469" s="5" t="inlineStr">
        <is>
          <t>LNH0925ND01</t>
        </is>
      </c>
      <c r="G469" s="105" t="n">
        <v>8415000</v>
      </c>
      <c r="K469" t="inlineStr">
        <is>
          <t>Dư HP chờ chuyển</t>
        </is>
      </c>
    </row>
    <row r="470">
      <c r="A470" s="5" t="n">
        <v>464</v>
      </c>
      <c r="B470" s="5" t="inlineStr">
        <is>
          <t>25808700011</t>
        </is>
      </c>
      <c r="C470" s="6" t="inlineStr">
        <is>
          <t>Laâm Ngoïc Thuøy</t>
        </is>
      </c>
      <c r="D470" s="6" t="inlineStr">
        <is>
          <t>Döông</t>
        </is>
      </c>
      <c r="E470" s="5" t="inlineStr">
        <is>
          <t>03-Jul-07</t>
        </is>
      </c>
      <c r="F470" s="5" t="inlineStr">
        <is>
          <t>LNH0925ND01</t>
        </is>
      </c>
      <c r="G470" s="105" t="n">
        <v>8415000</v>
      </c>
    </row>
    <row r="471">
      <c r="A471" s="5" t="n">
        <v>465</v>
      </c>
      <c r="B471" s="5" t="inlineStr">
        <is>
          <t>25803800021</t>
        </is>
      </c>
      <c r="C471" s="6" t="inlineStr">
        <is>
          <t>Ñoã Quoác</t>
        </is>
      </c>
      <c r="D471" s="6" t="inlineStr">
        <is>
          <t>Khaùnh</t>
        </is>
      </c>
      <c r="E471" s="5" t="inlineStr">
        <is>
          <t>20-May-07</t>
        </is>
      </c>
      <c r="F471" s="5" t="inlineStr">
        <is>
          <t>LNH0925ND01</t>
        </is>
      </c>
      <c r="G471" s="105" t="n">
        <v>8415000</v>
      </c>
    </row>
    <row r="472">
      <c r="A472" s="5" t="n">
        <v>466</v>
      </c>
      <c r="B472" s="5" t="inlineStr">
        <is>
          <t>25808200067</t>
        </is>
      </c>
      <c r="C472" s="6" t="inlineStr">
        <is>
          <t>Nguyeãn Ngoïc Ñaêng</t>
        </is>
      </c>
      <c r="D472" s="6" t="inlineStr">
        <is>
          <t>Khoa</t>
        </is>
      </c>
      <c r="E472" s="5" t="inlineStr">
        <is>
          <t>16-May-07</t>
        </is>
      </c>
      <c r="F472" s="5" t="inlineStr">
        <is>
          <t>LNH0925ND01</t>
        </is>
      </c>
      <c r="G472" s="105" t="n">
        <v>8415000</v>
      </c>
    </row>
    <row r="473">
      <c r="A473" s="5" t="n">
        <v>467</v>
      </c>
      <c r="B473" s="5" t="inlineStr">
        <is>
          <t>25800400152</t>
        </is>
      </c>
      <c r="C473" s="6" t="inlineStr">
        <is>
          <t>Ñaøo Quoác</t>
        </is>
      </c>
      <c r="D473" s="6" t="inlineStr">
        <is>
          <t>Thuaän</t>
        </is>
      </c>
      <c r="E473" s="5" t="inlineStr">
        <is>
          <t>09-May-07</t>
        </is>
      </c>
      <c r="F473" s="5" t="inlineStr">
        <is>
          <t>LNH0925ND01</t>
        </is>
      </c>
      <c r="G473" s="105" t="n">
        <v>8415000</v>
      </c>
    </row>
    <row r="474">
      <c r="A474" s="5" t="n">
        <v>468</v>
      </c>
      <c r="B474" s="5" t="inlineStr">
        <is>
          <t>25801800082</t>
        </is>
      </c>
      <c r="C474" s="6" t="inlineStr">
        <is>
          <t>Nguyeãn Anh</t>
        </is>
      </c>
      <c r="D474" s="6" t="inlineStr">
        <is>
          <t>Tuaán</t>
        </is>
      </c>
      <c r="E474" s="5" t="inlineStr">
        <is>
          <t>02-Jan-07</t>
        </is>
      </c>
      <c r="F474" s="5" t="inlineStr">
        <is>
          <t>LNH0925ND01</t>
        </is>
      </c>
      <c r="G474" s="105" t="n">
        <v>8415000</v>
      </c>
    </row>
    <row r="475">
      <c r="A475" s="5" t="n">
        <v>469</v>
      </c>
      <c r="B475" s="5" t="inlineStr">
        <is>
          <t>25802800087</t>
        </is>
      </c>
      <c r="C475" s="6" t="inlineStr">
        <is>
          <t>Höôùng Huyønh Gia</t>
        </is>
      </c>
      <c r="D475" s="6" t="inlineStr">
        <is>
          <t>Huy</t>
        </is>
      </c>
      <c r="E475" s="5" t="inlineStr">
        <is>
          <t>12-Jul-07</t>
        </is>
      </c>
      <c r="F475" s="5" t="inlineStr">
        <is>
          <t>LNH0925ND01</t>
        </is>
      </c>
      <c r="G475" s="105" t="n">
        <v>8415000</v>
      </c>
    </row>
    <row r="476">
      <c r="A476" s="5" t="n">
        <v>470</v>
      </c>
      <c r="B476" s="5" t="inlineStr">
        <is>
          <t>25808700099</t>
        </is>
      </c>
      <c r="C476" s="6" t="inlineStr">
        <is>
          <t>Leâ Nguyeãn Myõ</t>
        </is>
      </c>
      <c r="D476" s="6" t="inlineStr">
        <is>
          <t>Thöôøng</t>
        </is>
      </c>
      <c r="E476" s="5" t="inlineStr">
        <is>
          <t>24-Mar-07</t>
        </is>
      </c>
      <c r="F476" s="5" t="inlineStr">
        <is>
          <t>LNH0925ND01</t>
        </is>
      </c>
      <c r="G476" s="105" t="n">
        <v>8415000</v>
      </c>
    </row>
    <row r="477">
      <c r="A477" s="5" t="n">
        <v>471</v>
      </c>
      <c r="B477" s="5" t="inlineStr">
        <is>
          <t>25807500063</t>
        </is>
      </c>
      <c r="C477" s="6" t="inlineStr">
        <is>
          <t>Ngoâ Ngoïc</t>
        </is>
      </c>
      <c r="D477" s="6" t="inlineStr">
        <is>
          <t>Long</t>
        </is>
      </c>
      <c r="E477" s="5" t="inlineStr">
        <is>
          <t>29-Dec-07</t>
        </is>
      </c>
      <c r="F477" s="5" t="inlineStr">
        <is>
          <t>LNH0925ND01</t>
        </is>
      </c>
      <c r="G477" s="105" t="n">
        <v>8415000</v>
      </c>
    </row>
    <row r="478">
      <c r="A478" s="5" t="n">
        <v>472</v>
      </c>
      <c r="B478" s="5" t="inlineStr">
        <is>
          <t>25808600160</t>
        </is>
      </c>
      <c r="C478" s="6" t="inlineStr">
        <is>
          <t>Nguyeãn Thò Nhö</t>
        </is>
      </c>
      <c r="D478" s="6" t="inlineStr">
        <is>
          <t>YÙ</t>
        </is>
      </c>
      <c r="E478" s="5" t="inlineStr">
        <is>
          <t>11-Mar-07</t>
        </is>
      </c>
      <c r="F478" s="5" t="inlineStr">
        <is>
          <t>LNH0925ND01</t>
        </is>
      </c>
      <c r="G478" s="105" t="n">
        <v>8415000</v>
      </c>
    </row>
    <row r="479">
      <c r="A479" s="5" t="n">
        <v>473</v>
      </c>
      <c r="B479" s="5" t="inlineStr">
        <is>
          <t>25808200139</t>
        </is>
      </c>
      <c r="C479" s="6" t="inlineStr">
        <is>
          <t>Löông Maïnh</t>
        </is>
      </c>
      <c r="D479" s="6" t="inlineStr">
        <is>
          <t>Tuaán</t>
        </is>
      </c>
      <c r="E479" s="5" t="inlineStr">
        <is>
          <t>18-Oct-07</t>
        </is>
      </c>
      <c r="F479" s="5" t="inlineStr">
        <is>
          <t>LNH0925ND01</t>
        </is>
      </c>
      <c r="G479" s="105" t="n">
        <v>8415000</v>
      </c>
    </row>
    <row r="480">
      <c r="A480" s="5" t="n">
        <v>474</v>
      </c>
      <c r="B480" s="5" t="inlineStr">
        <is>
          <t>25808700114</t>
        </is>
      </c>
      <c r="C480" s="6" t="inlineStr">
        <is>
          <t>Nguyeãn Höõu</t>
        </is>
      </c>
      <c r="D480" s="6" t="inlineStr">
        <is>
          <t>Tröôøng</t>
        </is>
      </c>
      <c r="E480" s="5" t="inlineStr">
        <is>
          <t>18-Aug-07</t>
        </is>
      </c>
      <c r="F480" s="5" t="inlineStr">
        <is>
          <t>LNH0925ND01</t>
        </is>
      </c>
      <c r="G480" s="105" t="n">
        <v>8415000</v>
      </c>
    </row>
    <row r="481">
      <c r="A481" s="5" t="n">
        <v>475</v>
      </c>
      <c r="B481" s="5" t="inlineStr">
        <is>
          <t>25808200051</t>
        </is>
      </c>
      <c r="C481" s="6" t="inlineStr">
        <is>
          <t>Lö Gia</t>
        </is>
      </c>
      <c r="D481" s="6" t="inlineStr">
        <is>
          <t>Huy</t>
        </is>
      </c>
      <c r="E481" s="5" t="inlineStr">
        <is>
          <t>16-Nov-07</t>
        </is>
      </c>
      <c r="F481" s="5" t="inlineStr">
        <is>
          <t>LNH0925ND01</t>
        </is>
      </c>
      <c r="G481" s="105" t="n">
        <v>8415000</v>
      </c>
    </row>
    <row r="482">
      <c r="A482" s="5" t="n">
        <v>476</v>
      </c>
      <c r="B482" s="5" t="inlineStr">
        <is>
          <t>25800500135</t>
        </is>
      </c>
      <c r="C482" s="6" t="inlineStr">
        <is>
          <t>Leâ Thanh</t>
        </is>
      </c>
      <c r="D482" s="6" t="inlineStr">
        <is>
          <t>Phong</t>
        </is>
      </c>
      <c r="E482" s="5" t="inlineStr">
        <is>
          <t>23-Nov-07</t>
        </is>
      </c>
      <c r="F482" s="5" t="inlineStr">
        <is>
          <t>LNH0925ND01</t>
        </is>
      </c>
      <c r="G482" s="105" t="n">
        <v>8415000</v>
      </c>
    </row>
    <row r="483">
      <c r="A483" s="5" t="n">
        <v>477</v>
      </c>
      <c r="B483" s="5" t="inlineStr">
        <is>
          <t>25807500032</t>
        </is>
      </c>
      <c r="C483" s="6" t="inlineStr">
        <is>
          <t>Traàn Ngoïc</t>
        </is>
      </c>
      <c r="D483" s="6" t="inlineStr">
        <is>
          <t>Hieáu</t>
        </is>
      </c>
      <c r="E483" s="5" t="inlineStr">
        <is>
          <t>05-Dec-07</t>
        </is>
      </c>
      <c r="F483" s="5" t="inlineStr">
        <is>
          <t>LNH0925ND01</t>
        </is>
      </c>
      <c r="G483" s="105" t="n">
        <v>8415000</v>
      </c>
    </row>
    <row r="484">
      <c r="A484" s="5" t="n">
        <v>478</v>
      </c>
      <c r="B484" s="5" t="inlineStr">
        <is>
          <t>25820300043</t>
        </is>
      </c>
      <c r="C484" s="6" t="inlineStr">
        <is>
          <t>Traàn Taán</t>
        </is>
      </c>
      <c r="D484" s="6" t="inlineStr">
        <is>
          <t>Phaùt</t>
        </is>
      </c>
      <c r="E484" s="5" t="inlineStr">
        <is>
          <t>09-Mar-07</t>
        </is>
      </c>
      <c r="F484" s="5" t="inlineStr">
        <is>
          <t>LNH0925ND01</t>
        </is>
      </c>
      <c r="G484" s="105" t="n">
        <v>8415000</v>
      </c>
    </row>
    <row r="485">
      <c r="A485" s="5" t="n">
        <v>479</v>
      </c>
      <c r="B485" s="5" t="inlineStr">
        <is>
          <t>25820100030</t>
        </is>
      </c>
      <c r="C485" s="6" t="inlineStr">
        <is>
          <t>Phan Vuõ Gia</t>
        </is>
      </c>
      <c r="D485" s="6" t="inlineStr">
        <is>
          <t>Minh</t>
        </is>
      </c>
      <c r="E485" s="5" t="inlineStr">
        <is>
          <t>12-Jan-07</t>
        </is>
      </c>
      <c r="F485" s="5" t="inlineStr">
        <is>
          <t>LNH0925ND01</t>
        </is>
      </c>
      <c r="G485" s="105" t="n">
        <v>8415000</v>
      </c>
    </row>
    <row r="486">
      <c r="A486" s="5" t="n">
        <v>480</v>
      </c>
      <c r="B486" s="5" t="inlineStr">
        <is>
          <t>25800500155</t>
        </is>
      </c>
      <c r="C486" s="6" t="inlineStr">
        <is>
          <t>Phaïm Duy</t>
        </is>
      </c>
      <c r="D486" s="6" t="inlineStr">
        <is>
          <t>Taân</t>
        </is>
      </c>
      <c r="E486" s="5" t="inlineStr">
        <is>
          <t>06-May-07</t>
        </is>
      </c>
      <c r="F486" s="5" t="inlineStr">
        <is>
          <t>LNH0925ND01</t>
        </is>
      </c>
      <c r="G486" s="105" t="n">
        <v>8415000</v>
      </c>
    </row>
    <row r="487">
      <c r="A487" s="5" t="n">
        <v>481</v>
      </c>
      <c r="B487" s="5" t="inlineStr">
        <is>
          <t>25802800157</t>
        </is>
      </c>
      <c r="C487" s="6" t="inlineStr">
        <is>
          <t>Nguyeãn Taán</t>
        </is>
      </c>
      <c r="D487" s="6" t="inlineStr">
        <is>
          <t>Nghóa</t>
        </is>
      </c>
      <c r="E487" s="5" t="inlineStr">
        <is>
          <t>19-Nov-06</t>
        </is>
      </c>
      <c r="F487" s="5" t="inlineStr">
        <is>
          <t>LNH0925ND01</t>
        </is>
      </c>
      <c r="G487" s="105" t="n">
        <v>8415000</v>
      </c>
    </row>
    <row r="488">
      <c r="A488" s="5" t="n">
        <v>482</v>
      </c>
      <c r="B488" s="5" t="inlineStr">
        <is>
          <t>25805900043</t>
        </is>
      </c>
      <c r="C488" s="6" t="inlineStr">
        <is>
          <t>Nguyeãn Phöông</t>
        </is>
      </c>
      <c r="D488" s="6" t="inlineStr">
        <is>
          <t>Thaûo</t>
        </is>
      </c>
      <c r="E488" s="5" t="inlineStr">
        <is>
          <t>23-Jan-07</t>
        </is>
      </c>
      <c r="F488" s="5" t="inlineStr">
        <is>
          <t>LNH0925ND01</t>
        </is>
      </c>
      <c r="G488" s="105" t="n">
        <v>8415000</v>
      </c>
    </row>
    <row r="489">
      <c r="A489" s="5" t="n">
        <v>483</v>
      </c>
      <c r="B489" s="5" t="inlineStr">
        <is>
          <t>25807900073</t>
        </is>
      </c>
      <c r="C489" s="6" t="inlineStr">
        <is>
          <t>Tröông Taán</t>
        </is>
      </c>
      <c r="D489" s="6" t="inlineStr">
        <is>
          <t>Long</t>
        </is>
      </c>
      <c r="E489" s="5" t="inlineStr">
        <is>
          <t>20-Oct-07</t>
        </is>
      </c>
      <c r="F489" s="5" t="inlineStr">
        <is>
          <t>LNH0925ND01</t>
        </is>
      </c>
      <c r="G489" s="105" t="n">
        <v>8415000</v>
      </c>
    </row>
    <row r="490">
      <c r="A490" s="5" t="n">
        <v>484</v>
      </c>
      <c r="B490" s="5" t="inlineStr">
        <is>
          <t>25807400005</t>
        </is>
      </c>
      <c r="C490" s="6" t="inlineStr">
        <is>
          <t>Nguyeãn Vaên Huy</t>
        </is>
      </c>
      <c r="D490" s="6" t="inlineStr">
        <is>
          <t>Hoaøng</t>
        </is>
      </c>
      <c r="E490" s="5" t="inlineStr">
        <is>
          <t>10-Dec-07</t>
        </is>
      </c>
      <c r="F490" s="5" t="inlineStr">
        <is>
          <t>LNH0925ND01</t>
        </is>
      </c>
      <c r="G490" s="105" t="n">
        <v>8415000</v>
      </c>
    </row>
    <row r="491">
      <c r="A491" s="5" t="n">
        <v>485</v>
      </c>
      <c r="B491" s="5" t="inlineStr">
        <is>
          <t>25820100028</t>
        </is>
      </c>
      <c r="C491" s="6" t="inlineStr">
        <is>
          <t>Traàn Nguyeãn Hoaøng</t>
        </is>
      </c>
      <c r="D491" s="6" t="inlineStr">
        <is>
          <t>Long</t>
        </is>
      </c>
      <c r="E491" s="5" t="inlineStr">
        <is>
          <t>26-Nov-07</t>
        </is>
      </c>
      <c r="F491" s="5" t="inlineStr">
        <is>
          <t>LNH0925ND01</t>
        </is>
      </c>
      <c r="G491" s="105" t="n">
        <v>8415000</v>
      </c>
    </row>
    <row r="492">
      <c r="A492" s="5" t="n">
        <v>486</v>
      </c>
      <c r="B492" s="5" t="inlineStr">
        <is>
          <t>25820200112</t>
        </is>
      </c>
      <c r="C492" s="6" t="inlineStr">
        <is>
          <t>Buøi Quang</t>
        </is>
      </c>
      <c r="D492" s="6" t="inlineStr">
        <is>
          <t>Minh</t>
        </is>
      </c>
      <c r="E492" s="5" t="inlineStr">
        <is>
          <t>15-Dec-07</t>
        </is>
      </c>
      <c r="F492" s="5" t="inlineStr">
        <is>
          <t>LNH0925ND01</t>
        </is>
      </c>
      <c r="G492" s="105" t="n">
        <v>8415000</v>
      </c>
    </row>
    <row r="493">
      <c r="A493" s="5" t="n">
        <v>487</v>
      </c>
      <c r="B493" s="5" t="inlineStr">
        <is>
          <t>25803800007</t>
        </is>
      </c>
      <c r="C493" s="6" t="inlineStr">
        <is>
          <t>Nguyeãn Laâm Thieân</t>
        </is>
      </c>
      <c r="D493" s="6" t="inlineStr">
        <is>
          <t>Baûo</t>
        </is>
      </c>
      <c r="E493" s="5" t="inlineStr">
        <is>
          <t>14-Mar-07</t>
        </is>
      </c>
      <c r="F493" s="5" t="inlineStr">
        <is>
          <t>LNH0925ND01</t>
        </is>
      </c>
      <c r="G493" s="105" t="n">
        <v>8415000</v>
      </c>
    </row>
    <row r="494">
      <c r="A494" s="5" t="n">
        <v>488</v>
      </c>
      <c r="B494" s="5" t="inlineStr">
        <is>
          <t>25802800145</t>
        </is>
      </c>
      <c r="C494" s="6" t="inlineStr">
        <is>
          <t>Kieàu Coâng</t>
        </is>
      </c>
      <c r="D494" s="6" t="inlineStr">
        <is>
          <t>Minh</t>
        </is>
      </c>
      <c r="E494" s="5" t="inlineStr">
        <is>
          <t>12-Oct-06</t>
        </is>
      </c>
      <c r="F494" s="5" t="inlineStr">
        <is>
          <t>LNH0925ND01</t>
        </is>
      </c>
      <c r="G494" s="105" t="n">
        <v>8415000</v>
      </c>
    </row>
    <row r="495">
      <c r="A495" s="5" t="n">
        <v>489</v>
      </c>
      <c r="B495" s="5" t="inlineStr">
        <is>
          <t>25808600069</t>
        </is>
      </c>
      <c r="C495" s="6" t="inlineStr">
        <is>
          <t>Nguyeãn Ngoïc Thanh</t>
        </is>
      </c>
      <c r="D495" s="6" t="inlineStr">
        <is>
          <t>Ngaân</t>
        </is>
      </c>
      <c r="E495" s="5" t="inlineStr">
        <is>
          <t>21-Dec-07</t>
        </is>
      </c>
      <c r="F495" s="5" t="inlineStr">
        <is>
          <t>LNH0925ND01</t>
        </is>
      </c>
      <c r="G495" s="105" t="n">
        <v>8415000</v>
      </c>
    </row>
    <row r="496">
      <c r="A496" s="5" t="n">
        <v>490</v>
      </c>
      <c r="B496" s="5" t="inlineStr">
        <is>
          <t>25805900008</t>
        </is>
      </c>
      <c r="C496" s="6" t="inlineStr">
        <is>
          <t>Huyønh Taán</t>
        </is>
      </c>
      <c r="D496" s="6" t="inlineStr">
        <is>
          <t>Duõng</t>
        </is>
      </c>
      <c r="E496" s="5" t="inlineStr">
        <is>
          <t>18-Oct-07</t>
        </is>
      </c>
      <c r="F496" s="5" t="inlineStr">
        <is>
          <t>LNH0925ND01</t>
        </is>
      </c>
      <c r="G496" s="105" t="n">
        <v>8415000</v>
      </c>
    </row>
    <row r="497">
      <c r="A497" s="5" t="n">
        <v>491</v>
      </c>
      <c r="B497" s="5" t="inlineStr">
        <is>
          <t>25808900004</t>
        </is>
      </c>
      <c r="C497" s="6" t="inlineStr">
        <is>
          <t>Ñaøo Duy</t>
        </is>
      </c>
      <c r="D497" s="6" t="inlineStr">
        <is>
          <t>Anh</t>
        </is>
      </c>
      <c r="E497" s="5" t="inlineStr">
        <is>
          <t>02-Mar-07</t>
        </is>
      </c>
      <c r="F497" s="5" t="inlineStr">
        <is>
          <t>LNH0925ND01</t>
        </is>
      </c>
      <c r="G497" s="105" t="n">
        <v>8415000</v>
      </c>
    </row>
    <row r="498">
      <c r="A498" s="5" t="n">
        <v>492</v>
      </c>
      <c r="B498" s="5" t="inlineStr">
        <is>
          <t>25801100118</t>
        </is>
      </c>
      <c r="C498" s="6" t="inlineStr">
        <is>
          <t>Thaùi Nguyeãn Nam</t>
        </is>
      </c>
      <c r="D498" s="6" t="inlineStr">
        <is>
          <t>Khaùnh</t>
        </is>
      </c>
      <c r="E498" s="5" t="inlineStr">
        <is>
          <t>07-Nov-07</t>
        </is>
      </c>
      <c r="F498" s="5" t="inlineStr">
        <is>
          <t>LNH0925ND01</t>
        </is>
      </c>
      <c r="G498" s="105" t="n">
        <v>8415000</v>
      </c>
    </row>
    <row r="499">
      <c r="A499" s="5" t="n">
        <v>493</v>
      </c>
      <c r="B499" s="5" t="inlineStr">
        <is>
          <t>25808200223</t>
        </is>
      </c>
      <c r="C499" s="6" t="inlineStr">
        <is>
          <t>Nguyeãn Thanh</t>
        </is>
      </c>
      <c r="D499" s="6" t="inlineStr">
        <is>
          <t>Phong</t>
        </is>
      </c>
      <c r="E499" s="5" t="inlineStr">
        <is>
          <t>20-Oct-07</t>
        </is>
      </c>
      <c r="F499" s="5" t="inlineStr">
        <is>
          <t>LNH0925ND01</t>
        </is>
      </c>
      <c r="G499" s="105" t="n">
        <v>8415000</v>
      </c>
    </row>
    <row r="500">
      <c r="A500" s="5" t="n">
        <v>494</v>
      </c>
      <c r="B500" s="5" t="inlineStr">
        <is>
          <t>25802800389</t>
        </is>
      </c>
      <c r="C500" s="6" t="inlineStr">
        <is>
          <t>Nguyeãn Tuaán</t>
        </is>
      </c>
      <c r="D500" s="6" t="inlineStr">
        <is>
          <t>Khoâi</t>
        </is>
      </c>
      <c r="E500" s="5" t="inlineStr">
        <is>
          <t>31-Jul-07</t>
        </is>
      </c>
      <c r="F500" s="5" t="inlineStr">
        <is>
          <t>LNH0925ND01</t>
        </is>
      </c>
      <c r="G500" s="105" t="n">
        <v>8415000</v>
      </c>
    </row>
    <row r="501">
      <c r="A501" s="5" t="n">
        <v>495</v>
      </c>
      <c r="B501" s="5" t="inlineStr">
        <is>
          <t>25820700063</t>
        </is>
      </c>
      <c r="C501" s="6" t="inlineStr">
        <is>
          <t>Nguyeãn Thò Xuaân</t>
        </is>
      </c>
      <c r="D501" s="6" t="inlineStr">
        <is>
          <t>Hoàng</t>
        </is>
      </c>
      <c r="E501" s="5" t="inlineStr">
        <is>
          <t>19-Mar-07</t>
        </is>
      </c>
      <c r="F501" s="5" t="inlineStr">
        <is>
          <t>LNH0925ND01</t>
        </is>
      </c>
      <c r="G501" s="105" t="n">
        <v>8415000</v>
      </c>
    </row>
    <row r="502">
      <c r="A502" s="5" t="n">
        <v>496</v>
      </c>
      <c r="B502" s="5" t="inlineStr">
        <is>
          <t>25808600060</t>
        </is>
      </c>
      <c r="C502" s="6" t="inlineStr">
        <is>
          <t>Nguyeãn Taán</t>
        </is>
      </c>
      <c r="D502" s="6" t="inlineStr">
        <is>
          <t>Loäc</t>
        </is>
      </c>
      <c r="E502" s="5" t="inlineStr">
        <is>
          <t>27-Jun-06</t>
        </is>
      </c>
      <c r="F502" s="5" t="inlineStr">
        <is>
          <t>LNH0925ND01</t>
        </is>
      </c>
      <c r="G502" s="105" t="n">
        <v>8415000</v>
      </c>
    </row>
    <row r="503">
      <c r="A503" s="5" t="n">
        <v>497</v>
      </c>
      <c r="B503" s="5" t="inlineStr">
        <is>
          <t>25802800392</t>
        </is>
      </c>
      <c r="C503" s="6" t="inlineStr">
        <is>
          <t>Nguyeãn Chí</t>
        </is>
      </c>
      <c r="D503" s="6" t="inlineStr">
        <is>
          <t>Thaønh</t>
        </is>
      </c>
      <c r="E503" s="5" t="inlineStr">
        <is>
          <t>12-Jul-07</t>
        </is>
      </c>
      <c r="F503" s="5" t="inlineStr">
        <is>
          <t>LNH0925ND01</t>
        </is>
      </c>
      <c r="G503" s="105" t="n">
        <v>8415000</v>
      </c>
    </row>
    <row r="504">
      <c r="A504" s="5" t="n">
        <v>498</v>
      </c>
      <c r="B504" s="5" t="inlineStr">
        <is>
          <t>25801800161</t>
        </is>
      </c>
      <c r="C504" s="6" t="inlineStr">
        <is>
          <t>Nguyeãn Thò Kieàu</t>
        </is>
      </c>
      <c r="D504" s="6" t="inlineStr">
        <is>
          <t>Vy</t>
        </is>
      </c>
      <c r="E504" s="5" t="inlineStr">
        <is>
          <t>14-Oct-07</t>
        </is>
      </c>
      <c r="F504" s="5" t="inlineStr">
        <is>
          <t>LNH0925ND01</t>
        </is>
      </c>
      <c r="G504" s="105" t="n">
        <v>8415000</v>
      </c>
    </row>
    <row r="505">
      <c r="A505" s="5" t="n">
        <v>499</v>
      </c>
      <c r="B505" s="5" t="inlineStr">
        <is>
          <t>25806000015</t>
        </is>
      </c>
      <c r="C505" s="6" t="inlineStr">
        <is>
          <t>Ñoã Ngoïc Thaûo</t>
        </is>
      </c>
      <c r="D505" s="6" t="inlineStr">
        <is>
          <t>Linh</t>
        </is>
      </c>
      <c r="E505" s="5" t="inlineStr">
        <is>
          <t>09-Apr-07</t>
        </is>
      </c>
      <c r="F505" s="5" t="inlineStr">
        <is>
          <t>LNH0925ND01</t>
        </is>
      </c>
      <c r="G505" s="105" t="n">
        <v>8415000</v>
      </c>
    </row>
    <row r="506">
      <c r="A506" s="5" t="n">
        <v>500</v>
      </c>
      <c r="B506" s="5" t="inlineStr">
        <is>
          <t>25808700038</t>
        </is>
      </c>
      <c r="C506" s="6" t="inlineStr">
        <is>
          <t>Leâ Minh</t>
        </is>
      </c>
      <c r="D506" s="6" t="inlineStr">
        <is>
          <t>Khoâi</t>
        </is>
      </c>
      <c r="E506" s="5" t="inlineStr">
        <is>
          <t>15-Dec-07</t>
        </is>
      </c>
      <c r="F506" s="5" t="inlineStr">
        <is>
          <t>LNH0925ND01</t>
        </is>
      </c>
      <c r="G506" s="105" t="n">
        <v>8415000</v>
      </c>
    </row>
    <row r="507">
      <c r="A507" s="5" t="n">
        <v>501</v>
      </c>
      <c r="B507" s="5" t="inlineStr">
        <is>
          <t>25801700029</t>
        </is>
      </c>
      <c r="C507" s="6" t="inlineStr">
        <is>
          <t>Taân Vónh Baûo</t>
        </is>
      </c>
      <c r="D507" s="6" t="inlineStr">
        <is>
          <t>Long</t>
        </is>
      </c>
      <c r="E507" s="5" t="inlineStr">
        <is>
          <t>01-Jan-07</t>
        </is>
      </c>
      <c r="F507" s="5" t="inlineStr">
        <is>
          <t>LNH0925ND01</t>
        </is>
      </c>
      <c r="G507" s="105" t="n">
        <v>8415000</v>
      </c>
    </row>
    <row r="508">
      <c r="A508" s="5" t="n">
        <v>502</v>
      </c>
      <c r="B508" s="5" t="inlineStr">
        <is>
          <t>25807800070</t>
        </is>
      </c>
      <c r="C508" s="6" t="inlineStr">
        <is>
          <t>Leâ Höõu</t>
        </is>
      </c>
      <c r="D508" s="6" t="inlineStr">
        <is>
          <t>Kieät</t>
        </is>
      </c>
      <c r="E508" s="5" t="inlineStr">
        <is>
          <t>16-Oct-07</t>
        </is>
      </c>
      <c r="F508" s="5" t="inlineStr">
        <is>
          <t>LNH0925ND01</t>
        </is>
      </c>
      <c r="G508" s="105" t="n">
        <v>8415000</v>
      </c>
    </row>
    <row r="509">
      <c r="A509" s="5" t="n">
        <v>503</v>
      </c>
      <c r="B509" s="5" t="inlineStr">
        <is>
          <t>25808700068</t>
        </is>
      </c>
      <c r="C509" s="6" t="inlineStr">
        <is>
          <t>Traàn Thò Ngoïc</t>
        </is>
      </c>
      <c r="D509" s="6" t="inlineStr">
        <is>
          <t>Nhi</t>
        </is>
      </c>
      <c r="E509" s="5" t="inlineStr">
        <is>
          <t>09-Jan-07</t>
        </is>
      </c>
      <c r="F509" s="5" t="inlineStr">
        <is>
          <t>LNH0925ND01</t>
        </is>
      </c>
      <c r="G509" s="105" t="n">
        <v>8415000</v>
      </c>
    </row>
    <row r="510">
      <c r="A510" s="5" t="n">
        <v>504</v>
      </c>
      <c r="B510" s="5" t="inlineStr">
        <is>
          <t>25802100043</t>
        </is>
      </c>
      <c r="C510" s="6" t="inlineStr">
        <is>
          <t>Nguyeãn Trung</t>
        </is>
      </c>
      <c r="D510" s="6" t="inlineStr">
        <is>
          <t>Vaên</t>
        </is>
      </c>
      <c r="E510" s="5" t="inlineStr">
        <is>
          <t>15-May-07</t>
        </is>
      </c>
      <c r="F510" s="5" t="inlineStr">
        <is>
          <t>LNH0925ND01</t>
        </is>
      </c>
      <c r="G510" s="105" t="n">
        <v>8415000</v>
      </c>
    </row>
    <row r="511">
      <c r="A511" s="5" t="n">
        <v>505</v>
      </c>
      <c r="B511" s="5" t="inlineStr">
        <is>
          <t>25806500014</t>
        </is>
      </c>
      <c r="C511" s="6" t="inlineStr">
        <is>
          <t>Nguyeãn Thanh Ngoïc</t>
        </is>
      </c>
      <c r="D511" s="6" t="inlineStr">
        <is>
          <t>Thaûo</t>
        </is>
      </c>
      <c r="E511" s="5" t="inlineStr">
        <is>
          <t>14-Jan-07</t>
        </is>
      </c>
      <c r="F511" s="5" t="inlineStr">
        <is>
          <t>LNH0925ND01</t>
        </is>
      </c>
      <c r="G511" s="105" t="n">
        <v>8415000</v>
      </c>
    </row>
    <row r="512">
      <c r="A512" s="5" t="n">
        <v>506</v>
      </c>
      <c r="B512" s="5" t="inlineStr">
        <is>
          <t>25801100123</t>
        </is>
      </c>
      <c r="C512" s="6" t="inlineStr">
        <is>
          <t>Nguyeãn Ngoïc Anh</t>
        </is>
      </c>
      <c r="D512" s="6" t="inlineStr">
        <is>
          <t>Huy</t>
        </is>
      </c>
      <c r="E512" s="5" t="inlineStr">
        <is>
          <t>21-Apr-07</t>
        </is>
      </c>
      <c r="F512" s="5" t="inlineStr">
        <is>
          <t>LNH0925ND01</t>
        </is>
      </c>
      <c r="G512" s="105" t="n">
        <v>8415000</v>
      </c>
    </row>
    <row r="513">
      <c r="A513" s="5" t="n">
        <v>507</v>
      </c>
      <c r="B513" s="5" t="inlineStr">
        <is>
          <t>25805800025</t>
        </is>
      </c>
      <c r="C513" s="6" t="inlineStr">
        <is>
          <t>Thaùi Gia</t>
        </is>
      </c>
      <c r="D513" s="6" t="inlineStr">
        <is>
          <t>Phuù</t>
        </is>
      </c>
      <c r="E513" s="5" t="inlineStr">
        <is>
          <t>28-Apr-07</t>
        </is>
      </c>
      <c r="F513" s="5" t="inlineStr">
        <is>
          <t>LNH0925ND01</t>
        </is>
      </c>
      <c r="G513" s="105" t="n">
        <v>8415000</v>
      </c>
    </row>
    <row r="514">
      <c r="A514" s="5" t="n">
        <v>508</v>
      </c>
      <c r="B514" s="5" t="inlineStr">
        <is>
          <t>25801200035</t>
        </is>
      </c>
      <c r="C514" s="6" t="inlineStr">
        <is>
          <t>Traàn Quoác</t>
        </is>
      </c>
      <c r="D514" s="6" t="inlineStr">
        <is>
          <t>Toaøn</t>
        </is>
      </c>
      <c r="E514" s="5" t="inlineStr">
        <is>
          <t>28-Feb-07</t>
        </is>
      </c>
      <c r="F514" s="5" t="inlineStr">
        <is>
          <t>LNH0925ND01</t>
        </is>
      </c>
      <c r="G514" s="105" t="n">
        <v>8415000</v>
      </c>
    </row>
    <row r="515">
      <c r="A515" s="5" t="n">
        <v>509</v>
      </c>
      <c r="B515" s="5" t="inlineStr">
        <is>
          <t>25802400025</t>
        </is>
      </c>
      <c r="C515" s="6" t="inlineStr">
        <is>
          <t>Ngoâ Buøi Nhaät</t>
        </is>
      </c>
      <c r="D515" s="6" t="inlineStr">
        <is>
          <t>Taâm</t>
        </is>
      </c>
      <c r="E515" s="5" t="inlineStr">
        <is>
          <t>24-Oct-07</t>
        </is>
      </c>
      <c r="F515" s="5" t="inlineStr">
        <is>
          <t>LNH0925ND01</t>
        </is>
      </c>
      <c r="G515" s="105" t="n">
        <v>8415000</v>
      </c>
    </row>
    <row r="516">
      <c r="A516" s="5" t="n">
        <v>510</v>
      </c>
      <c r="B516" s="5" t="inlineStr">
        <is>
          <t>25801800014</t>
        </is>
      </c>
      <c r="C516" s="6" t="inlineStr">
        <is>
          <t>Nguyeãn Thò Thu</t>
        </is>
      </c>
      <c r="D516" s="6" t="inlineStr">
        <is>
          <t>Haèng</t>
        </is>
      </c>
      <c r="E516" s="5" t="inlineStr">
        <is>
          <t>22-Nov-07</t>
        </is>
      </c>
      <c r="F516" s="5" t="inlineStr">
        <is>
          <t>LNH0925ND01</t>
        </is>
      </c>
      <c r="G516" s="105" t="n">
        <v>8415000</v>
      </c>
    </row>
    <row r="517">
      <c r="A517" s="5" t="n">
        <v>511</v>
      </c>
      <c r="B517" s="5" t="inlineStr">
        <is>
          <t>25807800143</t>
        </is>
      </c>
      <c r="C517" s="6" t="inlineStr">
        <is>
          <t>Phaïm Nguyeãn Minh</t>
        </is>
      </c>
      <c r="D517" s="6" t="inlineStr">
        <is>
          <t>Tieán</t>
        </is>
      </c>
      <c r="E517" s="5" t="inlineStr">
        <is>
          <t>26-Apr-06</t>
        </is>
      </c>
      <c r="F517" s="5" t="inlineStr">
        <is>
          <t>LNH0925ND01</t>
        </is>
      </c>
      <c r="G517" s="105" t="n">
        <v>8415000</v>
      </c>
    </row>
    <row r="518">
      <c r="A518" s="5" t="n">
        <v>512</v>
      </c>
      <c r="B518" s="5" t="inlineStr">
        <is>
          <t>25805800015</t>
        </is>
      </c>
      <c r="C518" s="6" t="inlineStr">
        <is>
          <t>Löông Taán</t>
        </is>
      </c>
      <c r="D518" s="6" t="inlineStr">
        <is>
          <t>Khoa</t>
        </is>
      </c>
      <c r="E518" s="5" t="inlineStr">
        <is>
          <t>27-Oct-07</t>
        </is>
      </c>
      <c r="F518" s="5" t="inlineStr">
        <is>
          <t>LNH0925ND01</t>
        </is>
      </c>
      <c r="G518" s="105" t="n">
        <v>8415000</v>
      </c>
    </row>
    <row r="519">
      <c r="A519" s="5" t="n">
        <v>513</v>
      </c>
      <c r="B519" s="5" t="inlineStr">
        <is>
          <t>25805900012</t>
        </is>
      </c>
      <c r="C519" s="6" t="inlineStr">
        <is>
          <t>Trònh Thò Dieäu</t>
        </is>
      </c>
      <c r="D519" s="6" t="inlineStr">
        <is>
          <t>Haèng</t>
        </is>
      </c>
      <c r="E519" s="5" t="inlineStr">
        <is>
          <t>20-Oct-07</t>
        </is>
      </c>
      <c r="F519" s="5" t="inlineStr">
        <is>
          <t>LNH0925ND01</t>
        </is>
      </c>
      <c r="G519" s="105" t="n">
        <v>8415000</v>
      </c>
    </row>
    <row r="520">
      <c r="A520" s="5" t="n">
        <v>514</v>
      </c>
      <c r="B520" s="5" t="inlineStr">
        <is>
          <t>25807800212</t>
        </is>
      </c>
      <c r="C520" s="6" t="inlineStr">
        <is>
          <t>Nguyeãn Gia</t>
        </is>
      </c>
      <c r="D520" s="6" t="inlineStr">
        <is>
          <t>Khöông</t>
        </is>
      </c>
      <c r="E520" s="5" t="inlineStr">
        <is>
          <t>26-Feb-07</t>
        </is>
      </c>
      <c r="F520" s="5" t="inlineStr">
        <is>
          <t>LNH0925ND01</t>
        </is>
      </c>
      <c r="G520" s="105" t="n">
        <v>8415000</v>
      </c>
    </row>
    <row r="521">
      <c r="A521" s="5" t="n">
        <v>515</v>
      </c>
      <c r="B521" s="5" t="inlineStr">
        <is>
          <t>25808700009</t>
        </is>
      </c>
      <c r="C521" s="6" t="inlineStr">
        <is>
          <t>Nguyeãn Ngoïc</t>
        </is>
      </c>
      <c r="D521" s="6" t="inlineStr">
        <is>
          <t>Dieäp</t>
        </is>
      </c>
      <c r="E521" s="5" t="inlineStr">
        <is>
          <t>22-Sep-07</t>
        </is>
      </c>
      <c r="F521" s="5" t="inlineStr">
        <is>
          <t>LNH0925ND01</t>
        </is>
      </c>
      <c r="G521" s="105" t="n">
        <v>8415000</v>
      </c>
    </row>
    <row r="522">
      <c r="A522" s="5" t="n">
        <v>516</v>
      </c>
      <c r="B522" s="5" t="inlineStr">
        <is>
          <t>25807700087</t>
        </is>
      </c>
      <c r="C522" s="6" t="inlineStr">
        <is>
          <t>Leâ Thaønh</t>
        </is>
      </c>
      <c r="D522" s="6" t="inlineStr">
        <is>
          <t>Ñaït</t>
        </is>
      </c>
      <c r="E522" s="5" t="inlineStr">
        <is>
          <t>01-Oct-07</t>
        </is>
      </c>
      <c r="F522" s="5" t="inlineStr">
        <is>
          <t>LNH0925ND01</t>
        </is>
      </c>
      <c r="G522" s="105" t="n">
        <v>8415000</v>
      </c>
    </row>
    <row r="523">
      <c r="A523" s="5" t="n">
        <v>517</v>
      </c>
      <c r="B523" s="5" t="inlineStr">
        <is>
          <t>25801700102</t>
        </is>
      </c>
      <c r="C523" s="6" t="inlineStr">
        <is>
          <t>Traàn Ngoïc</t>
        </is>
      </c>
      <c r="D523" s="6" t="inlineStr">
        <is>
          <t>Linh</t>
        </is>
      </c>
      <c r="E523" s="5" t="inlineStr">
        <is>
          <t>14-Feb-07</t>
        </is>
      </c>
      <c r="F523" s="5" t="inlineStr">
        <is>
          <t>LNH0925ND01</t>
        </is>
      </c>
      <c r="G523" s="105" t="n">
        <v>8415000</v>
      </c>
    </row>
    <row r="524">
      <c r="A524" s="5" t="n">
        <v>518</v>
      </c>
      <c r="B524" s="5" t="inlineStr">
        <is>
          <t>25802800133</t>
        </is>
      </c>
      <c r="C524" s="6" t="inlineStr">
        <is>
          <t>Ñoã Leâ Thanh</t>
        </is>
      </c>
      <c r="D524" s="6" t="inlineStr">
        <is>
          <t>Loan</t>
        </is>
      </c>
      <c r="E524" s="5" t="inlineStr">
        <is>
          <t>30-Mar-07</t>
        </is>
      </c>
      <c r="F524" s="5" t="inlineStr">
        <is>
          <t>LNH0925ND01</t>
        </is>
      </c>
      <c r="G524" s="105" t="n">
        <v>8415000</v>
      </c>
    </row>
    <row r="525">
      <c r="A525" s="5" t="n">
        <v>519</v>
      </c>
      <c r="B525" s="5" t="inlineStr">
        <is>
          <t>25807900054</t>
        </is>
      </c>
      <c r="C525" s="6" t="inlineStr">
        <is>
          <t>Mai Thanh</t>
        </is>
      </c>
      <c r="D525" s="6" t="inlineStr">
        <is>
          <t>Thôm</t>
        </is>
      </c>
      <c r="E525" s="5" t="inlineStr">
        <is>
          <t>02-Apr-07</t>
        </is>
      </c>
      <c r="F525" s="5" t="inlineStr">
        <is>
          <t>LNH0925ND01</t>
        </is>
      </c>
      <c r="G525" s="105" t="n">
        <v>8415000</v>
      </c>
    </row>
    <row r="526">
      <c r="A526" s="5" t="n">
        <v>520</v>
      </c>
      <c r="B526" s="5" t="inlineStr">
        <is>
          <t>25807800099</t>
        </is>
      </c>
      <c r="C526" s="6" t="inlineStr">
        <is>
          <t>Ñoã Leâ Hoaøng</t>
        </is>
      </c>
      <c r="D526" s="6" t="inlineStr">
        <is>
          <t>Nhaân</t>
        </is>
      </c>
      <c r="E526" s="5" t="inlineStr">
        <is>
          <t>12-Dec-07</t>
        </is>
      </c>
      <c r="F526" s="5" t="inlineStr">
        <is>
          <t>LNH0925ND01</t>
        </is>
      </c>
      <c r="G526" s="105" t="n">
        <v>8415000</v>
      </c>
    </row>
    <row r="527">
      <c r="A527" s="5" t="n">
        <v>521</v>
      </c>
      <c r="B527" s="5" t="inlineStr">
        <is>
          <t>25801200039</t>
        </is>
      </c>
      <c r="C527" s="6" t="inlineStr">
        <is>
          <t>Huyønh Traàn Thaûo</t>
        </is>
      </c>
      <c r="D527" s="6" t="inlineStr">
        <is>
          <t>Vy</t>
        </is>
      </c>
      <c r="E527" s="5" t="inlineStr">
        <is>
          <t>28-Mar-07</t>
        </is>
      </c>
      <c r="F527" s="5" t="inlineStr">
        <is>
          <t>LNH0925ND01</t>
        </is>
      </c>
      <c r="G527" s="105" t="n">
        <v>8415000</v>
      </c>
    </row>
    <row r="528">
      <c r="A528" s="5" t="n">
        <v>522</v>
      </c>
      <c r="B528" s="5" t="inlineStr">
        <is>
          <t>25808600134</t>
        </is>
      </c>
      <c r="C528" s="6" t="inlineStr">
        <is>
          <t>Phaïm Nguyeãn Huyeàn</t>
        </is>
      </c>
      <c r="D528" s="6" t="inlineStr">
        <is>
          <t>Traân</t>
        </is>
      </c>
      <c r="E528" s="5" t="inlineStr">
        <is>
          <t>02-Jan-07</t>
        </is>
      </c>
      <c r="F528" s="5" t="inlineStr">
        <is>
          <t>LNH0925ND01</t>
        </is>
      </c>
      <c r="G528" s="105" t="n">
        <v>8415000</v>
      </c>
    </row>
    <row r="529">
      <c r="A529" s="5" t="n">
        <v>523</v>
      </c>
      <c r="B529" s="5" t="inlineStr">
        <is>
          <t>25806800053</t>
        </is>
      </c>
      <c r="C529" s="6" t="inlineStr">
        <is>
          <t>Ñoaøn Ngoïc Yeán</t>
        </is>
      </c>
      <c r="D529" s="6" t="inlineStr">
        <is>
          <t>Nhi</t>
        </is>
      </c>
      <c r="E529" s="5" t="inlineStr">
        <is>
          <t>07-May-07</t>
        </is>
      </c>
      <c r="F529" s="5" t="inlineStr">
        <is>
          <t>LNH0925ND01</t>
        </is>
      </c>
      <c r="G529" s="105" t="n">
        <v>8415000</v>
      </c>
    </row>
    <row r="530">
      <c r="A530" s="5" t="n">
        <v>524</v>
      </c>
      <c r="B530" s="5" t="inlineStr">
        <is>
          <t>25802100030</t>
        </is>
      </c>
      <c r="C530" s="6" t="inlineStr">
        <is>
          <t>Chaâu Leâ Thuaän</t>
        </is>
      </c>
      <c r="D530" s="6" t="inlineStr">
        <is>
          <t>Phaùt</t>
        </is>
      </c>
      <c r="E530" s="5" t="inlineStr">
        <is>
          <t>03-Apr-07</t>
        </is>
      </c>
      <c r="F530" s="5" t="inlineStr">
        <is>
          <t>LNH0925ND01</t>
        </is>
      </c>
      <c r="G530" s="105" t="n">
        <v>8415000</v>
      </c>
    </row>
    <row r="531">
      <c r="A531" s="5" t="n">
        <v>525</v>
      </c>
      <c r="B531" s="5" t="inlineStr">
        <is>
          <t>25820100031</t>
        </is>
      </c>
      <c r="C531" s="6" t="inlineStr">
        <is>
          <t>Ñaëng Traàn Haûi</t>
        </is>
      </c>
      <c r="D531" s="6" t="inlineStr">
        <is>
          <t>Nam</t>
        </is>
      </c>
      <c r="E531" s="5" t="inlineStr">
        <is>
          <t>08-Nov-07</t>
        </is>
      </c>
      <c r="F531" s="5" t="inlineStr">
        <is>
          <t>LNH0925ND01</t>
        </is>
      </c>
      <c r="G531" s="105" t="n">
        <v>8415000</v>
      </c>
    </row>
    <row r="532">
      <c r="A532" s="5" t="n">
        <v>526</v>
      </c>
      <c r="B532" s="5" t="inlineStr">
        <is>
          <t>25802800300</t>
        </is>
      </c>
      <c r="C532" s="6" t="inlineStr">
        <is>
          <t>Traàn Nguyeãn Phöông</t>
        </is>
      </c>
      <c r="D532" s="6" t="inlineStr">
        <is>
          <t>Vy</t>
        </is>
      </c>
      <c r="E532" s="5" t="inlineStr">
        <is>
          <t>24-May-07</t>
        </is>
      </c>
      <c r="F532" s="5" t="inlineStr">
        <is>
          <t>LNH0925ND01</t>
        </is>
      </c>
      <c r="G532" s="105" t="n">
        <v>8415000</v>
      </c>
    </row>
    <row r="533">
      <c r="A533" s="5" t="n">
        <v>527</v>
      </c>
      <c r="B533" s="5" t="inlineStr">
        <is>
          <t>25807500132</t>
        </is>
      </c>
      <c r="C533" s="6" t="inlineStr">
        <is>
          <t>Traàn Hoaøng</t>
        </is>
      </c>
      <c r="D533" s="6" t="inlineStr">
        <is>
          <t>Tieán</t>
        </is>
      </c>
      <c r="E533" s="5" t="inlineStr">
        <is>
          <t>09-Feb-07</t>
        </is>
      </c>
      <c r="F533" s="5" t="inlineStr">
        <is>
          <t>LNH0925ND01</t>
        </is>
      </c>
      <c r="G533" s="105" t="n">
        <v>8415000</v>
      </c>
    </row>
    <row r="534">
      <c r="A534" s="5" t="n">
        <v>528</v>
      </c>
      <c r="B534" s="5" t="inlineStr">
        <is>
          <t>25808200147</t>
        </is>
      </c>
      <c r="C534" s="6" t="inlineStr">
        <is>
          <t>Nguyeãn Anh</t>
        </is>
      </c>
      <c r="D534" s="6" t="inlineStr">
        <is>
          <t>Vuõ</t>
        </is>
      </c>
      <c r="E534" s="5" t="inlineStr">
        <is>
          <t>22-Nov-07</t>
        </is>
      </c>
      <c r="F534" s="5" t="inlineStr">
        <is>
          <t>LNH0925ND01</t>
        </is>
      </c>
      <c r="G534" s="105" t="n">
        <v>8415000</v>
      </c>
    </row>
    <row r="535">
      <c r="A535" s="5" t="n">
        <v>529</v>
      </c>
      <c r="B535" s="5" t="inlineStr">
        <is>
          <t>25802600171</t>
        </is>
      </c>
      <c r="C535" s="6" t="inlineStr">
        <is>
          <t>Buøi Ngoïc Haûi</t>
        </is>
      </c>
      <c r="D535" s="6" t="inlineStr">
        <is>
          <t>Linh</t>
        </is>
      </c>
      <c r="E535" s="5" t="inlineStr">
        <is>
          <t>28-Nov-07</t>
        </is>
      </c>
      <c r="F535" s="5" t="inlineStr">
        <is>
          <t>LNH0925ND01</t>
        </is>
      </c>
      <c r="G535" s="105" t="n">
        <v>8415000</v>
      </c>
    </row>
    <row r="536">
      <c r="A536" s="5" t="n">
        <v>530</v>
      </c>
      <c r="B536" s="5" t="inlineStr">
        <is>
          <t>25820100017</t>
        </is>
      </c>
      <c r="C536" s="6" t="inlineStr">
        <is>
          <t>Traàn Huyønh Quang</t>
        </is>
      </c>
      <c r="D536" s="6" t="inlineStr">
        <is>
          <t>Huy</t>
        </is>
      </c>
      <c r="E536" s="5" t="inlineStr">
        <is>
          <t>13-Oct-07</t>
        </is>
      </c>
      <c r="F536" s="5" t="inlineStr">
        <is>
          <t>LNH0925ND01</t>
        </is>
      </c>
      <c r="G536" s="105" t="n">
        <v>8415000</v>
      </c>
    </row>
    <row r="537">
      <c r="A537" s="5" t="n">
        <v>531</v>
      </c>
      <c r="B537" s="5" t="inlineStr">
        <is>
          <t>25802800134</t>
        </is>
      </c>
      <c r="C537" s="6" t="inlineStr">
        <is>
          <t>Traàn Vaên Ñaëng</t>
        </is>
      </c>
      <c r="D537" s="6" t="inlineStr">
        <is>
          <t>Long</t>
        </is>
      </c>
      <c r="E537" s="5" t="inlineStr">
        <is>
          <t>24-Oct-07</t>
        </is>
      </c>
      <c r="F537" s="5" t="inlineStr">
        <is>
          <t>LNH0925ND01</t>
        </is>
      </c>
      <c r="G537" s="105" t="n">
        <v>8415000</v>
      </c>
    </row>
    <row r="538">
      <c r="A538" s="5" t="n">
        <v>532</v>
      </c>
      <c r="B538" s="5" t="inlineStr">
        <is>
          <t>25807500001</t>
        </is>
      </c>
      <c r="C538" s="6" t="inlineStr">
        <is>
          <t>Ñoaøn Ngoïc Hoaøi</t>
        </is>
      </c>
      <c r="D538" s="6" t="inlineStr">
        <is>
          <t>An</t>
        </is>
      </c>
      <c r="E538" s="5" t="inlineStr">
        <is>
          <t>14-Oct-07</t>
        </is>
      </c>
      <c r="F538" s="5" t="inlineStr">
        <is>
          <t>LNH0925ND01</t>
        </is>
      </c>
      <c r="G538" s="105" t="n">
        <v>8415000</v>
      </c>
    </row>
    <row r="539">
      <c r="A539" s="5" t="n">
        <v>533</v>
      </c>
      <c r="B539" s="5" t="inlineStr">
        <is>
          <t>25808700161</t>
        </is>
      </c>
      <c r="C539" s="6" t="inlineStr">
        <is>
          <t>An Trang Vaøng</t>
        </is>
      </c>
      <c r="D539" s="6" t="inlineStr">
        <is>
          <t>Anh</t>
        </is>
      </c>
      <c r="E539" s="5" t="inlineStr">
        <is>
          <t>15-Nov-07</t>
        </is>
      </c>
      <c r="F539" s="5" t="inlineStr">
        <is>
          <t>LNH0925ND01</t>
        </is>
      </c>
      <c r="G539" s="105" t="n">
        <v>8415000</v>
      </c>
    </row>
    <row r="540">
      <c r="A540" s="5" t="n">
        <v>534</v>
      </c>
      <c r="B540" s="5" t="inlineStr">
        <is>
          <t>25802700022</t>
        </is>
      </c>
      <c r="C540" s="6" t="inlineStr">
        <is>
          <t>Nguyeãn Phaïm Ngoïc</t>
        </is>
      </c>
      <c r="D540" s="6" t="inlineStr">
        <is>
          <t>Haân</t>
        </is>
      </c>
      <c r="E540" s="5" t="inlineStr">
        <is>
          <t>24-Dec-06</t>
        </is>
      </c>
      <c r="F540" s="5" t="inlineStr">
        <is>
          <t>LNH0925ND01</t>
        </is>
      </c>
      <c r="G540" s="105" t="n">
        <v>8415000</v>
      </c>
    </row>
    <row r="541">
      <c r="A541" s="5" t="n">
        <v>535</v>
      </c>
      <c r="B541" s="5" t="inlineStr">
        <is>
          <t>25820200041</t>
        </is>
      </c>
      <c r="C541" s="6" t="inlineStr">
        <is>
          <t>Tsìn Huyønh Phuùc</t>
        </is>
      </c>
      <c r="D541" s="6" t="inlineStr">
        <is>
          <t>Nguyeân</t>
        </is>
      </c>
      <c r="E541" s="5" t="inlineStr">
        <is>
          <t>10-Sep-07</t>
        </is>
      </c>
      <c r="F541" s="5" t="inlineStr">
        <is>
          <t>LNH0925ND01</t>
        </is>
      </c>
      <c r="G541" s="105" t="n">
        <v>8415000</v>
      </c>
    </row>
    <row r="542">
      <c r="A542" s="5" t="n">
        <v>536</v>
      </c>
      <c r="B542" s="5" t="inlineStr">
        <is>
          <t>25807000021</t>
        </is>
      </c>
      <c r="C542" s="6" t="inlineStr">
        <is>
          <t>Buøi Tieán</t>
        </is>
      </c>
      <c r="D542" s="6" t="inlineStr">
        <is>
          <t>Phaùt</t>
        </is>
      </c>
      <c r="E542" s="5" t="inlineStr">
        <is>
          <t>06-Feb-07</t>
        </is>
      </c>
      <c r="F542" s="5" t="inlineStr">
        <is>
          <t>LNH0925ND01</t>
        </is>
      </c>
      <c r="G542" s="105" t="n">
        <v>8415000</v>
      </c>
    </row>
    <row r="543">
      <c r="A543" s="5" t="n">
        <v>537</v>
      </c>
      <c r="B543" s="5" t="inlineStr">
        <is>
          <t>25801200021</t>
        </is>
      </c>
      <c r="C543" s="6" t="inlineStr">
        <is>
          <t>Traàn Quang</t>
        </is>
      </c>
      <c r="D543" s="6" t="inlineStr">
        <is>
          <t>Minh</t>
        </is>
      </c>
      <c r="E543" s="5" t="inlineStr">
        <is>
          <t>08-May-07</t>
        </is>
      </c>
      <c r="F543" s="5" t="inlineStr">
        <is>
          <t>LNH0925ND01</t>
        </is>
      </c>
      <c r="G543" s="105" t="n">
        <v>8415000</v>
      </c>
    </row>
    <row r="544">
      <c r="A544" s="5" t="n">
        <v>538</v>
      </c>
      <c r="B544" s="5" t="inlineStr">
        <is>
          <t>25802600097</t>
        </is>
      </c>
      <c r="C544" s="6" t="inlineStr">
        <is>
          <t>Phaïm Cao Thaùi An</t>
        </is>
      </c>
      <c r="D544" s="6" t="inlineStr">
        <is>
          <t>Nhieân</t>
        </is>
      </c>
      <c r="E544" s="5" t="inlineStr">
        <is>
          <t>15-Apr-07</t>
        </is>
      </c>
      <c r="F544" s="5" t="inlineStr">
        <is>
          <t>LNH0925ND01</t>
        </is>
      </c>
      <c r="G544" s="105" t="n">
        <v>8415000</v>
      </c>
    </row>
    <row r="545">
      <c r="A545" s="5" t="n">
        <v>539</v>
      </c>
      <c r="B545" s="5" t="inlineStr">
        <is>
          <t>25808700072</t>
        </is>
      </c>
      <c r="C545" s="6" t="inlineStr">
        <is>
          <t>Nguyeãn Hoaøng</t>
        </is>
      </c>
      <c r="D545" s="6" t="inlineStr">
        <is>
          <t>Nhöït</t>
        </is>
      </c>
      <c r="E545" s="5" t="inlineStr">
        <is>
          <t>11-Oct-07</t>
        </is>
      </c>
      <c r="F545" s="5" t="inlineStr">
        <is>
          <t>LNH0925ND01</t>
        </is>
      </c>
      <c r="G545" s="105" t="n">
        <v>8415000</v>
      </c>
    </row>
    <row r="546">
      <c r="A546" s="5" t="n">
        <v>540</v>
      </c>
      <c r="B546" s="5" t="inlineStr">
        <is>
          <t>25802800258</t>
        </is>
      </c>
      <c r="C546" s="6" t="inlineStr">
        <is>
          <t>Nguyeãn Coâng</t>
        </is>
      </c>
      <c r="D546" s="6" t="inlineStr">
        <is>
          <t>Thöôøng</t>
        </is>
      </c>
      <c r="E546" s="5" t="inlineStr">
        <is>
          <t>15-Jan-07</t>
        </is>
      </c>
      <c r="F546" s="5" t="inlineStr">
        <is>
          <t>LNH0925ND01</t>
        </is>
      </c>
      <c r="G546" s="105" t="n">
        <v>8415000</v>
      </c>
    </row>
    <row r="547">
      <c r="A547" s="5" t="n">
        <v>541</v>
      </c>
      <c r="B547" s="5" t="inlineStr">
        <is>
          <t>25805800048</t>
        </is>
      </c>
      <c r="C547" s="6" t="inlineStr">
        <is>
          <t>Traàn Chí</t>
        </is>
      </c>
      <c r="D547" s="6" t="inlineStr">
        <is>
          <t>Huy</t>
        </is>
      </c>
      <c r="E547" s="5" t="inlineStr">
        <is>
          <t>09-Oct-07</t>
        </is>
      </c>
      <c r="F547" s="5" t="inlineStr">
        <is>
          <t>LNH0925ND01</t>
        </is>
      </c>
      <c r="G547" s="105" t="n">
        <v>8415000</v>
      </c>
    </row>
    <row r="548">
      <c r="A548" s="5" t="n">
        <v>542</v>
      </c>
      <c r="B548" s="5" t="inlineStr">
        <is>
          <t>25820300093</t>
        </is>
      </c>
      <c r="C548" s="6" t="inlineStr">
        <is>
          <t>Nguyeãn Thanh</t>
        </is>
      </c>
      <c r="D548" s="6" t="inlineStr">
        <is>
          <t>Phuù</t>
        </is>
      </c>
      <c r="E548" s="5" t="inlineStr">
        <is>
          <t>19-Dec-07</t>
        </is>
      </c>
      <c r="F548" s="5" t="inlineStr">
        <is>
          <t>LNH0925ND01</t>
        </is>
      </c>
      <c r="G548" s="105" t="n">
        <v>8415000</v>
      </c>
    </row>
    <row r="549">
      <c r="A549" s="5" t="n">
        <v>543</v>
      </c>
      <c r="B549" s="5" t="inlineStr">
        <is>
          <t>25808200010</t>
        </is>
      </c>
      <c r="C549" s="6" t="inlineStr">
        <is>
          <t>Thöôïng Hoaøi</t>
        </is>
      </c>
      <c r="D549" s="6" t="inlineStr">
        <is>
          <t>AÂn</t>
        </is>
      </c>
      <c r="E549" s="5" t="inlineStr">
        <is>
          <t>02-Nov-07</t>
        </is>
      </c>
      <c r="F549" s="5" t="inlineStr">
        <is>
          <t>LNH0925ND01</t>
        </is>
      </c>
      <c r="G549" s="105" t="n">
        <v>8415000</v>
      </c>
    </row>
    <row r="550">
      <c r="A550" s="5" t="n">
        <v>544</v>
      </c>
      <c r="B550" s="5" t="inlineStr">
        <is>
          <t>25802700081</t>
        </is>
      </c>
      <c r="C550" s="6" t="inlineStr">
        <is>
          <t>Döông Nguyeãn Ngoïc</t>
        </is>
      </c>
      <c r="D550" s="6" t="inlineStr">
        <is>
          <t>Thaéng</t>
        </is>
      </c>
      <c r="E550" s="5" t="inlineStr">
        <is>
          <t>21-May-07</t>
        </is>
      </c>
      <c r="F550" s="5" t="inlineStr">
        <is>
          <t>LNH0925ND01</t>
        </is>
      </c>
      <c r="G550" s="105" t="n">
        <v>8415000</v>
      </c>
    </row>
    <row r="551">
      <c r="A551" s="5" t="n">
        <v>545</v>
      </c>
      <c r="B551" s="5" t="inlineStr">
        <is>
          <t>25808700110</t>
        </is>
      </c>
      <c r="C551" s="6" t="inlineStr">
        <is>
          <t>Traàn Baûo</t>
        </is>
      </c>
      <c r="D551" s="6" t="inlineStr">
        <is>
          <t>Traân</t>
        </is>
      </c>
      <c r="E551" s="5" t="inlineStr">
        <is>
          <t>07-Dec-07</t>
        </is>
      </c>
      <c r="F551" s="5" t="inlineStr">
        <is>
          <t>LNH0925ND01</t>
        </is>
      </c>
      <c r="G551" s="105" t="n">
        <v>8415000</v>
      </c>
    </row>
    <row r="552">
      <c r="A552" s="5" t="n">
        <v>546</v>
      </c>
      <c r="B552" s="5" t="inlineStr">
        <is>
          <t>25800601138</t>
        </is>
      </c>
      <c r="C552" s="6" t="inlineStr">
        <is>
          <t>Nguyeãn Vaên</t>
        </is>
      </c>
      <c r="D552" s="6" t="inlineStr">
        <is>
          <t>Lôïi</t>
        </is>
      </c>
      <c r="E552" s="5" t="inlineStr">
        <is>
          <t>18-Feb-07</t>
        </is>
      </c>
      <c r="F552" s="5" t="inlineStr">
        <is>
          <t>LNH0925ND01</t>
        </is>
      </c>
      <c r="G552" s="105" t="n">
        <v>8415000</v>
      </c>
    </row>
    <row r="553">
      <c r="A553" s="5" t="n">
        <v>547</v>
      </c>
      <c r="B553" s="5" t="inlineStr">
        <is>
          <t>25801100007</t>
        </is>
      </c>
      <c r="C553" s="6" t="inlineStr">
        <is>
          <t>Phan Minh</t>
        </is>
      </c>
      <c r="D553" s="6" t="inlineStr">
        <is>
          <t>Chieán</t>
        </is>
      </c>
      <c r="E553" s="5" t="inlineStr">
        <is>
          <t>17-Jan-07</t>
        </is>
      </c>
      <c r="F553" s="5" t="inlineStr">
        <is>
          <t>LNH0925ND01</t>
        </is>
      </c>
      <c r="G553" s="105" t="n">
        <v>8415000</v>
      </c>
    </row>
    <row r="554">
      <c r="A554" s="5" t="n">
        <v>548</v>
      </c>
      <c r="B554" s="5" t="inlineStr">
        <is>
          <t>25820300019</t>
        </is>
      </c>
      <c r="C554" s="6" t="inlineStr">
        <is>
          <t>Traàn Quoác</t>
        </is>
      </c>
      <c r="D554" s="6" t="inlineStr">
        <is>
          <t>Huy</t>
        </is>
      </c>
      <c r="E554" s="5" t="inlineStr">
        <is>
          <t>16-Mar-07</t>
        </is>
      </c>
      <c r="F554" s="5" t="inlineStr">
        <is>
          <t>LNH0925ND01</t>
        </is>
      </c>
      <c r="G554" s="105" t="n">
        <v>8415000</v>
      </c>
    </row>
    <row r="555">
      <c r="A555" s="5" t="n">
        <v>549</v>
      </c>
      <c r="B555" s="5" t="inlineStr">
        <is>
          <t>25801100076</t>
        </is>
      </c>
      <c r="C555" s="6" t="inlineStr">
        <is>
          <t>Traàn Huyønh Vaïn</t>
        </is>
      </c>
      <c r="D555" s="6" t="inlineStr">
        <is>
          <t>Trí</t>
        </is>
      </c>
      <c r="E555" s="5" t="inlineStr">
        <is>
          <t>10-Oct-07</t>
        </is>
      </c>
      <c r="F555" s="5" t="inlineStr">
        <is>
          <t>LNH0925ND01</t>
        </is>
      </c>
      <c r="G555" s="105" t="n">
        <v>8415000</v>
      </c>
    </row>
    <row r="556">
      <c r="A556" s="5" t="n">
        <v>550</v>
      </c>
      <c r="B556" s="5" t="inlineStr">
        <is>
          <t>25807500017</t>
        </is>
      </c>
      <c r="C556" s="6" t="inlineStr">
        <is>
          <t>Ñoã Tieán</t>
        </is>
      </c>
      <c r="D556" s="6" t="inlineStr">
        <is>
          <t>Döông</t>
        </is>
      </c>
      <c r="E556" s="5" t="inlineStr">
        <is>
          <t>20-Jul-07</t>
        </is>
      </c>
      <c r="F556" s="5" t="inlineStr">
        <is>
          <t>LNH0925ND01</t>
        </is>
      </c>
      <c r="G556" s="105" t="n">
        <v>8415000</v>
      </c>
    </row>
    <row r="557">
      <c r="A557" s="5" t="n">
        <v>551</v>
      </c>
      <c r="B557" s="5" t="inlineStr">
        <is>
          <t>25807500033</t>
        </is>
      </c>
      <c r="C557" s="6" t="inlineStr">
        <is>
          <t>Phaïm Minh</t>
        </is>
      </c>
      <c r="D557" s="6" t="inlineStr">
        <is>
          <t>Hoøa</t>
        </is>
      </c>
      <c r="E557" s="5" t="inlineStr">
        <is>
          <t>21-Nov-07</t>
        </is>
      </c>
      <c r="F557" s="5" t="inlineStr">
        <is>
          <t>LNH0925ND01</t>
        </is>
      </c>
      <c r="G557" s="105" t="n">
        <v>8415000</v>
      </c>
    </row>
    <row r="558">
      <c r="A558" s="5" t="n">
        <v>552</v>
      </c>
      <c r="B558" s="5" t="inlineStr">
        <is>
          <t>25807500151</t>
        </is>
      </c>
      <c r="C558" s="6" t="inlineStr">
        <is>
          <t>Nguyeãn Phaïm Hoaøng</t>
        </is>
      </c>
      <c r="D558" s="6" t="inlineStr">
        <is>
          <t>Trung</t>
        </is>
      </c>
      <c r="E558" s="5" t="inlineStr">
        <is>
          <t>22-Jan-07</t>
        </is>
      </c>
      <c r="F558" s="5" t="inlineStr">
        <is>
          <t>LNH0925ND01</t>
        </is>
      </c>
      <c r="G558" s="105" t="n">
        <v>8415000</v>
      </c>
    </row>
    <row r="559">
      <c r="A559" s="5" t="n">
        <v>553</v>
      </c>
      <c r="B559" s="5" t="inlineStr">
        <is>
          <t>25820200008</t>
        </is>
      </c>
      <c r="C559" s="6" t="inlineStr">
        <is>
          <t>Huyønh Phuù</t>
        </is>
      </c>
      <c r="D559" s="6" t="inlineStr">
        <is>
          <t>Cöôøng</t>
        </is>
      </c>
      <c r="E559" s="5" t="inlineStr">
        <is>
          <t>06-Dec-07</t>
        </is>
      </c>
      <c r="F559" s="5" t="inlineStr">
        <is>
          <t>LNH0925ND01</t>
        </is>
      </c>
      <c r="G559" s="105" t="n">
        <v>8415000</v>
      </c>
    </row>
    <row r="560">
      <c r="A560" s="5" t="n">
        <v>554</v>
      </c>
      <c r="B560" s="5" t="inlineStr">
        <is>
          <t>25807500227</t>
        </is>
      </c>
      <c r="C560" s="6" t="inlineStr">
        <is>
          <t>Nguyeãn Ngoïc Phöông</t>
        </is>
      </c>
      <c r="D560" s="6" t="inlineStr">
        <is>
          <t>Traân</t>
        </is>
      </c>
      <c r="E560" s="5" t="inlineStr">
        <is>
          <t>17-Nov-07</t>
        </is>
      </c>
      <c r="F560" s="5" t="inlineStr">
        <is>
          <t>LNH0925ND01</t>
        </is>
      </c>
      <c r="G560" s="105" t="n">
        <v>8415000</v>
      </c>
    </row>
    <row r="561">
      <c r="A561" s="5" t="n">
        <v>555</v>
      </c>
      <c r="B561" s="5" t="inlineStr">
        <is>
          <t>25805800021</t>
        </is>
      </c>
      <c r="C561" s="6" t="inlineStr">
        <is>
          <t>Ñinh Ngoïc Phöông</t>
        </is>
      </c>
      <c r="D561" s="6" t="inlineStr">
        <is>
          <t>Ngaân</t>
        </is>
      </c>
      <c r="E561" s="5" t="inlineStr">
        <is>
          <t>21-Nov-07</t>
        </is>
      </c>
      <c r="F561" s="5" t="inlineStr">
        <is>
          <t>LNH0925ND01</t>
        </is>
      </c>
      <c r="G561" s="105" t="n">
        <v>8415000</v>
      </c>
    </row>
    <row r="562">
      <c r="A562" s="5" t="n">
        <v>556</v>
      </c>
      <c r="B562" s="5" t="inlineStr">
        <is>
          <t>25801900115</t>
        </is>
      </c>
      <c r="C562" s="6" t="inlineStr">
        <is>
          <t>Leâ Phuù</t>
        </is>
      </c>
      <c r="D562" s="6" t="inlineStr">
        <is>
          <t>Phuùc</t>
        </is>
      </c>
      <c r="E562" s="5" t="inlineStr">
        <is>
          <t>20-Aug-05</t>
        </is>
      </c>
      <c r="F562" s="5" t="inlineStr">
        <is>
          <t>LNH0925ND01</t>
        </is>
      </c>
      <c r="G562" s="105" t="n">
        <v>8415000</v>
      </c>
    </row>
    <row r="563">
      <c r="A563" s="5" t="n">
        <v>557</v>
      </c>
      <c r="B563" s="5" t="inlineStr">
        <is>
          <t>25801300024</t>
        </is>
      </c>
      <c r="C563" s="6" t="inlineStr">
        <is>
          <t>Leâ Huyønh Khaùnh</t>
        </is>
      </c>
      <c r="D563" s="6" t="inlineStr">
        <is>
          <t>Nguyeân</t>
        </is>
      </c>
      <c r="E563" s="5" t="inlineStr">
        <is>
          <t>10-Jul-07</t>
        </is>
      </c>
      <c r="F563" s="5" t="inlineStr">
        <is>
          <t>LNH0925ND01</t>
        </is>
      </c>
      <c r="G563" s="105" t="n">
        <v>8415000</v>
      </c>
    </row>
    <row r="564">
      <c r="A564" s="5" t="n">
        <v>558</v>
      </c>
      <c r="B564" s="5" t="inlineStr">
        <is>
          <t>25808200117</t>
        </is>
      </c>
      <c r="C564" s="6" t="inlineStr">
        <is>
          <t>Nguyeãn Thuaän</t>
        </is>
      </c>
      <c r="D564" s="6" t="inlineStr">
        <is>
          <t>Thanh</t>
        </is>
      </c>
      <c r="E564" s="5" t="inlineStr">
        <is>
          <t>10-Feb-07</t>
        </is>
      </c>
      <c r="F564" s="5" t="inlineStr">
        <is>
          <t>LNH0925ND01</t>
        </is>
      </c>
      <c r="G564" s="105" t="n">
        <v>8415000</v>
      </c>
    </row>
    <row r="565">
      <c r="A565" s="5" t="n">
        <v>559</v>
      </c>
      <c r="B565" s="5" t="inlineStr">
        <is>
          <t>25807000017</t>
        </is>
      </c>
      <c r="C565" s="6" t="inlineStr">
        <is>
          <t>Nguyeãn Thanh</t>
        </is>
      </c>
      <c r="D565" s="6" t="inlineStr">
        <is>
          <t>Ngaân</t>
        </is>
      </c>
      <c r="E565" s="5" t="inlineStr">
        <is>
          <t>31-Oct-06</t>
        </is>
      </c>
      <c r="F565" s="5" t="inlineStr">
        <is>
          <t>LNH0925ND01</t>
        </is>
      </c>
      <c r="G565" s="105" t="n">
        <v>8415000</v>
      </c>
    </row>
    <row r="566">
      <c r="A566" s="5" t="n">
        <v>560</v>
      </c>
      <c r="B566" s="20" t="inlineStr">
        <is>
          <t>25800500311</t>
        </is>
      </c>
      <c r="C566" s="6" t="inlineStr">
        <is>
          <t>Trieäu Gia</t>
        </is>
      </c>
      <c r="D566" s="6" t="inlineStr">
        <is>
          <t>Khang</t>
        </is>
      </c>
      <c r="E566" s="5" t="inlineStr">
        <is>
          <t>22-Feb-07</t>
        </is>
      </c>
      <c r="F566" s="5" t="inlineStr">
        <is>
          <t>LNH0925NL01</t>
        </is>
      </c>
      <c r="G566" s="105" t="n">
        <v>8415000</v>
      </c>
      <c r="H566" s="19" t="n"/>
    </row>
    <row r="567">
      <c r="A567" s="5" t="n">
        <v>561</v>
      </c>
      <c r="B567" s="5" t="inlineStr">
        <is>
          <t>25808200104</t>
        </is>
      </c>
      <c r="C567" s="6" t="inlineStr">
        <is>
          <t>Toân Thaát Döông</t>
        </is>
      </c>
      <c r="D567" s="6" t="inlineStr">
        <is>
          <t>Quang</t>
        </is>
      </c>
      <c r="E567" s="5" t="inlineStr">
        <is>
          <t>21-Feb-07</t>
        </is>
      </c>
      <c r="F567" s="5" t="inlineStr">
        <is>
          <t>LNH0925ND01</t>
        </is>
      </c>
      <c r="G567" s="105" t="n">
        <v>8415000</v>
      </c>
    </row>
    <row r="568">
      <c r="A568" s="5" t="n">
        <v>562</v>
      </c>
      <c r="B568" s="5" t="inlineStr">
        <is>
          <t>25800500149</t>
        </is>
      </c>
      <c r="C568" s="6" t="inlineStr">
        <is>
          <t>Nguyeãn Ngoïc Ñöùc</t>
        </is>
      </c>
      <c r="D568" s="6" t="inlineStr">
        <is>
          <t>Taøi</t>
        </is>
      </c>
      <c r="E568" s="5" t="inlineStr">
        <is>
          <t>11-Sep-07</t>
        </is>
      </c>
      <c r="F568" s="5" t="inlineStr">
        <is>
          <t>LNH0925ND01</t>
        </is>
      </c>
      <c r="G568" s="105" t="n">
        <v>8415000</v>
      </c>
    </row>
    <row r="569">
      <c r="A569" s="5" t="n">
        <v>563</v>
      </c>
      <c r="B569" s="5" t="inlineStr">
        <is>
          <t>25802800055</t>
        </is>
      </c>
      <c r="C569" s="6" t="inlineStr">
        <is>
          <t>Nguyeãn Xuaân Hoaøng</t>
        </is>
      </c>
      <c r="D569" s="6" t="inlineStr">
        <is>
          <t>Haø</t>
        </is>
      </c>
      <c r="E569" s="5" t="inlineStr">
        <is>
          <t>04-Jun-07</t>
        </is>
      </c>
      <c r="F569" s="5" t="inlineStr">
        <is>
          <t>LNH0925ND01</t>
        </is>
      </c>
      <c r="G569" s="105" t="n">
        <v>8415000</v>
      </c>
    </row>
    <row r="570">
      <c r="A570" s="5" t="n">
        <v>564</v>
      </c>
      <c r="B570" s="5" t="inlineStr">
        <is>
          <t>25809600068</t>
        </is>
      </c>
      <c r="C570" s="6" t="inlineStr">
        <is>
          <t>Voõ Vieät</t>
        </is>
      </c>
      <c r="D570" s="6" t="inlineStr">
        <is>
          <t>Trí</t>
        </is>
      </c>
      <c r="E570" s="5" t="inlineStr">
        <is>
          <t>03-Jan-07</t>
        </is>
      </c>
      <c r="F570" s="5" t="inlineStr">
        <is>
          <t>LNH0925ND01</t>
        </is>
      </c>
      <c r="G570" s="105" t="n">
        <v>8415000</v>
      </c>
    </row>
    <row r="571">
      <c r="A571" s="5" t="n">
        <v>565</v>
      </c>
      <c r="B571" s="5" t="inlineStr">
        <is>
          <t>25802100071</t>
        </is>
      </c>
      <c r="C571" s="6" t="inlineStr">
        <is>
          <t>Nguyeãn Vinh</t>
        </is>
      </c>
      <c r="D571" s="6" t="inlineStr">
        <is>
          <t>Quang</t>
        </is>
      </c>
      <c r="E571" s="5" t="inlineStr">
        <is>
          <t>30-Nov-07</t>
        </is>
      </c>
      <c r="F571" s="5" t="inlineStr">
        <is>
          <t>LNH0925ND01</t>
        </is>
      </c>
      <c r="G571" s="105" t="n">
        <v>8415000</v>
      </c>
    </row>
    <row r="572">
      <c r="A572" s="5" t="n">
        <v>566</v>
      </c>
      <c r="B572" s="5" t="inlineStr">
        <is>
          <t>25806000099</t>
        </is>
      </c>
      <c r="C572" s="6" t="inlineStr">
        <is>
          <t>Huyønh Thò Nhaõ</t>
        </is>
      </c>
      <c r="D572" s="6" t="inlineStr">
        <is>
          <t>Phöông</t>
        </is>
      </c>
      <c r="E572" s="5" t="inlineStr">
        <is>
          <t>21-Jan-07</t>
        </is>
      </c>
      <c r="F572" s="5" t="inlineStr">
        <is>
          <t>LNH0925ND01</t>
        </is>
      </c>
      <c r="G572" s="105" t="n">
        <v>8415000</v>
      </c>
    </row>
    <row r="573">
      <c r="A573" s="5" t="n">
        <v>567</v>
      </c>
      <c r="B573" s="5" t="inlineStr">
        <is>
          <t>25800500136</t>
        </is>
      </c>
      <c r="C573" s="6" t="inlineStr">
        <is>
          <t>Nguyeãn Anh</t>
        </is>
      </c>
      <c r="D573" s="6" t="inlineStr">
        <is>
          <t>Phong</t>
        </is>
      </c>
      <c r="E573" s="5" t="inlineStr">
        <is>
          <t>30-Aug-07</t>
        </is>
      </c>
      <c r="F573" s="5" t="inlineStr">
        <is>
          <t>LNH0925ND01</t>
        </is>
      </c>
      <c r="G573" s="105" t="n">
        <v>8415000</v>
      </c>
    </row>
    <row r="574">
      <c r="A574" s="5" t="n">
        <v>568</v>
      </c>
      <c r="B574" s="5" t="inlineStr">
        <is>
          <t>25808200027</t>
        </is>
      </c>
      <c r="C574" s="6" t="inlineStr">
        <is>
          <t>Haø Haûi</t>
        </is>
      </c>
      <c r="D574" s="6" t="inlineStr">
        <is>
          <t>Döông</t>
        </is>
      </c>
      <c r="E574" s="5" t="inlineStr">
        <is>
          <t>24-Nov-07</t>
        </is>
      </c>
      <c r="F574" s="5" t="inlineStr">
        <is>
          <t>LNH0925ND01</t>
        </is>
      </c>
      <c r="G574" s="105" t="n">
        <v>8415000</v>
      </c>
    </row>
    <row r="575">
      <c r="A575" s="5" t="n">
        <v>569</v>
      </c>
      <c r="B575" s="5" t="inlineStr">
        <is>
          <t>25802600042</t>
        </is>
      </c>
      <c r="C575" s="6" t="inlineStr">
        <is>
          <t>Chaâu Ngoïc</t>
        </is>
      </c>
      <c r="D575" s="6" t="inlineStr">
        <is>
          <t>Haân</t>
        </is>
      </c>
      <c r="E575" s="5" t="inlineStr">
        <is>
          <t>01-Aug-07</t>
        </is>
      </c>
      <c r="F575" s="5" t="inlineStr">
        <is>
          <t>LNH0925ND01</t>
        </is>
      </c>
      <c r="G575" s="105" t="n">
        <v>8415000</v>
      </c>
    </row>
    <row r="576">
      <c r="A576" s="5" t="n">
        <v>570</v>
      </c>
      <c r="B576" s="5" t="inlineStr">
        <is>
          <t>25801300042</t>
        </is>
      </c>
      <c r="C576" s="6" t="inlineStr">
        <is>
          <t>Ñoã Quoác</t>
        </is>
      </c>
      <c r="D576" s="6" t="inlineStr">
        <is>
          <t>Trung</t>
        </is>
      </c>
      <c r="E576" s="5" t="inlineStr">
        <is>
          <t>27-May-07</t>
        </is>
      </c>
      <c r="F576" s="5" t="inlineStr">
        <is>
          <t>LNH0925ND01</t>
        </is>
      </c>
      <c r="G576" s="105" t="n">
        <v>8415000</v>
      </c>
    </row>
    <row r="577">
      <c r="A577" s="5" t="n">
        <v>571</v>
      </c>
      <c r="B577" s="5" t="inlineStr">
        <is>
          <t>25806800033</t>
        </is>
      </c>
      <c r="C577" s="6" t="inlineStr">
        <is>
          <t>Buøi Truùc</t>
        </is>
      </c>
      <c r="D577" s="6" t="inlineStr">
        <is>
          <t>Linh</t>
        </is>
      </c>
      <c r="E577" s="5" t="inlineStr">
        <is>
          <t>08-Nov-06</t>
        </is>
      </c>
      <c r="F577" s="5" t="inlineStr">
        <is>
          <t>LNH0925ND01</t>
        </is>
      </c>
      <c r="G577" s="105" t="n">
        <v>8415000</v>
      </c>
    </row>
    <row r="578">
      <c r="A578" s="5" t="n">
        <v>572</v>
      </c>
      <c r="B578" s="5" t="inlineStr">
        <is>
          <t>25808100017</t>
        </is>
      </c>
      <c r="C578" s="6" t="inlineStr">
        <is>
          <t>Nguyeãn Quang</t>
        </is>
      </c>
      <c r="D578" s="6" t="inlineStr">
        <is>
          <t>Huy</t>
        </is>
      </c>
      <c r="E578" s="5" t="inlineStr">
        <is>
          <t>26-Jan-07</t>
        </is>
      </c>
      <c r="F578" s="5" t="inlineStr">
        <is>
          <t>LNH0925ND01</t>
        </is>
      </c>
      <c r="G578" s="105" t="n">
        <v>8415000</v>
      </c>
    </row>
    <row r="579">
      <c r="A579" s="5" t="n">
        <v>573</v>
      </c>
      <c r="B579" s="5" t="inlineStr">
        <is>
          <t>25820700010</t>
        </is>
      </c>
      <c r="C579" s="6" t="inlineStr">
        <is>
          <t>Nguyeãn Döông Hieàn</t>
        </is>
      </c>
      <c r="D579" s="6" t="inlineStr">
        <is>
          <t>Hoøa</t>
        </is>
      </c>
      <c r="E579" s="5" t="inlineStr">
        <is>
          <t>24-Jan-07</t>
        </is>
      </c>
      <c r="F579" s="5" t="inlineStr">
        <is>
          <t>LNH0925ND01</t>
        </is>
      </c>
      <c r="G579" s="105" t="n">
        <v>8415000</v>
      </c>
    </row>
    <row r="580">
      <c r="A580" s="5" t="n">
        <v>574</v>
      </c>
      <c r="B580" s="5" t="inlineStr">
        <is>
          <t>25820200110</t>
        </is>
      </c>
      <c r="C580" s="6" t="inlineStr">
        <is>
          <t>Nguyeãn Baù</t>
        </is>
      </c>
      <c r="D580" s="6" t="inlineStr">
        <is>
          <t>An</t>
        </is>
      </c>
      <c r="E580" s="5" t="inlineStr">
        <is>
          <t>16-Nov-07</t>
        </is>
      </c>
      <c r="F580" s="5" t="inlineStr">
        <is>
          <t>LNH0925ND01</t>
        </is>
      </c>
      <c r="G580" s="105" t="n">
        <v>8415000</v>
      </c>
    </row>
    <row r="581">
      <c r="A581" s="5" t="n">
        <v>575</v>
      </c>
      <c r="B581" s="5" t="inlineStr">
        <is>
          <t>25800500049</t>
        </is>
      </c>
      <c r="C581" s="6" t="inlineStr">
        <is>
          <t>Leâ Trung</t>
        </is>
      </c>
      <c r="D581" s="6" t="inlineStr">
        <is>
          <t>Hieáu</t>
        </is>
      </c>
      <c r="E581" s="5" t="inlineStr">
        <is>
          <t>16-Mar-07</t>
        </is>
      </c>
      <c r="F581" s="5" t="inlineStr">
        <is>
          <t>LNH0925ND01</t>
        </is>
      </c>
      <c r="G581" s="105" t="n">
        <v>8415000</v>
      </c>
    </row>
    <row r="582">
      <c r="A582" s="5" t="n">
        <v>576</v>
      </c>
      <c r="B582" s="5" t="inlineStr">
        <is>
          <t>25820300038</t>
        </is>
      </c>
      <c r="C582" s="6" t="inlineStr">
        <is>
          <t>Traàn Duy</t>
        </is>
      </c>
      <c r="D582" s="6" t="inlineStr">
        <is>
          <t>Nguyeân</t>
        </is>
      </c>
      <c r="E582" s="5" t="inlineStr">
        <is>
          <t>15-Jun-07</t>
        </is>
      </c>
      <c r="F582" s="5" t="inlineStr">
        <is>
          <t>LNH0925ND01</t>
        </is>
      </c>
      <c r="G582" s="105" t="n">
        <v>8415000</v>
      </c>
    </row>
    <row r="583">
      <c r="A583" s="5" t="n">
        <v>577</v>
      </c>
      <c r="B583" s="5" t="inlineStr">
        <is>
          <t>25807500144</t>
        </is>
      </c>
      <c r="C583" s="6" t="inlineStr">
        <is>
          <t>Phaïm Minh</t>
        </is>
      </c>
      <c r="D583" s="6" t="inlineStr">
        <is>
          <t>Trí</t>
        </is>
      </c>
      <c r="E583" s="5" t="inlineStr">
        <is>
          <t>06-Jun-07</t>
        </is>
      </c>
      <c r="F583" s="5" t="inlineStr">
        <is>
          <t>LNH0925ND01</t>
        </is>
      </c>
      <c r="G583" s="105" t="n">
        <v>8415000</v>
      </c>
    </row>
    <row r="584">
      <c r="A584" s="5" t="n">
        <v>578</v>
      </c>
      <c r="B584" s="5" t="inlineStr">
        <is>
          <t>25806800022</t>
        </is>
      </c>
      <c r="C584" s="6" t="inlineStr">
        <is>
          <t>Nguyeãn Thò Ngoïc</t>
        </is>
      </c>
      <c r="D584" s="6" t="inlineStr">
        <is>
          <t>Haân</t>
        </is>
      </c>
      <c r="E584" s="5" t="inlineStr">
        <is>
          <t>26-May-07</t>
        </is>
      </c>
      <c r="F584" s="5" t="inlineStr">
        <is>
          <t>LNH0925ND01</t>
        </is>
      </c>
      <c r="G584" s="105" t="n">
        <v>8415000</v>
      </c>
    </row>
    <row r="585">
      <c r="A585" s="5" t="n">
        <v>579</v>
      </c>
      <c r="B585" s="5" t="inlineStr">
        <is>
          <t>25807800064</t>
        </is>
      </c>
      <c r="C585" s="6" t="inlineStr">
        <is>
          <t>Quaùch Anh</t>
        </is>
      </c>
      <c r="D585" s="6" t="inlineStr">
        <is>
          <t>Khoa</t>
        </is>
      </c>
      <c r="E585" s="5" t="inlineStr">
        <is>
          <t>08-Oct-07</t>
        </is>
      </c>
      <c r="F585" s="5" t="inlineStr">
        <is>
          <t>LNH0925ND01</t>
        </is>
      </c>
      <c r="G585" s="105" t="n">
        <v>8415000</v>
      </c>
    </row>
    <row r="586">
      <c r="A586" s="5" t="n">
        <v>580</v>
      </c>
      <c r="B586" s="5" t="inlineStr">
        <is>
          <t>25808900146</t>
        </is>
      </c>
      <c r="C586" s="6" t="inlineStr">
        <is>
          <t>Phuøng Minh</t>
        </is>
      </c>
      <c r="D586" s="6" t="inlineStr">
        <is>
          <t>Tuaán</t>
        </is>
      </c>
      <c r="E586" s="5" t="inlineStr">
        <is>
          <t>28-Feb-07</t>
        </is>
      </c>
      <c r="F586" s="5" t="inlineStr">
        <is>
          <t>LNH0925ND01</t>
        </is>
      </c>
      <c r="G586" s="105" t="n">
        <v>8415000</v>
      </c>
    </row>
    <row r="587">
      <c r="A587" s="5" t="n">
        <v>581</v>
      </c>
      <c r="B587" s="5" t="inlineStr">
        <is>
          <t>25808900240</t>
        </is>
      </c>
      <c r="C587" s="6" t="inlineStr">
        <is>
          <t>Phaïm Vaên</t>
        </is>
      </c>
      <c r="D587" s="6" t="inlineStr">
        <is>
          <t>Thaønh</t>
        </is>
      </c>
      <c r="E587" s="5" t="inlineStr">
        <is>
          <t>26-May-07</t>
        </is>
      </c>
      <c r="F587" s="5" t="inlineStr">
        <is>
          <t>LNH0925ND01</t>
        </is>
      </c>
      <c r="G587" s="105" t="n">
        <v>8415000</v>
      </c>
    </row>
    <row r="588">
      <c r="A588" s="5" t="n">
        <v>582</v>
      </c>
      <c r="B588" s="5" t="inlineStr">
        <is>
          <t>25808900057</t>
        </is>
      </c>
      <c r="C588" s="6" t="inlineStr">
        <is>
          <t>Nguyeãn Hoaøng Anh</t>
        </is>
      </c>
      <c r="D588" s="6" t="inlineStr">
        <is>
          <t>Khoa</t>
        </is>
      </c>
      <c r="E588" s="5" t="inlineStr">
        <is>
          <t>18-Mar-07</t>
        </is>
      </c>
      <c r="F588" s="5" t="inlineStr">
        <is>
          <t>LNH0925ND01</t>
        </is>
      </c>
      <c r="G588" s="105" t="n">
        <v>8415000</v>
      </c>
    </row>
    <row r="589">
      <c r="A589" s="5" t="n">
        <v>583</v>
      </c>
      <c r="B589" s="5" t="inlineStr">
        <is>
          <t>25809600059</t>
        </is>
      </c>
      <c r="C589" s="6" t="inlineStr">
        <is>
          <t>Traàn Thanh</t>
        </is>
      </c>
      <c r="D589" s="6" t="inlineStr">
        <is>
          <t>Sôn</t>
        </is>
      </c>
      <c r="E589" s="5" t="inlineStr">
        <is>
          <t>17-May-07</t>
        </is>
      </c>
      <c r="F589" s="5" t="inlineStr">
        <is>
          <t>LNH0925ND01</t>
        </is>
      </c>
      <c r="G589" s="105" t="n">
        <v>8415000</v>
      </c>
    </row>
    <row r="590">
      <c r="A590" s="5" t="n">
        <v>584</v>
      </c>
      <c r="B590" s="5" t="inlineStr">
        <is>
          <t>25805800005</t>
        </is>
      </c>
      <c r="C590" s="6" t="inlineStr">
        <is>
          <t>Nguyeãn Khoa Tuyeát</t>
        </is>
      </c>
      <c r="D590" s="6" t="inlineStr">
        <is>
          <t>Chi</t>
        </is>
      </c>
      <c r="E590" s="5" t="inlineStr">
        <is>
          <t>10-Sep-07</t>
        </is>
      </c>
      <c r="F590" s="5" t="inlineStr">
        <is>
          <t>LNH0925ND01</t>
        </is>
      </c>
      <c r="G590" s="105" t="n">
        <v>8415000</v>
      </c>
    </row>
    <row r="591">
      <c r="A591" s="5" t="n">
        <v>585</v>
      </c>
      <c r="B591" s="5" t="inlineStr">
        <is>
          <t>25800500131</t>
        </is>
      </c>
      <c r="C591" s="6" t="inlineStr">
        <is>
          <t>Vuõ Vaên</t>
        </is>
      </c>
      <c r="D591" s="6" t="inlineStr">
        <is>
          <t>Nhaät</t>
        </is>
      </c>
      <c r="E591" s="5" t="inlineStr">
        <is>
          <t>24-Jan-07</t>
        </is>
      </c>
      <c r="F591" s="5" t="inlineStr">
        <is>
          <t>LNH0925ND01</t>
        </is>
      </c>
      <c r="G591" s="105" t="n">
        <v>8415000</v>
      </c>
    </row>
    <row r="592">
      <c r="A592" s="5" t="n">
        <v>586</v>
      </c>
      <c r="B592" s="5" t="inlineStr">
        <is>
          <t>25808200022</t>
        </is>
      </c>
      <c r="C592" s="6" t="inlineStr">
        <is>
          <t>Nguyeãn Vuõ</t>
        </is>
      </c>
      <c r="D592" s="6" t="inlineStr">
        <is>
          <t>Duõng</t>
        </is>
      </c>
      <c r="E592" s="5" t="inlineStr">
        <is>
          <t>01-Dec-07</t>
        </is>
      </c>
      <c r="F592" s="5" t="inlineStr">
        <is>
          <t>LNH0925ND01</t>
        </is>
      </c>
      <c r="G592" s="105" t="n">
        <v>8415000</v>
      </c>
    </row>
    <row r="593">
      <c r="A593" s="5" t="n">
        <v>587</v>
      </c>
      <c r="B593" s="5" t="inlineStr">
        <is>
          <t>25808500347</t>
        </is>
      </c>
      <c r="C593" s="6" t="inlineStr">
        <is>
          <t>Trang Traàn Thaønh</t>
        </is>
      </c>
      <c r="D593" s="6" t="inlineStr">
        <is>
          <t>Thònh</t>
        </is>
      </c>
      <c r="E593" s="5" t="inlineStr">
        <is>
          <t>25-May-07</t>
        </is>
      </c>
      <c r="F593" s="5" t="inlineStr">
        <is>
          <t>LNH0925ND01</t>
        </is>
      </c>
      <c r="G593" s="105" t="n">
        <v>8415000</v>
      </c>
    </row>
    <row r="594">
      <c r="A594" s="5" t="n">
        <v>588</v>
      </c>
      <c r="B594" s="5" t="inlineStr">
        <is>
          <t>25807500073</t>
        </is>
      </c>
      <c r="C594" s="6" t="inlineStr">
        <is>
          <t>Buøi Nguyeãn Trieäu</t>
        </is>
      </c>
      <c r="D594" s="6" t="inlineStr">
        <is>
          <t>Nam</t>
        </is>
      </c>
      <c r="E594" s="5" t="inlineStr">
        <is>
          <t>19-Nov-07</t>
        </is>
      </c>
      <c r="F594" s="5" t="inlineStr">
        <is>
          <t>LNH0925ND01</t>
        </is>
      </c>
      <c r="G594" s="105" t="n">
        <v>8415000</v>
      </c>
    </row>
    <row r="595">
      <c r="A595" s="5" t="n">
        <v>589</v>
      </c>
      <c r="B595" s="5" t="inlineStr">
        <is>
          <t>25802700012</t>
        </is>
      </c>
      <c r="C595" s="6" t="inlineStr">
        <is>
          <t>Nguyeãn Thò Caåm</t>
        </is>
      </c>
      <c r="D595" s="6" t="inlineStr">
        <is>
          <t>Bình</t>
        </is>
      </c>
      <c r="E595" s="5" t="inlineStr">
        <is>
          <t>12-Sep-07</t>
        </is>
      </c>
      <c r="F595" s="5" t="inlineStr">
        <is>
          <t>LNH0925ND01</t>
        </is>
      </c>
      <c r="G595" s="105" t="n">
        <v>8415000</v>
      </c>
    </row>
    <row r="596">
      <c r="A596" s="5" t="n">
        <v>590</v>
      </c>
      <c r="B596" s="5" t="inlineStr">
        <is>
          <t>25800500276</t>
        </is>
      </c>
      <c r="C596" s="6" t="inlineStr">
        <is>
          <t>Nguyeãn Troïng</t>
        </is>
      </c>
      <c r="D596" s="6" t="inlineStr">
        <is>
          <t>Haûo</t>
        </is>
      </c>
      <c r="E596" s="5" t="inlineStr">
        <is>
          <t>03-Jul-07</t>
        </is>
      </c>
      <c r="F596" s="5" t="inlineStr">
        <is>
          <t>LNH0925ND01</t>
        </is>
      </c>
      <c r="G596" s="105" t="n">
        <v>8415000</v>
      </c>
    </row>
    <row r="597">
      <c r="A597" s="5" t="n">
        <v>591</v>
      </c>
      <c r="B597" s="5" t="inlineStr">
        <is>
          <t>25802800001</t>
        </is>
      </c>
      <c r="C597" s="6" t="inlineStr">
        <is>
          <t>Nguyeãn Quoác</t>
        </is>
      </c>
      <c r="D597" s="6" t="inlineStr">
        <is>
          <t>An</t>
        </is>
      </c>
      <c r="E597" s="5" t="inlineStr">
        <is>
          <t>28-Oct-07</t>
        </is>
      </c>
      <c r="F597" s="5" t="inlineStr">
        <is>
          <t>LNH0925ND01</t>
        </is>
      </c>
      <c r="G597" s="105" t="n">
        <v>8415000</v>
      </c>
    </row>
    <row r="598">
      <c r="A598" s="5" t="n">
        <v>592</v>
      </c>
      <c r="B598" s="5" t="inlineStr">
        <is>
          <t>25808600126</t>
        </is>
      </c>
      <c r="C598" s="6" t="inlineStr">
        <is>
          <t>Hoà Nhaät</t>
        </is>
      </c>
      <c r="D598" s="6" t="inlineStr">
        <is>
          <t>Tieán</t>
        </is>
      </c>
      <c r="E598" s="5" t="inlineStr">
        <is>
          <t>27-Mar-07</t>
        </is>
      </c>
      <c r="F598" s="5" t="inlineStr">
        <is>
          <t>LNH0925ND01</t>
        </is>
      </c>
      <c r="G598" s="105" t="n">
        <v>8415000</v>
      </c>
    </row>
    <row r="599">
      <c r="A599" s="5" t="n">
        <v>593</v>
      </c>
      <c r="B599" s="5" t="inlineStr">
        <is>
          <t>25800500162</t>
        </is>
      </c>
      <c r="C599" s="6" t="inlineStr">
        <is>
          <t>Ñinh Coâng</t>
        </is>
      </c>
      <c r="D599" s="6" t="inlineStr">
        <is>
          <t>Thaéng</t>
        </is>
      </c>
      <c r="E599" s="5" t="inlineStr">
        <is>
          <t>15-Jan-07</t>
        </is>
      </c>
      <c r="F599" s="5" t="inlineStr">
        <is>
          <t>LNH0925ND01</t>
        </is>
      </c>
      <c r="G599" s="105" t="n">
        <v>8415000</v>
      </c>
    </row>
    <row r="600">
      <c r="A600" s="5" t="n">
        <v>594</v>
      </c>
      <c r="B600" s="5" t="inlineStr">
        <is>
          <t>25809400056</t>
        </is>
      </c>
      <c r="C600" s="6" t="inlineStr">
        <is>
          <t>Haø Thanh</t>
        </is>
      </c>
      <c r="D600" s="6" t="inlineStr">
        <is>
          <t>Duy</t>
        </is>
      </c>
      <c r="E600" s="5" t="inlineStr">
        <is>
          <t>14-Dec-07</t>
        </is>
      </c>
      <c r="F600" s="5" t="inlineStr">
        <is>
          <t>LNH0925ND01</t>
        </is>
      </c>
      <c r="G600" s="105" t="n">
        <v>8415000</v>
      </c>
    </row>
    <row r="601">
      <c r="A601" s="5" t="n">
        <v>595</v>
      </c>
      <c r="B601" s="5" t="inlineStr">
        <is>
          <t>25806600350</t>
        </is>
      </c>
      <c r="C601" s="6" t="inlineStr">
        <is>
          <t>Leâ Gia</t>
        </is>
      </c>
      <c r="D601" s="6" t="inlineStr">
        <is>
          <t>Minh</t>
        </is>
      </c>
      <c r="E601" s="5" t="inlineStr">
        <is>
          <t>06-May-07</t>
        </is>
      </c>
      <c r="F601" s="5" t="inlineStr">
        <is>
          <t>LNH0925ND01</t>
        </is>
      </c>
      <c r="G601" s="105" t="n">
        <v>8415000</v>
      </c>
    </row>
    <row r="602">
      <c r="A602" s="5" t="n">
        <v>596</v>
      </c>
      <c r="B602" s="5" t="inlineStr">
        <is>
          <t>25800500306</t>
        </is>
      </c>
      <c r="C602" s="6" t="inlineStr">
        <is>
          <t>Haø Minh</t>
        </is>
      </c>
      <c r="D602" s="6" t="inlineStr">
        <is>
          <t>Ñöùc</t>
        </is>
      </c>
      <c r="E602" s="5" t="inlineStr">
        <is>
          <t>07-Oct-07</t>
        </is>
      </c>
      <c r="F602" s="5" t="inlineStr">
        <is>
          <t>LNH0925ND01</t>
        </is>
      </c>
      <c r="G602" s="105" t="n">
        <v>8415000</v>
      </c>
    </row>
    <row r="603">
      <c r="A603" s="5" t="n">
        <v>597</v>
      </c>
      <c r="B603" s="5" t="inlineStr">
        <is>
          <t>25800400275</t>
        </is>
      </c>
      <c r="C603" s="6" t="inlineStr">
        <is>
          <t>Traàn Leâ Höõu</t>
        </is>
      </c>
      <c r="D603" s="6" t="inlineStr">
        <is>
          <t>Haäu</t>
        </is>
      </c>
      <c r="E603" s="5" t="inlineStr">
        <is>
          <t>30-Mar-07</t>
        </is>
      </c>
      <c r="F603" s="5" t="inlineStr">
        <is>
          <t>LNH0925ND01</t>
        </is>
      </c>
      <c r="G603" s="105" t="n">
        <v>8415000</v>
      </c>
    </row>
    <row r="604">
      <c r="A604" s="5" t="n">
        <v>598</v>
      </c>
      <c r="B604" s="5" t="inlineStr">
        <is>
          <t>25802600139</t>
        </is>
      </c>
      <c r="C604" s="6" t="inlineStr">
        <is>
          <t>Phaïm Nguyeãn Thaûo</t>
        </is>
      </c>
      <c r="D604" s="6" t="inlineStr">
        <is>
          <t>Vy</t>
        </is>
      </c>
      <c r="E604" s="5" t="inlineStr">
        <is>
          <t>10-Dec-07</t>
        </is>
      </c>
      <c r="F604" s="5" t="inlineStr">
        <is>
          <t>LNH0925ND01</t>
        </is>
      </c>
      <c r="G604" s="105" t="n">
        <v>8415000</v>
      </c>
    </row>
    <row r="605">
      <c r="A605" s="5" t="n">
        <v>599</v>
      </c>
      <c r="B605" s="5" t="inlineStr">
        <is>
          <t>25806300025</t>
        </is>
      </c>
      <c r="C605" s="6" t="inlineStr">
        <is>
          <t>Hoaøng Ñöùc</t>
        </is>
      </c>
      <c r="D605" s="6" t="inlineStr">
        <is>
          <t>Maïnh</t>
        </is>
      </c>
      <c r="E605" s="5" t="inlineStr">
        <is>
          <t>02-Sep-07</t>
        </is>
      </c>
      <c r="F605" s="5" t="inlineStr">
        <is>
          <t>LNH0925ND01</t>
        </is>
      </c>
      <c r="G605" s="105" t="n">
        <v>8415000</v>
      </c>
    </row>
    <row r="606">
      <c r="A606" s="5" t="n">
        <v>600</v>
      </c>
      <c r="B606" s="5" t="inlineStr">
        <is>
          <t>25802800068</t>
        </is>
      </c>
      <c r="C606" s="6" t="inlineStr">
        <is>
          <t>Löông Hoaøng</t>
        </is>
      </c>
      <c r="D606" s="6" t="inlineStr">
        <is>
          <t>Heân</t>
        </is>
      </c>
      <c r="E606" s="5" t="inlineStr">
        <is>
          <t>18-Feb-07</t>
        </is>
      </c>
      <c r="F606" s="5" t="inlineStr">
        <is>
          <t>LNH0925ND01</t>
        </is>
      </c>
      <c r="G606" s="105" t="n">
        <v>8415000</v>
      </c>
    </row>
    <row r="607">
      <c r="A607" s="5" t="n">
        <v>601</v>
      </c>
      <c r="B607" s="5" t="inlineStr">
        <is>
          <t>25807800251</t>
        </is>
      </c>
      <c r="C607" s="6" t="inlineStr">
        <is>
          <t>Nguyeãn Leâ</t>
        </is>
      </c>
      <c r="D607" s="6" t="inlineStr">
        <is>
          <t>Khanh</t>
        </is>
      </c>
      <c r="E607" s="5" t="inlineStr">
        <is>
          <t>01-May-07</t>
        </is>
      </c>
      <c r="F607" s="5" t="inlineStr">
        <is>
          <t>LNH0925ND01</t>
        </is>
      </c>
      <c r="G607" s="105" t="n">
        <v>8415000</v>
      </c>
    </row>
    <row r="608">
      <c r="A608" s="5" t="n">
        <v>602</v>
      </c>
      <c r="B608" s="5" t="inlineStr">
        <is>
          <t>25800500111</t>
        </is>
      </c>
      <c r="C608" s="6" t="inlineStr">
        <is>
          <t>Traàn Nguyeãn Hoaøng</t>
        </is>
      </c>
      <c r="D608" s="6" t="inlineStr">
        <is>
          <t>Minh</t>
        </is>
      </c>
      <c r="E608" s="5" t="inlineStr">
        <is>
          <t>11-Feb-07</t>
        </is>
      </c>
      <c r="F608" s="5" t="inlineStr">
        <is>
          <t>LNH0925ND01</t>
        </is>
      </c>
      <c r="G608" s="105" t="n">
        <v>8415000</v>
      </c>
    </row>
    <row r="609">
      <c r="A609" s="5" t="n">
        <v>603</v>
      </c>
      <c r="B609" s="5" t="inlineStr">
        <is>
          <t>25808600200</t>
        </is>
      </c>
      <c r="C609" s="6" t="inlineStr">
        <is>
          <t>Traàn Phöông</t>
        </is>
      </c>
      <c r="D609" s="6" t="inlineStr">
        <is>
          <t>Quyønh</t>
        </is>
      </c>
      <c r="E609" s="5" t="inlineStr">
        <is>
          <t>14-Mar-07</t>
        </is>
      </c>
      <c r="F609" s="5" t="inlineStr">
        <is>
          <t>LNH0925ND01</t>
        </is>
      </c>
      <c r="G609" s="105" t="n">
        <v>8415000</v>
      </c>
    </row>
    <row r="610">
      <c r="A610" s="5" t="n">
        <v>604</v>
      </c>
      <c r="B610" s="5" t="inlineStr">
        <is>
          <t>25801100004</t>
        </is>
      </c>
      <c r="C610" s="6" t="inlineStr">
        <is>
          <t>Döông Gia</t>
        </is>
      </c>
      <c r="D610" s="6" t="inlineStr">
        <is>
          <t>Baûo</t>
        </is>
      </c>
      <c r="E610" s="5" t="inlineStr">
        <is>
          <t>24-Dec-06</t>
        </is>
      </c>
      <c r="F610" s="5" t="inlineStr">
        <is>
          <t>LNH0925ND01</t>
        </is>
      </c>
      <c r="G610" s="105" t="n">
        <v>8415000</v>
      </c>
    </row>
    <row r="611">
      <c r="A611" s="5" t="n">
        <v>605</v>
      </c>
      <c r="B611" s="5" t="inlineStr">
        <is>
          <t>25808100046</t>
        </is>
      </c>
      <c r="C611" s="6" t="inlineStr">
        <is>
          <t>Laâm Phuù</t>
        </is>
      </c>
      <c r="D611" s="6" t="inlineStr">
        <is>
          <t>Quí</t>
        </is>
      </c>
      <c r="E611" s="5" t="inlineStr">
        <is>
          <t>25-Jul-06</t>
        </is>
      </c>
      <c r="F611" s="5" t="inlineStr">
        <is>
          <t>LNH0925ND01</t>
        </is>
      </c>
      <c r="G611" s="105" t="n">
        <v>8415000</v>
      </c>
    </row>
    <row r="612">
      <c r="A612" s="5" t="n">
        <v>606</v>
      </c>
      <c r="B612" s="5" t="inlineStr">
        <is>
          <t>25802800152</t>
        </is>
      </c>
      <c r="C612" s="6" t="inlineStr">
        <is>
          <t>Ñoã Thò Thanh</t>
        </is>
      </c>
      <c r="D612" s="6" t="inlineStr">
        <is>
          <t>Ngaân</t>
        </is>
      </c>
      <c r="E612" s="5" t="inlineStr">
        <is>
          <t>01-Sep-07</t>
        </is>
      </c>
      <c r="F612" s="5" t="inlineStr">
        <is>
          <t>LNH0925ND01</t>
        </is>
      </c>
      <c r="G612" s="105" t="n">
        <v>8415000</v>
      </c>
    </row>
    <row r="613">
      <c r="A613" s="5" t="n">
        <v>607</v>
      </c>
      <c r="B613" s="5" t="inlineStr">
        <is>
          <t>25800500310</t>
        </is>
      </c>
      <c r="C613" s="6" t="inlineStr">
        <is>
          <t>Phan Gia</t>
        </is>
      </c>
      <c r="D613" s="6" t="inlineStr">
        <is>
          <t>Huy</t>
        </is>
      </c>
      <c r="E613" s="5" t="inlineStr">
        <is>
          <t>03-Jan-07</t>
        </is>
      </c>
      <c r="F613" s="5" t="inlineStr">
        <is>
          <t>LNH0925ND01</t>
        </is>
      </c>
      <c r="G613" s="105" t="n">
        <v>8415000</v>
      </c>
    </row>
    <row r="614">
      <c r="A614" s="5" t="n">
        <v>608</v>
      </c>
      <c r="B614" s="5" t="inlineStr">
        <is>
          <t>25808600253</t>
        </is>
      </c>
      <c r="C614" s="6" t="inlineStr">
        <is>
          <t>Traàn Thò Kim</t>
        </is>
      </c>
      <c r="D614" s="6" t="inlineStr">
        <is>
          <t>Ngaân</t>
        </is>
      </c>
      <c r="E614" s="5" t="inlineStr">
        <is>
          <t>18-Nov-06</t>
        </is>
      </c>
      <c r="F614" s="5" t="inlineStr">
        <is>
          <t>LNH0925ND01</t>
        </is>
      </c>
      <c r="G614" s="105" t="n">
        <v>8415000</v>
      </c>
    </row>
    <row r="615">
      <c r="A615" s="5" t="n">
        <v>609</v>
      </c>
      <c r="B615" s="5" t="inlineStr">
        <is>
          <t>25802800402</t>
        </is>
      </c>
      <c r="C615" s="6" t="inlineStr">
        <is>
          <t>Nguyeãn Tuaán</t>
        </is>
      </c>
      <c r="D615" s="6" t="inlineStr">
        <is>
          <t>Anh</t>
        </is>
      </c>
      <c r="E615" s="5" t="inlineStr">
        <is>
          <t>13-Oct-07</t>
        </is>
      </c>
      <c r="F615" s="5" t="inlineStr">
        <is>
          <t>LNH0925ND01</t>
        </is>
      </c>
      <c r="G615" s="105" t="n">
        <v>8415000</v>
      </c>
    </row>
    <row r="616">
      <c r="A616" s="5" t="n">
        <v>610</v>
      </c>
      <c r="B616" s="5" t="inlineStr">
        <is>
          <t>25806800047</t>
        </is>
      </c>
      <c r="C616" s="6" t="inlineStr">
        <is>
          <t>Hoàng Phöôùc</t>
        </is>
      </c>
      <c r="D616" s="6" t="inlineStr">
        <is>
          <t>Nghóa</t>
        </is>
      </c>
      <c r="E616" s="5" t="inlineStr">
        <is>
          <t>17-Nov-07</t>
        </is>
      </c>
      <c r="F616" s="5" t="inlineStr">
        <is>
          <t>LNH0925ND01</t>
        </is>
      </c>
      <c r="G616" s="105" t="n">
        <v>8415000</v>
      </c>
    </row>
    <row r="617">
      <c r="A617" s="5" t="n">
        <v>611</v>
      </c>
      <c r="B617" s="5" t="inlineStr">
        <is>
          <t>25802800399</t>
        </is>
      </c>
      <c r="C617" s="6" t="inlineStr">
        <is>
          <t>Phaïm Thanh</t>
        </is>
      </c>
      <c r="D617" s="6" t="inlineStr">
        <is>
          <t>Sôn</t>
        </is>
      </c>
      <c r="E617" s="5" t="inlineStr">
        <is>
          <t>02-Jul-07</t>
        </is>
      </c>
      <c r="F617" s="5" t="inlineStr">
        <is>
          <t>LNH0925ND01</t>
        </is>
      </c>
      <c r="G617" s="105" t="n">
        <v>8415000</v>
      </c>
    </row>
    <row r="618">
      <c r="A618" s="5" t="n">
        <v>612</v>
      </c>
      <c r="B618" s="5" t="inlineStr">
        <is>
          <t>25802800140</t>
        </is>
      </c>
      <c r="C618" s="6" t="inlineStr">
        <is>
          <t>Giang Hoaøng Ñaïi</t>
        </is>
      </c>
      <c r="D618" s="6" t="inlineStr">
        <is>
          <t>Lôïi</t>
        </is>
      </c>
      <c r="E618" s="5" t="inlineStr">
        <is>
          <t>06-Apr-07</t>
        </is>
      </c>
      <c r="F618" s="5" t="inlineStr">
        <is>
          <t>LNH0925ND01</t>
        </is>
      </c>
      <c r="G618" s="105" t="n">
        <v>8415000</v>
      </c>
    </row>
    <row r="619">
      <c r="A619" s="5" t="n">
        <v>613</v>
      </c>
      <c r="B619" s="5" t="inlineStr">
        <is>
          <t>25806400041</t>
        </is>
      </c>
      <c r="C619" s="6" t="inlineStr">
        <is>
          <t>Traàn Minh</t>
        </is>
      </c>
      <c r="D619" s="6" t="inlineStr">
        <is>
          <t>Löõ</t>
        </is>
      </c>
      <c r="E619" s="5" t="inlineStr">
        <is>
          <t>11-Oct-07</t>
        </is>
      </c>
      <c r="F619" s="5" t="inlineStr">
        <is>
          <t>LNH0925ND01</t>
        </is>
      </c>
      <c r="G619" s="105" t="n">
        <v>8415000</v>
      </c>
    </row>
    <row r="620">
      <c r="A620" s="5" t="n">
        <v>614</v>
      </c>
      <c r="B620" s="5" t="inlineStr">
        <is>
          <t>25803800037</t>
        </is>
      </c>
      <c r="C620" s="6" t="inlineStr">
        <is>
          <t>Leâ Nguyeãn Ngoïc</t>
        </is>
      </c>
      <c r="D620" s="6" t="inlineStr">
        <is>
          <t>Ngaân</t>
        </is>
      </c>
      <c r="E620" s="5" t="inlineStr">
        <is>
          <t>15-Nov-07</t>
        </is>
      </c>
      <c r="F620" s="5" t="inlineStr">
        <is>
          <t>LNH0925ND01</t>
        </is>
      </c>
      <c r="G620" s="105" t="n">
        <v>8415000</v>
      </c>
    </row>
    <row r="621">
      <c r="A621" s="5" t="n">
        <v>615</v>
      </c>
      <c r="B621" s="5" t="inlineStr">
        <is>
          <t>25801900092</t>
        </is>
      </c>
      <c r="C621" s="6" t="inlineStr">
        <is>
          <t>Leâ Thò Thuùy</t>
        </is>
      </c>
      <c r="D621" s="6" t="inlineStr">
        <is>
          <t>Ngaân</t>
        </is>
      </c>
      <c r="E621" s="5" t="inlineStr">
        <is>
          <t>04-Sep-07</t>
        </is>
      </c>
      <c r="F621" s="5" t="inlineStr">
        <is>
          <t>LNH0925ND01</t>
        </is>
      </c>
      <c r="G621" s="105" t="n">
        <v>8415000</v>
      </c>
    </row>
    <row r="622">
      <c r="A622" s="5" t="n">
        <v>616</v>
      </c>
      <c r="B622" s="5" t="inlineStr">
        <is>
          <t>25801300015</t>
        </is>
      </c>
      <c r="C622" s="6" t="inlineStr">
        <is>
          <t>Döông Thò Minh</t>
        </is>
      </c>
      <c r="D622" s="6" t="inlineStr">
        <is>
          <t>Loäc</t>
        </is>
      </c>
      <c r="E622" s="5" t="inlineStr">
        <is>
          <t>12-Jun-07</t>
        </is>
      </c>
      <c r="F622" s="5" t="inlineStr">
        <is>
          <t>LNH0925ND01</t>
        </is>
      </c>
      <c r="G622" s="105" t="n">
        <v>8415000</v>
      </c>
    </row>
    <row r="623">
      <c r="A623" s="5" t="n">
        <v>617</v>
      </c>
      <c r="B623" s="5" t="inlineStr">
        <is>
          <t>25801200012</t>
        </is>
      </c>
      <c r="C623" s="6" t="inlineStr">
        <is>
          <t>Höùa Nguyeãn Gia</t>
        </is>
      </c>
      <c r="D623" s="6" t="inlineStr">
        <is>
          <t>Haân</t>
        </is>
      </c>
      <c r="E623" s="5" t="inlineStr">
        <is>
          <t>08-Jan-07</t>
        </is>
      </c>
      <c r="F623" s="5" t="inlineStr">
        <is>
          <t>LNH0925ND01</t>
        </is>
      </c>
      <c r="G623" s="105" t="n">
        <v>8415000</v>
      </c>
    </row>
    <row r="624">
      <c r="A624" s="5" t="n">
        <v>618</v>
      </c>
      <c r="B624" s="5" t="inlineStr">
        <is>
          <t>25808600087</t>
        </is>
      </c>
      <c r="C624" s="6" t="inlineStr">
        <is>
          <t>Voõ Thò Tuyeát</t>
        </is>
      </c>
      <c r="D624" s="6" t="inlineStr">
        <is>
          <t>Nhö</t>
        </is>
      </c>
      <c r="E624" s="5" t="inlineStr">
        <is>
          <t>15-Nov-07</t>
        </is>
      </c>
      <c r="F624" s="5" t="inlineStr">
        <is>
          <t>LNH0925ND01</t>
        </is>
      </c>
      <c r="G624" s="105" t="n">
        <v>8415000</v>
      </c>
    </row>
    <row r="625">
      <c r="A625" s="5" t="n">
        <v>619</v>
      </c>
      <c r="B625" s="5" t="inlineStr">
        <is>
          <t>25800500133</t>
        </is>
      </c>
      <c r="C625" s="6" t="inlineStr">
        <is>
          <t>Nguyeãn Taán</t>
        </is>
      </c>
      <c r="D625" s="6" t="inlineStr">
        <is>
          <t>Phaùt</t>
        </is>
      </c>
      <c r="E625" s="5" t="inlineStr">
        <is>
          <t>25-Dec-07</t>
        </is>
      </c>
      <c r="F625" s="5" t="inlineStr">
        <is>
          <t>LNH0925ND01</t>
        </is>
      </c>
      <c r="G625" s="105" t="n">
        <v>8415000</v>
      </c>
    </row>
    <row r="626">
      <c r="A626" s="5" t="n">
        <v>620</v>
      </c>
      <c r="B626" s="5" t="inlineStr">
        <is>
          <t>25808500024</t>
        </is>
      </c>
      <c r="C626" s="6" t="inlineStr">
        <is>
          <t>Ñinh Nguyeãn Gia</t>
        </is>
      </c>
      <c r="D626" s="6" t="inlineStr">
        <is>
          <t>Baûo</t>
        </is>
      </c>
      <c r="E626" s="5" t="inlineStr">
        <is>
          <t>07-Dec-06</t>
        </is>
      </c>
      <c r="F626" s="5" t="inlineStr">
        <is>
          <t>LNH0925ND01</t>
        </is>
      </c>
      <c r="G626" s="105" t="n">
        <v>8415000</v>
      </c>
    </row>
    <row r="627">
      <c r="A627" s="5" t="n">
        <v>621</v>
      </c>
      <c r="B627" s="5" t="inlineStr">
        <is>
          <t>25807700017</t>
        </is>
      </c>
      <c r="C627" s="6" t="inlineStr">
        <is>
          <t>Haø Quoác</t>
        </is>
      </c>
      <c r="D627" s="6" t="inlineStr">
        <is>
          <t>Duõng</t>
        </is>
      </c>
      <c r="E627" s="5" t="inlineStr">
        <is>
          <t>18-Jan-07</t>
        </is>
      </c>
      <c r="F627" s="5" t="inlineStr">
        <is>
          <t>LNH0925ND01</t>
        </is>
      </c>
      <c r="G627" s="105" t="n">
        <v>8415000</v>
      </c>
    </row>
    <row r="628">
      <c r="A628" s="5" t="n">
        <v>622</v>
      </c>
      <c r="B628" s="5" t="inlineStr">
        <is>
          <t>25808600180</t>
        </is>
      </c>
      <c r="C628" s="6" t="inlineStr">
        <is>
          <t>Nguyeãn Noâng Khaùnh</t>
        </is>
      </c>
      <c r="D628" s="6" t="inlineStr">
        <is>
          <t>Linh</t>
        </is>
      </c>
      <c r="E628" s="5" t="inlineStr">
        <is>
          <t>21-Aug-07</t>
        </is>
      </c>
      <c r="F628" s="5" t="inlineStr">
        <is>
          <t>LNH0925ND01</t>
        </is>
      </c>
      <c r="G628" s="105" t="n">
        <v>8415000</v>
      </c>
    </row>
    <row r="629">
      <c r="A629" s="5" t="n">
        <v>623</v>
      </c>
      <c r="B629" s="5" t="inlineStr">
        <is>
          <t>25808300103</t>
        </is>
      </c>
      <c r="C629" s="6" t="inlineStr">
        <is>
          <t>Leâ Thò Thuyø</t>
        </is>
      </c>
      <c r="D629" s="6" t="inlineStr">
        <is>
          <t>Dòu</t>
        </is>
      </c>
      <c r="E629" s="5" t="inlineStr">
        <is>
          <t>25-Nov-07</t>
        </is>
      </c>
      <c r="F629" s="5" t="inlineStr">
        <is>
          <t>LNH0925ND01</t>
        </is>
      </c>
      <c r="G629" s="105" t="n">
        <v>8415000</v>
      </c>
    </row>
    <row r="630">
      <c r="A630" s="5" t="n">
        <v>624</v>
      </c>
      <c r="B630" s="5" t="inlineStr">
        <is>
          <t>25808600121</t>
        </is>
      </c>
      <c r="C630" s="6" t="inlineStr">
        <is>
          <t>Voõ Anh</t>
        </is>
      </c>
      <c r="D630" s="6" t="inlineStr">
        <is>
          <t>Thö</t>
        </is>
      </c>
      <c r="E630" s="5" t="inlineStr">
        <is>
          <t>03-Jul-07</t>
        </is>
      </c>
      <c r="F630" s="5" t="inlineStr">
        <is>
          <t>LNH0925ND01</t>
        </is>
      </c>
      <c r="G630" s="105" t="n">
        <v>8415000</v>
      </c>
    </row>
    <row r="631">
      <c r="A631" s="5" t="n">
        <v>625</v>
      </c>
      <c r="B631" s="5" t="inlineStr">
        <is>
          <t>25820200013</t>
        </is>
      </c>
      <c r="C631" s="6" t="inlineStr">
        <is>
          <t>Maõ Löông Haûi</t>
        </is>
      </c>
      <c r="D631" s="6" t="inlineStr">
        <is>
          <t>Ñaêng</t>
        </is>
      </c>
      <c r="E631" s="5" t="inlineStr">
        <is>
          <t>01-Jun-07</t>
        </is>
      </c>
      <c r="F631" s="5" t="inlineStr">
        <is>
          <t>LNH0925ND01</t>
        </is>
      </c>
      <c r="G631" s="105" t="n">
        <v>8415000</v>
      </c>
    </row>
    <row r="632">
      <c r="A632" s="5" t="n">
        <v>626</v>
      </c>
      <c r="B632" s="5" t="inlineStr">
        <is>
          <t>25806000026</t>
        </is>
      </c>
      <c r="C632" s="6" t="inlineStr">
        <is>
          <t>Phaïm Vaên Vónh</t>
        </is>
      </c>
      <c r="D632" s="6" t="inlineStr">
        <is>
          <t>Phuùc</t>
        </is>
      </c>
      <c r="E632" s="5" t="inlineStr">
        <is>
          <t>22-Apr-07</t>
        </is>
      </c>
      <c r="F632" s="5" t="inlineStr">
        <is>
          <t>LNH0925ND01</t>
        </is>
      </c>
      <c r="G632" s="105" t="n">
        <v>8415000</v>
      </c>
    </row>
    <row r="633">
      <c r="A633" s="5" t="n">
        <v>627</v>
      </c>
      <c r="B633" s="5" t="inlineStr">
        <is>
          <t>25820300011</t>
        </is>
      </c>
      <c r="C633" s="6" t="inlineStr">
        <is>
          <t>Buøi Nguyeãn Thanh</t>
        </is>
      </c>
      <c r="D633" s="6" t="inlineStr">
        <is>
          <t>Haèng</t>
        </is>
      </c>
      <c r="E633" s="5" t="inlineStr">
        <is>
          <t>25-May-07</t>
        </is>
      </c>
      <c r="F633" s="5" t="inlineStr">
        <is>
          <t>LNH0925ND01</t>
        </is>
      </c>
      <c r="G633" s="105" t="n">
        <v>8415000</v>
      </c>
    </row>
    <row r="634">
      <c r="A634" s="5" t="n">
        <v>628</v>
      </c>
      <c r="B634" s="5" t="inlineStr">
        <is>
          <t>25805800027</t>
        </is>
      </c>
      <c r="C634" s="6" t="inlineStr">
        <is>
          <t>Leâ Hieàn Thaûo</t>
        </is>
      </c>
      <c r="D634" s="6" t="inlineStr">
        <is>
          <t>Quyeân</t>
        </is>
      </c>
      <c r="E634" s="5" t="inlineStr">
        <is>
          <t>24-Sep-07</t>
        </is>
      </c>
      <c r="F634" s="5" t="inlineStr">
        <is>
          <t>LNH0925ND01</t>
        </is>
      </c>
      <c r="G634" s="105" t="n">
        <v>8415000</v>
      </c>
    </row>
    <row r="635">
      <c r="A635" s="5" t="n">
        <v>629</v>
      </c>
      <c r="B635" s="5" t="inlineStr">
        <is>
          <t>25807700035</t>
        </is>
      </c>
      <c r="C635" s="6" t="inlineStr">
        <is>
          <t>Chung Long</t>
        </is>
      </c>
      <c r="D635" s="6" t="inlineStr">
        <is>
          <t>Khang</t>
        </is>
      </c>
      <c r="E635" s="5" t="inlineStr">
        <is>
          <t>30-Nov-07</t>
        </is>
      </c>
      <c r="F635" s="5" t="inlineStr">
        <is>
          <t>LNH0925ND01</t>
        </is>
      </c>
      <c r="G635" s="105" t="n">
        <v>8415000</v>
      </c>
    </row>
    <row r="636">
      <c r="A636" s="5" t="n">
        <v>630</v>
      </c>
      <c r="B636" s="5" t="inlineStr">
        <is>
          <t>25808200122</t>
        </is>
      </c>
      <c r="C636" s="6" t="inlineStr">
        <is>
          <t>Voõ Nhaát</t>
        </is>
      </c>
      <c r="D636" s="6" t="inlineStr">
        <is>
          <t>Thieân</t>
        </is>
      </c>
      <c r="E636" s="5" t="inlineStr">
        <is>
          <t>06-Jan-07</t>
        </is>
      </c>
      <c r="F636" s="5" t="inlineStr">
        <is>
          <t>LNH0925ND01</t>
        </is>
      </c>
      <c r="G636" s="105" t="n">
        <v>8415000</v>
      </c>
    </row>
    <row r="637">
      <c r="A637" s="5" t="n">
        <v>631</v>
      </c>
      <c r="B637" s="5" t="inlineStr">
        <is>
          <t>25808700021</t>
        </is>
      </c>
      <c r="C637" s="6" t="inlineStr">
        <is>
          <t>Nguyeãn Vaên</t>
        </is>
      </c>
      <c r="D637" s="6" t="inlineStr">
        <is>
          <t>Ñöùc</t>
        </is>
      </c>
      <c r="E637" s="5" t="inlineStr">
        <is>
          <t>22-Jan-07</t>
        </is>
      </c>
      <c r="F637" s="5" t="inlineStr">
        <is>
          <t>LNH0925ND01</t>
        </is>
      </c>
      <c r="G637" s="105" t="n">
        <v>8415000</v>
      </c>
    </row>
    <row r="638">
      <c r="A638" s="5" t="n">
        <v>632</v>
      </c>
      <c r="B638" s="5" t="inlineStr">
        <is>
          <t>25808900229</t>
        </is>
      </c>
      <c r="C638" s="6" t="inlineStr">
        <is>
          <t>Nguyeãn Thieân</t>
        </is>
      </c>
      <c r="D638" s="6" t="inlineStr">
        <is>
          <t>AÂn</t>
        </is>
      </c>
      <c r="E638" s="5" t="inlineStr">
        <is>
          <t>23-Oct-07</t>
        </is>
      </c>
      <c r="F638" s="5" t="inlineStr">
        <is>
          <t>LNH0925ND01</t>
        </is>
      </c>
      <c r="G638" s="105" t="n">
        <v>8415000</v>
      </c>
    </row>
    <row r="639">
      <c r="A639" s="5" t="n">
        <v>633</v>
      </c>
      <c r="B639" s="5" t="inlineStr">
        <is>
          <t>25802700006</t>
        </is>
      </c>
      <c r="C639" s="6" t="inlineStr">
        <is>
          <t>Leâ Quoác</t>
        </is>
      </c>
      <c r="D639" s="6" t="inlineStr">
        <is>
          <t>Anh</t>
        </is>
      </c>
      <c r="E639" s="5" t="inlineStr">
        <is>
          <t>28-Sep-07</t>
        </is>
      </c>
      <c r="F639" s="5" t="inlineStr">
        <is>
          <t>LNH0925ND01</t>
        </is>
      </c>
      <c r="G639" s="105" t="n">
        <v>8415000</v>
      </c>
    </row>
    <row r="640">
      <c r="A640" s="5" t="n">
        <v>634</v>
      </c>
      <c r="B640" s="5" t="inlineStr">
        <is>
          <t>25802700192</t>
        </is>
      </c>
      <c r="C640" s="6" t="inlineStr">
        <is>
          <t>Nguyeãn Taán</t>
        </is>
      </c>
      <c r="D640" s="6" t="inlineStr">
        <is>
          <t>Phaùt</t>
        </is>
      </c>
      <c r="E640" s="5" t="inlineStr">
        <is>
          <t>01-Oct-07</t>
        </is>
      </c>
      <c r="F640" s="5" t="inlineStr">
        <is>
          <t>LNH0925ND01</t>
        </is>
      </c>
      <c r="G640" s="105" t="n">
        <v>8415000</v>
      </c>
    </row>
    <row r="641">
      <c r="A641" s="5" t="n">
        <v>635</v>
      </c>
      <c r="B641" s="5" t="inlineStr">
        <is>
          <t>25800500007</t>
        </is>
      </c>
      <c r="C641" s="6" t="inlineStr">
        <is>
          <t>Nguyeãn Huy</t>
        </is>
      </c>
      <c r="D641" s="6" t="inlineStr">
        <is>
          <t>Anh</t>
        </is>
      </c>
      <c r="E641" s="5" t="inlineStr">
        <is>
          <t>13-Dec-07</t>
        </is>
      </c>
      <c r="F641" s="5" t="inlineStr">
        <is>
          <t>LNH0925ND01</t>
        </is>
      </c>
      <c r="G641" s="105" t="n">
        <v>8415000</v>
      </c>
    </row>
    <row r="642">
      <c r="A642" s="5" t="n">
        <v>636</v>
      </c>
      <c r="B642" s="5" t="inlineStr">
        <is>
          <t>25820200068</t>
        </is>
      </c>
      <c r="C642" s="6" t="inlineStr">
        <is>
          <t>Nguyeãn Minh Nhö</t>
        </is>
      </c>
      <c r="D642" s="6" t="inlineStr">
        <is>
          <t>YÙ</t>
        </is>
      </c>
      <c r="E642" s="5" t="inlineStr">
        <is>
          <t>05-Nov-07</t>
        </is>
      </c>
      <c r="F642" s="5" t="inlineStr">
        <is>
          <t>LNH0925ND01</t>
        </is>
      </c>
      <c r="G642" s="105" t="n">
        <v>8415000</v>
      </c>
    </row>
    <row r="643">
      <c r="A643" s="5" t="n">
        <v>637</v>
      </c>
      <c r="B643" s="5" t="inlineStr">
        <is>
          <t>25808700203</t>
        </is>
      </c>
      <c r="C643" s="6" t="inlineStr">
        <is>
          <t>Mai Taán</t>
        </is>
      </c>
      <c r="D643" s="6" t="inlineStr">
        <is>
          <t>Nhaát</t>
        </is>
      </c>
      <c r="E643" s="5" t="inlineStr">
        <is>
          <t>14-Jul-06</t>
        </is>
      </c>
      <c r="F643" s="5" t="inlineStr">
        <is>
          <t>LNH0925ND01</t>
        </is>
      </c>
      <c r="G643" s="105" t="n">
        <v>8415000</v>
      </c>
    </row>
    <row r="644">
      <c r="A644" s="5" t="n">
        <v>638</v>
      </c>
      <c r="B644" s="5" t="inlineStr">
        <is>
          <t>25802800199</t>
        </is>
      </c>
      <c r="C644" s="6" t="inlineStr">
        <is>
          <t>Traàn Xuaân</t>
        </is>
      </c>
      <c r="D644" s="6" t="inlineStr">
        <is>
          <t>Phaùt</t>
        </is>
      </c>
      <c r="E644" s="5" t="inlineStr">
        <is>
          <t>01-Nov-07</t>
        </is>
      </c>
      <c r="F644" s="5" t="inlineStr">
        <is>
          <t>LNH0925ND01</t>
        </is>
      </c>
      <c r="G644" s="105" t="n">
        <v>8415000</v>
      </c>
    </row>
    <row r="645">
      <c r="A645" s="5" t="n">
        <v>639</v>
      </c>
      <c r="B645" s="5" t="inlineStr">
        <is>
          <t>25808600073</t>
        </is>
      </c>
      <c r="C645" s="6" t="inlineStr">
        <is>
          <t>Huyønh Thò Hoàng</t>
        </is>
      </c>
      <c r="D645" s="6" t="inlineStr">
        <is>
          <t>Ngoïc</t>
        </is>
      </c>
      <c r="E645" s="5" t="inlineStr">
        <is>
          <t>11-Feb-07</t>
        </is>
      </c>
      <c r="F645" s="5" t="inlineStr">
        <is>
          <t>LNH0925ND01</t>
        </is>
      </c>
      <c r="G645" s="105" t="n">
        <v>8415000</v>
      </c>
    </row>
    <row r="646">
      <c r="A646" s="5" t="n">
        <v>640</v>
      </c>
      <c r="B646" s="5" t="inlineStr">
        <is>
          <t>25808200228</t>
        </is>
      </c>
      <c r="C646" s="6" t="inlineStr">
        <is>
          <t>Tröông Gia</t>
        </is>
      </c>
      <c r="D646" s="6" t="inlineStr">
        <is>
          <t>Baûo</t>
        </is>
      </c>
      <c r="E646" s="5" t="inlineStr">
        <is>
          <t>22-Dec-07</t>
        </is>
      </c>
      <c r="F646" s="5" t="inlineStr">
        <is>
          <t>LNH0925ND01</t>
        </is>
      </c>
      <c r="G646" s="105" t="n">
        <v>8415000</v>
      </c>
    </row>
    <row r="647">
      <c r="A647" s="5" t="n">
        <v>641</v>
      </c>
      <c r="B647" s="5" t="inlineStr">
        <is>
          <t>25800400142</t>
        </is>
      </c>
      <c r="C647" s="6" t="inlineStr">
        <is>
          <t>Ñoã Xuaân</t>
        </is>
      </c>
      <c r="D647" s="6" t="inlineStr">
        <is>
          <t>Thaønh</t>
        </is>
      </c>
      <c r="E647" s="5" t="inlineStr">
        <is>
          <t>07-Jun-07</t>
        </is>
      </c>
      <c r="F647" s="5" t="inlineStr">
        <is>
          <t>LNH0925ND01</t>
        </is>
      </c>
      <c r="G647" s="105" t="n">
        <v>8415000</v>
      </c>
    </row>
    <row r="648">
      <c r="A648" s="5" t="n">
        <v>642</v>
      </c>
      <c r="B648" s="5" t="inlineStr">
        <is>
          <t>25807500177</t>
        </is>
      </c>
      <c r="C648" s="6" t="inlineStr">
        <is>
          <t>Nguyeãn Huyønh Nhö</t>
        </is>
      </c>
      <c r="D648" s="6" t="inlineStr">
        <is>
          <t>YÙ</t>
        </is>
      </c>
      <c r="E648" s="5" t="inlineStr">
        <is>
          <t>25-Jun-07</t>
        </is>
      </c>
      <c r="F648" s="5" t="inlineStr">
        <is>
          <t>LNH0925ND01</t>
        </is>
      </c>
      <c r="G648" s="105" t="n">
        <v>8415000</v>
      </c>
    </row>
    <row r="649">
      <c r="A649" s="5" t="n">
        <v>643</v>
      </c>
      <c r="B649" s="5" t="inlineStr">
        <is>
          <t>25802800155</t>
        </is>
      </c>
      <c r="C649" s="6" t="inlineStr">
        <is>
          <t>Nguyeãn Huyønh Ñình</t>
        </is>
      </c>
      <c r="D649" s="6" t="inlineStr">
        <is>
          <t>Nghi</t>
        </is>
      </c>
      <c r="E649" s="5" t="inlineStr">
        <is>
          <t>21-Oct-07</t>
        </is>
      </c>
      <c r="F649" s="5" t="inlineStr">
        <is>
          <t>LNH0925ND01</t>
        </is>
      </c>
      <c r="G649" s="105" t="n">
        <v>8415000</v>
      </c>
    </row>
    <row r="650">
      <c r="A650" s="5" t="n">
        <v>644</v>
      </c>
      <c r="B650" s="5" t="inlineStr">
        <is>
          <t>25802800144</t>
        </is>
      </c>
      <c r="C650" s="6" t="inlineStr">
        <is>
          <t>Phaïm Nguyeãn Ngoïc</t>
        </is>
      </c>
      <c r="D650" s="6" t="inlineStr">
        <is>
          <t>Mai</t>
        </is>
      </c>
      <c r="E650" s="5" t="inlineStr">
        <is>
          <t>13-Jul-07</t>
        </is>
      </c>
      <c r="F650" s="5" t="inlineStr">
        <is>
          <t>LNH0925ND01</t>
        </is>
      </c>
      <c r="G650" s="105" t="n">
        <v>8415000</v>
      </c>
    </row>
    <row r="651">
      <c r="A651" s="5" t="n">
        <v>645</v>
      </c>
      <c r="B651" s="5" t="inlineStr">
        <is>
          <t>25802800275</t>
        </is>
      </c>
      <c r="C651" s="6" t="inlineStr">
        <is>
          <t>Traàn Ngoïc Baûo</t>
        </is>
      </c>
      <c r="D651" s="6" t="inlineStr">
        <is>
          <t>Traân</t>
        </is>
      </c>
      <c r="E651" s="5" t="inlineStr">
        <is>
          <t>11-Feb-07</t>
        </is>
      </c>
      <c r="F651" s="5" t="inlineStr">
        <is>
          <t>LNH0925ND01</t>
        </is>
      </c>
      <c r="G651" s="105" t="n">
        <v>8415000</v>
      </c>
    </row>
    <row r="652">
      <c r="A652" s="5" t="n">
        <v>646</v>
      </c>
      <c r="B652" s="5" t="inlineStr">
        <is>
          <t>25807800110</t>
        </is>
      </c>
      <c r="C652" s="6" t="inlineStr">
        <is>
          <t>Nguyeãn Duyeân Hoaøn</t>
        </is>
      </c>
      <c r="D652" s="6" t="inlineStr">
        <is>
          <t>Phuùc</t>
        </is>
      </c>
      <c r="E652" s="5" t="inlineStr">
        <is>
          <t>13-Dec-07</t>
        </is>
      </c>
      <c r="F652" s="5" t="inlineStr">
        <is>
          <t>LNH0925ND01</t>
        </is>
      </c>
      <c r="G652" s="105" t="n">
        <v>8415000</v>
      </c>
    </row>
    <row r="653">
      <c r="A653" s="5" t="n">
        <v>647</v>
      </c>
      <c r="B653" s="5" t="inlineStr">
        <is>
          <t>25802100035</t>
        </is>
      </c>
      <c r="C653" s="6" t="inlineStr">
        <is>
          <t>Doan Thanh</t>
        </is>
      </c>
      <c r="D653" s="6" t="inlineStr">
        <is>
          <t>Tai</t>
        </is>
      </c>
      <c r="E653" s="5" t="inlineStr">
        <is>
          <t xml:space="preserve">  -   -</t>
        </is>
      </c>
      <c r="F653" s="5" t="inlineStr">
        <is>
          <t>LNH0925ND01</t>
        </is>
      </c>
      <c r="G653" s="105" t="n">
        <v>8415000</v>
      </c>
    </row>
    <row r="654">
      <c r="A654" s="5" t="n">
        <v>648</v>
      </c>
      <c r="B654" s="5" t="inlineStr">
        <is>
          <t>25808500042</t>
        </is>
      </c>
      <c r="C654" s="6" t="inlineStr">
        <is>
          <t>Traàn Chí</t>
        </is>
      </c>
      <c r="D654" s="6" t="inlineStr">
        <is>
          <t>Cöôøng</t>
        </is>
      </c>
      <c r="E654" s="5" t="inlineStr">
        <is>
          <t>21-Aug-07</t>
        </is>
      </c>
      <c r="F654" s="5" t="inlineStr">
        <is>
          <t>LNH0925ND01</t>
        </is>
      </c>
      <c r="G654" s="105" t="n">
        <v>8415000</v>
      </c>
    </row>
    <row r="655">
      <c r="A655" s="5" t="n">
        <v>649</v>
      </c>
      <c r="B655" s="5" t="inlineStr">
        <is>
          <t>25807500124</t>
        </is>
      </c>
      <c r="C655" s="6" t="inlineStr">
        <is>
          <t>Nguyeãn Anh</t>
        </is>
      </c>
      <c r="D655" s="6" t="inlineStr">
        <is>
          <t>Thö</t>
        </is>
      </c>
      <c r="E655" s="5" t="inlineStr">
        <is>
          <t>26-Oct-07</t>
        </is>
      </c>
      <c r="F655" s="5" t="inlineStr">
        <is>
          <t>LNH0925ND01</t>
        </is>
      </c>
      <c r="G655" s="105" t="n">
        <v>8415000</v>
      </c>
    </row>
    <row r="656">
      <c r="A656" s="5" t="n">
        <v>650</v>
      </c>
      <c r="B656" s="5" t="inlineStr">
        <is>
          <t>25800600036</t>
        </is>
      </c>
      <c r="C656" s="6" t="inlineStr">
        <is>
          <t>Ñoã Gia</t>
        </is>
      </c>
      <c r="D656" s="6" t="inlineStr">
        <is>
          <t>Baûo</t>
        </is>
      </c>
      <c r="E656" s="5" t="inlineStr">
        <is>
          <t>11-Oct-07</t>
        </is>
      </c>
      <c r="F656" s="5" t="inlineStr">
        <is>
          <t>LNH0925ND01</t>
        </is>
      </c>
      <c r="G656" s="105" t="n">
        <v>8415000</v>
      </c>
    </row>
    <row r="657">
      <c r="A657" s="5" t="n">
        <v>651</v>
      </c>
      <c r="B657" s="5" t="inlineStr">
        <is>
          <t>25802700069</t>
        </is>
      </c>
      <c r="C657" s="6" t="inlineStr">
        <is>
          <t>Nguyeãn Leâ Truùc</t>
        </is>
      </c>
      <c r="D657" s="6" t="inlineStr">
        <is>
          <t>Quyønh</t>
        </is>
      </c>
      <c r="E657" s="5" t="inlineStr">
        <is>
          <t>27-Aug-07</t>
        </is>
      </c>
      <c r="F657" s="5" t="inlineStr">
        <is>
          <t>LNH0925ND01</t>
        </is>
      </c>
      <c r="G657" s="105" t="n">
        <v>8415000</v>
      </c>
    </row>
    <row r="658">
      <c r="A658" s="5" t="n">
        <v>652</v>
      </c>
      <c r="B658" s="5" t="inlineStr">
        <is>
          <t>25808200098</t>
        </is>
      </c>
      <c r="C658" s="6" t="inlineStr">
        <is>
          <t>Löông Tröôøng</t>
        </is>
      </c>
      <c r="D658" s="6" t="inlineStr">
        <is>
          <t>Phaùt</t>
        </is>
      </c>
      <c r="E658" s="5" t="inlineStr">
        <is>
          <t>07-May-07</t>
        </is>
      </c>
      <c r="F658" s="5" t="inlineStr">
        <is>
          <t>LNH0925ND01</t>
        </is>
      </c>
      <c r="G658" s="105" t="n">
        <v>8415000</v>
      </c>
    </row>
    <row r="659">
      <c r="A659" s="5" t="n">
        <v>653</v>
      </c>
      <c r="B659" s="5" t="inlineStr">
        <is>
          <t>25807400012</t>
        </is>
      </c>
      <c r="C659" s="6" t="inlineStr">
        <is>
          <t>Chaâu Laâm Gia</t>
        </is>
      </c>
      <c r="D659" s="6" t="inlineStr">
        <is>
          <t>Quyeân</t>
        </is>
      </c>
      <c r="E659" s="5" t="inlineStr">
        <is>
          <t>08-Nov-07</t>
        </is>
      </c>
      <c r="F659" s="5" t="inlineStr">
        <is>
          <t>LNH0925ND01</t>
        </is>
      </c>
      <c r="G659" s="105" t="n">
        <v>8415000</v>
      </c>
    </row>
    <row r="660">
      <c r="A660" s="5" t="n">
        <v>654</v>
      </c>
      <c r="B660" s="5" t="inlineStr">
        <is>
          <t>25800500325</t>
        </is>
      </c>
      <c r="C660" s="6" t="inlineStr">
        <is>
          <t>Ñoã Quang</t>
        </is>
      </c>
      <c r="D660" s="6" t="inlineStr">
        <is>
          <t>Quyù</t>
        </is>
      </c>
      <c r="E660" s="5" t="inlineStr">
        <is>
          <t>22-Feb-07</t>
        </is>
      </c>
      <c r="F660" s="5" t="inlineStr">
        <is>
          <t>LNH0925ND01</t>
        </is>
      </c>
      <c r="G660" s="105" t="n">
        <v>8415000</v>
      </c>
    </row>
    <row r="661">
      <c r="A661" s="5" t="n">
        <v>655</v>
      </c>
      <c r="B661" s="5" t="inlineStr">
        <is>
          <t>25800400170</t>
        </is>
      </c>
      <c r="C661" s="6" t="inlineStr">
        <is>
          <t>Toâ Buøi Hoaøng</t>
        </is>
      </c>
      <c r="D661" s="6" t="inlineStr">
        <is>
          <t>Tuaán</t>
        </is>
      </c>
      <c r="E661" s="5" t="inlineStr">
        <is>
          <t>14-Aug-07</t>
        </is>
      </c>
      <c r="F661" s="5" t="inlineStr">
        <is>
          <t>LNH0925ND01</t>
        </is>
      </c>
      <c r="G661" s="105" t="n">
        <v>8415000</v>
      </c>
    </row>
    <row r="662">
      <c r="A662" s="5" t="n">
        <v>656</v>
      </c>
      <c r="B662" s="5" t="inlineStr">
        <is>
          <t>25808700092</t>
        </is>
      </c>
      <c r="C662" s="6" t="inlineStr">
        <is>
          <t>Nguyeãn Chieán</t>
        </is>
      </c>
      <c r="D662" s="6" t="inlineStr">
        <is>
          <t>Thaéng</t>
        </is>
      </c>
      <c r="E662" s="5" t="inlineStr">
        <is>
          <t>11-Jun-07</t>
        </is>
      </c>
      <c r="F662" s="5" t="inlineStr">
        <is>
          <t>LNH0925ND01</t>
        </is>
      </c>
      <c r="G662" s="105" t="n">
        <v>8415000</v>
      </c>
    </row>
    <row r="663">
      <c r="A663" s="5" t="n">
        <v>657</v>
      </c>
      <c r="B663" s="5" t="inlineStr">
        <is>
          <t>25820700005</t>
        </is>
      </c>
      <c r="C663" s="6" t="inlineStr">
        <is>
          <t>Voõ Ngoïc Vaân</t>
        </is>
      </c>
      <c r="D663" s="6" t="inlineStr">
        <is>
          <t>Anh</t>
        </is>
      </c>
      <c r="E663" s="5" t="inlineStr">
        <is>
          <t>07-Apr-07</t>
        </is>
      </c>
      <c r="F663" s="5" t="inlineStr">
        <is>
          <t>LNH0925ND01</t>
        </is>
      </c>
      <c r="G663" s="105" t="n">
        <v>8415000</v>
      </c>
    </row>
    <row r="664">
      <c r="A664" s="5" t="n">
        <v>658</v>
      </c>
      <c r="B664" s="5" t="inlineStr">
        <is>
          <t>25802600095</t>
        </is>
      </c>
      <c r="C664" s="6" t="inlineStr">
        <is>
          <t>Ñinh Thò Linh</t>
        </is>
      </c>
      <c r="D664" s="6" t="inlineStr">
        <is>
          <t>Nhi</t>
        </is>
      </c>
      <c r="E664" s="5" t="inlineStr">
        <is>
          <t>21-Aug-07</t>
        </is>
      </c>
      <c r="F664" s="5" t="inlineStr">
        <is>
          <t>LNH0925ND01</t>
        </is>
      </c>
      <c r="G664" s="105" t="n">
        <v>8415000</v>
      </c>
    </row>
    <row r="665">
      <c r="A665" s="5" t="n">
        <v>659</v>
      </c>
      <c r="B665" s="5" t="inlineStr">
        <is>
          <t>25802800082</t>
        </is>
      </c>
      <c r="C665" s="6" t="inlineStr">
        <is>
          <t>Nguyeãn Quoác</t>
        </is>
      </c>
      <c r="D665" s="6" t="inlineStr">
        <is>
          <t>Huøng</t>
        </is>
      </c>
      <c r="E665" s="5" t="inlineStr">
        <is>
          <t>08-Jun-07</t>
        </is>
      </c>
      <c r="F665" s="5" t="inlineStr">
        <is>
          <t>LNH0925ND01</t>
        </is>
      </c>
      <c r="G665" s="105" t="n">
        <v>8415000</v>
      </c>
    </row>
    <row r="666">
      <c r="A666" s="5" t="n">
        <v>660</v>
      </c>
      <c r="B666" s="5" t="inlineStr">
        <is>
          <t>25809300003</t>
        </is>
      </c>
      <c r="C666" s="6" t="inlineStr">
        <is>
          <t>Nguyeãn Ñaéc</t>
        </is>
      </c>
      <c r="D666" s="6" t="inlineStr">
        <is>
          <t>Taøi</t>
        </is>
      </c>
      <c r="E666" s="5" t="inlineStr">
        <is>
          <t>13-Jul-07</t>
        </is>
      </c>
      <c r="F666" s="5" t="inlineStr">
        <is>
          <t>LNH0925ND01</t>
        </is>
      </c>
      <c r="G666" s="105" t="n">
        <v>8415000</v>
      </c>
    </row>
    <row r="667">
      <c r="A667" s="5" t="n">
        <v>661</v>
      </c>
      <c r="B667" s="5" t="inlineStr">
        <is>
          <t>25806400010</t>
        </is>
      </c>
      <c r="C667" s="6" t="inlineStr">
        <is>
          <t>Traàn Vuõ Gia</t>
        </is>
      </c>
      <c r="D667" s="6" t="inlineStr">
        <is>
          <t>Huy</t>
        </is>
      </c>
      <c r="E667" s="5" t="inlineStr">
        <is>
          <t>05-Apr-07</t>
        </is>
      </c>
      <c r="F667" s="5" t="inlineStr">
        <is>
          <t>LNH0925ND01</t>
        </is>
      </c>
      <c r="G667" s="105" t="n">
        <v>8415000</v>
      </c>
    </row>
    <row r="668">
      <c r="A668" s="5" t="n">
        <v>662</v>
      </c>
      <c r="B668" s="5" t="inlineStr">
        <is>
          <t>25800400059</t>
        </is>
      </c>
      <c r="C668" s="6" t="inlineStr">
        <is>
          <t>Phan Quoác</t>
        </is>
      </c>
      <c r="D668" s="6" t="inlineStr">
        <is>
          <t>Huy</t>
        </is>
      </c>
      <c r="E668" s="5" t="inlineStr">
        <is>
          <t>17-May-07</t>
        </is>
      </c>
      <c r="F668" s="5" t="inlineStr">
        <is>
          <t>LNH0925ND01</t>
        </is>
      </c>
      <c r="G668" s="105" t="n">
        <v>8415000</v>
      </c>
    </row>
    <row r="669">
      <c r="A669" s="5" t="n">
        <v>663</v>
      </c>
      <c r="B669" s="5" t="inlineStr">
        <is>
          <t>25802700003</t>
        </is>
      </c>
      <c r="C669" s="6" t="inlineStr">
        <is>
          <t>Traàn Ñình</t>
        </is>
      </c>
      <c r="D669" s="6" t="inlineStr">
        <is>
          <t>An</t>
        </is>
      </c>
      <c r="E669" s="5" t="inlineStr">
        <is>
          <t>06-Oct-07</t>
        </is>
      </c>
      <c r="F669" s="5" t="inlineStr">
        <is>
          <t>LNH0925ND01</t>
        </is>
      </c>
      <c r="G669" s="105" t="n">
        <v>8415000</v>
      </c>
    </row>
    <row r="670">
      <c r="A670" s="5" t="n">
        <v>664</v>
      </c>
      <c r="B670" s="5" t="inlineStr">
        <is>
          <t>25801100017</t>
        </is>
      </c>
      <c r="C670" s="6" t="inlineStr">
        <is>
          <t>Huyønh Trung</t>
        </is>
      </c>
      <c r="D670" s="6" t="inlineStr">
        <is>
          <t>Haäu</t>
        </is>
      </c>
      <c r="E670" s="5" t="inlineStr">
        <is>
          <t>13-Sep-07</t>
        </is>
      </c>
      <c r="F670" s="5" t="inlineStr">
        <is>
          <t>LNH0925ND01</t>
        </is>
      </c>
      <c r="G670" s="105" t="n">
        <v>8415000</v>
      </c>
    </row>
    <row r="671">
      <c r="A671" s="5" t="n">
        <v>665</v>
      </c>
      <c r="B671" s="5" t="inlineStr">
        <is>
          <t>25820300009</t>
        </is>
      </c>
      <c r="C671" s="6" t="inlineStr">
        <is>
          <t>Trònh Nhaät</t>
        </is>
      </c>
      <c r="D671" s="6" t="inlineStr">
        <is>
          <t>Ñoâng</t>
        </is>
      </c>
      <c r="E671" s="5" t="inlineStr">
        <is>
          <t>08-Jan-07</t>
        </is>
      </c>
      <c r="F671" s="5" t="inlineStr">
        <is>
          <t>LNH0925ND01</t>
        </is>
      </c>
      <c r="G671" s="105" t="n">
        <v>8415000</v>
      </c>
    </row>
    <row r="672">
      <c r="A672" s="5" t="n">
        <v>666</v>
      </c>
      <c r="B672" s="5" t="inlineStr">
        <is>
          <t>25800400291</t>
        </is>
      </c>
      <c r="C672" s="6" t="inlineStr">
        <is>
          <t>Phuøng Minh</t>
        </is>
      </c>
      <c r="D672" s="6" t="inlineStr">
        <is>
          <t>Trí</t>
        </is>
      </c>
      <c r="E672" s="5" t="inlineStr">
        <is>
          <t>23-Jul-07</t>
        </is>
      </c>
      <c r="F672" s="5" t="inlineStr">
        <is>
          <t>LNH0925ND01</t>
        </is>
      </c>
      <c r="G672" s="105" t="n">
        <v>8415000</v>
      </c>
    </row>
    <row r="673">
      <c r="A673" s="5" t="n">
        <v>667</v>
      </c>
      <c r="B673" s="5" t="inlineStr">
        <is>
          <t>25820300027</t>
        </is>
      </c>
      <c r="C673" s="6" t="inlineStr">
        <is>
          <t>Haø Ñình</t>
        </is>
      </c>
      <c r="D673" s="6" t="inlineStr">
        <is>
          <t>Kieân</t>
        </is>
      </c>
      <c r="E673" s="5" t="inlineStr">
        <is>
          <t>02-Dec-07</t>
        </is>
      </c>
      <c r="F673" s="5" t="inlineStr">
        <is>
          <t>LNH0925ND01</t>
        </is>
      </c>
      <c r="G673" s="105" t="n">
        <v>8415000</v>
      </c>
    </row>
    <row r="674">
      <c r="A674" s="5" t="n">
        <v>668</v>
      </c>
      <c r="B674" s="5" t="inlineStr">
        <is>
          <t>25802800338</t>
        </is>
      </c>
      <c r="C674" s="6" t="inlineStr">
        <is>
          <t>Buøi Taân</t>
        </is>
      </c>
      <c r="D674" s="6" t="inlineStr">
        <is>
          <t>Nhaøn</t>
        </is>
      </c>
      <c r="E674" s="5" t="inlineStr">
        <is>
          <t>01-Jun-07</t>
        </is>
      </c>
      <c r="F674" s="5" t="inlineStr">
        <is>
          <t>LNH0925ND01</t>
        </is>
      </c>
      <c r="G674" s="105" t="n">
        <v>8415000</v>
      </c>
    </row>
    <row r="675">
      <c r="A675" s="5" t="n">
        <v>669</v>
      </c>
      <c r="B675" s="5" t="inlineStr">
        <is>
          <t>25806800040</t>
        </is>
      </c>
      <c r="C675" s="6" t="inlineStr">
        <is>
          <t>Phan Nguyeãn Traø</t>
        </is>
      </c>
      <c r="D675" s="6" t="inlineStr">
        <is>
          <t>My</t>
        </is>
      </c>
      <c r="E675" s="5" t="inlineStr">
        <is>
          <t>09-Jan-07</t>
        </is>
      </c>
      <c r="F675" s="5" t="inlineStr">
        <is>
          <t>LNH0925ND01</t>
        </is>
      </c>
      <c r="G675" s="105" t="n">
        <v>8415000</v>
      </c>
    </row>
    <row r="676">
      <c r="A676" s="5" t="n">
        <v>670</v>
      </c>
      <c r="B676" s="5" t="inlineStr">
        <is>
          <t>25807500053</t>
        </is>
      </c>
      <c r="C676" s="6" t="inlineStr">
        <is>
          <t>Traàn Tuaán</t>
        </is>
      </c>
      <c r="D676" s="6" t="inlineStr">
        <is>
          <t>Kieät</t>
        </is>
      </c>
      <c r="E676" s="5" t="inlineStr">
        <is>
          <t>06-Apr-07</t>
        </is>
      </c>
      <c r="F676" s="5" t="inlineStr">
        <is>
          <t>LNH0925ND01</t>
        </is>
      </c>
      <c r="G676" s="105" t="n">
        <v>8415000</v>
      </c>
    </row>
    <row r="677">
      <c r="A677" s="5" t="n">
        <v>671</v>
      </c>
      <c r="B677" s="5" t="inlineStr">
        <is>
          <t>25801100044</t>
        </is>
      </c>
      <c r="C677" s="6" t="inlineStr">
        <is>
          <t>Leâ Vaên</t>
        </is>
      </c>
      <c r="D677" s="6" t="inlineStr">
        <is>
          <t>Nhaân</t>
        </is>
      </c>
      <c r="E677" s="5" t="inlineStr">
        <is>
          <t>08-Nov-07</t>
        </is>
      </c>
      <c r="F677" s="5" t="inlineStr">
        <is>
          <t>LNH0925ND01</t>
        </is>
      </c>
      <c r="G677" s="105" t="n">
        <v>8415000</v>
      </c>
    </row>
    <row r="678">
      <c r="A678" s="5" t="n">
        <v>672</v>
      </c>
      <c r="B678" s="5" t="inlineStr">
        <is>
          <t>25805900003</t>
        </is>
      </c>
      <c r="C678" s="6" t="inlineStr">
        <is>
          <t>Ñinh Thò Ngoïc</t>
        </is>
      </c>
      <c r="D678" s="6" t="inlineStr">
        <is>
          <t>AÙnh</t>
        </is>
      </c>
      <c r="E678" s="5" t="inlineStr">
        <is>
          <t>02-Dec-07</t>
        </is>
      </c>
      <c r="F678" s="5" t="inlineStr">
        <is>
          <t>LNH0925ND01</t>
        </is>
      </c>
      <c r="G678" s="105" t="n">
        <v>8415000</v>
      </c>
    </row>
    <row r="679">
      <c r="A679" s="5" t="n">
        <v>673</v>
      </c>
      <c r="B679" s="5" t="inlineStr">
        <is>
          <t>25802600089</t>
        </is>
      </c>
      <c r="C679" s="6" t="inlineStr">
        <is>
          <t>Ñaëng Kim Phöông</t>
        </is>
      </c>
      <c r="D679" s="6" t="inlineStr">
        <is>
          <t>Nghi</t>
        </is>
      </c>
      <c r="E679" s="5" t="inlineStr">
        <is>
          <t>25-Oct-07</t>
        </is>
      </c>
      <c r="F679" s="5" t="inlineStr">
        <is>
          <t>LNH0925ND01</t>
        </is>
      </c>
      <c r="G679" s="105" t="n">
        <v>8415000</v>
      </c>
    </row>
    <row r="680">
      <c r="A680" s="5" t="n">
        <v>674</v>
      </c>
      <c r="B680" s="5" t="inlineStr">
        <is>
          <t>25800500021</t>
        </is>
      </c>
      <c r="C680" s="6" t="inlineStr">
        <is>
          <t>Tröông Troïng</t>
        </is>
      </c>
      <c r="D680" s="6" t="inlineStr">
        <is>
          <t>Bình</t>
        </is>
      </c>
      <c r="E680" s="5" t="inlineStr">
        <is>
          <t>12-Jul-07</t>
        </is>
      </c>
      <c r="F680" s="5" t="inlineStr">
        <is>
          <t>LNH0925ND01</t>
        </is>
      </c>
      <c r="G680" s="105" t="n">
        <v>8415000</v>
      </c>
    </row>
    <row r="681">
      <c r="A681" s="5" t="n">
        <v>675</v>
      </c>
      <c r="B681" s="5" t="inlineStr">
        <is>
          <t>25808500106</t>
        </is>
      </c>
      <c r="C681" s="6" t="inlineStr">
        <is>
          <t>Phaïm Ngoïc</t>
        </is>
      </c>
      <c r="D681" s="6" t="inlineStr">
        <is>
          <t>Haân</t>
        </is>
      </c>
      <c r="E681" s="5" t="inlineStr">
        <is>
          <t>05-Oct-07</t>
        </is>
      </c>
      <c r="F681" s="5" t="inlineStr">
        <is>
          <t>LNH0925ND01</t>
        </is>
      </c>
      <c r="G681" s="105" t="n">
        <v>8415000</v>
      </c>
    </row>
    <row r="682">
      <c r="A682" s="5" t="n">
        <v>676</v>
      </c>
      <c r="B682" s="5" t="inlineStr">
        <is>
          <t>25808600018</t>
        </is>
      </c>
      <c r="C682" s="6" t="inlineStr">
        <is>
          <t>Ngoâ Vaên</t>
        </is>
      </c>
      <c r="D682" s="6" t="inlineStr">
        <is>
          <t>Duõng</t>
        </is>
      </c>
      <c r="E682" s="5" t="inlineStr">
        <is>
          <t>30-Oct-07</t>
        </is>
      </c>
      <c r="F682" s="5" t="inlineStr">
        <is>
          <t>LNH0925ND01</t>
        </is>
      </c>
      <c r="G682" s="105" t="n">
        <v>8415000</v>
      </c>
    </row>
    <row r="683">
      <c r="A683" s="5" t="n">
        <v>677</v>
      </c>
      <c r="B683" s="5" t="inlineStr">
        <is>
          <t>25807100028</t>
        </is>
      </c>
      <c r="C683" s="6" t="inlineStr">
        <is>
          <t>Traàn Nhaät</t>
        </is>
      </c>
      <c r="D683" s="6" t="inlineStr">
        <is>
          <t>Anh</t>
        </is>
      </c>
      <c r="E683" s="5" t="inlineStr">
        <is>
          <t>06-Nov-07</t>
        </is>
      </c>
      <c r="F683" s="5" t="inlineStr">
        <is>
          <t>LNH0925ND01</t>
        </is>
      </c>
      <c r="G683" s="105" t="n">
        <v>8415000</v>
      </c>
    </row>
    <row r="684">
      <c r="A684" s="5" t="n">
        <v>678</v>
      </c>
      <c r="B684" s="5" t="inlineStr">
        <is>
          <t>25801100082</t>
        </is>
      </c>
      <c r="C684" s="6" t="inlineStr">
        <is>
          <t>Nguyeãn Thò Thaûo</t>
        </is>
      </c>
      <c r="D684" s="6" t="inlineStr">
        <is>
          <t>Vy</t>
        </is>
      </c>
      <c r="E684" s="5" t="inlineStr">
        <is>
          <t>26-Dec-07</t>
        </is>
      </c>
      <c r="F684" s="5" t="inlineStr">
        <is>
          <t>LNH0925ND01</t>
        </is>
      </c>
      <c r="G684" s="105" t="n">
        <v>8415000</v>
      </c>
    </row>
    <row r="685">
      <c r="A685" s="5" t="n">
        <v>679</v>
      </c>
      <c r="B685" s="5" t="inlineStr">
        <is>
          <t>25800400088</t>
        </is>
      </c>
      <c r="C685" s="6" t="inlineStr">
        <is>
          <t>Nguyeãn Ñoã Anh</t>
        </is>
      </c>
      <c r="D685" s="6" t="inlineStr">
        <is>
          <t>Kieät</t>
        </is>
      </c>
      <c r="E685" s="5" t="inlineStr">
        <is>
          <t>25-Sep-07</t>
        </is>
      </c>
      <c r="F685" s="5" t="inlineStr">
        <is>
          <t>LNH0925ND01</t>
        </is>
      </c>
      <c r="G685" s="105" t="n">
        <v>8415000</v>
      </c>
    </row>
    <row r="686">
      <c r="A686" s="5" t="n">
        <v>680</v>
      </c>
      <c r="B686" s="5" t="inlineStr">
        <is>
          <t>25800400055</t>
        </is>
      </c>
      <c r="C686" s="6" t="inlineStr">
        <is>
          <t>Ngoâ Laâm Baûo</t>
        </is>
      </c>
      <c r="D686" s="6" t="inlineStr">
        <is>
          <t>Huy</t>
        </is>
      </c>
      <c r="E686" s="5" t="inlineStr">
        <is>
          <t>22-Sep-07</t>
        </is>
      </c>
      <c r="F686" s="5" t="inlineStr">
        <is>
          <t>LNH0925ND01</t>
        </is>
      </c>
      <c r="G686" s="105" t="n">
        <v>8415000</v>
      </c>
    </row>
    <row r="687">
      <c r="A687" s="5" t="n">
        <v>681</v>
      </c>
      <c r="B687" s="5" t="inlineStr">
        <is>
          <t>25820100044</t>
        </is>
      </c>
      <c r="C687" s="6" t="inlineStr">
        <is>
          <t>Chieâm Hoaøng</t>
        </is>
      </c>
      <c r="D687" s="6" t="inlineStr">
        <is>
          <t>Taân</t>
        </is>
      </c>
      <c r="E687" s="5" t="inlineStr">
        <is>
          <t>02-Oct-07</t>
        </is>
      </c>
      <c r="F687" s="5" t="inlineStr">
        <is>
          <t>LNH0925ND01</t>
        </is>
      </c>
      <c r="G687" s="105" t="n">
        <v>8415000</v>
      </c>
    </row>
    <row r="688">
      <c r="A688" s="5" t="n">
        <v>682</v>
      </c>
      <c r="B688" s="5" t="inlineStr">
        <is>
          <t>25807800120</t>
        </is>
      </c>
      <c r="C688" s="6" t="inlineStr">
        <is>
          <t>Traàn Vaên</t>
        </is>
      </c>
      <c r="D688" s="6" t="inlineStr">
        <is>
          <t>Quyeàn</t>
        </is>
      </c>
      <c r="E688" s="5" t="inlineStr">
        <is>
          <t>25-Feb-07</t>
        </is>
      </c>
      <c r="F688" s="5" t="inlineStr">
        <is>
          <t>LNH0925ND01</t>
        </is>
      </c>
      <c r="G688" s="105" t="n">
        <v>8415000</v>
      </c>
    </row>
    <row r="689">
      <c r="A689" s="5" t="n">
        <v>683</v>
      </c>
      <c r="B689" s="5" t="inlineStr">
        <is>
          <t>25807800085</t>
        </is>
      </c>
      <c r="C689" s="6" t="inlineStr">
        <is>
          <t>Toâ Hoaøng</t>
        </is>
      </c>
      <c r="D689" s="6" t="inlineStr">
        <is>
          <t>Minh</t>
        </is>
      </c>
      <c r="E689" s="5" t="inlineStr">
        <is>
          <t>11-Dec-07</t>
        </is>
      </c>
      <c r="F689" s="5" t="inlineStr">
        <is>
          <t>LNH0925ND01</t>
        </is>
      </c>
      <c r="G689" s="105" t="n">
        <v>8415000</v>
      </c>
    </row>
    <row r="690">
      <c r="A690" s="5" t="n">
        <v>684</v>
      </c>
      <c r="B690" s="5" t="inlineStr">
        <is>
          <t>25805900117</t>
        </is>
      </c>
      <c r="C690" s="6" t="inlineStr">
        <is>
          <t>Ñaëng Thò Truùc</t>
        </is>
      </c>
      <c r="D690" s="6" t="inlineStr">
        <is>
          <t>Phöông</t>
        </is>
      </c>
      <c r="E690" s="5" t="inlineStr">
        <is>
          <t>15-Oct-07</t>
        </is>
      </c>
      <c r="F690" s="5" t="inlineStr">
        <is>
          <t>LNH0925ND01</t>
        </is>
      </c>
      <c r="G690" s="105" t="n">
        <v>8415000</v>
      </c>
    </row>
    <row r="691">
      <c r="A691" s="5" t="n">
        <v>685</v>
      </c>
      <c r="B691" s="5" t="inlineStr">
        <is>
          <t>25800500012</t>
        </is>
      </c>
      <c r="C691" s="6" t="inlineStr">
        <is>
          <t>Döông Gia</t>
        </is>
      </c>
      <c r="D691" s="6" t="inlineStr">
        <is>
          <t>Baûo</t>
        </is>
      </c>
      <c r="E691" s="5" t="inlineStr">
        <is>
          <t>01-Aug-07</t>
        </is>
      </c>
      <c r="F691" s="5" t="inlineStr">
        <is>
          <t>LNH0925ND01</t>
        </is>
      </c>
      <c r="G691" s="105" t="n">
        <v>8415000</v>
      </c>
    </row>
    <row r="692">
      <c r="A692" s="5" t="n">
        <v>686</v>
      </c>
      <c r="B692" s="5" t="inlineStr">
        <is>
          <t>25820100019</t>
        </is>
      </c>
      <c r="C692" s="6" t="inlineStr">
        <is>
          <t>Hoà Quoác</t>
        </is>
      </c>
      <c r="D692" s="6" t="inlineStr">
        <is>
          <t>Khaùnh</t>
        </is>
      </c>
      <c r="E692" s="5" t="inlineStr">
        <is>
          <t>15-Apr-07</t>
        </is>
      </c>
      <c r="F692" s="5" t="inlineStr">
        <is>
          <t>LNH0925ND01</t>
        </is>
      </c>
      <c r="G692" s="105" t="n">
        <v>8415000</v>
      </c>
    </row>
    <row r="693">
      <c r="A693" s="5" t="n">
        <v>687</v>
      </c>
      <c r="B693" s="5" t="inlineStr">
        <is>
          <t>25808600051</t>
        </is>
      </c>
      <c r="C693" s="6" t="inlineStr">
        <is>
          <t>Maõ Thò</t>
        </is>
      </c>
      <c r="D693" s="6" t="inlineStr">
        <is>
          <t>Lieân</t>
        </is>
      </c>
      <c r="E693" s="5" t="inlineStr">
        <is>
          <t>27-Feb-05</t>
        </is>
      </c>
      <c r="F693" s="5" t="inlineStr">
        <is>
          <t>LNH0925ND01</t>
        </is>
      </c>
      <c r="G693" s="105" t="n">
        <v>8415000</v>
      </c>
    </row>
    <row r="694">
      <c r="A694" s="5" t="n">
        <v>688</v>
      </c>
      <c r="B694" s="5" t="inlineStr">
        <is>
          <t>25800500288</t>
        </is>
      </c>
      <c r="C694" s="6" t="inlineStr">
        <is>
          <t>Nguyeãn Trung</t>
        </is>
      </c>
      <c r="D694" s="6" t="inlineStr">
        <is>
          <t>Hieáu</t>
        </is>
      </c>
      <c r="E694" s="5" t="inlineStr">
        <is>
          <t>02-Dec-07</t>
        </is>
      </c>
      <c r="F694" s="5" t="inlineStr">
        <is>
          <t>LNH0925ND01</t>
        </is>
      </c>
      <c r="G694" s="105" t="n">
        <v>8415000</v>
      </c>
    </row>
    <row r="695">
      <c r="A695" s="5" t="n">
        <v>689</v>
      </c>
      <c r="B695" s="5" t="inlineStr">
        <is>
          <t>25808600109</t>
        </is>
      </c>
      <c r="C695" s="6" t="inlineStr">
        <is>
          <t>Vaên Coâng</t>
        </is>
      </c>
      <c r="D695" s="6" t="inlineStr">
        <is>
          <t>Thaønh</t>
        </is>
      </c>
      <c r="E695" s="5" t="inlineStr">
        <is>
          <t>22-Dec-07</t>
        </is>
      </c>
      <c r="F695" s="5" t="inlineStr">
        <is>
          <t>LNH0925ND01</t>
        </is>
      </c>
      <c r="G695" s="105" t="n">
        <v>8415000</v>
      </c>
    </row>
    <row r="696">
      <c r="A696" s="5" t="n">
        <v>690</v>
      </c>
      <c r="B696" s="5" t="inlineStr">
        <is>
          <t>25808200247</t>
        </is>
      </c>
      <c r="C696" s="6" t="inlineStr">
        <is>
          <t>Leâ Quang</t>
        </is>
      </c>
      <c r="D696" s="6" t="inlineStr">
        <is>
          <t>Huy</t>
        </is>
      </c>
      <c r="E696" s="5" t="inlineStr">
        <is>
          <t>06-Jan-07</t>
        </is>
      </c>
      <c r="F696" s="5" t="inlineStr">
        <is>
          <t>LNH0925ND01</t>
        </is>
      </c>
      <c r="G696" s="105" t="n">
        <v>8415000</v>
      </c>
    </row>
    <row r="697">
      <c r="A697" s="5" t="n">
        <v>691</v>
      </c>
      <c r="B697" s="5" t="inlineStr">
        <is>
          <t>25807900016</t>
        </is>
      </c>
      <c r="C697" s="6" t="inlineStr">
        <is>
          <t>Nguyeãn Duy</t>
        </is>
      </c>
      <c r="D697" s="6" t="inlineStr">
        <is>
          <t>Huøng</t>
        </is>
      </c>
      <c r="E697" s="5" t="inlineStr">
        <is>
          <t>24-Dec-07</t>
        </is>
      </c>
      <c r="F697" s="5" t="inlineStr">
        <is>
          <t>LNH0925ND01</t>
        </is>
      </c>
      <c r="G697" s="105" t="n">
        <v>8415000</v>
      </c>
    </row>
    <row r="698">
      <c r="A698" s="5" t="n">
        <v>692</v>
      </c>
      <c r="B698" s="5" t="inlineStr">
        <is>
          <t>25808200052</t>
        </is>
      </c>
      <c r="C698" s="6" t="inlineStr">
        <is>
          <t>Nguyeãn Quang</t>
        </is>
      </c>
      <c r="D698" s="6" t="inlineStr">
        <is>
          <t>Huy</t>
        </is>
      </c>
      <c r="E698" s="5" t="inlineStr">
        <is>
          <t>29-Jan-07</t>
        </is>
      </c>
      <c r="F698" s="5" t="inlineStr">
        <is>
          <t>LNH0925ND01</t>
        </is>
      </c>
      <c r="G698" s="105" t="n">
        <v>8415000</v>
      </c>
    </row>
    <row r="699">
      <c r="A699" s="5" t="n">
        <v>693</v>
      </c>
      <c r="B699" s="5" t="inlineStr">
        <is>
          <t>25808900077</t>
        </is>
      </c>
      <c r="C699" s="6" t="inlineStr">
        <is>
          <t>Laâm Hoaøng</t>
        </is>
      </c>
      <c r="D699" s="6" t="inlineStr">
        <is>
          <t>Maïnh</t>
        </is>
      </c>
      <c r="E699" s="5" t="inlineStr">
        <is>
          <t>29-Mar-06</t>
        </is>
      </c>
      <c r="F699" s="5" t="inlineStr">
        <is>
          <t>LNH0925ND01</t>
        </is>
      </c>
      <c r="G699" s="105" t="n">
        <v>8415000</v>
      </c>
    </row>
    <row r="700">
      <c r="A700" s="5" t="n">
        <v>694</v>
      </c>
      <c r="B700" s="5" t="inlineStr">
        <is>
          <t>25806000004</t>
        </is>
      </c>
      <c r="C700" s="6" t="inlineStr">
        <is>
          <t>Huyønh Long</t>
        </is>
      </c>
      <c r="D700" s="6" t="inlineStr">
        <is>
          <t>Chöông</t>
        </is>
      </c>
      <c r="E700" s="5" t="inlineStr">
        <is>
          <t>28-Jun-07</t>
        </is>
      </c>
      <c r="F700" s="5" t="inlineStr">
        <is>
          <t>LNH0925ND01</t>
        </is>
      </c>
      <c r="G700" s="105" t="n">
        <v>8415000</v>
      </c>
    </row>
    <row r="701">
      <c r="A701" s="5" t="n">
        <v>695</v>
      </c>
      <c r="B701" s="5" t="inlineStr">
        <is>
          <t>25807000014</t>
        </is>
      </c>
      <c r="C701" s="6" t="inlineStr">
        <is>
          <t>Huyønh Taán</t>
        </is>
      </c>
      <c r="D701" s="6" t="inlineStr">
        <is>
          <t>Loäc</t>
        </is>
      </c>
      <c r="E701" s="5" t="inlineStr">
        <is>
          <t>08-Jul-07</t>
        </is>
      </c>
      <c r="F701" s="5" t="inlineStr">
        <is>
          <t>LNH0925ND01</t>
        </is>
      </c>
      <c r="G701" s="105" t="n">
        <v>8415000</v>
      </c>
    </row>
    <row r="702">
      <c r="A702" s="5" t="n">
        <v>696</v>
      </c>
      <c r="B702" s="5" t="inlineStr">
        <is>
          <t>25820700027</t>
        </is>
      </c>
      <c r="C702" s="6" t="inlineStr">
        <is>
          <t>Phaïm Lieãu Quyønh</t>
        </is>
      </c>
      <c r="D702" s="6" t="inlineStr">
        <is>
          <t>Nhö</t>
        </is>
      </c>
      <c r="E702" s="5" t="inlineStr">
        <is>
          <t>27-Mar-06</t>
        </is>
      </c>
      <c r="F702" s="5" t="inlineStr">
        <is>
          <t>LNH0925ND01</t>
        </is>
      </c>
      <c r="G702" s="105" t="n">
        <v>8415000</v>
      </c>
    </row>
    <row r="703">
      <c r="A703" s="5" t="n">
        <v>697</v>
      </c>
      <c r="B703" s="5" t="inlineStr">
        <is>
          <t>25808200258</t>
        </is>
      </c>
      <c r="C703" s="6" t="inlineStr">
        <is>
          <t>Ngoâ Phuùc</t>
        </is>
      </c>
      <c r="D703" s="6" t="inlineStr">
        <is>
          <t>Haûi</t>
        </is>
      </c>
      <c r="E703" s="5" t="inlineStr">
        <is>
          <t>19-Sep-07</t>
        </is>
      </c>
      <c r="F703" s="5" t="inlineStr">
        <is>
          <t>LNH0925ND01</t>
        </is>
      </c>
      <c r="G703" s="105" t="n">
        <v>8415000</v>
      </c>
    </row>
    <row r="704">
      <c r="A704" s="5" t="n">
        <v>698</v>
      </c>
      <c r="B704" s="5" t="inlineStr">
        <is>
          <t>25808200016</t>
        </is>
      </c>
      <c r="C704" s="6" t="inlineStr">
        <is>
          <t>Nguyeãn Sôn</t>
        </is>
      </c>
      <c r="D704" s="6" t="inlineStr">
        <is>
          <t>Baûo</t>
        </is>
      </c>
      <c r="E704" s="5" t="inlineStr">
        <is>
          <t>28-Jul-07</t>
        </is>
      </c>
      <c r="F704" s="5" t="inlineStr">
        <is>
          <t>LNH0925ND01</t>
        </is>
      </c>
      <c r="G704" s="105" t="n">
        <v>8415000</v>
      </c>
    </row>
    <row r="705">
      <c r="A705" s="5" t="n">
        <v>699</v>
      </c>
      <c r="B705" s="5" t="inlineStr">
        <is>
          <t>25808900122</t>
        </is>
      </c>
      <c r="C705" s="6" t="inlineStr">
        <is>
          <t>Nguyeãn Ngoïc</t>
        </is>
      </c>
      <c r="D705" s="6" t="inlineStr">
        <is>
          <t>Thuaän</t>
        </is>
      </c>
      <c r="E705" s="5" t="inlineStr">
        <is>
          <t>19-Aug-07</t>
        </is>
      </c>
      <c r="F705" s="5" t="inlineStr">
        <is>
          <t>LNH0925ND01</t>
        </is>
      </c>
      <c r="G705" s="105" t="n">
        <v>8415000</v>
      </c>
    </row>
    <row r="706">
      <c r="A706" s="5" t="n">
        <v>700</v>
      </c>
      <c r="B706" s="5" t="inlineStr">
        <is>
          <t>25800500312</t>
        </is>
      </c>
      <c r="C706" s="6" t="inlineStr">
        <is>
          <t>Löu Khaûi</t>
        </is>
      </c>
      <c r="D706" s="6" t="inlineStr">
        <is>
          <t>Nguyeân</t>
        </is>
      </c>
      <c r="E706" s="5" t="inlineStr">
        <is>
          <t>24-Sep-07</t>
        </is>
      </c>
      <c r="F706" s="5" t="inlineStr">
        <is>
          <t>LNH0925ND01</t>
        </is>
      </c>
      <c r="G706" s="105" t="n">
        <v>8415000</v>
      </c>
    </row>
    <row r="707">
      <c r="A707" s="5" t="n">
        <v>701</v>
      </c>
      <c r="B707" s="5" t="inlineStr">
        <is>
          <t>25801300028</t>
        </is>
      </c>
      <c r="C707" s="6" t="inlineStr">
        <is>
          <t>Nguyeãn Thò Yeán</t>
        </is>
      </c>
      <c r="D707" s="6" t="inlineStr">
        <is>
          <t>Nhi</t>
        </is>
      </c>
      <c r="E707" s="5" t="inlineStr">
        <is>
          <t>30-Dec-07</t>
        </is>
      </c>
      <c r="F707" s="5" t="inlineStr">
        <is>
          <t>LNH0925ND01</t>
        </is>
      </c>
      <c r="G707" s="105" t="n">
        <v>8415000</v>
      </c>
    </row>
    <row r="708">
      <c r="A708" s="5" t="n">
        <v>702</v>
      </c>
      <c r="B708" s="5" t="inlineStr">
        <is>
          <t>25802800289</t>
        </is>
      </c>
      <c r="C708" s="6" t="inlineStr">
        <is>
          <t>Nguyeãn Thò Lan</t>
        </is>
      </c>
      <c r="D708" s="6" t="inlineStr">
        <is>
          <t>Töôøng</t>
        </is>
      </c>
      <c r="E708" s="5" t="inlineStr">
        <is>
          <t>19-Mar-07</t>
        </is>
      </c>
      <c r="F708" s="5" t="inlineStr">
        <is>
          <t>LNH0925ND01</t>
        </is>
      </c>
      <c r="G708" s="105" t="n">
        <v>8415000</v>
      </c>
    </row>
    <row r="709">
      <c r="A709" s="5" t="n">
        <v>703</v>
      </c>
      <c r="B709" s="5" t="inlineStr">
        <is>
          <t>25806100301</t>
        </is>
      </c>
      <c r="C709" s="6" t="inlineStr">
        <is>
          <t>Nguyeãn Nhöït Song</t>
        </is>
      </c>
      <c r="D709" s="6" t="inlineStr">
        <is>
          <t>Toaøn</t>
        </is>
      </c>
      <c r="E709" s="5" t="inlineStr">
        <is>
          <t>18-Jul-07</t>
        </is>
      </c>
      <c r="F709" s="5" t="inlineStr">
        <is>
          <t>LNH0925ND01</t>
        </is>
      </c>
      <c r="G709" s="105" t="n">
        <v>8415000</v>
      </c>
    </row>
    <row r="710">
      <c r="A710" s="5" t="n">
        <v>704</v>
      </c>
      <c r="B710" s="5" t="inlineStr">
        <is>
          <t>25800400151</t>
        </is>
      </c>
      <c r="C710" s="6" t="inlineStr">
        <is>
          <t>Phaïm Hoaøng</t>
        </is>
      </c>
      <c r="D710" s="6" t="inlineStr">
        <is>
          <t>Thoâng</t>
        </is>
      </c>
      <c r="E710" s="5" t="inlineStr">
        <is>
          <t>18-May-07</t>
        </is>
      </c>
      <c r="F710" s="5" t="inlineStr">
        <is>
          <t>LNH0925ND01</t>
        </is>
      </c>
      <c r="G710" s="105" t="n">
        <v>8415000</v>
      </c>
    </row>
    <row r="711">
      <c r="A711" s="5" t="n">
        <v>705</v>
      </c>
      <c r="B711" s="5" t="inlineStr">
        <is>
          <t>25808200009</t>
        </is>
      </c>
      <c r="C711" s="6" t="inlineStr">
        <is>
          <t>Phan Huyønh Thieân</t>
        </is>
      </c>
      <c r="D711" s="6" t="inlineStr">
        <is>
          <t>AÂn</t>
        </is>
      </c>
      <c r="E711" s="5" t="inlineStr">
        <is>
          <t>11-Nov-07</t>
        </is>
      </c>
      <c r="F711" s="5" t="inlineStr">
        <is>
          <t>LNH0925ND01</t>
        </is>
      </c>
      <c r="G711" s="105" t="n">
        <v>8415000</v>
      </c>
    </row>
    <row r="712">
      <c r="A712" s="5" t="n">
        <v>706</v>
      </c>
      <c r="B712" s="5" t="inlineStr">
        <is>
          <t>25820200133</t>
        </is>
      </c>
      <c r="C712" s="6" t="inlineStr">
        <is>
          <t>Nguyeãn Quang</t>
        </is>
      </c>
      <c r="D712" s="6" t="inlineStr">
        <is>
          <t>Ñaïi</t>
        </is>
      </c>
      <c r="E712" s="5" t="inlineStr">
        <is>
          <t>17-Apr-07</t>
        </is>
      </c>
      <c r="F712" s="5" t="inlineStr">
        <is>
          <t>LNH0925ND01</t>
        </is>
      </c>
      <c r="G712" s="105" t="n">
        <v>8415000</v>
      </c>
    </row>
    <row r="713">
      <c r="A713" s="5" t="n">
        <v>707</v>
      </c>
      <c r="B713" s="5" t="inlineStr">
        <is>
          <t>25820200064</t>
        </is>
      </c>
      <c r="C713" s="6" t="inlineStr">
        <is>
          <t>Ngoâ Maïnh</t>
        </is>
      </c>
      <c r="D713" s="6" t="inlineStr">
        <is>
          <t>Tuaán</t>
        </is>
      </c>
      <c r="E713" s="5" t="inlineStr">
        <is>
          <t>17-Jan-07</t>
        </is>
      </c>
      <c r="F713" s="5" t="inlineStr">
        <is>
          <t>LNH0925ND01</t>
        </is>
      </c>
      <c r="G713" s="105" t="n">
        <v>8415000</v>
      </c>
    </row>
    <row r="714">
      <c r="A714" s="5" t="n">
        <v>708</v>
      </c>
      <c r="B714" s="5" t="inlineStr">
        <is>
          <t>25802800198</t>
        </is>
      </c>
      <c r="C714" s="6" t="inlineStr">
        <is>
          <t>Phaïm Hoaøng</t>
        </is>
      </c>
      <c r="D714" s="6" t="inlineStr">
        <is>
          <t>Phaùt</t>
        </is>
      </c>
      <c r="E714" s="5" t="inlineStr">
        <is>
          <t>05-Sep-07</t>
        </is>
      </c>
      <c r="F714" s="5" t="inlineStr">
        <is>
          <t>LNH0925ND01</t>
        </is>
      </c>
      <c r="G714" s="105" t="n">
        <v>8415000</v>
      </c>
    </row>
    <row r="715">
      <c r="A715" s="5" t="n">
        <v>709</v>
      </c>
      <c r="B715" s="5" t="inlineStr">
        <is>
          <t>25808200269</t>
        </is>
      </c>
      <c r="C715" s="6" t="inlineStr">
        <is>
          <t>Nguyeãn Thaønh</t>
        </is>
      </c>
      <c r="D715" s="6" t="inlineStr">
        <is>
          <t>Tieán</t>
        </is>
      </c>
      <c r="E715" s="5" t="inlineStr">
        <is>
          <t>04-Sep-07</t>
        </is>
      </c>
      <c r="F715" s="5" t="inlineStr">
        <is>
          <t>LNH0925ND01</t>
        </is>
      </c>
      <c r="G715" s="105" t="n">
        <v>8415000</v>
      </c>
    </row>
    <row r="716">
      <c r="A716" s="5" t="n">
        <v>710</v>
      </c>
      <c r="B716" s="5" t="inlineStr">
        <is>
          <t>25802800103</t>
        </is>
      </c>
      <c r="C716" s="6" t="inlineStr">
        <is>
          <t>Nguyeãn Hoàng</t>
        </is>
      </c>
      <c r="D716" s="6" t="inlineStr">
        <is>
          <t>Khang</t>
        </is>
      </c>
      <c r="E716" s="5" t="inlineStr">
        <is>
          <t>30-Apr-07</t>
        </is>
      </c>
      <c r="F716" s="5" t="inlineStr">
        <is>
          <t>LNH0925ND01</t>
        </is>
      </c>
      <c r="G716" s="105" t="n">
        <v>8415000</v>
      </c>
    </row>
    <row r="717">
      <c r="A717" s="5" t="n">
        <v>711</v>
      </c>
      <c r="B717" s="5" t="inlineStr">
        <is>
          <t>25808900053</t>
        </is>
      </c>
      <c r="C717" s="6" t="inlineStr">
        <is>
          <t>Nguyeãn Tuaán</t>
        </is>
      </c>
      <c r="D717" s="6" t="inlineStr">
        <is>
          <t>Khang</t>
        </is>
      </c>
      <c r="E717" s="5" t="inlineStr">
        <is>
          <t>25-Jun-07</t>
        </is>
      </c>
      <c r="F717" s="5" t="inlineStr">
        <is>
          <t>LNH0925ND01</t>
        </is>
      </c>
      <c r="G717" s="105" t="n">
        <v>8415000</v>
      </c>
    </row>
    <row r="718">
      <c r="A718" s="5" t="n">
        <v>712</v>
      </c>
      <c r="B718" s="5" t="inlineStr">
        <is>
          <t>25807500237</t>
        </is>
      </c>
      <c r="C718" s="6" t="inlineStr">
        <is>
          <t>Nguyeãn Thaønh</t>
        </is>
      </c>
      <c r="D718" s="6" t="inlineStr">
        <is>
          <t>Luaân</t>
        </is>
      </c>
      <c r="E718" s="5" t="inlineStr">
        <is>
          <t>04-Apr-07</t>
        </is>
      </c>
      <c r="F718" s="5" t="inlineStr">
        <is>
          <t>LNH0925ND01</t>
        </is>
      </c>
      <c r="G718" s="105" t="n">
        <v>8415000</v>
      </c>
    </row>
    <row r="719">
      <c r="A719" s="5" t="n">
        <v>713</v>
      </c>
      <c r="B719" s="5" t="inlineStr">
        <is>
          <t>25807600039</t>
        </is>
      </c>
      <c r="C719" s="6" t="inlineStr">
        <is>
          <t>Buøi Hoaøng Yeán</t>
        </is>
      </c>
      <c r="D719" s="6" t="inlineStr">
        <is>
          <t>Nhi</t>
        </is>
      </c>
      <c r="E719" s="5" t="inlineStr">
        <is>
          <t>17-Mar-07</t>
        </is>
      </c>
      <c r="F719" s="5" t="inlineStr">
        <is>
          <t>LNH0925ND01</t>
        </is>
      </c>
      <c r="G719" s="105" t="n">
        <v>8415000</v>
      </c>
    </row>
    <row r="720">
      <c r="A720" s="5" t="n">
        <v>714</v>
      </c>
      <c r="B720" s="5" t="inlineStr">
        <is>
          <t>25800400058</t>
        </is>
      </c>
      <c r="C720" s="6" t="inlineStr">
        <is>
          <t>Phan Ngoïc Gia</t>
        </is>
      </c>
      <c r="D720" s="6" t="inlineStr">
        <is>
          <t>Huy</t>
        </is>
      </c>
      <c r="E720" s="5" t="inlineStr">
        <is>
          <t>21-Sep-07</t>
        </is>
      </c>
      <c r="F720" s="5" t="inlineStr">
        <is>
          <t>LNH0925ND01</t>
        </is>
      </c>
      <c r="G720" s="105" t="n">
        <v>8415000</v>
      </c>
    </row>
    <row r="721">
      <c r="A721" s="5" t="n">
        <v>715</v>
      </c>
      <c r="B721" s="5" t="inlineStr">
        <is>
          <t>25801300045</t>
        </is>
      </c>
      <c r="C721" s="6" t="inlineStr">
        <is>
          <t>Voõ Quoác</t>
        </is>
      </c>
      <c r="D721" s="6" t="inlineStr">
        <is>
          <t>Vinh</t>
        </is>
      </c>
      <c r="E721" s="5" t="inlineStr">
        <is>
          <t>20-Dec-07</t>
        </is>
      </c>
      <c r="F721" s="5" t="inlineStr">
        <is>
          <t>LNH0925ND01</t>
        </is>
      </c>
      <c r="G721" s="105" t="n">
        <v>8415000</v>
      </c>
    </row>
    <row r="722">
      <c r="A722" s="5" t="n">
        <v>716</v>
      </c>
      <c r="B722" s="5" t="inlineStr">
        <is>
          <t>25802700083</t>
        </is>
      </c>
      <c r="C722" s="6" t="inlineStr">
        <is>
          <t>Traàn Trieäu</t>
        </is>
      </c>
      <c r="D722" s="6" t="inlineStr">
        <is>
          <t>Thieän</t>
        </is>
      </c>
      <c r="E722" s="5" t="inlineStr">
        <is>
          <t>12-Feb-07</t>
        </is>
      </c>
      <c r="F722" s="5" t="inlineStr">
        <is>
          <t>LNH0925ND01</t>
        </is>
      </c>
      <c r="G722" s="105" t="n">
        <v>8415000</v>
      </c>
    </row>
    <row r="723">
      <c r="A723" s="5" t="n">
        <v>717</v>
      </c>
      <c r="B723" s="5" t="inlineStr">
        <is>
          <t>25808600033</t>
        </is>
      </c>
      <c r="C723" s="6" t="inlineStr">
        <is>
          <t>Phaïm Thò Ngoïc</t>
        </is>
      </c>
      <c r="D723" s="6" t="inlineStr">
        <is>
          <t>Haân</t>
        </is>
      </c>
      <c r="E723" s="5" t="inlineStr">
        <is>
          <t>30-Sep-07</t>
        </is>
      </c>
      <c r="F723" s="5" t="inlineStr">
        <is>
          <t>LNH0925ND01</t>
        </is>
      </c>
      <c r="G723" s="105" t="n">
        <v>8415000</v>
      </c>
    </row>
    <row r="724">
      <c r="A724" s="5" t="n">
        <v>718</v>
      </c>
      <c r="B724" s="5" t="inlineStr">
        <is>
          <t>25800400287</t>
        </is>
      </c>
      <c r="C724" s="6" t="inlineStr">
        <is>
          <t>Nguyeãn Minh</t>
        </is>
      </c>
      <c r="D724" s="6" t="inlineStr">
        <is>
          <t>Hieáu</t>
        </is>
      </c>
      <c r="E724" s="5" t="inlineStr">
        <is>
          <t>17-Jan-07</t>
        </is>
      </c>
      <c r="F724" s="5" t="inlineStr">
        <is>
          <t>LNH0925ND01</t>
        </is>
      </c>
      <c r="G724" s="105" t="n">
        <v>8415000</v>
      </c>
    </row>
    <row r="725">
      <c r="A725" s="5" t="n">
        <v>719</v>
      </c>
      <c r="B725" s="5" t="inlineStr">
        <is>
          <t>25802800081</t>
        </is>
      </c>
      <c r="C725" s="6" t="inlineStr">
        <is>
          <t>Leâ Xuaân</t>
        </is>
      </c>
      <c r="D725" s="6" t="inlineStr">
        <is>
          <t>Huøng</t>
        </is>
      </c>
      <c r="E725" s="5" t="inlineStr">
        <is>
          <t>26-Sep-07</t>
        </is>
      </c>
      <c r="F725" s="5" t="inlineStr">
        <is>
          <t>LNH0925ND01</t>
        </is>
      </c>
      <c r="G725" s="105" t="n">
        <v>8415000</v>
      </c>
    </row>
    <row r="726">
      <c r="A726" s="5" t="n">
        <v>720</v>
      </c>
      <c r="B726" s="20" t="inlineStr">
        <is>
          <t>25800400009</t>
        </is>
      </c>
      <c r="C726" s="6" t="inlineStr">
        <is>
          <t>Leâ Khaéc</t>
        </is>
      </c>
      <c r="D726" s="6" t="inlineStr">
        <is>
          <t>Baûo</t>
        </is>
      </c>
      <c r="E726" s="5" t="inlineStr">
        <is>
          <t>06-Nov-07</t>
        </is>
      </c>
      <c r="F726" s="5" t="inlineStr">
        <is>
          <t>LNH0925NL01</t>
        </is>
      </c>
      <c r="G726" s="105" t="n">
        <v>8415000</v>
      </c>
      <c r="H726" s="19" t="n"/>
    </row>
    <row r="727">
      <c r="A727" s="5" t="n">
        <v>721</v>
      </c>
      <c r="B727" s="5" t="inlineStr">
        <is>
          <t>25808300031</t>
        </is>
      </c>
      <c r="C727" s="6" t="inlineStr">
        <is>
          <t>Nguyeãn Ngoïc Thieân</t>
        </is>
      </c>
      <c r="D727" s="6" t="inlineStr">
        <is>
          <t>Ngaân</t>
        </is>
      </c>
      <c r="E727" s="5" t="inlineStr">
        <is>
          <t>22-Aug-07</t>
        </is>
      </c>
      <c r="F727" s="5" t="inlineStr">
        <is>
          <t>LNH0925ND01</t>
        </is>
      </c>
      <c r="G727" s="105" t="n">
        <v>8415000</v>
      </c>
    </row>
    <row r="728">
      <c r="A728" s="5" t="n">
        <v>722</v>
      </c>
      <c r="B728" s="5" t="inlineStr">
        <is>
          <t>25800400125</t>
        </is>
      </c>
      <c r="C728" s="6" t="inlineStr">
        <is>
          <t>Nguyeãn Xuaân</t>
        </is>
      </c>
      <c r="D728" s="6" t="inlineStr">
        <is>
          <t>Phuù</t>
        </is>
      </c>
      <c r="E728" s="5" t="inlineStr">
        <is>
          <t>25-Dec-07</t>
        </is>
      </c>
      <c r="F728" s="5" t="inlineStr">
        <is>
          <t>LNH0925ND01</t>
        </is>
      </c>
      <c r="G728" s="105" t="n">
        <v>8415000</v>
      </c>
    </row>
    <row r="729">
      <c r="A729" s="5" t="n">
        <v>723</v>
      </c>
      <c r="B729" s="5" t="inlineStr">
        <is>
          <t>25808700176</t>
        </is>
      </c>
      <c r="C729" s="6" t="inlineStr">
        <is>
          <t>Nguyeãn Baûo</t>
        </is>
      </c>
      <c r="D729" s="6" t="inlineStr">
        <is>
          <t>Uyeân</t>
        </is>
      </c>
      <c r="E729" s="5" t="inlineStr">
        <is>
          <t>13-Jul-07</t>
        </is>
      </c>
      <c r="F729" s="5" t="inlineStr">
        <is>
          <t>LNH0925ND01</t>
        </is>
      </c>
      <c r="G729" s="105" t="n">
        <v>8415000</v>
      </c>
    </row>
    <row r="730">
      <c r="A730" s="5" t="n">
        <v>724</v>
      </c>
      <c r="B730" s="5" t="inlineStr">
        <is>
          <t>25802800165</t>
        </is>
      </c>
      <c r="C730" s="6" t="inlineStr">
        <is>
          <t>Nguyeãn Kim</t>
        </is>
      </c>
      <c r="D730" s="6" t="inlineStr">
        <is>
          <t>Ngoïc</t>
        </is>
      </c>
      <c r="E730" s="5" t="inlineStr">
        <is>
          <t>19-Sep-07</t>
        </is>
      </c>
      <c r="F730" s="5" t="inlineStr">
        <is>
          <t>LNH0925ND01</t>
        </is>
      </c>
      <c r="G730" s="105" t="n">
        <v>8415000</v>
      </c>
    </row>
    <row r="731">
      <c r="A731" s="5" t="n">
        <v>725</v>
      </c>
      <c r="B731" s="5" t="inlineStr">
        <is>
          <t>25801400608</t>
        </is>
      </c>
      <c r="C731" s="6" t="inlineStr">
        <is>
          <t>Traàn Minh</t>
        </is>
      </c>
      <c r="D731" s="6" t="inlineStr">
        <is>
          <t>Thaønh</t>
        </is>
      </c>
      <c r="E731" s="5" t="inlineStr">
        <is>
          <t>16-Dec-07</t>
        </is>
      </c>
      <c r="F731" s="5" t="inlineStr">
        <is>
          <t>LNH0925ND01</t>
        </is>
      </c>
      <c r="G731" s="105" t="n">
        <v>8415000</v>
      </c>
    </row>
    <row r="732">
      <c r="A732" s="5" t="n">
        <v>726</v>
      </c>
      <c r="B732" s="5" t="inlineStr">
        <is>
          <t>25808200280</t>
        </is>
      </c>
      <c r="C732" s="6" t="inlineStr">
        <is>
          <t>Nguyeãn Vaên</t>
        </is>
      </c>
      <c r="D732" s="6" t="inlineStr">
        <is>
          <t>Trieàu</t>
        </is>
      </c>
      <c r="E732" s="5" t="inlineStr">
        <is>
          <t>12-Dec-07</t>
        </is>
      </c>
      <c r="F732" s="5" t="inlineStr">
        <is>
          <t>LNH0925ND01</t>
        </is>
      </c>
      <c r="G732" s="105" t="n">
        <v>8415000</v>
      </c>
    </row>
    <row r="733">
      <c r="A733" s="5" t="n">
        <v>727</v>
      </c>
      <c r="B733" s="5" t="inlineStr">
        <is>
          <t>25808700122</t>
        </is>
      </c>
      <c r="C733" s="6" t="inlineStr">
        <is>
          <t>Traàn Nhö</t>
        </is>
      </c>
      <c r="D733" s="6" t="inlineStr">
        <is>
          <t>YÙ</t>
        </is>
      </c>
      <c r="E733" s="5" t="inlineStr">
        <is>
          <t>21-Apr-07</t>
        </is>
      </c>
      <c r="F733" s="5" t="inlineStr">
        <is>
          <t>LNH0925ND01</t>
        </is>
      </c>
      <c r="G733" s="105" t="n">
        <v>8415000</v>
      </c>
    </row>
    <row r="734">
      <c r="A734" s="5" t="n">
        <v>728</v>
      </c>
      <c r="B734" s="5" t="inlineStr">
        <is>
          <t>25800400106</t>
        </is>
      </c>
      <c r="C734" s="6" t="inlineStr">
        <is>
          <t>Ñaëng Hieáu</t>
        </is>
      </c>
      <c r="D734" s="6" t="inlineStr">
        <is>
          <t>Nghóa</t>
        </is>
      </c>
      <c r="E734" s="5" t="inlineStr">
        <is>
          <t>06-May-07</t>
        </is>
      </c>
      <c r="F734" s="5" t="inlineStr">
        <is>
          <t>LNH0925ND01</t>
        </is>
      </c>
      <c r="G734" s="105" t="n">
        <v>8415000</v>
      </c>
    </row>
    <row r="735">
      <c r="A735" s="5" t="n">
        <v>729</v>
      </c>
      <c r="B735" s="5" t="inlineStr">
        <is>
          <t>25808200096</t>
        </is>
      </c>
      <c r="C735" s="6" t="inlineStr">
        <is>
          <t>Nguyeãn Ñöùc</t>
        </is>
      </c>
      <c r="D735" s="6" t="inlineStr">
        <is>
          <t>Nhaät</t>
        </is>
      </c>
      <c r="E735" s="5" t="inlineStr">
        <is>
          <t>05-Jul-07</t>
        </is>
      </c>
      <c r="F735" s="5" t="inlineStr">
        <is>
          <t>LNH0925ND01</t>
        </is>
      </c>
      <c r="G735" s="105" t="n">
        <v>8415000</v>
      </c>
    </row>
    <row r="736">
      <c r="A736" s="5" t="n">
        <v>730</v>
      </c>
      <c r="B736" s="5" t="inlineStr">
        <is>
          <t>25802100018</t>
        </is>
      </c>
      <c r="C736" s="6" t="inlineStr">
        <is>
          <t>Leâ Anh</t>
        </is>
      </c>
      <c r="D736" s="6" t="inlineStr">
        <is>
          <t>Khoa</t>
        </is>
      </c>
      <c r="E736" s="5" t="inlineStr">
        <is>
          <t>19-Dec-07</t>
        </is>
      </c>
      <c r="F736" s="5" t="inlineStr">
        <is>
          <t>LNH0925ND01</t>
        </is>
      </c>
      <c r="G736" s="105" t="n">
        <v>8415000</v>
      </c>
    </row>
    <row r="737">
      <c r="A737" s="5" t="n">
        <v>731</v>
      </c>
      <c r="B737" s="5" t="inlineStr">
        <is>
          <t>25802800070</t>
        </is>
      </c>
      <c r="C737" s="6" t="inlineStr">
        <is>
          <t>Leâ Thò Thu</t>
        </is>
      </c>
      <c r="D737" s="6" t="inlineStr">
        <is>
          <t>Hieàn</t>
        </is>
      </c>
      <c r="E737" s="5" t="inlineStr">
        <is>
          <t>13-Jun-07</t>
        </is>
      </c>
      <c r="F737" s="5" t="inlineStr">
        <is>
          <t>LNH0925ND01</t>
        </is>
      </c>
      <c r="G737" s="105" t="n">
        <v>8415000</v>
      </c>
    </row>
    <row r="738">
      <c r="A738" s="5" t="n">
        <v>732</v>
      </c>
      <c r="B738" s="5" t="inlineStr">
        <is>
          <t>25808200111</t>
        </is>
      </c>
      <c r="C738" s="6" t="inlineStr">
        <is>
          <t>Phaïm Hoaøng Taøi Ch</t>
        </is>
      </c>
      <c r="D738" s="6" t="inlineStr">
        <is>
          <t>Taâm</t>
        </is>
      </c>
      <c r="E738" s="5" t="inlineStr">
        <is>
          <t>18-Jul-07</t>
        </is>
      </c>
      <c r="F738" s="5" t="inlineStr">
        <is>
          <t>LNH0925ND01</t>
        </is>
      </c>
      <c r="G738" s="105" t="n">
        <v>8415000</v>
      </c>
    </row>
    <row r="739">
      <c r="A739" s="5" t="n">
        <v>733</v>
      </c>
      <c r="B739" s="5" t="inlineStr">
        <is>
          <t>25805900064</t>
        </is>
      </c>
      <c r="C739" s="6" t="inlineStr">
        <is>
          <t>Traàn Ngoïc Hoaøng</t>
        </is>
      </c>
      <c r="D739" s="6" t="inlineStr">
        <is>
          <t>Uyeân</t>
        </is>
      </c>
      <c r="E739" s="5" t="inlineStr">
        <is>
          <t>12-Aug-07</t>
        </is>
      </c>
      <c r="F739" s="5" t="inlineStr">
        <is>
          <t>LNH0925ND01</t>
        </is>
      </c>
      <c r="G739" s="105" t="n">
        <v>8415000</v>
      </c>
    </row>
    <row r="740">
      <c r="A740" s="5" t="n">
        <v>734</v>
      </c>
      <c r="B740" s="5" t="inlineStr">
        <is>
          <t>25820300088</t>
        </is>
      </c>
      <c r="C740" s="6" t="inlineStr">
        <is>
          <t>Noâng Thanh</t>
        </is>
      </c>
      <c r="D740" s="6" t="inlineStr">
        <is>
          <t>Quyeàn</t>
        </is>
      </c>
      <c r="E740" s="5" t="inlineStr">
        <is>
          <t>15-Feb-07</t>
        </is>
      </c>
      <c r="F740" s="5" t="inlineStr">
        <is>
          <t>LNH0925ND01</t>
        </is>
      </c>
      <c r="G740" s="105" t="n">
        <v>8415000</v>
      </c>
    </row>
    <row r="741">
      <c r="A741" s="5" t="n">
        <v>735</v>
      </c>
      <c r="B741" s="5" t="inlineStr">
        <is>
          <t>25808900043</t>
        </is>
      </c>
      <c r="C741" s="6" t="inlineStr">
        <is>
          <t>Huyønh Xuaân</t>
        </is>
      </c>
      <c r="D741" s="6" t="inlineStr">
        <is>
          <t>Huøng</t>
        </is>
      </c>
      <c r="E741" s="5" t="inlineStr">
        <is>
          <t>16-Aug-07</t>
        </is>
      </c>
      <c r="F741" s="5" t="inlineStr">
        <is>
          <t>LNH0925ND01</t>
        </is>
      </c>
      <c r="G741" s="105" t="n">
        <v>8415000</v>
      </c>
    </row>
    <row r="742">
      <c r="A742" s="5" t="n">
        <v>736</v>
      </c>
      <c r="B742" s="5" t="inlineStr">
        <is>
          <t>25809600017</t>
        </is>
      </c>
      <c r="C742" s="6" t="inlineStr">
        <is>
          <t>Phan Nguyeãn Anh</t>
        </is>
      </c>
      <c r="D742" s="6" t="inlineStr">
        <is>
          <t>Ñöùc</t>
        </is>
      </c>
      <c r="E742" s="5" t="inlineStr">
        <is>
          <t>24-Nov-07</t>
        </is>
      </c>
      <c r="F742" s="5" t="inlineStr">
        <is>
          <t>LNH0925ND01</t>
        </is>
      </c>
      <c r="G742" s="105" t="n">
        <v>8415000</v>
      </c>
    </row>
    <row r="743">
      <c r="A743" s="5" t="n">
        <v>737</v>
      </c>
      <c r="B743" s="5" t="inlineStr">
        <is>
          <t>25806500015</t>
        </is>
      </c>
      <c r="C743" s="6" t="inlineStr">
        <is>
          <t>Ñaëng Taát</t>
        </is>
      </c>
      <c r="D743" s="6" t="inlineStr">
        <is>
          <t>Thaéng</t>
        </is>
      </c>
      <c r="E743" s="5" t="inlineStr">
        <is>
          <t>16-May-07</t>
        </is>
      </c>
      <c r="F743" s="5" t="inlineStr">
        <is>
          <t>LNH0925ND01</t>
        </is>
      </c>
      <c r="G743" s="105" t="n">
        <v>8415000</v>
      </c>
    </row>
    <row r="744">
      <c r="A744" s="5" t="n">
        <v>738</v>
      </c>
      <c r="B744" s="5" t="inlineStr">
        <is>
          <t>25808200125</t>
        </is>
      </c>
      <c r="C744" s="6" t="inlineStr">
        <is>
          <t>Döông Vaên Minh</t>
        </is>
      </c>
      <c r="D744" s="6" t="inlineStr">
        <is>
          <t>Thoâng</t>
        </is>
      </c>
      <c r="E744" s="5" t="inlineStr">
        <is>
          <t>23-Sep-07</t>
        </is>
      </c>
      <c r="F744" s="5" t="inlineStr">
        <is>
          <t>LNH0925ND01</t>
        </is>
      </c>
      <c r="G744" s="105" t="n">
        <v>8415000</v>
      </c>
    </row>
    <row r="745">
      <c r="A745" s="5" t="n">
        <v>739</v>
      </c>
      <c r="B745" s="5" t="inlineStr">
        <is>
          <t>25801100001</t>
        </is>
      </c>
      <c r="C745" s="6" t="inlineStr">
        <is>
          <t>Ñinh Tuaán</t>
        </is>
      </c>
      <c r="D745" s="6" t="inlineStr">
        <is>
          <t>Anh</t>
        </is>
      </c>
      <c r="E745" s="5" t="inlineStr">
        <is>
          <t>28-Dec-07</t>
        </is>
      </c>
      <c r="F745" s="5" t="inlineStr">
        <is>
          <t>LNH0925ND01</t>
        </is>
      </c>
      <c r="G745" s="105" t="n">
        <v>8415000</v>
      </c>
    </row>
    <row r="746">
      <c r="A746" s="5" t="n">
        <v>740</v>
      </c>
      <c r="B746" s="5" t="inlineStr">
        <is>
          <t>25808900132</t>
        </is>
      </c>
      <c r="C746" s="6" t="inlineStr">
        <is>
          <t>Phaïm Thanh</t>
        </is>
      </c>
      <c r="D746" s="6" t="inlineStr">
        <is>
          <t>Toaøn</t>
        </is>
      </c>
      <c r="E746" s="5" t="inlineStr">
        <is>
          <t>14-Feb-07</t>
        </is>
      </c>
      <c r="F746" s="5" t="inlineStr">
        <is>
          <t>LNH0925ND01</t>
        </is>
      </c>
      <c r="G746" s="105" t="n">
        <v>8415000</v>
      </c>
    </row>
    <row r="747">
      <c r="A747" s="5" t="n">
        <v>741</v>
      </c>
      <c r="B747" s="5" t="inlineStr">
        <is>
          <t>25802800010</t>
        </is>
      </c>
      <c r="C747" s="6" t="inlineStr">
        <is>
          <t>Phaïm Thò Ngoïc</t>
        </is>
      </c>
      <c r="D747" s="6" t="inlineStr">
        <is>
          <t>Anh</t>
        </is>
      </c>
      <c r="E747" s="5" t="inlineStr">
        <is>
          <t>27-Sep-07</t>
        </is>
      </c>
      <c r="F747" s="5" t="inlineStr">
        <is>
          <t>LNH0925ND01</t>
        </is>
      </c>
      <c r="G747" s="105" t="n">
        <v>8415000</v>
      </c>
    </row>
    <row r="748">
      <c r="A748" s="5" t="n">
        <v>742</v>
      </c>
      <c r="B748" s="5" t="inlineStr">
        <is>
          <t>25800500005</t>
        </is>
      </c>
      <c r="C748" s="6" t="inlineStr">
        <is>
          <t>Leâ Tuaán</t>
        </is>
      </c>
      <c r="D748" s="6" t="inlineStr">
        <is>
          <t>Anh</t>
        </is>
      </c>
      <c r="E748" s="5" t="inlineStr">
        <is>
          <t>27-May-07</t>
        </is>
      </c>
      <c r="F748" s="5" t="inlineStr">
        <is>
          <t>LNH0925ND01</t>
        </is>
      </c>
      <c r="G748" s="105" t="n">
        <v>8415000</v>
      </c>
    </row>
    <row r="749">
      <c r="A749" s="5" t="n">
        <v>743</v>
      </c>
      <c r="B749" s="5" t="inlineStr">
        <is>
          <t>25802100069</t>
        </is>
      </c>
      <c r="C749" s="6" t="inlineStr">
        <is>
          <t>Löông Baûo</t>
        </is>
      </c>
      <c r="D749" s="6" t="inlineStr">
        <is>
          <t>Huy</t>
        </is>
      </c>
      <c r="E749" s="5" t="inlineStr">
        <is>
          <t>16-Feb-07</t>
        </is>
      </c>
      <c r="F749" s="5" t="inlineStr">
        <is>
          <t>LNH0925ND01</t>
        </is>
      </c>
      <c r="G749" s="105" t="n">
        <v>8415000</v>
      </c>
    </row>
    <row r="750">
      <c r="A750" s="5" t="n">
        <v>744</v>
      </c>
      <c r="B750" s="5" t="inlineStr">
        <is>
          <t>25808200225</t>
        </is>
      </c>
      <c r="C750" s="6" t="inlineStr">
        <is>
          <t>Nguyeãn Quoác</t>
        </is>
      </c>
      <c r="D750" s="6" t="inlineStr">
        <is>
          <t>Vieät</t>
        </is>
      </c>
      <c r="E750" s="5" t="inlineStr">
        <is>
          <t>02-Sep-06</t>
        </is>
      </c>
      <c r="F750" s="5" t="inlineStr">
        <is>
          <t>LNH0925ND01</t>
        </is>
      </c>
      <c r="G750" s="105" t="n">
        <v>8415000</v>
      </c>
    </row>
    <row r="751">
      <c r="A751" s="5" t="n">
        <v>745</v>
      </c>
      <c r="B751" s="5" t="inlineStr">
        <is>
          <t>25808900047</t>
        </is>
      </c>
      <c r="C751" s="6" t="inlineStr">
        <is>
          <t>Nguyeãn Kim</t>
        </is>
      </c>
      <c r="D751" s="6" t="inlineStr">
        <is>
          <t>Huy</t>
        </is>
      </c>
      <c r="E751" s="5" t="inlineStr">
        <is>
          <t>17-Apr-07</t>
        </is>
      </c>
      <c r="F751" s="5" t="inlineStr">
        <is>
          <t>LNH0925ND01</t>
        </is>
      </c>
      <c r="G751" s="105" t="n">
        <v>8415000</v>
      </c>
    </row>
    <row r="752">
      <c r="A752" s="5" t="n">
        <v>746</v>
      </c>
      <c r="B752" s="5" t="inlineStr">
        <is>
          <t>25801800061</t>
        </is>
      </c>
      <c r="C752" s="6" t="inlineStr">
        <is>
          <t>Nguyeãn Hoaøng</t>
        </is>
      </c>
      <c r="D752" s="6" t="inlineStr">
        <is>
          <t>Sang</t>
        </is>
      </c>
      <c r="E752" s="5" t="inlineStr">
        <is>
          <t>27-Dec-07</t>
        </is>
      </c>
      <c r="F752" s="5" t="inlineStr">
        <is>
          <t>LNH0925ND01</t>
        </is>
      </c>
      <c r="G752" s="105" t="n">
        <v>8415000</v>
      </c>
    </row>
    <row r="753">
      <c r="A753" s="5" t="n">
        <v>747</v>
      </c>
      <c r="B753" s="5" t="inlineStr">
        <is>
          <t>25802600031</t>
        </is>
      </c>
      <c r="C753" s="6" t="inlineStr">
        <is>
          <t>Nguyeãn Ñaëng Minh</t>
        </is>
      </c>
      <c r="D753" s="6" t="inlineStr">
        <is>
          <t>Ñaït</t>
        </is>
      </c>
      <c r="E753" s="5" t="inlineStr">
        <is>
          <t>19-Nov-07</t>
        </is>
      </c>
      <c r="F753" s="5" t="inlineStr">
        <is>
          <t>LNH0925ND01</t>
        </is>
      </c>
      <c r="G753" s="105" t="n">
        <v>8415000</v>
      </c>
    </row>
    <row r="754">
      <c r="A754" s="5" t="n">
        <v>748</v>
      </c>
      <c r="B754" s="5" t="inlineStr">
        <is>
          <t>25801500098</t>
        </is>
      </c>
      <c r="C754" s="6" t="inlineStr">
        <is>
          <t>Nguyeãn Ñaëng Minh</t>
        </is>
      </c>
      <c r="D754" s="6" t="inlineStr">
        <is>
          <t>Trí</t>
        </is>
      </c>
      <c r="E754" s="5" t="inlineStr">
        <is>
          <t>19-Nov-07</t>
        </is>
      </c>
      <c r="F754" s="5" t="inlineStr">
        <is>
          <t>LNH0925ND01</t>
        </is>
      </c>
      <c r="G754" s="105" t="n">
        <v>8415000</v>
      </c>
    </row>
    <row r="755">
      <c r="A755" s="5" t="n">
        <v>749</v>
      </c>
      <c r="B755" s="5" t="inlineStr">
        <is>
          <t>25808900109</t>
        </is>
      </c>
      <c r="C755" s="6" t="inlineStr">
        <is>
          <t>Leâ Vaên</t>
        </is>
      </c>
      <c r="D755" s="6" t="inlineStr">
        <is>
          <t>Taán</t>
        </is>
      </c>
      <c r="E755" s="5" t="inlineStr">
        <is>
          <t>01-Nov-07</t>
        </is>
      </c>
      <c r="F755" s="5" t="inlineStr">
        <is>
          <t>LNH0925ND01</t>
        </is>
      </c>
      <c r="G755" s="105" t="n">
        <v>8415000</v>
      </c>
    </row>
    <row r="756">
      <c r="A756" s="5" t="n">
        <v>750</v>
      </c>
      <c r="B756" s="5" t="inlineStr">
        <is>
          <t>25808900014</t>
        </is>
      </c>
      <c r="C756" s="6" t="inlineStr">
        <is>
          <t>Traàn Minh</t>
        </is>
      </c>
      <c r="D756" s="6" t="inlineStr">
        <is>
          <t>Chí</t>
        </is>
      </c>
      <c r="E756" s="5" t="inlineStr">
        <is>
          <t>10-Oct-07</t>
        </is>
      </c>
      <c r="F756" s="5" t="inlineStr">
        <is>
          <t>LNH0925ND01</t>
        </is>
      </c>
      <c r="G756" s="105" t="n">
        <v>8415000</v>
      </c>
    </row>
    <row r="757">
      <c r="A757" s="5" t="n">
        <v>751</v>
      </c>
      <c r="B757" s="5" t="inlineStr">
        <is>
          <t>25802800351</t>
        </is>
      </c>
      <c r="C757" s="6" t="inlineStr">
        <is>
          <t>Nguyeãn Duy</t>
        </is>
      </c>
      <c r="D757" s="6" t="inlineStr">
        <is>
          <t>Thaéng</t>
        </is>
      </c>
      <c r="E757" s="5" t="inlineStr">
        <is>
          <t>19-Aug-07</t>
        </is>
      </c>
      <c r="F757" s="5" t="inlineStr">
        <is>
          <t>LNH0925ND01</t>
        </is>
      </c>
      <c r="G757" s="105" t="n">
        <v>8415000</v>
      </c>
    </row>
    <row r="758">
      <c r="A758" s="5" t="n">
        <v>752</v>
      </c>
      <c r="B758" s="5" t="inlineStr">
        <is>
          <t>25801800183</t>
        </is>
      </c>
      <c r="C758" s="6" t="inlineStr">
        <is>
          <t>Traàn Thò Minh</t>
        </is>
      </c>
      <c r="D758" s="6" t="inlineStr">
        <is>
          <t>Tuù</t>
        </is>
      </c>
      <c r="E758" s="5" t="inlineStr">
        <is>
          <t>14-Feb-07</t>
        </is>
      </c>
      <c r="F758" s="5" t="inlineStr">
        <is>
          <t>LNH0925ND01</t>
        </is>
      </c>
      <c r="G758" s="105" t="n">
        <v>8415000</v>
      </c>
    </row>
    <row r="759">
      <c r="A759" s="5" t="n">
        <v>753</v>
      </c>
      <c r="B759" s="5" t="inlineStr">
        <is>
          <t>25808200137</t>
        </is>
      </c>
      <c r="C759" s="6" t="inlineStr">
        <is>
          <t>Traàn Minh</t>
        </is>
      </c>
      <c r="D759" s="6" t="inlineStr">
        <is>
          <t>Tuù</t>
        </is>
      </c>
      <c r="E759" s="5" t="inlineStr">
        <is>
          <t>30-Apr-07</t>
        </is>
      </c>
      <c r="F759" s="5" t="inlineStr">
        <is>
          <t>LNH0925ND01</t>
        </is>
      </c>
      <c r="G759" s="105" t="n">
        <v>8415000</v>
      </c>
    </row>
    <row r="760">
      <c r="A760" s="5" t="n">
        <v>754</v>
      </c>
      <c r="B760" s="5" t="inlineStr">
        <is>
          <t>25808300040</t>
        </is>
      </c>
      <c r="C760" s="6" t="inlineStr">
        <is>
          <t>Cao Chung Thaùi</t>
        </is>
      </c>
      <c r="D760" s="6" t="inlineStr">
        <is>
          <t>Sôn</t>
        </is>
      </c>
      <c r="E760" s="5" t="inlineStr">
        <is>
          <t>01-Jan-03</t>
        </is>
      </c>
      <c r="F760" s="5" t="inlineStr">
        <is>
          <t>LNH0925ND01</t>
        </is>
      </c>
      <c r="G760" s="105" t="n">
        <v>8415000</v>
      </c>
    </row>
    <row r="761">
      <c r="A761" s="5" t="n">
        <v>755</v>
      </c>
      <c r="B761" s="5" t="inlineStr">
        <is>
          <t>25807800050</t>
        </is>
      </c>
      <c r="C761" s="6" t="inlineStr">
        <is>
          <t>Voõ Löông Nhaät</t>
        </is>
      </c>
      <c r="D761" s="6" t="inlineStr">
        <is>
          <t>Hoaøng</t>
        </is>
      </c>
      <c r="E761" s="5" t="inlineStr">
        <is>
          <t>25-Jun-07</t>
        </is>
      </c>
      <c r="F761" s="5" t="inlineStr">
        <is>
          <t>LNH0925ND01</t>
        </is>
      </c>
      <c r="G761" s="105" t="n">
        <v>8415000</v>
      </c>
    </row>
    <row r="762">
      <c r="A762" s="5" t="n">
        <v>756</v>
      </c>
      <c r="B762" s="5" t="inlineStr">
        <is>
          <t>25806000105</t>
        </is>
      </c>
      <c r="C762" s="6" t="inlineStr">
        <is>
          <t>Vuõ Ñoã Nhö</t>
        </is>
      </c>
      <c r="D762" s="6" t="inlineStr">
        <is>
          <t>Quyønh</t>
        </is>
      </c>
      <c r="E762" s="5" t="inlineStr">
        <is>
          <t>26-Feb-07</t>
        </is>
      </c>
      <c r="F762" s="5" t="inlineStr">
        <is>
          <t>LNH0925ND01</t>
        </is>
      </c>
      <c r="G762" s="105" t="n">
        <v>8415000</v>
      </c>
    </row>
    <row r="763">
      <c r="A763" s="5" t="n">
        <v>757</v>
      </c>
      <c r="B763" s="5" t="inlineStr">
        <is>
          <t>25807800153</t>
        </is>
      </c>
      <c r="C763" s="6" t="inlineStr">
        <is>
          <t>Hoaøng Vaên</t>
        </is>
      </c>
      <c r="D763" s="6" t="inlineStr">
        <is>
          <t>Tröôøng</t>
        </is>
      </c>
      <c r="E763" s="5" t="inlineStr">
        <is>
          <t>11-Apr-07</t>
        </is>
      </c>
      <c r="F763" s="5" t="inlineStr">
        <is>
          <t>LNH0925ND01</t>
        </is>
      </c>
      <c r="G763" s="105" t="n">
        <v>8415000</v>
      </c>
    </row>
    <row r="764">
      <c r="A764" s="5" t="n">
        <v>758</v>
      </c>
      <c r="B764" s="5" t="inlineStr">
        <is>
          <t>25820300085</t>
        </is>
      </c>
      <c r="C764" s="6" t="inlineStr">
        <is>
          <t>Nguyeãn Hoaøng Troïn</t>
        </is>
      </c>
      <c r="D764" s="6" t="inlineStr">
        <is>
          <t>Phuù</t>
        </is>
      </c>
      <c r="E764" s="5" t="inlineStr">
        <is>
          <t>05-Aug-07</t>
        </is>
      </c>
      <c r="F764" s="5" t="inlineStr">
        <is>
          <t>LNH0925ND01</t>
        </is>
      </c>
      <c r="G764" s="105" t="n">
        <v>8415000</v>
      </c>
    </row>
    <row r="765">
      <c r="A765" s="5" t="n">
        <v>759</v>
      </c>
      <c r="B765" s="5" t="inlineStr">
        <is>
          <t>25808600090</t>
        </is>
      </c>
      <c r="C765" s="6" t="inlineStr">
        <is>
          <t>Ñoã Thò Minh</t>
        </is>
      </c>
      <c r="D765" s="6" t="inlineStr">
        <is>
          <t>Phöông</t>
        </is>
      </c>
      <c r="E765" s="5" t="inlineStr">
        <is>
          <t>13-May-07</t>
        </is>
      </c>
      <c r="F765" s="5" t="inlineStr">
        <is>
          <t>LNH0925ND01</t>
        </is>
      </c>
      <c r="G765" s="105" t="n">
        <v>8415000</v>
      </c>
    </row>
    <row r="766">
      <c r="A766" s="5" t="n">
        <v>760</v>
      </c>
      <c r="B766" s="5" t="inlineStr">
        <is>
          <t>25800400150</t>
        </is>
      </c>
      <c r="C766" s="6" t="inlineStr">
        <is>
          <t>Löu Nguyeãn Minh</t>
        </is>
      </c>
      <c r="D766" s="6" t="inlineStr">
        <is>
          <t>Thoâng</t>
        </is>
      </c>
      <c r="E766" s="5" t="inlineStr">
        <is>
          <t>11-Apr-07</t>
        </is>
      </c>
      <c r="F766" s="5" t="inlineStr">
        <is>
          <t>LNH0925ND01</t>
        </is>
      </c>
      <c r="G766" s="105" t="n">
        <v>8415000</v>
      </c>
    </row>
    <row r="767">
      <c r="A767" s="5" t="n">
        <v>761</v>
      </c>
      <c r="B767" s="5" t="inlineStr">
        <is>
          <t>25801200066</t>
        </is>
      </c>
      <c r="C767" s="6" t="inlineStr">
        <is>
          <t>Leâ Nguyeãn Hoaøi</t>
        </is>
      </c>
      <c r="D767" s="6" t="inlineStr">
        <is>
          <t>Thöông</t>
        </is>
      </c>
      <c r="E767" s="5" t="inlineStr">
        <is>
          <t>30-Aug-07</t>
        </is>
      </c>
      <c r="F767" s="5" t="inlineStr">
        <is>
          <t>LNH0925ND01</t>
        </is>
      </c>
      <c r="G767" s="105" t="n">
        <v>8415000</v>
      </c>
    </row>
    <row r="768">
      <c r="A768" s="5" t="n">
        <v>762</v>
      </c>
      <c r="B768" s="5" t="inlineStr">
        <is>
          <t>25806800069</t>
        </is>
      </c>
      <c r="C768" s="6" t="inlineStr">
        <is>
          <t>Phaïm Thò Ñaøo</t>
        </is>
      </c>
      <c r="D768" s="6" t="inlineStr">
        <is>
          <t>Thu</t>
        </is>
      </c>
      <c r="E768" s="5" t="inlineStr">
        <is>
          <t>31-Aug-07</t>
        </is>
      </c>
      <c r="F768" s="5" t="inlineStr">
        <is>
          <t>LNH0925ND01</t>
        </is>
      </c>
      <c r="G768" s="105" t="n">
        <v>8415000</v>
      </c>
    </row>
    <row r="769">
      <c r="A769" s="5" t="n">
        <v>763</v>
      </c>
      <c r="B769" s="5" t="inlineStr">
        <is>
          <t>25802700103</t>
        </is>
      </c>
      <c r="C769" s="6" t="inlineStr">
        <is>
          <t>Vaên Thò Caåm</t>
        </is>
      </c>
      <c r="D769" s="6" t="inlineStr">
        <is>
          <t>Tuù</t>
        </is>
      </c>
      <c r="E769" s="5" t="inlineStr">
        <is>
          <t>02-May-07</t>
        </is>
      </c>
      <c r="F769" s="5" t="inlineStr">
        <is>
          <t>LNH0925ND01</t>
        </is>
      </c>
      <c r="G769" s="105" t="n">
        <v>8415000</v>
      </c>
    </row>
    <row r="770">
      <c r="A770" s="5" t="n">
        <v>764</v>
      </c>
      <c r="B770" s="5" t="inlineStr">
        <is>
          <t>25800400290</t>
        </is>
      </c>
      <c r="C770" s="6" t="inlineStr">
        <is>
          <t>Nguyeãn Tröôøng</t>
        </is>
      </c>
      <c r="D770" s="6" t="inlineStr">
        <is>
          <t>Tín</t>
        </is>
      </c>
      <c r="E770" s="5" t="inlineStr">
        <is>
          <t>01-Jan-07</t>
        </is>
      </c>
      <c r="F770" s="5" t="inlineStr">
        <is>
          <t>LNH0925ND01</t>
        </is>
      </c>
      <c r="G770" s="105" t="n">
        <v>8415000</v>
      </c>
    </row>
    <row r="771">
      <c r="A771" s="5" t="n">
        <v>765</v>
      </c>
      <c r="B771" s="5" t="inlineStr">
        <is>
          <t>25808700006</t>
        </is>
      </c>
      <c r="C771" s="6" t="inlineStr">
        <is>
          <t>Leâ Chí</t>
        </is>
      </c>
      <c r="D771" s="6" t="inlineStr">
        <is>
          <t>Baûo</t>
        </is>
      </c>
      <c r="E771" s="5" t="inlineStr">
        <is>
          <t>05-Jan-07</t>
        </is>
      </c>
      <c r="F771" s="5" t="inlineStr">
        <is>
          <t>LNH0925ND01</t>
        </is>
      </c>
      <c r="G771" s="105" t="n">
        <v>8415000</v>
      </c>
    </row>
    <row r="772">
      <c r="A772" s="5" t="n">
        <v>766</v>
      </c>
      <c r="B772" s="5" t="inlineStr">
        <is>
          <t>25808900152</t>
        </is>
      </c>
      <c r="C772" s="6" t="inlineStr">
        <is>
          <t>Voõ Thaønh</t>
        </is>
      </c>
      <c r="D772" s="6" t="inlineStr">
        <is>
          <t>Vinh</t>
        </is>
      </c>
      <c r="E772" s="5" t="inlineStr">
        <is>
          <t>05-Jun-07</t>
        </is>
      </c>
      <c r="F772" s="5" t="inlineStr">
        <is>
          <t>LNH0925ND01</t>
        </is>
      </c>
      <c r="G772" s="105" t="n">
        <v>8415000</v>
      </c>
    </row>
    <row r="773">
      <c r="A773" s="5" t="n">
        <v>767</v>
      </c>
      <c r="B773" s="5" t="inlineStr">
        <is>
          <t>25808900050</t>
        </is>
      </c>
      <c r="C773" s="6" t="inlineStr">
        <is>
          <t>Traàn Naêng</t>
        </is>
      </c>
      <c r="D773" s="6" t="inlineStr">
        <is>
          <t>Höng</t>
        </is>
      </c>
      <c r="E773" s="5" t="inlineStr">
        <is>
          <t>16-Dec-07</t>
        </is>
      </c>
      <c r="F773" s="5" t="inlineStr">
        <is>
          <t>LNH0925ND01</t>
        </is>
      </c>
      <c r="G773" s="105" t="n">
        <v>8415000</v>
      </c>
    </row>
    <row r="774">
      <c r="A774" s="5" t="n">
        <v>768</v>
      </c>
      <c r="B774" s="5" t="inlineStr">
        <is>
          <t>25805900007</t>
        </is>
      </c>
      <c r="C774" s="6" t="inlineStr">
        <is>
          <t>Nguyeãn Thò Hieàn</t>
        </is>
      </c>
      <c r="D774" s="6" t="inlineStr">
        <is>
          <t>Dieäu</t>
        </is>
      </c>
      <c r="E774" s="5" t="inlineStr">
        <is>
          <t>22-Nov-07</t>
        </is>
      </c>
      <c r="F774" s="5" t="inlineStr">
        <is>
          <t>LNH0925ND01</t>
        </is>
      </c>
      <c r="G774" s="105" t="n">
        <v>8415000</v>
      </c>
    </row>
    <row r="775">
      <c r="A775" s="5" t="n">
        <v>769</v>
      </c>
      <c r="B775" s="5" t="inlineStr">
        <is>
          <t>25800400052</t>
        </is>
      </c>
      <c r="C775" s="6" t="inlineStr">
        <is>
          <t>Chaâu Gia</t>
        </is>
      </c>
      <c r="D775" s="6" t="inlineStr">
        <is>
          <t>Huy</t>
        </is>
      </c>
      <c r="E775" s="5" t="inlineStr">
        <is>
          <t>05-Dec-07</t>
        </is>
      </c>
      <c r="F775" s="5" t="inlineStr">
        <is>
          <t>LNH0925ND01</t>
        </is>
      </c>
      <c r="G775" s="105" t="n">
        <v>8415000</v>
      </c>
    </row>
    <row r="776">
      <c r="A776" s="5" t="n">
        <v>770</v>
      </c>
      <c r="B776" s="5" t="inlineStr">
        <is>
          <t>25800400245</t>
        </is>
      </c>
      <c r="C776" s="6" t="inlineStr">
        <is>
          <t>Chaâu Anh</t>
        </is>
      </c>
      <c r="D776" s="6" t="inlineStr">
        <is>
          <t>Kieät</t>
        </is>
      </c>
      <c r="E776" s="5" t="inlineStr">
        <is>
          <t>05-Dec-07</t>
        </is>
      </c>
      <c r="F776" s="5" t="inlineStr">
        <is>
          <t>LNH0925ND01</t>
        </is>
      </c>
      <c r="G776" s="105" t="n">
        <v>8415000</v>
      </c>
    </row>
    <row r="777">
      <c r="A777" s="5" t="n">
        <v>771</v>
      </c>
      <c r="B777" s="5" t="inlineStr">
        <is>
          <t>25802600064</t>
        </is>
      </c>
      <c r="C777" s="6" t="inlineStr">
        <is>
          <t>Huyønh Quoác</t>
        </is>
      </c>
      <c r="D777" s="6" t="inlineStr">
        <is>
          <t>Laõm</t>
        </is>
      </c>
      <c r="E777" s="5" t="inlineStr">
        <is>
          <t>20-Dec-07</t>
        </is>
      </c>
      <c r="F777" s="5" t="inlineStr">
        <is>
          <t>LNH0925ND01</t>
        </is>
      </c>
      <c r="G777" s="105" t="n">
        <v>8415000</v>
      </c>
    </row>
    <row r="778">
      <c r="A778" s="5" t="n">
        <v>772</v>
      </c>
      <c r="B778" s="5" t="inlineStr">
        <is>
          <t>25802600105</t>
        </is>
      </c>
      <c r="C778" s="6" t="inlineStr">
        <is>
          <t>Vöu Thanh</t>
        </is>
      </c>
      <c r="D778" s="6" t="inlineStr">
        <is>
          <t>Sôn</t>
        </is>
      </c>
      <c r="E778" s="5" t="inlineStr">
        <is>
          <t>24-Sep-07</t>
        </is>
      </c>
      <c r="F778" s="5" t="inlineStr">
        <is>
          <t>LNH0925ND01</t>
        </is>
      </c>
      <c r="G778" s="105" t="n">
        <v>8415000</v>
      </c>
    </row>
    <row r="779">
      <c r="A779" s="5" t="n">
        <v>773</v>
      </c>
      <c r="B779" s="5" t="inlineStr">
        <is>
          <t>25820700004</t>
        </is>
      </c>
      <c r="C779" s="6" t="inlineStr">
        <is>
          <t>Traàn Quyønh</t>
        </is>
      </c>
      <c r="D779" s="6" t="inlineStr">
        <is>
          <t>Anh</t>
        </is>
      </c>
      <c r="E779" s="5" t="inlineStr">
        <is>
          <t>29-Sep-07</t>
        </is>
      </c>
      <c r="F779" s="5" t="inlineStr">
        <is>
          <t>LNH0925ND01</t>
        </is>
      </c>
      <c r="G779" s="105" t="n">
        <v>8415000</v>
      </c>
    </row>
    <row r="780">
      <c r="A780" s="5" t="n">
        <v>774</v>
      </c>
      <c r="B780" s="5" t="inlineStr">
        <is>
          <t>25808200108</t>
        </is>
      </c>
      <c r="C780" s="6" t="inlineStr">
        <is>
          <t>Toâ Phöôùc</t>
        </is>
      </c>
      <c r="D780" s="6" t="inlineStr">
        <is>
          <t>Sang</t>
        </is>
      </c>
      <c r="E780" s="5" t="inlineStr">
        <is>
          <t>14-May-07</t>
        </is>
      </c>
      <c r="F780" s="5" t="inlineStr">
        <is>
          <t>LNH0925ND01</t>
        </is>
      </c>
      <c r="G780" s="105" t="n">
        <v>8415000</v>
      </c>
    </row>
    <row r="781">
      <c r="A781" s="5" t="n">
        <v>775</v>
      </c>
      <c r="B781" s="5" t="inlineStr">
        <is>
          <t>25820200060</t>
        </is>
      </c>
      <c r="C781" s="6" t="inlineStr">
        <is>
          <t>Phaïm Troïng</t>
        </is>
      </c>
      <c r="D781" s="6" t="inlineStr">
        <is>
          <t>Toaøn</t>
        </is>
      </c>
      <c r="E781" s="5" t="inlineStr">
        <is>
          <t>24-Jun-07</t>
        </is>
      </c>
      <c r="F781" s="5" t="inlineStr">
        <is>
          <t>LNH0925ND01</t>
        </is>
      </c>
      <c r="G781" s="105" t="n">
        <v>8415000</v>
      </c>
    </row>
    <row r="782">
      <c r="A782" s="5" t="n">
        <v>776</v>
      </c>
      <c r="B782" s="5" t="inlineStr">
        <is>
          <t>25805800054</t>
        </is>
      </c>
      <c r="C782" s="6" t="inlineStr">
        <is>
          <t>Leâ Hoaøng</t>
        </is>
      </c>
      <c r="D782" s="6" t="inlineStr">
        <is>
          <t>Anh</t>
        </is>
      </c>
      <c r="E782" s="5" t="inlineStr">
        <is>
          <t>02-Nov-07</t>
        </is>
      </c>
      <c r="F782" s="5" t="inlineStr">
        <is>
          <t>LNH0925ND01</t>
        </is>
      </c>
      <c r="G782" s="105" t="n">
        <v>8415000</v>
      </c>
    </row>
    <row r="783">
      <c r="A783" s="5" t="n">
        <v>777</v>
      </c>
      <c r="B783" s="5" t="inlineStr">
        <is>
          <t>25802700087</t>
        </is>
      </c>
      <c r="C783" s="6" t="inlineStr">
        <is>
          <t>Nguyeãn Thò Anh</t>
        </is>
      </c>
      <c r="D783" s="6" t="inlineStr">
        <is>
          <t>Thö</t>
        </is>
      </c>
      <c r="E783" s="5" t="inlineStr">
        <is>
          <t>18-Apr-07</t>
        </is>
      </c>
      <c r="F783" s="5" t="inlineStr">
        <is>
          <t>LNH0925ND01</t>
        </is>
      </c>
      <c r="G783" s="105" t="n">
        <v>8415000</v>
      </c>
    </row>
    <row r="784">
      <c r="A784" s="5" t="n">
        <v>778</v>
      </c>
      <c r="B784" s="5" t="inlineStr">
        <is>
          <t>25802700147</t>
        </is>
      </c>
      <c r="C784" s="6" t="inlineStr">
        <is>
          <t>Vuõ Nguyeãn Thu</t>
        </is>
      </c>
      <c r="D784" s="6" t="inlineStr">
        <is>
          <t>Yeán</t>
        </is>
      </c>
      <c r="E784" s="5" t="inlineStr">
        <is>
          <t>24-Jan-07</t>
        </is>
      </c>
      <c r="F784" s="5" t="inlineStr">
        <is>
          <t>LNH0925ND01</t>
        </is>
      </c>
      <c r="G784" s="105" t="n">
        <v>8415000</v>
      </c>
    </row>
    <row r="785">
      <c r="A785" s="5" t="n">
        <v>779</v>
      </c>
      <c r="B785" s="5" t="inlineStr">
        <is>
          <t>25807800067</t>
        </is>
      </c>
      <c r="C785" s="6" t="inlineStr">
        <is>
          <t>Leâ Traø Baûo</t>
        </is>
      </c>
      <c r="D785" s="6" t="inlineStr">
        <is>
          <t>Khoâi</t>
        </is>
      </c>
      <c r="E785" s="5" t="inlineStr">
        <is>
          <t>27-Nov-07</t>
        </is>
      </c>
      <c r="F785" s="5" t="inlineStr">
        <is>
          <t>LNH0925ND01</t>
        </is>
      </c>
      <c r="G785" s="105" t="n">
        <v>8415000</v>
      </c>
    </row>
    <row r="786">
      <c r="A786" s="5" t="n">
        <v>780</v>
      </c>
      <c r="B786" s="5" t="inlineStr">
        <is>
          <t>25808700180</t>
        </is>
      </c>
      <c r="C786" s="6" t="inlineStr">
        <is>
          <t>Ñinh Theá</t>
        </is>
      </c>
      <c r="D786" s="6" t="inlineStr">
        <is>
          <t>Hieån</t>
        </is>
      </c>
      <c r="E786" s="5" t="inlineStr">
        <is>
          <t>12-Nov-07</t>
        </is>
      </c>
      <c r="F786" s="5" t="inlineStr">
        <is>
          <t>LNH0925ND01</t>
        </is>
      </c>
      <c r="G786" s="105" t="n">
        <v>8415000</v>
      </c>
    </row>
    <row r="787">
      <c r="A787" s="5" t="n">
        <v>781</v>
      </c>
      <c r="B787" s="5" t="inlineStr">
        <is>
          <t>25808800050</t>
        </is>
      </c>
      <c r="C787" s="6" t="inlineStr">
        <is>
          <t>Nguyeãn Huyønh Anh</t>
        </is>
      </c>
      <c r="D787" s="6" t="inlineStr">
        <is>
          <t>Thö</t>
        </is>
      </c>
      <c r="E787" s="5" t="inlineStr">
        <is>
          <t>07-Nov-07</t>
        </is>
      </c>
      <c r="F787" s="5" t="inlineStr">
        <is>
          <t>LNH0925ND01</t>
        </is>
      </c>
      <c r="G787" s="105" t="n">
        <v>8415000</v>
      </c>
    </row>
    <row r="788">
      <c r="A788" s="5" t="n">
        <v>782</v>
      </c>
      <c r="B788" s="5" t="inlineStr">
        <is>
          <t>25807900042</t>
        </is>
      </c>
      <c r="C788" s="6" t="inlineStr">
        <is>
          <t>Traàn Nhaät</t>
        </is>
      </c>
      <c r="D788" s="6" t="inlineStr">
        <is>
          <t>Quang</t>
        </is>
      </c>
      <c r="E788" s="5" t="inlineStr">
        <is>
          <t>01-Aug-07</t>
        </is>
      </c>
      <c r="F788" s="5" t="inlineStr">
        <is>
          <t>LNH0925ND01</t>
        </is>
      </c>
      <c r="G788" s="105" t="n">
        <v>8415000</v>
      </c>
    </row>
    <row r="789">
      <c r="A789" s="5" t="n">
        <v>783</v>
      </c>
      <c r="B789" s="5" t="inlineStr">
        <is>
          <t>25807500061</t>
        </is>
      </c>
      <c r="C789" s="6" t="inlineStr">
        <is>
          <t>Huyønh Hoàng</t>
        </is>
      </c>
      <c r="D789" s="6" t="inlineStr">
        <is>
          <t>Loan</t>
        </is>
      </c>
      <c r="E789" s="5" t="inlineStr">
        <is>
          <t>16-Nov-07</t>
        </is>
      </c>
      <c r="F789" s="5" t="inlineStr">
        <is>
          <t>LNH0925ND01</t>
        </is>
      </c>
      <c r="G789" s="105" t="n">
        <v>8415000</v>
      </c>
    </row>
    <row r="790">
      <c r="A790" s="5" t="n">
        <v>784</v>
      </c>
      <c r="B790" s="5" t="inlineStr">
        <is>
          <t>25801900280</t>
        </is>
      </c>
      <c r="C790" s="6" t="inlineStr">
        <is>
          <t>Traàn Nguyeãn Hoaøng</t>
        </is>
      </c>
      <c r="D790" s="6" t="inlineStr">
        <is>
          <t>Phuùc</t>
        </is>
      </c>
      <c r="E790" s="5" t="inlineStr">
        <is>
          <t>09-Dec-07</t>
        </is>
      </c>
      <c r="F790" s="5" t="inlineStr">
        <is>
          <t>LNH0925ND01</t>
        </is>
      </c>
      <c r="G790" s="105" t="n">
        <v>8415000</v>
      </c>
    </row>
    <row r="791">
      <c r="A791" s="5" t="n">
        <v>785</v>
      </c>
      <c r="B791" s="5" t="inlineStr">
        <is>
          <t>25807800156</t>
        </is>
      </c>
      <c r="C791" s="6" t="inlineStr">
        <is>
          <t>Leâ Traàn Quoác</t>
        </is>
      </c>
      <c r="D791" s="6" t="inlineStr">
        <is>
          <t>Tuaán</t>
        </is>
      </c>
      <c r="E791" s="5" t="inlineStr">
        <is>
          <t>02-Jul-07</t>
        </is>
      </c>
      <c r="F791" s="5" t="inlineStr">
        <is>
          <t>LNH0925ND01</t>
        </is>
      </c>
      <c r="G791" s="105" t="n">
        <v>8415000</v>
      </c>
    </row>
    <row r="792">
      <c r="A792" s="5" t="n">
        <v>786</v>
      </c>
      <c r="B792" s="5" t="inlineStr">
        <is>
          <t>25807500037</t>
        </is>
      </c>
      <c r="C792" s="6" t="inlineStr">
        <is>
          <t>Phaïm Minh</t>
        </is>
      </c>
      <c r="D792" s="6" t="inlineStr">
        <is>
          <t>Hoaøng</t>
        </is>
      </c>
      <c r="E792" s="5" t="inlineStr">
        <is>
          <t>31-Oct-07</t>
        </is>
      </c>
      <c r="F792" s="5" t="inlineStr">
        <is>
          <t>LNH0925ND01</t>
        </is>
      </c>
      <c r="G792" s="105" t="n">
        <v>8415000</v>
      </c>
    </row>
    <row r="793">
      <c r="A793" s="5" t="n">
        <v>787</v>
      </c>
      <c r="B793" s="5" t="inlineStr">
        <is>
          <t>25820700070</t>
        </is>
      </c>
      <c r="C793" s="6" t="inlineStr">
        <is>
          <t>Buøi Thò Kim</t>
        </is>
      </c>
      <c r="D793" s="6" t="inlineStr">
        <is>
          <t>Ngaân</t>
        </is>
      </c>
      <c r="E793" s="5" t="inlineStr">
        <is>
          <t>12-Oct-07</t>
        </is>
      </c>
      <c r="F793" s="5" t="inlineStr">
        <is>
          <t>LNH0925ND01</t>
        </is>
      </c>
      <c r="G793" s="105" t="n">
        <v>8415000</v>
      </c>
    </row>
    <row r="794">
      <c r="A794" s="5" t="n">
        <v>788</v>
      </c>
      <c r="B794" s="5" t="inlineStr">
        <is>
          <t>25802800177</t>
        </is>
      </c>
      <c r="C794" s="6" t="inlineStr">
        <is>
          <t>Toâ Ñöùc</t>
        </is>
      </c>
      <c r="D794" s="6" t="inlineStr">
        <is>
          <t>Nguyeân</t>
        </is>
      </c>
      <c r="E794" s="5" t="inlineStr">
        <is>
          <t>21-Jan-07</t>
        </is>
      </c>
      <c r="F794" s="5" t="inlineStr">
        <is>
          <t>LNH0925ND01</t>
        </is>
      </c>
      <c r="G794" s="105" t="n">
        <v>8415000</v>
      </c>
    </row>
    <row r="795">
      <c r="A795" s="5" t="n">
        <v>789</v>
      </c>
      <c r="B795" s="5" t="inlineStr">
        <is>
          <t>25806000112</t>
        </is>
      </c>
      <c r="C795" s="6" t="inlineStr">
        <is>
          <t>Nguyeãn Ngoïc</t>
        </is>
      </c>
      <c r="D795" s="6" t="inlineStr">
        <is>
          <t>Traâm</t>
        </is>
      </c>
      <c r="E795" s="5" t="inlineStr">
        <is>
          <t>03-Feb-07</t>
        </is>
      </c>
      <c r="F795" s="5" t="inlineStr">
        <is>
          <t>LNH0925ND01</t>
        </is>
      </c>
      <c r="G795" s="105" t="n">
        <v>8415000</v>
      </c>
    </row>
    <row r="796">
      <c r="A796" s="5" t="n">
        <v>790</v>
      </c>
      <c r="B796" s="5" t="inlineStr">
        <is>
          <t>25802800006</t>
        </is>
      </c>
      <c r="C796" s="6" t="inlineStr">
        <is>
          <t>Leâ Hoàng</t>
        </is>
      </c>
      <c r="D796" s="6" t="inlineStr">
        <is>
          <t>Anh</t>
        </is>
      </c>
      <c r="E796" s="5" t="inlineStr">
        <is>
          <t>07-Oct-07</t>
        </is>
      </c>
      <c r="F796" s="5" t="inlineStr">
        <is>
          <t>LNH0925ND01</t>
        </is>
      </c>
      <c r="G796" s="105" t="n">
        <v>8415000</v>
      </c>
    </row>
    <row r="797">
      <c r="A797" s="5" t="n">
        <v>791</v>
      </c>
      <c r="B797" s="5" t="inlineStr">
        <is>
          <t>25800400051</t>
        </is>
      </c>
      <c r="C797" s="6" t="inlineStr">
        <is>
          <t>Nguyeãn Laâm</t>
        </is>
      </c>
      <c r="D797" s="6" t="inlineStr">
        <is>
          <t>Huøng</t>
        </is>
      </c>
      <c r="E797" s="5" t="inlineStr">
        <is>
          <t>24-Oct-07</t>
        </is>
      </c>
      <c r="F797" s="5" t="inlineStr">
        <is>
          <t>LNH0925ND01</t>
        </is>
      </c>
      <c r="G797" s="105" t="n">
        <v>8415000</v>
      </c>
    </row>
    <row r="798">
      <c r="A798" s="5" t="n">
        <v>792</v>
      </c>
      <c r="B798" s="5" t="inlineStr">
        <is>
          <t>25805900063</t>
        </is>
      </c>
      <c r="C798" s="6" t="inlineStr">
        <is>
          <t>Döông Phöông</t>
        </is>
      </c>
      <c r="D798" s="6" t="inlineStr">
        <is>
          <t>Uyeân</t>
        </is>
      </c>
      <c r="E798" s="5" t="inlineStr">
        <is>
          <t>05-Dec-07</t>
        </is>
      </c>
      <c r="F798" s="5" t="inlineStr">
        <is>
          <t>LNH0925ND01</t>
        </is>
      </c>
      <c r="G798" s="105" t="n">
        <v>8415000</v>
      </c>
    </row>
    <row r="799">
      <c r="A799" s="5" t="n">
        <v>793</v>
      </c>
      <c r="B799" s="5" t="inlineStr">
        <is>
          <t>25802600208</t>
        </is>
      </c>
      <c r="C799" s="6" t="inlineStr">
        <is>
          <t>Phan Anh</t>
        </is>
      </c>
      <c r="D799" s="6" t="inlineStr">
        <is>
          <t>Thö</t>
        </is>
      </c>
      <c r="E799" s="5" t="inlineStr">
        <is>
          <t>19-May-07</t>
        </is>
      </c>
      <c r="F799" s="5" t="inlineStr">
        <is>
          <t>LNH0925ND01</t>
        </is>
      </c>
      <c r="G799" s="105" t="n">
        <v>8415000</v>
      </c>
    </row>
    <row r="800">
      <c r="A800" s="5" t="n">
        <v>794</v>
      </c>
      <c r="B800" s="5" t="inlineStr">
        <is>
          <t>25808600245</t>
        </is>
      </c>
      <c r="C800" s="6" t="inlineStr">
        <is>
          <t>Phan Minh</t>
        </is>
      </c>
      <c r="D800" s="6" t="inlineStr">
        <is>
          <t>Thö</t>
        </is>
      </c>
      <c r="E800" s="5" t="inlineStr">
        <is>
          <t>19-May-07</t>
        </is>
      </c>
      <c r="F800" s="5" t="inlineStr">
        <is>
          <t>LNH0925ND01</t>
        </is>
      </c>
      <c r="G800" s="105" t="n">
        <v>8415000</v>
      </c>
    </row>
    <row r="801">
      <c r="A801" s="5" t="n">
        <v>795</v>
      </c>
      <c r="B801" s="5" t="inlineStr">
        <is>
          <t>25802800015</t>
        </is>
      </c>
      <c r="C801" s="6" t="inlineStr">
        <is>
          <t>Nguyeãn Ngoïc Baûo</t>
        </is>
      </c>
      <c r="D801" s="6" t="inlineStr">
        <is>
          <t>AÂn</t>
        </is>
      </c>
      <c r="E801" s="5" t="inlineStr">
        <is>
          <t>24-Feb-07</t>
        </is>
      </c>
      <c r="F801" s="5" t="inlineStr">
        <is>
          <t>LNH0925ND01</t>
        </is>
      </c>
      <c r="G801" s="105" t="n">
        <v>8415000</v>
      </c>
    </row>
    <row r="802">
      <c r="A802" s="5" t="n">
        <v>796</v>
      </c>
      <c r="B802" s="5" t="inlineStr">
        <is>
          <t>25800400218</t>
        </is>
      </c>
      <c r="C802" s="6" t="inlineStr">
        <is>
          <t>Taï Minh</t>
        </is>
      </c>
      <c r="D802" s="6" t="inlineStr">
        <is>
          <t>Taân</t>
        </is>
      </c>
      <c r="E802" s="5" t="inlineStr">
        <is>
          <t>08-Dec-07</t>
        </is>
      </c>
      <c r="F802" s="5" t="inlineStr">
        <is>
          <t>LNH0925ND01</t>
        </is>
      </c>
      <c r="G802" s="105" t="n">
        <v>8415000</v>
      </c>
    </row>
    <row r="803">
      <c r="A803" s="5" t="n">
        <v>797</v>
      </c>
      <c r="B803" s="5" t="inlineStr">
        <is>
          <t>25807500054</t>
        </is>
      </c>
      <c r="C803" s="6" t="inlineStr">
        <is>
          <t>Ñaëng Myõ</t>
        </is>
      </c>
      <c r="D803" s="6" t="inlineStr">
        <is>
          <t>Kieàu</t>
        </is>
      </c>
      <c r="E803" s="5" t="inlineStr">
        <is>
          <t>16-Apr-07</t>
        </is>
      </c>
      <c r="F803" s="5" t="inlineStr">
        <is>
          <t>LNH0925ND01</t>
        </is>
      </c>
      <c r="G803" s="105" t="n">
        <v>8415000</v>
      </c>
    </row>
    <row r="804">
      <c r="A804" s="5" t="n">
        <v>798</v>
      </c>
      <c r="B804" s="5" t="inlineStr">
        <is>
          <t>25808900231</t>
        </is>
      </c>
      <c r="C804" s="6" t="inlineStr">
        <is>
          <t>Vuõ Trung</t>
        </is>
      </c>
      <c r="D804" s="6" t="inlineStr">
        <is>
          <t>Nguyeân</t>
        </is>
      </c>
      <c r="E804" s="5" t="inlineStr">
        <is>
          <t>04-Nov-07</t>
        </is>
      </c>
      <c r="F804" s="5" t="inlineStr">
        <is>
          <t>LNH0925ND01</t>
        </is>
      </c>
      <c r="G804" s="105" t="n">
        <v>8415000</v>
      </c>
    </row>
    <row r="805">
      <c r="A805" s="5" t="n">
        <v>799</v>
      </c>
      <c r="B805" s="5" t="inlineStr">
        <is>
          <t>25801100089</t>
        </is>
      </c>
      <c r="C805" s="6" t="inlineStr">
        <is>
          <t>Traàn Thò</t>
        </is>
      </c>
      <c r="D805" s="6" t="inlineStr">
        <is>
          <t>Haø</t>
        </is>
      </c>
      <c r="E805" s="5" t="inlineStr">
        <is>
          <t>14-May-95</t>
        </is>
      </c>
      <c r="F805" s="5" t="inlineStr">
        <is>
          <t>LNH0925ND01</t>
        </is>
      </c>
      <c r="G805" s="105" t="n">
        <v>8415000</v>
      </c>
    </row>
    <row r="806">
      <c r="A806" s="5" t="n">
        <v>800</v>
      </c>
      <c r="B806" s="5" t="inlineStr">
        <is>
          <t>25801100107</t>
        </is>
      </c>
      <c r="C806" s="6" t="inlineStr">
        <is>
          <t>Phan Thò Thuyù</t>
        </is>
      </c>
      <c r="D806" s="6" t="inlineStr">
        <is>
          <t>Vi</t>
        </is>
      </c>
      <c r="E806" s="5" t="inlineStr">
        <is>
          <t>15-Feb-94</t>
        </is>
      </c>
      <c r="F806" s="5" t="inlineStr">
        <is>
          <t>LNH0925ND01</t>
        </is>
      </c>
      <c r="G806" s="105" t="n">
        <v>8415000</v>
      </c>
    </row>
    <row r="807">
      <c r="A807" s="5" t="n">
        <v>801</v>
      </c>
      <c r="B807" s="5" t="inlineStr">
        <is>
          <t>25801300026</t>
        </is>
      </c>
      <c r="C807" s="6" t="inlineStr">
        <is>
          <t>Leâ Minh</t>
        </is>
      </c>
      <c r="D807" s="6" t="inlineStr">
        <is>
          <t>Nhaät</t>
        </is>
      </c>
      <c r="E807" s="5" t="inlineStr">
        <is>
          <t>27-Apr-07</t>
        </is>
      </c>
      <c r="F807" s="5" t="inlineStr">
        <is>
          <t>LNH0925ND01</t>
        </is>
      </c>
      <c r="G807" s="105" t="n">
        <v>8415000</v>
      </c>
    </row>
    <row r="808">
      <c r="A808" s="5" t="n">
        <v>802</v>
      </c>
      <c r="B808" s="5" t="inlineStr">
        <is>
          <t>25807500007</t>
        </is>
      </c>
      <c r="C808" s="6" t="inlineStr">
        <is>
          <t>Nguyen Thi Mai</t>
        </is>
      </c>
      <c r="D808" s="6" t="inlineStr">
        <is>
          <t>Anh</t>
        </is>
      </c>
      <c r="E808" s="5" t="inlineStr">
        <is>
          <t xml:space="preserve">  -   -</t>
        </is>
      </c>
      <c r="F808" s="5" t="inlineStr">
        <is>
          <t>LNH0925ND01</t>
        </is>
      </c>
      <c r="G808" s="105" t="n">
        <v>8415000</v>
      </c>
    </row>
    <row r="809">
      <c r="A809" s="5" t="n">
        <v>803</v>
      </c>
      <c r="B809" s="5" t="inlineStr">
        <is>
          <t>25800600343</t>
        </is>
      </c>
      <c r="C809" s="6" t="inlineStr">
        <is>
          <t>Nguyeãn Ñaêng</t>
        </is>
      </c>
      <c r="D809" s="6" t="inlineStr">
        <is>
          <t>Khoa</t>
        </is>
      </c>
      <c r="E809" s="5" t="inlineStr">
        <is>
          <t>12-Sep-07</t>
        </is>
      </c>
      <c r="F809" s="5" t="inlineStr">
        <is>
          <t>LNH0925ND01</t>
        </is>
      </c>
      <c r="G809" s="105" t="n">
        <v>8415000</v>
      </c>
    </row>
    <row r="810">
      <c r="A810" s="5" t="n">
        <v>804</v>
      </c>
      <c r="B810" s="5" t="inlineStr">
        <is>
          <t>25800500093</t>
        </is>
      </c>
      <c r="C810" s="6" t="inlineStr">
        <is>
          <t>Nguyeãn Traàn Ñaêng</t>
        </is>
      </c>
      <c r="D810" s="6" t="inlineStr">
        <is>
          <t>Khoa</t>
        </is>
      </c>
      <c r="E810" s="5" t="inlineStr">
        <is>
          <t>21-Sep-07</t>
        </is>
      </c>
      <c r="F810" s="5" t="inlineStr">
        <is>
          <t>LNH0925ND01</t>
        </is>
      </c>
      <c r="G810" s="105" t="n">
        <v>8415000</v>
      </c>
    </row>
    <row r="811">
      <c r="A811" s="5" t="n">
        <v>805</v>
      </c>
      <c r="B811" s="5" t="inlineStr">
        <is>
          <t>25800400122</t>
        </is>
      </c>
      <c r="C811" s="6" t="inlineStr">
        <is>
          <t>Ñaëng Nguyeãn Hoaøng</t>
        </is>
      </c>
      <c r="D811" s="6" t="inlineStr">
        <is>
          <t>Phuù</t>
        </is>
      </c>
      <c r="E811" s="5" t="inlineStr">
        <is>
          <t>11-Apr-05</t>
        </is>
      </c>
      <c r="F811" s="5" t="inlineStr">
        <is>
          <t>LNH0925ND01</t>
        </is>
      </c>
      <c r="G811" s="105" t="n">
        <v>8415000</v>
      </c>
    </row>
    <row r="812">
      <c r="A812" s="5" t="n">
        <v>806</v>
      </c>
      <c r="B812" s="5" t="inlineStr">
        <is>
          <t>25801800089</t>
        </is>
      </c>
      <c r="C812" s="6" t="inlineStr">
        <is>
          <t>Nguyeãn Ngoïc Nhö</t>
        </is>
      </c>
      <c r="D812" s="6" t="inlineStr">
        <is>
          <t>YÙ</t>
        </is>
      </c>
      <c r="E812" s="5" t="inlineStr">
        <is>
          <t>29-Jan-07</t>
        </is>
      </c>
      <c r="F812" s="5" t="inlineStr">
        <is>
          <t>LNH0925ND01</t>
        </is>
      </c>
      <c r="G812" s="105" t="n">
        <v>8415000</v>
      </c>
    </row>
    <row r="813">
      <c r="A813" s="5" t="n">
        <v>807</v>
      </c>
      <c r="B813" s="5" t="inlineStr">
        <is>
          <t>25802700016</t>
        </is>
      </c>
      <c r="C813" s="6" t="inlineStr">
        <is>
          <t>Nguyeãn Quoác</t>
        </is>
      </c>
      <c r="D813" s="6" t="inlineStr">
        <is>
          <t>Ñaït</t>
        </is>
      </c>
      <c r="E813" s="5" t="inlineStr">
        <is>
          <t>10-May-07</t>
        </is>
      </c>
      <c r="F813" s="5" t="inlineStr">
        <is>
          <t>LNH0925ND01</t>
        </is>
      </c>
      <c r="G813" s="105" t="n">
        <v>8415000</v>
      </c>
    </row>
    <row r="814">
      <c r="A814" s="5" t="n">
        <v>808</v>
      </c>
      <c r="B814" s="5" t="inlineStr">
        <is>
          <t>25803800058</t>
        </is>
      </c>
      <c r="C814" s="6" t="inlineStr">
        <is>
          <t>Giang Quoác</t>
        </is>
      </c>
      <c r="D814" s="6" t="inlineStr">
        <is>
          <t>Thònh</t>
        </is>
      </c>
      <c r="E814" s="5" t="inlineStr">
        <is>
          <t>18-Jun-07</t>
        </is>
      </c>
      <c r="F814" s="5" t="inlineStr">
        <is>
          <t>LNH0925ND01</t>
        </is>
      </c>
      <c r="G814" s="105" t="n">
        <v>8415000</v>
      </c>
    </row>
    <row r="815">
      <c r="A815" s="5" t="n">
        <v>809</v>
      </c>
      <c r="B815" s="5" t="inlineStr">
        <is>
          <t>25807900120</t>
        </is>
      </c>
      <c r="C815" s="6" t="inlineStr">
        <is>
          <t>Traàn Ñöùc</t>
        </is>
      </c>
      <c r="D815" s="6" t="inlineStr">
        <is>
          <t>Phaùt</t>
        </is>
      </c>
      <c r="E815" s="5" t="inlineStr">
        <is>
          <t>12-Mar-07</t>
        </is>
      </c>
      <c r="F815" s="5" t="inlineStr">
        <is>
          <t>LNH0925ND01</t>
        </is>
      </c>
      <c r="G815" s="105" t="n">
        <v>8415000</v>
      </c>
    </row>
    <row r="816">
      <c r="A816" s="5" t="n">
        <v>810</v>
      </c>
      <c r="B816" s="5" t="inlineStr">
        <is>
          <t>25809400036</t>
        </is>
      </c>
      <c r="C816" s="6" t="inlineStr">
        <is>
          <t>Leâ Thanh</t>
        </is>
      </c>
      <c r="D816" s="6" t="inlineStr">
        <is>
          <t>Bình</t>
        </is>
      </c>
      <c r="E816" s="5" t="inlineStr">
        <is>
          <t>04-Jun-07</t>
        </is>
      </c>
      <c r="F816" s="5" t="inlineStr">
        <is>
          <t>LNH0925ND01</t>
        </is>
      </c>
      <c r="G816" s="105" t="n">
        <v>8415000</v>
      </c>
    </row>
    <row r="817">
      <c r="A817" s="5" t="n">
        <v>811</v>
      </c>
      <c r="B817" s="5" t="inlineStr">
        <is>
          <t>25801200058</t>
        </is>
      </c>
      <c r="C817" s="6" t="inlineStr">
        <is>
          <t>Nguyeãn Phöông</t>
        </is>
      </c>
      <c r="D817" s="6" t="inlineStr">
        <is>
          <t>Vónh</t>
        </is>
      </c>
      <c r="E817" s="5" t="inlineStr">
        <is>
          <t>28-Mar-06</t>
        </is>
      </c>
      <c r="F817" s="5" t="inlineStr">
        <is>
          <t>LNH0925ND01</t>
        </is>
      </c>
      <c r="G817" s="105" t="n">
        <v>8415000</v>
      </c>
    </row>
    <row r="818">
      <c r="A818" s="5" t="n">
        <v>812</v>
      </c>
      <c r="B818" s="7" t="inlineStr">
        <is>
          <t>25820300056</t>
        </is>
      </c>
      <c r="C818" s="8" t="inlineStr">
        <is>
          <t>Voõ Duy</t>
        </is>
      </c>
      <c r="D818" s="8" t="inlineStr">
        <is>
          <t>Thaønh</t>
        </is>
      </c>
      <c r="E818" s="7" t="inlineStr">
        <is>
          <t>11-Jul-07</t>
        </is>
      </c>
      <c r="F818" s="7" t="inlineStr">
        <is>
          <t>LNH0925ND01</t>
        </is>
      </c>
      <c r="G818" s="108" t="n">
        <v>8415000</v>
      </c>
    </row>
    <row r="819">
      <c r="A819" s="5" t="n">
        <v>813</v>
      </c>
      <c r="B819" s="5" t="inlineStr">
        <is>
          <t>25802700203</t>
        </is>
      </c>
      <c r="C819" s="6" t="inlineStr">
        <is>
          <t>Ñoã Nguyeãn Thu</t>
        </is>
      </c>
      <c r="D819" s="6" t="inlineStr">
        <is>
          <t>Nguyeät</t>
        </is>
      </c>
      <c r="E819" s="5" t="inlineStr">
        <is>
          <t>09-Oct-07</t>
        </is>
      </c>
      <c r="F819" s="5" t="inlineStr">
        <is>
          <t>LNH0925ND01</t>
        </is>
      </c>
      <c r="G819" s="105" t="n">
        <v>8415000</v>
      </c>
    </row>
    <row r="820">
      <c r="A820" s="5" t="n">
        <v>814</v>
      </c>
      <c r="B820" s="5" t="inlineStr">
        <is>
          <t>25808700221</t>
        </is>
      </c>
      <c r="C820" s="6" t="inlineStr">
        <is>
          <t>Huyønh Phuùc</t>
        </is>
      </c>
      <c r="D820" s="6" t="inlineStr">
        <is>
          <t>Chieán</t>
        </is>
      </c>
      <c r="E820" s="5" t="inlineStr">
        <is>
          <t>05-Jul-07</t>
        </is>
      </c>
      <c r="F820" s="5" t="inlineStr">
        <is>
          <t>LNH0925ND01</t>
        </is>
      </c>
      <c r="G820" s="105" t="n">
        <v>8415000</v>
      </c>
    </row>
    <row r="821">
      <c r="A821" s="5" t="n">
        <v>815</v>
      </c>
      <c r="B821" s="5" t="inlineStr">
        <is>
          <t>25800600765</t>
        </is>
      </c>
      <c r="C821" s="6" t="inlineStr">
        <is>
          <t>Phan Anh</t>
        </is>
      </c>
      <c r="D821" s="6" t="inlineStr">
        <is>
          <t>Tuaán</t>
        </is>
      </c>
      <c r="E821" s="5" t="inlineStr">
        <is>
          <t>29-Aug-07</t>
        </is>
      </c>
      <c r="F821" s="5" t="inlineStr">
        <is>
          <t>LNH0925ND01</t>
        </is>
      </c>
      <c r="G821" s="105" t="n">
        <v>8415000</v>
      </c>
    </row>
    <row r="822">
      <c r="A822" s="5" t="n">
        <v>816</v>
      </c>
      <c r="B822" s="5" t="inlineStr">
        <is>
          <t>25808100045</t>
        </is>
      </c>
      <c r="C822" s="6" t="inlineStr">
        <is>
          <t>Nguyeãn Hoaøng</t>
        </is>
      </c>
      <c r="D822" s="6" t="inlineStr">
        <is>
          <t>Quaân</t>
        </is>
      </c>
      <c r="E822" s="5" t="inlineStr">
        <is>
          <t>26-Sep-07</t>
        </is>
      </c>
      <c r="F822" s="5" t="inlineStr">
        <is>
          <t>LNH0925ND01</t>
        </is>
      </c>
      <c r="G822" s="105" t="n">
        <v>8415000</v>
      </c>
    </row>
    <row r="823">
      <c r="A823" s="5" t="n">
        <v>817</v>
      </c>
      <c r="B823" s="5" t="inlineStr">
        <is>
          <t>25808900243</t>
        </is>
      </c>
      <c r="C823" s="6" t="inlineStr">
        <is>
          <t>Ñoã Ngoïc</t>
        </is>
      </c>
      <c r="D823" s="6" t="inlineStr">
        <is>
          <t>An</t>
        </is>
      </c>
      <c r="E823" s="5" t="inlineStr">
        <is>
          <t>06-Nov-07</t>
        </is>
      </c>
      <c r="F823" s="5" t="inlineStr">
        <is>
          <t>LNH0925ND01</t>
        </is>
      </c>
      <c r="G823" s="105" t="n">
        <v>8415000</v>
      </c>
    </row>
    <row r="824">
      <c r="A824" s="5" t="n">
        <v>818</v>
      </c>
      <c r="B824" s="5" t="inlineStr">
        <is>
          <t>25808600014</t>
        </is>
      </c>
      <c r="C824" s="6" t="inlineStr">
        <is>
          <t>Chen Chien</t>
        </is>
      </c>
      <c r="D824" s="6" t="inlineStr">
        <is>
          <t>Chih</t>
        </is>
      </c>
      <c r="E824" s="5" t="inlineStr">
        <is>
          <t>17-May-05</t>
        </is>
      </c>
      <c r="F824" s="5" t="inlineStr">
        <is>
          <t>LNH0925ND01</t>
        </is>
      </c>
      <c r="G824" s="105" t="n">
        <v>8415000</v>
      </c>
    </row>
    <row r="825">
      <c r="A825" s="5" t="n">
        <v>819</v>
      </c>
      <c r="B825" s="5" t="inlineStr">
        <is>
          <t>25802800020</t>
        </is>
      </c>
      <c r="C825" s="6" t="inlineStr">
        <is>
          <t>Tröông Nguyeãn Gia</t>
        </is>
      </c>
      <c r="D825" s="6" t="inlineStr">
        <is>
          <t>Baûo</t>
        </is>
      </c>
      <c r="E825" s="5" t="inlineStr">
        <is>
          <t>13-Aug-07</t>
        </is>
      </c>
      <c r="F825" s="5" t="inlineStr">
        <is>
          <t>LNH0925ND01</t>
        </is>
      </c>
      <c r="G825" s="105" t="n">
        <v>8415000</v>
      </c>
    </row>
    <row r="826">
      <c r="A826" s="5" t="n">
        <v>820</v>
      </c>
      <c r="B826" s="5" t="inlineStr">
        <is>
          <t>25807500069</t>
        </is>
      </c>
      <c r="C826" s="6" t="inlineStr">
        <is>
          <t>Ly Hue</t>
        </is>
      </c>
      <c r="D826" s="6" t="inlineStr">
        <is>
          <t>Man</t>
        </is>
      </c>
      <c r="E826" s="5" t="inlineStr">
        <is>
          <t xml:space="preserve">  -   -</t>
        </is>
      </c>
      <c r="F826" s="5" t="inlineStr">
        <is>
          <t>LNH0925ND01</t>
        </is>
      </c>
      <c r="G826" s="105" t="n">
        <v>8415000</v>
      </c>
    </row>
    <row r="827">
      <c r="A827" s="5" t="n">
        <v>821</v>
      </c>
      <c r="B827" s="5" t="inlineStr">
        <is>
          <t>25807800075</t>
        </is>
      </c>
      <c r="C827" s="6" t="inlineStr">
        <is>
          <t>Leâ Troïng</t>
        </is>
      </c>
      <c r="D827" s="6" t="inlineStr">
        <is>
          <t>Long</t>
        </is>
      </c>
      <c r="E827" s="5" t="inlineStr">
        <is>
          <t>26-Nov-07</t>
        </is>
      </c>
      <c r="F827" s="5" t="inlineStr">
        <is>
          <t>LNH0925ND01</t>
        </is>
      </c>
      <c r="G827" s="105" t="n">
        <v>8415000</v>
      </c>
    </row>
    <row r="828">
      <c r="A828" s="5" t="n">
        <v>822</v>
      </c>
      <c r="B828" s="5" t="inlineStr">
        <is>
          <t>25808600105</t>
        </is>
      </c>
      <c r="C828" s="6" t="inlineStr">
        <is>
          <t>Leâ Minh</t>
        </is>
      </c>
      <c r="D828" s="6" t="inlineStr">
        <is>
          <t>Taâm</t>
        </is>
      </c>
      <c r="E828" s="5" t="inlineStr">
        <is>
          <t>23-Oct-07</t>
        </is>
      </c>
      <c r="F828" s="5" t="inlineStr">
        <is>
          <t>LNH0925ND01</t>
        </is>
      </c>
      <c r="G828" s="105" t="n">
        <v>8415000</v>
      </c>
    </row>
    <row r="829">
      <c r="A829" s="5" t="n">
        <v>823</v>
      </c>
      <c r="B829" s="5" t="inlineStr">
        <is>
          <t>25807700110</t>
        </is>
      </c>
      <c r="C829" s="6" t="inlineStr">
        <is>
          <t>Nguyeãn Minh</t>
        </is>
      </c>
      <c r="D829" s="6" t="inlineStr">
        <is>
          <t>Thuaän</t>
        </is>
      </c>
      <c r="E829" s="5" t="inlineStr">
        <is>
          <t>08-Dec-04</t>
        </is>
      </c>
      <c r="F829" s="5" t="inlineStr">
        <is>
          <t>LNH0925ND01</t>
        </is>
      </c>
      <c r="G829" s="105" t="n">
        <v>8415000</v>
      </c>
    </row>
    <row r="830">
      <c r="A830" s="5" t="n">
        <v>824</v>
      </c>
      <c r="B830" s="5" t="inlineStr">
        <is>
          <t>25806300027</t>
        </is>
      </c>
      <c r="C830" s="6" t="inlineStr">
        <is>
          <t>Phaïm Ngoïc Phöông</t>
        </is>
      </c>
      <c r="D830" s="6" t="inlineStr">
        <is>
          <t>Nam</t>
        </is>
      </c>
      <c r="E830" s="5" t="inlineStr">
        <is>
          <t>13-Oct-07</t>
        </is>
      </c>
      <c r="F830" s="5" t="inlineStr">
        <is>
          <t>LNH0925ND01</t>
        </is>
      </c>
      <c r="G830" s="105" t="n">
        <v>8415000</v>
      </c>
    </row>
    <row r="831">
      <c r="A831" s="5" t="n">
        <v>825</v>
      </c>
      <c r="B831" s="5" t="inlineStr">
        <is>
          <t>25808200123</t>
        </is>
      </c>
      <c r="C831" s="6" t="inlineStr">
        <is>
          <t>Leâ Ngoïc</t>
        </is>
      </c>
      <c r="D831" s="6" t="inlineStr">
        <is>
          <t>Thieän</t>
        </is>
      </c>
      <c r="E831" s="5" t="inlineStr">
        <is>
          <t>01-Aug-07</t>
        </is>
      </c>
      <c r="F831" s="5" t="inlineStr">
        <is>
          <t>LNH0925ND01</t>
        </is>
      </c>
      <c r="G831" s="105" t="n">
        <v>8415000</v>
      </c>
    </row>
    <row r="832">
      <c r="A832" s="5" t="n">
        <v>826</v>
      </c>
      <c r="B832" s="5" t="inlineStr">
        <is>
          <t>25808600269</t>
        </is>
      </c>
      <c r="C832" s="6" t="inlineStr">
        <is>
          <t>Traàn Nguyeãn Thaùi</t>
        </is>
      </c>
      <c r="D832" s="6" t="inlineStr">
        <is>
          <t>Linh</t>
        </is>
      </c>
      <c r="E832" s="5" t="inlineStr">
        <is>
          <t>31-Mar-07</t>
        </is>
      </c>
      <c r="F832" s="5" t="inlineStr">
        <is>
          <t>LNH0925ND01</t>
        </is>
      </c>
      <c r="G832" s="105" t="n">
        <v>8415000</v>
      </c>
    </row>
    <row r="833">
      <c r="A833" s="5" t="n">
        <v>827</v>
      </c>
      <c r="B833" s="5" t="inlineStr">
        <is>
          <t>25807700074</t>
        </is>
      </c>
      <c r="C833" s="6" t="inlineStr">
        <is>
          <t>Phaïm Löông</t>
        </is>
      </c>
      <c r="D833" s="6" t="inlineStr">
        <is>
          <t>Toaøn</t>
        </is>
      </c>
      <c r="E833" s="5" t="inlineStr">
        <is>
          <t>06-Oct-07</t>
        </is>
      </c>
      <c r="F833" s="5" t="inlineStr">
        <is>
          <t>LNH0925ND01</t>
        </is>
      </c>
      <c r="G833" s="105" t="n">
        <v>8415000</v>
      </c>
    </row>
    <row r="834">
      <c r="A834" s="5" t="n">
        <v>828</v>
      </c>
      <c r="B834" s="5" t="inlineStr">
        <is>
          <t>25808700047</t>
        </is>
      </c>
      <c r="C834" s="6" t="inlineStr">
        <is>
          <t>Nguyen Mai Nhat</t>
        </is>
      </c>
      <c r="D834" s="6" t="inlineStr">
        <is>
          <t>Linh</t>
        </is>
      </c>
      <c r="E834" s="5" t="inlineStr">
        <is>
          <t>11-May-07</t>
        </is>
      </c>
      <c r="F834" s="5" t="inlineStr">
        <is>
          <t>LNH0925ND01</t>
        </is>
      </c>
      <c r="G834" s="105" t="n">
        <v>8415000</v>
      </c>
      <c r="H834" s="31" t="n"/>
    </row>
    <row r="835">
      <c r="A835" s="5" t="n">
        <v>829</v>
      </c>
      <c r="B835" s="5" t="inlineStr">
        <is>
          <t>25808700015</t>
        </is>
      </c>
      <c r="C835" s="6" t="inlineStr">
        <is>
          <t>Döông Höõu Khaùnh</t>
        </is>
      </c>
      <c r="D835" s="6" t="inlineStr">
        <is>
          <t>Ñaït</t>
        </is>
      </c>
      <c r="E835" s="5" t="inlineStr">
        <is>
          <t>02-Feb-07</t>
        </is>
      </c>
      <c r="F835" s="5" t="inlineStr">
        <is>
          <t>LNH0925ND01</t>
        </is>
      </c>
      <c r="G835" s="105" t="n">
        <v>8415000</v>
      </c>
    </row>
    <row r="836">
      <c r="A836" s="5" t="n">
        <v>830</v>
      </c>
      <c r="B836" s="5" t="inlineStr">
        <is>
          <t>25807700003</t>
        </is>
      </c>
      <c r="C836" s="6" t="inlineStr">
        <is>
          <t>Nguyeãn Vieät</t>
        </is>
      </c>
      <c r="D836" s="6" t="inlineStr">
        <is>
          <t>Anh</t>
        </is>
      </c>
      <c r="E836" s="5" t="inlineStr">
        <is>
          <t>16-Jan-07</t>
        </is>
      </c>
      <c r="F836" s="5" t="inlineStr">
        <is>
          <t>LNH0925ND01</t>
        </is>
      </c>
      <c r="G836" s="105" t="n">
        <v>8415000</v>
      </c>
    </row>
    <row r="837">
      <c r="A837" s="5" t="n">
        <v>831</v>
      </c>
      <c r="B837" s="5" t="inlineStr">
        <is>
          <t>25806400012</t>
        </is>
      </c>
      <c r="C837" s="6" t="inlineStr">
        <is>
          <t>Nguyeãn Hoaøng</t>
        </is>
      </c>
      <c r="D837" s="6" t="inlineStr">
        <is>
          <t>Khoâi</t>
        </is>
      </c>
      <c r="E837" s="5" t="inlineStr">
        <is>
          <t>22-Oct-07</t>
        </is>
      </c>
      <c r="F837" s="5" t="inlineStr">
        <is>
          <t>LNH0925ND01</t>
        </is>
      </c>
      <c r="G837" s="105" t="n">
        <v>8415000</v>
      </c>
    </row>
    <row r="838">
      <c r="A838" s="5" t="n">
        <v>832</v>
      </c>
      <c r="B838" s="5" t="inlineStr">
        <is>
          <t>25802100022</t>
        </is>
      </c>
      <c r="C838" s="6" t="inlineStr">
        <is>
          <t>Leâ Nguyeãn Tuaán</t>
        </is>
      </c>
      <c r="D838" s="6" t="inlineStr">
        <is>
          <t>Kieät</t>
        </is>
      </c>
      <c r="E838" s="5" t="inlineStr">
        <is>
          <t>23-Jun-07</t>
        </is>
      </c>
      <c r="F838" s="5" t="inlineStr">
        <is>
          <t>LNH0925ND01</t>
        </is>
      </c>
      <c r="G838" s="105" t="n">
        <v>8415000</v>
      </c>
    </row>
    <row r="839">
      <c r="A839" s="5" t="n">
        <v>833</v>
      </c>
      <c r="B839" s="5" t="inlineStr">
        <is>
          <t>25803000389</t>
        </is>
      </c>
      <c r="C839" s="6" t="inlineStr">
        <is>
          <t>Nguyeãn Thò Kim</t>
        </is>
      </c>
      <c r="D839" s="6" t="inlineStr">
        <is>
          <t>Ngaân</t>
        </is>
      </c>
      <c r="E839" s="5" t="inlineStr">
        <is>
          <t>16-Apr-07</t>
        </is>
      </c>
      <c r="F839" s="5" t="inlineStr">
        <is>
          <t>LNH0925ND01</t>
        </is>
      </c>
      <c r="G839" s="105" t="n">
        <v>8415000</v>
      </c>
    </row>
    <row r="840">
      <c r="A840" s="5" t="n">
        <v>834</v>
      </c>
      <c r="B840" s="5" t="inlineStr">
        <is>
          <t>25820300049</t>
        </is>
      </c>
      <c r="C840" s="6" t="inlineStr">
        <is>
          <t>Ñaëng Nhaân</t>
        </is>
      </c>
      <c r="D840" s="6" t="inlineStr">
        <is>
          <t>Quyù</t>
        </is>
      </c>
      <c r="E840" s="5" t="inlineStr">
        <is>
          <t>14-Dec-07</t>
        </is>
      </c>
      <c r="F840" s="5" t="inlineStr">
        <is>
          <t>LNH0925ND01</t>
        </is>
      </c>
      <c r="G840" s="105" t="n">
        <v>8415000</v>
      </c>
    </row>
    <row r="841">
      <c r="A841" s="5" t="n">
        <v>835</v>
      </c>
      <c r="B841" s="5" t="inlineStr">
        <is>
          <t>25801100128</t>
        </is>
      </c>
      <c r="C841" s="6" t="inlineStr">
        <is>
          <t>Nguyeãn Taán</t>
        </is>
      </c>
      <c r="D841" s="6" t="inlineStr">
        <is>
          <t>Vieät</t>
        </is>
      </c>
      <c r="E841" s="5" t="inlineStr">
        <is>
          <t>08-Jun-07</t>
        </is>
      </c>
      <c r="F841" s="5" t="inlineStr">
        <is>
          <t>LNH0925ND01</t>
        </is>
      </c>
      <c r="G841" s="105" t="n">
        <v>8415000</v>
      </c>
    </row>
    <row r="842">
      <c r="A842" s="5" t="n">
        <v>836</v>
      </c>
      <c r="B842" s="5" t="inlineStr">
        <is>
          <t>25800400049</t>
        </is>
      </c>
      <c r="C842" s="6" t="inlineStr">
        <is>
          <t>Tröông Vónh</t>
        </is>
      </c>
      <c r="D842" s="6" t="inlineStr">
        <is>
          <t>Hoäi</t>
        </is>
      </c>
      <c r="E842" s="5" t="inlineStr">
        <is>
          <t>08-Dec-07</t>
        </is>
      </c>
      <c r="F842" s="5" t="inlineStr">
        <is>
          <t>LNH0925ND01</t>
        </is>
      </c>
      <c r="G842" s="105" t="n">
        <v>8415000</v>
      </c>
    </row>
    <row r="843">
      <c r="A843" s="5" t="n">
        <v>837</v>
      </c>
      <c r="B843" s="5" t="inlineStr">
        <is>
          <t>25806000034</t>
        </is>
      </c>
      <c r="C843" s="6" t="inlineStr">
        <is>
          <t>Nguyeãn Nhaät Thanh</t>
        </is>
      </c>
      <c r="D843" s="6" t="inlineStr">
        <is>
          <t>Sôn</t>
        </is>
      </c>
      <c r="E843" s="5" t="inlineStr">
        <is>
          <t>05-Mar-07</t>
        </is>
      </c>
      <c r="F843" s="5" t="inlineStr">
        <is>
          <t>LNH0925ND01</t>
        </is>
      </c>
      <c r="G843" s="105" t="n">
        <v>8415000</v>
      </c>
    </row>
    <row r="844">
      <c r="A844" s="5" t="n">
        <v>838</v>
      </c>
      <c r="B844" s="5" t="inlineStr">
        <is>
          <t>25800600077</t>
        </is>
      </c>
      <c r="C844" s="6" t="inlineStr">
        <is>
          <t>Sôn Trung</t>
        </is>
      </c>
      <c r="D844" s="6" t="inlineStr">
        <is>
          <t>Chieán</t>
        </is>
      </c>
      <c r="E844" s="5" t="inlineStr">
        <is>
          <t>24-Sep-07</t>
        </is>
      </c>
      <c r="F844" s="5" t="inlineStr">
        <is>
          <t>LNH0925ND01</t>
        </is>
      </c>
      <c r="G844" s="105" t="n">
        <v>8415000</v>
      </c>
    </row>
    <row r="845">
      <c r="A845" s="5" t="n">
        <v>839</v>
      </c>
      <c r="B845" s="5" t="inlineStr">
        <is>
          <t>25808700155</t>
        </is>
      </c>
      <c r="C845" s="6" t="inlineStr">
        <is>
          <t>Phaïm Minh</t>
        </is>
      </c>
      <c r="D845" s="6" t="inlineStr">
        <is>
          <t>Quang</t>
        </is>
      </c>
      <c r="E845" s="5" t="inlineStr">
        <is>
          <t>30-Mar-06</t>
        </is>
      </c>
      <c r="F845" s="5" t="inlineStr">
        <is>
          <t>LNH0925ND01</t>
        </is>
      </c>
      <c r="G845" s="105" t="n">
        <v>8415000</v>
      </c>
    </row>
    <row r="846">
      <c r="A846" s="5" t="n">
        <v>840</v>
      </c>
      <c r="B846" s="5" t="inlineStr">
        <is>
          <t>25800400133</t>
        </is>
      </c>
      <c r="C846" s="6" t="inlineStr">
        <is>
          <t>Tröông Taán</t>
        </is>
      </c>
      <c r="D846" s="6" t="inlineStr">
        <is>
          <t>Sang</t>
        </is>
      </c>
      <c r="E846" s="5" t="inlineStr">
        <is>
          <t>31-Mar-07</t>
        </is>
      </c>
      <c r="F846" s="5" t="inlineStr">
        <is>
          <t>LNH0925ND01</t>
        </is>
      </c>
      <c r="G846" s="105" t="n">
        <v>8415000</v>
      </c>
    </row>
    <row r="847">
      <c r="A847" s="5" t="n">
        <v>841</v>
      </c>
      <c r="B847" s="5" t="inlineStr">
        <is>
          <t>25801800005</t>
        </is>
      </c>
      <c r="C847" s="6" t="inlineStr">
        <is>
          <t>Phaïm Myõ Lan</t>
        </is>
      </c>
      <c r="D847" s="6" t="inlineStr">
        <is>
          <t>Anh</t>
        </is>
      </c>
      <c r="E847" s="5" t="inlineStr">
        <is>
          <t>30-Dec-07</t>
        </is>
      </c>
      <c r="F847" s="5" t="inlineStr">
        <is>
          <t>LNH0925ND01</t>
        </is>
      </c>
      <c r="G847" s="105" t="n">
        <v>8415000</v>
      </c>
    </row>
    <row r="848">
      <c r="A848" s="5" t="n">
        <v>842</v>
      </c>
      <c r="B848" s="5" t="inlineStr">
        <is>
          <t>25800400022</t>
        </is>
      </c>
      <c r="C848" s="6" t="inlineStr">
        <is>
          <t>Nguyeãn Vaên</t>
        </is>
      </c>
      <c r="D848" s="6" t="inlineStr">
        <is>
          <t>Coâng</t>
        </is>
      </c>
      <c r="E848" s="5" t="inlineStr">
        <is>
          <t>21-Feb-07</t>
        </is>
      </c>
      <c r="F848" s="5" t="inlineStr">
        <is>
          <t>LNH0925ND01</t>
        </is>
      </c>
      <c r="G848" s="105" t="n">
        <v>8415000</v>
      </c>
    </row>
    <row r="849">
      <c r="A849" s="5" t="n">
        <v>843</v>
      </c>
      <c r="B849" s="5" t="inlineStr">
        <is>
          <t>25806300055</t>
        </is>
      </c>
      <c r="C849" s="6" t="inlineStr">
        <is>
          <t>Nguyeãn Vaên</t>
        </is>
      </c>
      <c r="D849" s="6" t="inlineStr">
        <is>
          <t>Tuaán</t>
        </is>
      </c>
      <c r="E849" s="5" t="inlineStr">
        <is>
          <t>25-Feb-06</t>
        </is>
      </c>
      <c r="F849" s="5" t="inlineStr">
        <is>
          <t>LNH0925ND01</t>
        </is>
      </c>
      <c r="G849" s="105" t="n">
        <v>8415000</v>
      </c>
    </row>
    <row r="850">
      <c r="A850" s="5" t="n">
        <v>844</v>
      </c>
      <c r="B850" s="5" t="inlineStr">
        <is>
          <t>25800500098</t>
        </is>
      </c>
      <c r="C850" s="6" t="inlineStr">
        <is>
          <t>Ñaøm Anh</t>
        </is>
      </c>
      <c r="D850" s="6" t="inlineStr">
        <is>
          <t>Kieät</t>
        </is>
      </c>
      <c r="E850" s="5" t="inlineStr">
        <is>
          <t>04-Oct-07</t>
        </is>
      </c>
      <c r="F850" s="5" t="inlineStr">
        <is>
          <t>LNH0925ND01</t>
        </is>
      </c>
      <c r="G850" s="105" t="n">
        <v>8415008</v>
      </c>
    </row>
    <row r="851">
      <c r="A851" s="5" t="n">
        <v>845</v>
      </c>
      <c r="B851" s="5" t="inlineStr">
        <is>
          <t>25800400102</t>
        </is>
      </c>
      <c r="C851" s="6" t="inlineStr">
        <is>
          <t>Leâ Gia</t>
        </is>
      </c>
      <c r="D851" s="6" t="inlineStr">
        <is>
          <t>Nam</t>
        </is>
      </c>
      <c r="E851" s="5" t="inlineStr">
        <is>
          <t>19-Feb-07</t>
        </is>
      </c>
      <c r="F851" s="5" t="inlineStr">
        <is>
          <t>LNH0925ND01</t>
        </is>
      </c>
      <c r="G851" s="105" t="n">
        <v>8445000</v>
      </c>
    </row>
    <row r="852">
      <c r="A852" s="5" t="n">
        <v>846</v>
      </c>
      <c r="B852" s="5" t="inlineStr">
        <is>
          <t>25806300031</t>
        </is>
      </c>
      <c r="C852" s="6" t="inlineStr">
        <is>
          <t>Nguyeãn Minh</t>
        </is>
      </c>
      <c r="D852" s="6" t="inlineStr">
        <is>
          <t>Nhaät</t>
        </is>
      </c>
      <c r="E852" s="5" t="inlineStr">
        <is>
          <t>31-Jul-07</t>
        </is>
      </c>
      <c r="F852" s="5" t="inlineStr">
        <is>
          <t>LNH0925ND01</t>
        </is>
      </c>
      <c r="G852" s="105" t="n">
        <v>8450000</v>
      </c>
    </row>
    <row r="853">
      <c r="A853" s="5" t="n">
        <v>847</v>
      </c>
      <c r="B853" s="5" t="inlineStr">
        <is>
          <t>25800400114</t>
        </is>
      </c>
      <c r="C853" s="6" t="inlineStr">
        <is>
          <t>Traàn Thieän</t>
        </is>
      </c>
      <c r="D853" s="6" t="inlineStr">
        <is>
          <t>Nhaân</t>
        </is>
      </c>
      <c r="E853" s="5" t="inlineStr">
        <is>
          <t>25-Dec-07</t>
        </is>
      </c>
      <c r="F853" s="5" t="inlineStr">
        <is>
          <t>LNH0925ND01</t>
        </is>
      </c>
      <c r="G853" s="105" t="n">
        <v>8475000</v>
      </c>
    </row>
    <row r="854">
      <c r="A854" s="5" t="n">
        <v>848</v>
      </c>
      <c r="B854" s="5" t="inlineStr">
        <is>
          <t>25802800047</t>
        </is>
      </c>
      <c r="C854" s="6" t="inlineStr">
        <is>
          <t>Nguyeãn Haûi</t>
        </is>
      </c>
      <c r="D854" s="6" t="inlineStr">
        <is>
          <t>Ñaêng</t>
        </is>
      </c>
      <c r="E854" s="5" t="inlineStr">
        <is>
          <t>01-Jan-07</t>
        </is>
      </c>
      <c r="F854" s="5" t="inlineStr">
        <is>
          <t>LNH0925ND01</t>
        </is>
      </c>
      <c r="G854" s="105" t="n">
        <v>9415000</v>
      </c>
    </row>
    <row r="855">
      <c r="A855" s="5" t="n">
        <v>849</v>
      </c>
      <c r="B855" s="5" t="inlineStr">
        <is>
          <t>25808700184</t>
        </is>
      </c>
      <c r="C855" s="6" t="inlineStr">
        <is>
          <t>Nguyeãn Ngoïc Thaûo</t>
        </is>
      </c>
      <c r="D855" s="6" t="inlineStr">
        <is>
          <t>Ngaân</t>
        </is>
      </c>
      <c r="E855" s="5" t="inlineStr">
        <is>
          <t>18-May-07</t>
        </is>
      </c>
      <c r="F855" s="5" t="inlineStr">
        <is>
          <t>LNH0925NL01</t>
        </is>
      </c>
      <c r="G855" s="105" t="n">
        <v>11050000</v>
      </c>
    </row>
    <row r="856">
      <c r="A856" s="5" t="n">
        <v>850</v>
      </c>
      <c r="B856" s="7" t="inlineStr">
        <is>
          <t>25807800108</t>
        </is>
      </c>
      <c r="C856" s="8" t="inlineStr">
        <is>
          <t>Huyønh Höõu</t>
        </is>
      </c>
      <c r="D856" s="8" t="inlineStr">
        <is>
          <t>Phuùc</t>
        </is>
      </c>
      <c r="E856" s="7" t="inlineStr">
        <is>
          <t>17-Jan-07</t>
        </is>
      </c>
      <c r="F856" s="7" t="inlineStr">
        <is>
          <t>LNH0925NL01</t>
        </is>
      </c>
      <c r="G856" s="108" t="n">
        <v>11050000</v>
      </c>
    </row>
    <row r="857">
      <c r="A857" s="5" t="n">
        <v>851</v>
      </c>
      <c r="B857" s="32" t="inlineStr">
        <is>
          <t>25820200047</t>
        </is>
      </c>
      <c r="C857" s="33" t="inlineStr">
        <is>
          <t>Nguyeãn Ñaïi</t>
        </is>
      </c>
      <c r="D857" s="33" t="inlineStr">
        <is>
          <t>Phuù</t>
        </is>
      </c>
      <c r="E857" s="32" t="inlineStr">
        <is>
          <t>10-Jun-07</t>
        </is>
      </c>
      <c r="F857" s="32" t="inlineStr">
        <is>
          <t>LNH0925NL01</t>
        </is>
      </c>
      <c r="G857" s="111" t="n">
        <v>11050000</v>
      </c>
    </row>
    <row r="858">
      <c r="A858" s="5" t="n">
        <v>852</v>
      </c>
      <c r="B858" s="5" t="inlineStr">
        <is>
          <t>25800400173</t>
        </is>
      </c>
      <c r="C858" s="6" t="inlineStr">
        <is>
          <t>Nguyeãn Hoaøng</t>
        </is>
      </c>
      <c r="D858" s="6" t="inlineStr">
        <is>
          <t>Vó</t>
        </is>
      </c>
      <c r="E858" s="5" t="inlineStr">
        <is>
          <t>08-Mar-07</t>
        </is>
      </c>
      <c r="F858" s="5" t="inlineStr">
        <is>
          <t>LNH0925NL01</t>
        </is>
      </c>
      <c r="G858" s="105" t="n">
        <v>11050000</v>
      </c>
    </row>
  </sheetData>
  <autoFilter ref="A6:H858">
    <sortState ref="A7:H858">
      <sortCondition ref="G6:G858"/>
    </sortState>
  </autoFilter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2025-10-14T06:51:39Z</dcterms:created>
  <dcterms:modified xsi:type="dcterms:W3CDTF">2026-05-09T05:01:38Z</dcterms:modified>
  <cp:lastModifiedBy>Chương Lê Quang</cp:lastModifiedBy>
</cp:coreProperties>
</file>