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G:\TNTC\Compare_Two_XLSX\data\"/>
    </mc:Choice>
  </mc:AlternateContent>
  <xr:revisionPtr revIDLastSave="0" documentId="13_ncr:1_{4312801C-980B-45A0-B2A9-281EA3F10EDB}" xr6:coauthVersionLast="47" xr6:coauthVersionMax="47" xr10:uidLastSave="{00000000-0000-0000-0000-000000000000}"/>
  <bookViews>
    <workbookView xWindow="-120" yWindow="-120" windowWidth="38640" windowHeight="21120" firstSheet="2" activeTab="2" xr2:uid="{00000000-000D-0000-FFFF-FFFF00000000}"/>
  </bookViews>
  <sheets>
    <sheet name="DS Thù lao T3.2026 (update)" sheetId="1" state="hidden" r:id="rId1"/>
    <sheet name="DS Thù lao THANG 3.26" sheetId="2" state="hidden" r:id="rId2"/>
    <sheet name="TONG HOP" sheetId="3" r:id="rId3"/>
    <sheet name="DS Thù lao tháng 5.2026" sheetId="4" r:id="rId4"/>
    <sheet name="SV học phí level 3 (29)" sheetId="5" r:id="rId5"/>
    <sheet name="SV học phí level 4 (336)" sheetId="6" r:id="rId6"/>
    <sheet name="SV còn tiền LV4 (250)" sheetId="7" r:id="rId7"/>
    <sheet name="SV CHUA HP LEVEL 4" sheetId="8" state="hidden" r:id="rId8"/>
  </sheets>
  <definedNames>
    <definedName name="_xlnm._FilterDatabase" localSheetId="1" hidden="1">'DS Thù lao THANG 3.26'!$A$2:$F$541</definedName>
    <definedName name="_xlnm._FilterDatabase" localSheetId="3" hidden="1">'DS Thù lao tháng 5.2026'!$A$1:$H$366</definedName>
    <definedName name="_xlnm._FilterDatabase" localSheetId="2" hidden="1">'TONG HOP'!$A$4:$V$854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54" i="3" l="1"/>
  <c r="T853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T818" i="3"/>
  <c r="P818" i="3"/>
  <c r="P817" i="3"/>
  <c r="P816" i="3"/>
  <c r="P815" i="3"/>
  <c r="P814" i="3"/>
  <c r="P813" i="3"/>
  <c r="T812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T741" i="3"/>
  <c r="P741" i="3"/>
  <c r="P740" i="3"/>
  <c r="P739" i="3"/>
  <c r="P738" i="3"/>
  <c r="P737" i="3"/>
  <c r="P736" i="3"/>
  <c r="P735" i="3"/>
  <c r="P734" i="3"/>
  <c r="P733" i="3"/>
  <c r="P732" i="3"/>
  <c r="P731" i="3"/>
  <c r="T730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T700" i="3"/>
  <c r="P700" i="3"/>
  <c r="P699" i="3"/>
  <c r="P698" i="3"/>
  <c r="P697" i="3"/>
  <c r="P696" i="3"/>
  <c r="P695" i="3"/>
  <c r="P694" i="3"/>
  <c r="P693" i="3"/>
  <c r="P692" i="3"/>
  <c r="P691" i="3"/>
  <c r="P690" i="3"/>
  <c r="T689" i="3"/>
  <c r="P689" i="3"/>
  <c r="P688" i="3"/>
  <c r="P687" i="3"/>
  <c r="P686" i="3"/>
  <c r="P685" i="3"/>
  <c r="P684" i="3"/>
  <c r="T683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E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T608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T577" i="3"/>
  <c r="P577" i="3"/>
  <c r="P576" i="3"/>
  <c r="P575" i="3"/>
  <c r="P574" i="3"/>
  <c r="P573" i="3"/>
  <c r="T572" i="3"/>
  <c r="P572" i="3"/>
  <c r="P571" i="3"/>
  <c r="P570" i="3"/>
  <c r="P569" i="3"/>
  <c r="P568" i="3"/>
  <c r="P567" i="3"/>
  <c r="P566" i="3"/>
  <c r="P565" i="3"/>
  <c r="P564" i="3"/>
  <c r="T563" i="3"/>
  <c r="P563" i="3"/>
  <c r="T562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T541" i="3"/>
  <c r="P541" i="3"/>
  <c r="P540" i="3"/>
  <c r="P539" i="3"/>
  <c r="P538" i="3"/>
  <c r="T537" i="3"/>
  <c r="P537" i="3"/>
  <c r="T536" i="3"/>
  <c r="P536" i="3"/>
  <c r="P535" i="3"/>
  <c r="T535" i="3" s="1"/>
  <c r="P534" i="3"/>
  <c r="T533" i="3"/>
  <c r="P533" i="3"/>
  <c r="T532" i="3"/>
  <c r="P532" i="3"/>
  <c r="T531" i="3"/>
  <c r="P531" i="3"/>
  <c r="T530" i="3"/>
  <c r="P530" i="3"/>
  <c r="T529" i="3"/>
  <c r="P529" i="3"/>
  <c r="T528" i="3"/>
  <c r="P528" i="3"/>
  <c r="P527" i="3"/>
  <c r="P526" i="3"/>
  <c r="P525" i="3"/>
  <c r="T524" i="3"/>
  <c r="P524" i="3"/>
  <c r="T523" i="3"/>
  <c r="P523" i="3"/>
  <c r="T522" i="3"/>
  <c r="P522" i="3"/>
  <c r="T521" i="3"/>
  <c r="P521" i="3"/>
  <c r="P520" i="3"/>
  <c r="T519" i="3"/>
  <c r="P519" i="3"/>
  <c r="T518" i="3"/>
  <c r="P518" i="3"/>
  <c r="P517" i="3"/>
  <c r="P516" i="3"/>
  <c r="T515" i="3"/>
  <c r="P515" i="3"/>
  <c r="T514" i="3"/>
  <c r="P514" i="3"/>
  <c r="T513" i="3"/>
  <c r="P513" i="3"/>
  <c r="T512" i="3"/>
  <c r="P512" i="3"/>
  <c r="P511" i="3"/>
  <c r="P510" i="3"/>
  <c r="P509" i="3"/>
  <c r="T508" i="3"/>
  <c r="P508" i="3"/>
  <c r="P507" i="3"/>
  <c r="T506" i="3"/>
  <c r="P506" i="3"/>
  <c r="T505" i="3"/>
  <c r="P505" i="3"/>
  <c r="T504" i="3"/>
  <c r="P504" i="3"/>
  <c r="P503" i="3"/>
  <c r="T502" i="3"/>
  <c r="P502" i="3"/>
  <c r="P501" i="3"/>
  <c r="P500" i="3"/>
  <c r="T499" i="3"/>
  <c r="P499" i="3"/>
  <c r="P498" i="3"/>
  <c r="T497" i="3"/>
  <c r="P497" i="3"/>
  <c r="T496" i="3"/>
  <c r="P496" i="3"/>
  <c r="T495" i="3"/>
  <c r="P495" i="3"/>
  <c r="P494" i="3"/>
  <c r="T493" i="3"/>
  <c r="P493" i="3"/>
  <c r="T492" i="3"/>
  <c r="P492" i="3"/>
  <c r="T491" i="3"/>
  <c r="P491" i="3"/>
  <c r="P490" i="3"/>
  <c r="P489" i="3"/>
  <c r="T488" i="3"/>
  <c r="P488" i="3"/>
  <c r="T487" i="3"/>
  <c r="P487" i="3"/>
  <c r="P486" i="3"/>
  <c r="T485" i="3"/>
  <c r="P485" i="3"/>
  <c r="P484" i="3"/>
  <c r="T483" i="3"/>
  <c r="P483" i="3"/>
  <c r="P482" i="3"/>
  <c r="T481" i="3"/>
  <c r="P481" i="3"/>
  <c r="T480" i="3"/>
  <c r="P480" i="3"/>
  <c r="P479" i="3"/>
  <c r="P478" i="3"/>
  <c r="P477" i="3"/>
  <c r="P476" i="3"/>
  <c r="E475" i="3"/>
  <c r="T474" i="3"/>
  <c r="P474" i="3"/>
  <c r="T473" i="3"/>
  <c r="P473" i="3"/>
  <c r="P472" i="3"/>
  <c r="P471" i="3"/>
  <c r="P470" i="3"/>
  <c r="P469" i="3"/>
  <c r="T468" i="3"/>
  <c r="P468" i="3"/>
  <c r="P467" i="3"/>
  <c r="P466" i="3"/>
  <c r="P465" i="3"/>
  <c r="T464" i="3"/>
  <c r="P464" i="3"/>
  <c r="P463" i="3"/>
  <c r="P462" i="3"/>
  <c r="T461" i="3"/>
  <c r="P461" i="3"/>
  <c r="P460" i="3"/>
  <c r="E459" i="3"/>
  <c r="E458" i="3"/>
  <c r="T457" i="3"/>
  <c r="P457" i="3"/>
  <c r="P456" i="3"/>
  <c r="P455" i="3"/>
  <c r="T454" i="3"/>
  <c r="P454" i="3"/>
  <c r="P453" i="3"/>
  <c r="P452" i="3"/>
  <c r="T451" i="3"/>
  <c r="P451" i="3"/>
  <c r="P450" i="3"/>
  <c r="T449" i="3"/>
  <c r="P449" i="3"/>
  <c r="T448" i="3"/>
  <c r="P448" i="3"/>
  <c r="T447" i="3"/>
  <c r="P447" i="3"/>
  <c r="T446" i="3"/>
  <c r="P446" i="3"/>
  <c r="T445" i="3"/>
  <c r="P445" i="3"/>
  <c r="P444" i="3"/>
  <c r="P443" i="3"/>
  <c r="T442" i="3"/>
  <c r="P442" i="3"/>
  <c r="T441" i="3"/>
  <c r="P441" i="3"/>
  <c r="P440" i="3"/>
  <c r="T439" i="3"/>
  <c r="P439" i="3"/>
  <c r="T438" i="3"/>
  <c r="P438" i="3"/>
  <c r="P437" i="3"/>
  <c r="T436" i="3"/>
  <c r="P436" i="3"/>
  <c r="T435" i="3"/>
  <c r="P435" i="3"/>
  <c r="T434" i="3"/>
  <c r="P434" i="3"/>
  <c r="T433" i="3"/>
  <c r="P433" i="3"/>
  <c r="T432" i="3"/>
  <c r="P432" i="3"/>
  <c r="T431" i="3"/>
  <c r="P431" i="3"/>
  <c r="T430" i="3"/>
  <c r="P430" i="3"/>
  <c r="T429" i="3"/>
  <c r="P429" i="3"/>
  <c r="T428" i="3"/>
  <c r="P428" i="3"/>
  <c r="T427" i="3"/>
  <c r="P427" i="3"/>
  <c r="P426" i="3"/>
  <c r="T425" i="3"/>
  <c r="P425" i="3"/>
  <c r="P424" i="3"/>
  <c r="T423" i="3"/>
  <c r="P423" i="3"/>
  <c r="E422" i="3"/>
  <c r="T421" i="3"/>
  <c r="P421" i="3"/>
  <c r="T420" i="3"/>
  <c r="P420" i="3"/>
  <c r="T419" i="3"/>
  <c r="P419" i="3"/>
  <c r="T418" i="3"/>
  <c r="P418" i="3"/>
  <c r="T417" i="3"/>
  <c r="P417" i="3"/>
  <c r="T416" i="3"/>
  <c r="P416" i="3"/>
  <c r="T415" i="3"/>
  <c r="P415" i="3"/>
  <c r="T414" i="3"/>
  <c r="P414" i="3"/>
  <c r="T413" i="3"/>
  <c r="P413" i="3"/>
  <c r="P412" i="3"/>
  <c r="T411" i="3"/>
  <c r="P411" i="3"/>
  <c r="T410" i="3"/>
  <c r="P410" i="3"/>
  <c r="T409" i="3"/>
  <c r="P409" i="3"/>
  <c r="T408" i="3"/>
  <c r="P408" i="3"/>
  <c r="T407" i="3"/>
  <c r="P407" i="3"/>
  <c r="T406" i="3"/>
  <c r="P406" i="3"/>
  <c r="T405" i="3"/>
  <c r="P405" i="3"/>
  <c r="T404" i="3"/>
  <c r="P404" i="3"/>
  <c r="P403" i="3"/>
  <c r="P402" i="3"/>
  <c r="P401" i="3"/>
  <c r="P400" i="3"/>
  <c r="T399" i="3"/>
  <c r="P399" i="3"/>
  <c r="E398" i="3"/>
  <c r="T397" i="3"/>
  <c r="P397" i="3"/>
  <c r="T396" i="3"/>
  <c r="P396" i="3"/>
  <c r="T395" i="3"/>
  <c r="P395" i="3"/>
  <c r="P394" i="3"/>
  <c r="T393" i="3"/>
  <c r="P393" i="3"/>
  <c r="T392" i="3"/>
  <c r="P392" i="3"/>
  <c r="P391" i="3"/>
  <c r="T390" i="3"/>
  <c r="P390" i="3"/>
  <c r="P389" i="3"/>
  <c r="P388" i="3"/>
  <c r="P387" i="3"/>
  <c r="T386" i="3"/>
  <c r="P386" i="3"/>
  <c r="T385" i="3"/>
  <c r="P385" i="3"/>
  <c r="P384" i="3"/>
  <c r="P383" i="3"/>
  <c r="T382" i="3"/>
  <c r="P382" i="3"/>
  <c r="P381" i="3"/>
  <c r="T380" i="3"/>
  <c r="P380" i="3"/>
  <c r="T379" i="3"/>
  <c r="P379" i="3"/>
  <c r="T378" i="3"/>
  <c r="P378" i="3"/>
  <c r="P377" i="3"/>
  <c r="P376" i="3"/>
  <c r="P375" i="3"/>
  <c r="T374" i="3"/>
  <c r="P374" i="3"/>
  <c r="P373" i="3"/>
  <c r="P372" i="3"/>
  <c r="T371" i="3"/>
  <c r="P371" i="3"/>
  <c r="P370" i="3"/>
  <c r="P369" i="3"/>
  <c r="P368" i="3"/>
  <c r="E367" i="3"/>
  <c r="T365" i="3"/>
  <c r="P365" i="3"/>
  <c r="T364" i="3"/>
  <c r="P364" i="3"/>
  <c r="T363" i="3"/>
  <c r="P363" i="3"/>
  <c r="T362" i="3"/>
  <c r="P362" i="3"/>
  <c r="P361" i="3"/>
  <c r="P360" i="3"/>
  <c r="T359" i="3"/>
  <c r="P359" i="3"/>
  <c r="T358" i="3"/>
  <c r="P358" i="3"/>
  <c r="T357" i="3"/>
  <c r="P357" i="3"/>
  <c r="E356" i="3"/>
  <c r="T355" i="3"/>
  <c r="P355" i="3"/>
  <c r="T354" i="3"/>
  <c r="P354" i="3"/>
  <c r="T353" i="3"/>
  <c r="P353" i="3"/>
  <c r="P352" i="3"/>
  <c r="T351" i="3"/>
  <c r="P351" i="3"/>
  <c r="P350" i="3"/>
  <c r="T349" i="3"/>
  <c r="P349" i="3"/>
  <c r="T348" i="3"/>
  <c r="P348" i="3"/>
  <c r="T347" i="3"/>
  <c r="P347" i="3"/>
  <c r="P346" i="3"/>
  <c r="P345" i="3"/>
  <c r="P344" i="3"/>
  <c r="P343" i="3"/>
  <c r="T342" i="3"/>
  <c r="P342" i="3"/>
  <c r="T341" i="3"/>
  <c r="P341" i="3"/>
  <c r="P340" i="3"/>
  <c r="T339" i="3"/>
  <c r="P339" i="3"/>
  <c r="T338" i="3"/>
  <c r="P338" i="3"/>
  <c r="P337" i="3"/>
  <c r="T336" i="3"/>
  <c r="P336" i="3"/>
  <c r="P335" i="3"/>
  <c r="T334" i="3"/>
  <c r="P334" i="3"/>
  <c r="T333" i="3"/>
  <c r="P333" i="3"/>
  <c r="T332" i="3"/>
  <c r="P332" i="3"/>
  <c r="T331" i="3"/>
  <c r="P331" i="3"/>
  <c r="T330" i="3"/>
  <c r="P330" i="3"/>
  <c r="T329" i="3"/>
  <c r="P329" i="3"/>
  <c r="T328" i="3"/>
  <c r="P328" i="3"/>
  <c r="T327" i="3"/>
  <c r="P327" i="3"/>
  <c r="T326" i="3"/>
  <c r="P326" i="3"/>
  <c r="P325" i="3"/>
  <c r="P324" i="3"/>
  <c r="P323" i="3"/>
  <c r="P322" i="3"/>
  <c r="P321" i="3"/>
  <c r="T321" i="3" s="1"/>
  <c r="P320" i="3"/>
  <c r="P319" i="3"/>
  <c r="P318" i="3"/>
  <c r="P317" i="3"/>
  <c r="T316" i="3"/>
  <c r="P316" i="3"/>
  <c r="T315" i="3"/>
  <c r="P315" i="3"/>
  <c r="T314" i="3"/>
  <c r="P314" i="3"/>
  <c r="T313" i="3"/>
  <c r="P313" i="3"/>
  <c r="T312" i="3"/>
  <c r="P312" i="3"/>
  <c r="T311" i="3"/>
  <c r="P311" i="3"/>
  <c r="T310" i="3"/>
  <c r="P310" i="3"/>
  <c r="P309" i="3"/>
  <c r="T308" i="3"/>
  <c r="P308" i="3"/>
  <c r="P307" i="3"/>
  <c r="T306" i="3"/>
  <c r="P306" i="3"/>
  <c r="T305" i="3"/>
  <c r="P305" i="3"/>
  <c r="P304" i="3"/>
  <c r="T303" i="3"/>
  <c r="P303" i="3"/>
  <c r="P302" i="3"/>
  <c r="T301" i="3"/>
  <c r="P301" i="3"/>
  <c r="T300" i="3"/>
  <c r="P300" i="3"/>
  <c r="T299" i="3"/>
  <c r="P299" i="3"/>
  <c r="P298" i="3"/>
  <c r="P297" i="3"/>
  <c r="P296" i="3"/>
  <c r="P295" i="3"/>
  <c r="T294" i="3"/>
  <c r="P294" i="3"/>
  <c r="T293" i="3"/>
  <c r="P293" i="3"/>
  <c r="P292" i="3"/>
  <c r="P291" i="3"/>
  <c r="T290" i="3"/>
  <c r="P290" i="3"/>
  <c r="T289" i="3"/>
  <c r="P289" i="3"/>
  <c r="T288" i="3"/>
  <c r="P288" i="3"/>
  <c r="P287" i="3"/>
  <c r="T287" i="3" s="1"/>
  <c r="T286" i="3"/>
  <c r="P286" i="3"/>
  <c r="T285" i="3"/>
  <c r="P285" i="3"/>
  <c r="T284" i="3"/>
  <c r="P284" i="3"/>
  <c r="T283" i="3"/>
  <c r="P283" i="3"/>
  <c r="T282" i="3"/>
  <c r="P282" i="3"/>
  <c r="P281" i="3"/>
  <c r="P280" i="3"/>
  <c r="T279" i="3"/>
  <c r="P279" i="3"/>
  <c r="T278" i="3"/>
  <c r="P278" i="3"/>
  <c r="T277" i="3"/>
  <c r="P277" i="3"/>
  <c r="T276" i="3"/>
  <c r="P276" i="3"/>
  <c r="P274" i="3"/>
  <c r="P273" i="3"/>
  <c r="P272" i="3"/>
  <c r="P271" i="3"/>
  <c r="T270" i="3"/>
  <c r="P270" i="3"/>
  <c r="T269" i="3"/>
  <c r="P269" i="3"/>
  <c r="P268" i="3"/>
  <c r="P267" i="3"/>
  <c r="P266" i="3"/>
  <c r="T265" i="3"/>
  <c r="P265" i="3"/>
  <c r="T264" i="3"/>
  <c r="P264" i="3"/>
  <c r="P263" i="3"/>
  <c r="P262" i="3"/>
  <c r="P261" i="3"/>
  <c r="T261" i="3" s="1"/>
  <c r="T260" i="3"/>
  <c r="P260" i="3"/>
  <c r="P259" i="3"/>
  <c r="T258" i="3"/>
  <c r="P258" i="3"/>
  <c r="T257" i="3"/>
  <c r="P257" i="3"/>
  <c r="T256" i="3"/>
  <c r="P256" i="3"/>
  <c r="P255" i="3"/>
  <c r="P254" i="3"/>
  <c r="P253" i="3"/>
  <c r="T252" i="3"/>
  <c r="P252" i="3"/>
  <c r="T251" i="3"/>
  <c r="P251" i="3"/>
  <c r="P250" i="3"/>
  <c r="P249" i="3"/>
  <c r="P248" i="3"/>
  <c r="T248" i="3" s="1"/>
  <c r="T247" i="3"/>
  <c r="P247" i="3"/>
  <c r="P246" i="3"/>
  <c r="T245" i="3"/>
  <c r="P245" i="3"/>
  <c r="T244" i="3"/>
  <c r="P244" i="3"/>
  <c r="P243" i="3"/>
  <c r="P242" i="3"/>
  <c r="P241" i="3"/>
  <c r="P240" i="3"/>
  <c r="T239" i="3"/>
  <c r="P239" i="3"/>
  <c r="T238" i="3"/>
  <c r="P238" i="3"/>
  <c r="T237" i="3"/>
  <c r="P237" i="3"/>
  <c r="P236" i="3"/>
  <c r="T236" i="3" s="1"/>
  <c r="T235" i="3"/>
  <c r="P235" i="3"/>
  <c r="T234" i="3"/>
  <c r="P234" i="3"/>
  <c r="P233" i="3"/>
  <c r="P232" i="3"/>
  <c r="P231" i="3"/>
  <c r="T230" i="3"/>
  <c r="P230" i="3"/>
  <c r="T229" i="3"/>
  <c r="P229" i="3"/>
  <c r="T228" i="3"/>
  <c r="P228" i="3"/>
  <c r="T227" i="3"/>
  <c r="P227" i="3"/>
  <c r="T226" i="3"/>
  <c r="P226" i="3"/>
  <c r="T225" i="3"/>
  <c r="P225" i="3"/>
  <c r="P224" i="3"/>
  <c r="P223" i="3"/>
  <c r="T222" i="3"/>
  <c r="P222" i="3"/>
  <c r="T221" i="3"/>
  <c r="P221" i="3"/>
  <c r="P220" i="3"/>
  <c r="P219" i="3"/>
  <c r="P218" i="3"/>
  <c r="T217" i="3"/>
  <c r="P217" i="3"/>
  <c r="T216" i="3"/>
  <c r="P216" i="3"/>
  <c r="P215" i="3"/>
  <c r="T215" i="3" s="1"/>
  <c r="P214" i="3"/>
  <c r="P213" i="3"/>
  <c r="P212" i="3"/>
  <c r="T211" i="3"/>
  <c r="P211" i="3"/>
  <c r="T210" i="3"/>
  <c r="P210" i="3"/>
  <c r="P209" i="3"/>
  <c r="T208" i="3"/>
  <c r="P208" i="3"/>
  <c r="P207" i="3"/>
  <c r="T206" i="3"/>
  <c r="P206" i="3"/>
  <c r="P205" i="3"/>
  <c r="T204" i="3"/>
  <c r="P204" i="3"/>
  <c r="P203" i="3"/>
  <c r="E202" i="3"/>
  <c r="T201" i="3"/>
  <c r="P201" i="3"/>
  <c r="P200" i="3"/>
  <c r="T199" i="3"/>
  <c r="P199" i="3"/>
  <c r="T198" i="3"/>
  <c r="P198" i="3"/>
  <c r="P197" i="3"/>
  <c r="T196" i="3"/>
  <c r="P196" i="3"/>
  <c r="T195" i="3"/>
  <c r="P195" i="3"/>
  <c r="P194" i="3"/>
  <c r="P193" i="3"/>
  <c r="P192" i="3"/>
  <c r="P191" i="3"/>
  <c r="T190" i="3"/>
  <c r="P190" i="3"/>
  <c r="P189" i="3"/>
  <c r="P188" i="3"/>
  <c r="T187" i="3"/>
  <c r="P187" i="3"/>
  <c r="P186" i="3"/>
  <c r="P185" i="3"/>
  <c r="T184" i="3"/>
  <c r="P184" i="3"/>
  <c r="P183" i="3"/>
  <c r="T182" i="3"/>
  <c r="P182" i="3"/>
  <c r="T181" i="3"/>
  <c r="P181" i="3"/>
  <c r="P180" i="3"/>
  <c r="P179" i="3"/>
  <c r="T179" i="3" s="1"/>
  <c r="P178" i="3"/>
  <c r="T177" i="3"/>
  <c r="P177" i="3"/>
  <c r="T176" i="3"/>
  <c r="P176" i="3"/>
  <c r="P175" i="3"/>
  <c r="P174" i="3"/>
  <c r="P173" i="3"/>
  <c r="E172" i="3"/>
  <c r="P171" i="3"/>
  <c r="P170" i="3"/>
  <c r="T169" i="3"/>
  <c r="P169" i="3"/>
  <c r="T168" i="3"/>
  <c r="P168" i="3"/>
  <c r="P167" i="3"/>
  <c r="P166" i="3"/>
  <c r="P165" i="3"/>
  <c r="T164" i="3"/>
  <c r="P164" i="3"/>
  <c r="P163" i="3"/>
  <c r="P162" i="3"/>
  <c r="P161" i="3"/>
  <c r="P160" i="3"/>
  <c r="T159" i="3"/>
  <c r="P159" i="3"/>
  <c r="P158" i="3"/>
  <c r="T158" i="3" s="1"/>
  <c r="P157" i="3"/>
  <c r="P156" i="3"/>
  <c r="P155" i="3"/>
  <c r="P154" i="3"/>
  <c r="T153" i="3"/>
  <c r="P153" i="3"/>
  <c r="T152" i="3"/>
  <c r="P152" i="3"/>
  <c r="T151" i="3"/>
  <c r="P151" i="3"/>
  <c r="P150" i="3"/>
  <c r="T149" i="3"/>
  <c r="P149" i="3"/>
  <c r="T148" i="3"/>
  <c r="P148" i="3"/>
  <c r="T147" i="3"/>
  <c r="P147" i="3"/>
  <c r="T146" i="3"/>
  <c r="P146" i="3"/>
  <c r="P145" i="3"/>
  <c r="T144" i="3"/>
  <c r="P144" i="3"/>
  <c r="T143" i="3"/>
  <c r="P143" i="3"/>
  <c r="T142" i="3"/>
  <c r="P142" i="3"/>
  <c r="P141" i="3"/>
  <c r="T140" i="3"/>
  <c r="P140" i="3"/>
  <c r="T139" i="3"/>
  <c r="P139" i="3"/>
  <c r="T138" i="3"/>
  <c r="P138" i="3"/>
  <c r="P137" i="3"/>
  <c r="T136" i="3"/>
  <c r="P136" i="3"/>
  <c r="T135" i="3"/>
  <c r="P135" i="3"/>
  <c r="P134" i="3"/>
  <c r="T133" i="3"/>
  <c r="P133" i="3"/>
  <c r="P132" i="3"/>
  <c r="T131" i="3"/>
  <c r="P131" i="3"/>
  <c r="T130" i="3"/>
  <c r="P130" i="3"/>
  <c r="T129" i="3"/>
  <c r="P129" i="3"/>
  <c r="T128" i="3"/>
  <c r="P128" i="3"/>
  <c r="P127" i="3"/>
  <c r="T126" i="3"/>
  <c r="P126" i="3"/>
  <c r="P125" i="3"/>
  <c r="T124" i="3"/>
  <c r="P124" i="3"/>
  <c r="T123" i="3"/>
  <c r="P123" i="3"/>
  <c r="P122" i="3"/>
  <c r="P121" i="3"/>
  <c r="P120" i="3"/>
  <c r="P119" i="3"/>
  <c r="T118" i="3"/>
  <c r="P118" i="3"/>
  <c r="P117" i="3"/>
  <c r="P116" i="3"/>
  <c r="T115" i="3"/>
  <c r="P115" i="3"/>
  <c r="P114" i="3"/>
  <c r="P113" i="3"/>
  <c r="T112" i="3"/>
  <c r="P112" i="3"/>
  <c r="T111" i="3"/>
  <c r="P111" i="3"/>
  <c r="T110" i="3"/>
  <c r="P110" i="3"/>
  <c r="T109" i="3"/>
  <c r="P109" i="3"/>
  <c r="P108" i="3"/>
  <c r="P107" i="3"/>
  <c r="T106" i="3"/>
  <c r="P106" i="3"/>
  <c r="P105" i="3"/>
  <c r="P104" i="3"/>
  <c r="P103" i="3"/>
  <c r="P102" i="3"/>
  <c r="T101" i="3"/>
  <c r="P101" i="3"/>
  <c r="T100" i="3"/>
  <c r="P100" i="3"/>
  <c r="P99" i="3"/>
  <c r="T98" i="3"/>
  <c r="P98" i="3"/>
  <c r="P97" i="3"/>
  <c r="P96" i="3"/>
  <c r="P95" i="3"/>
  <c r="T94" i="3"/>
  <c r="P94" i="3"/>
  <c r="P93" i="3"/>
  <c r="P92" i="3"/>
  <c r="P91" i="3"/>
  <c r="P90" i="3"/>
  <c r="P89" i="3"/>
  <c r="T89" i="3" s="1"/>
  <c r="P88" i="3"/>
  <c r="T87" i="3"/>
  <c r="P87" i="3"/>
  <c r="T86" i="3"/>
  <c r="P86" i="3"/>
  <c r="T85" i="3"/>
  <c r="P85" i="3"/>
  <c r="T84" i="3"/>
  <c r="P84" i="3"/>
  <c r="T83" i="3"/>
  <c r="P83" i="3"/>
  <c r="T82" i="3"/>
  <c r="P82" i="3"/>
  <c r="T81" i="3"/>
  <c r="P81" i="3"/>
  <c r="T80" i="3"/>
  <c r="P80" i="3"/>
  <c r="P79" i="3"/>
  <c r="P78" i="3"/>
  <c r="T77" i="3"/>
  <c r="P77" i="3"/>
  <c r="P76" i="3"/>
  <c r="P75" i="3"/>
  <c r="T74" i="3"/>
  <c r="P74" i="3"/>
  <c r="T73" i="3"/>
  <c r="P73" i="3"/>
  <c r="T72" i="3"/>
  <c r="P72" i="3"/>
  <c r="P71" i="3"/>
  <c r="T71" i="3" s="1"/>
  <c r="T70" i="3"/>
  <c r="P70" i="3"/>
  <c r="P69" i="3"/>
  <c r="P68" i="3"/>
  <c r="P67" i="3"/>
  <c r="P66" i="3"/>
  <c r="P65" i="3"/>
  <c r="P64" i="3"/>
  <c r="P63" i="3"/>
  <c r="P62" i="3"/>
  <c r="P61" i="3"/>
  <c r="T60" i="3"/>
  <c r="P60" i="3"/>
  <c r="P59" i="3"/>
  <c r="P58" i="3"/>
  <c r="P57" i="3"/>
  <c r="P56" i="3"/>
  <c r="P55" i="3"/>
  <c r="P54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E33" i="3"/>
  <c r="P32" i="3"/>
  <c r="P31" i="3"/>
  <c r="T30" i="3"/>
  <c r="P30" i="3"/>
  <c r="P29" i="3"/>
  <c r="P28" i="3"/>
  <c r="T27" i="3"/>
  <c r="P27" i="3"/>
  <c r="T26" i="3"/>
  <c r="P26" i="3"/>
  <c r="T25" i="3"/>
  <c r="P25" i="3"/>
  <c r="P24" i="3"/>
  <c r="P23" i="3"/>
  <c r="P22" i="3"/>
  <c r="P21" i="3"/>
  <c r="P20" i="3"/>
  <c r="P19" i="3"/>
  <c r="P18" i="3"/>
  <c r="E17" i="3"/>
  <c r="T16" i="3"/>
  <c r="P16" i="3"/>
  <c r="P15" i="3"/>
  <c r="P14" i="3"/>
  <c r="T13" i="3"/>
  <c r="P13" i="3"/>
  <c r="T12" i="3"/>
  <c r="P12" i="3"/>
  <c r="P11" i="3"/>
  <c r="P10" i="3"/>
  <c r="T9" i="3"/>
  <c r="P9" i="3"/>
  <c r="T8" i="3"/>
  <c r="P8" i="3"/>
  <c r="T7" i="3"/>
  <c r="P7" i="3"/>
  <c r="P6" i="3"/>
  <c r="P5" i="3"/>
  <c r="L2" i="3"/>
  <c r="E2" i="3"/>
  <c r="P475" i="3" l="1"/>
  <c r="T475" i="3"/>
  <c r="T459" i="3"/>
  <c r="P459" i="3"/>
  <c r="P458" i="3"/>
  <c r="T458" i="3"/>
  <c r="T422" i="3"/>
  <c r="P422" i="3"/>
  <c r="T398" i="3"/>
  <c r="P398" i="3"/>
  <c r="P367" i="3"/>
  <c r="T367" i="3"/>
  <c r="P356" i="3"/>
  <c r="T356" i="3"/>
  <c r="T202" i="3"/>
  <c r="P202" i="3"/>
  <c r="P172" i="3"/>
  <c r="T172" i="3"/>
  <c r="T33" i="3"/>
  <c r="P33" i="3"/>
  <c r="T17" i="3"/>
  <c r="P17" i="3"/>
</calcChain>
</file>

<file path=xl/sharedStrings.xml><?xml version="1.0" encoding="utf-8"?>
<sst xmlns="http://schemas.openxmlformats.org/spreadsheetml/2006/main" count="10979" uniqueCount="1960">
  <si>
    <t>STT</t>
  </si>
  <si>
    <t>MSSV</t>
  </si>
  <si>
    <t xml:space="preserve">Họ </t>
  </si>
  <si>
    <t>Tổng đã đóng</t>
  </si>
  <si>
    <t>Khoá 1</t>
  </si>
  <si>
    <t>Mã lớp T9</t>
  </si>
  <si>
    <t>Khoá 2</t>
  </si>
  <si>
    <t>Mã lớp T10</t>
  </si>
  <si>
    <t>Khoá 3</t>
  </si>
  <si>
    <t>MÃ LỚP T11</t>
  </si>
  <si>
    <t>Khoá 4</t>
  </si>
  <si>
    <t>MÃ LỚP T1</t>
  </si>
  <si>
    <t>Khoá 5 (3/2026)</t>
  </si>
  <si>
    <t>MÃ LỚP</t>
  </si>
  <si>
    <t>CÒN LẠI</t>
  </si>
  <si>
    <t>GHI CHÚ</t>
  </si>
  <si>
    <t>KHÓA THÁNG 5/2026</t>
  </si>
  <si>
    <t>MÃ LỚP 0526</t>
  </si>
  <si>
    <t xml:space="preserve">CÒN LẠI </t>
  </si>
  <si>
    <t>Tình trạng đối chiếu</t>
  </si>
  <si>
    <t>25808300031</t>
  </si>
  <si>
    <t>Nguyễn Ngọc Thiên</t>
  </si>
  <si>
    <t>Ngân</t>
  </si>
  <si>
    <t>LNH0925ND10</t>
  </si>
  <si>
    <t>LNH1125NE09</t>
  </si>
  <si>
    <t>LNH0326NE01</t>
  </si>
  <si>
    <t>GT</t>
  </si>
  <si>
    <t>Khớp</t>
  </si>
  <si>
    <t>25808500344</t>
  </si>
  <si>
    <t>Nguyễn Kim Trường</t>
  </si>
  <si>
    <t>Thịnh</t>
  </si>
  <si>
    <t>LNH0925ND12</t>
  </si>
  <si>
    <t>25808900050</t>
  </si>
  <si>
    <t>Trần Năng</t>
  </si>
  <si>
    <t>Hưng</t>
  </si>
  <si>
    <t>LNH1125ND01</t>
  </si>
  <si>
    <t>LNH0526NG01</t>
  </si>
  <si>
    <t>25800400022</t>
  </si>
  <si>
    <t>Nguyễn Văn</t>
  </si>
  <si>
    <t>Công</t>
  </si>
  <si>
    <t>LNH0526NG02</t>
  </si>
  <si>
    <t>25800400218</t>
  </si>
  <si>
    <t>Tạ Minh</t>
  </si>
  <si>
    <t>Tân</t>
  </si>
  <si>
    <t>LNH0526NQ15</t>
  </si>
  <si>
    <t>25800500215</t>
  </si>
  <si>
    <t>Nguyễn Xuân</t>
  </si>
  <si>
    <t>Trường</t>
  </si>
  <si>
    <t>25802800389</t>
  </si>
  <si>
    <t>Nguyễn Tuấn</t>
  </si>
  <si>
    <t>Khôi</t>
  </si>
  <si>
    <t>LNH1125ND02</t>
  </si>
  <si>
    <t>25807400005</t>
  </si>
  <si>
    <t>Nguyễn Văn Huy</t>
  </si>
  <si>
    <t>Hoàng</t>
  </si>
  <si>
    <t>25807800064</t>
  </si>
  <si>
    <t>Quách Anh</t>
  </si>
  <si>
    <t>Khoa</t>
  </si>
  <si>
    <t>25802100035</t>
  </si>
  <si>
    <t>Đoàn Thanh</t>
  </si>
  <si>
    <t>Tài</t>
  </si>
  <si>
    <t>25808300043</t>
  </si>
  <si>
    <t>Y</t>
  </si>
  <si>
    <t>Thê</t>
  </si>
  <si>
    <t>25802800061</t>
  </si>
  <si>
    <t>Phan Trương Bích</t>
  </si>
  <si>
    <t>Hằng</t>
  </si>
  <si>
    <t>LNH1125NE07</t>
  </si>
  <si>
    <t>25802800141</t>
  </si>
  <si>
    <t>Nguyễn Đức</t>
  </si>
  <si>
    <t>Lợi</t>
  </si>
  <si>
    <t>Huỳnh Trà Sơn</t>
  </si>
  <si>
    <t>Tùng</t>
  </si>
  <si>
    <t>Bùi Thiện</t>
  </si>
  <si>
    <t>Nhân</t>
  </si>
  <si>
    <t>Bế Thị Hồng</t>
  </si>
  <si>
    <t>Cúc</t>
  </si>
  <si>
    <t xml:space="preserve">Nguyễn Văn </t>
  </si>
  <si>
    <t>Tuấn</t>
  </si>
  <si>
    <t>LNH0925ND15</t>
  </si>
  <si>
    <t>LNH0326NE02</t>
  </si>
  <si>
    <t>25800500021</t>
  </si>
  <si>
    <t>Trương Trọng</t>
  </si>
  <si>
    <t>Bình</t>
  </si>
  <si>
    <t>LNH0925ND30</t>
  </si>
  <si>
    <t>LNH1125NE18</t>
  </si>
  <si>
    <t>25800500135</t>
  </si>
  <si>
    <t>Lê Thanh</t>
  </si>
  <si>
    <t>Phong</t>
  </si>
  <si>
    <t>25807900049</t>
  </si>
  <si>
    <t>Trần Hữu</t>
  </si>
  <si>
    <t>Thành</t>
  </si>
  <si>
    <t>25802800068</t>
  </si>
  <si>
    <t>Lương Hoàng</t>
  </si>
  <si>
    <t>Hên</t>
  </si>
  <si>
    <t>25806300027</t>
  </si>
  <si>
    <t>Phạm Ngọc Phương</t>
  </si>
  <si>
    <t>Nam</t>
  </si>
  <si>
    <t>LNH1025ND02</t>
  </si>
  <si>
    <t>25807800074</t>
  </si>
  <si>
    <t>Nguyễn Hải</t>
  </si>
  <si>
    <t>Lĩnh</t>
  </si>
  <si>
    <t>25801100045</t>
  </si>
  <si>
    <t>Phạm Minh</t>
  </si>
  <si>
    <t>Nhật</t>
  </si>
  <si>
    <t>25800400294</t>
  </si>
  <si>
    <t>Đinh Ngọc Xuân</t>
  </si>
  <si>
    <t>Giang</t>
  </si>
  <si>
    <t>LNH1125NE25</t>
  </si>
  <si>
    <t>25802100067</t>
  </si>
  <si>
    <t>Nguyễn Hà Hạnh</t>
  </si>
  <si>
    <t>Phương</t>
  </si>
  <si>
    <t>LNH1125NE24</t>
  </si>
  <si>
    <t>LNH0526NQ12</t>
  </si>
  <si>
    <t>25807500016</t>
  </si>
  <si>
    <t>Nguyễn Cao Thái</t>
  </si>
  <si>
    <t>Duy</t>
  </si>
  <si>
    <t>LNH1125NE03</t>
  </si>
  <si>
    <t>Võ Ngọc Minh</t>
  </si>
  <si>
    <t>Phạm Lê Gia</t>
  </si>
  <si>
    <t>Bảo</t>
  </si>
  <si>
    <t>Hồng Quốc</t>
  </si>
  <si>
    <t>Trương Quốc</t>
  </si>
  <si>
    <t xml:space="preserve">Nguyễn Trung </t>
  </si>
  <si>
    <t>Quốc</t>
  </si>
  <si>
    <t>LNH0326NE03</t>
  </si>
  <si>
    <t>Không tồn tại trong K.Toán</t>
  </si>
  <si>
    <t>Vũ Kiều Ngoc</t>
  </si>
  <si>
    <t>Lan</t>
  </si>
  <si>
    <t>25802800041</t>
  </si>
  <si>
    <t>Nguyễn Quốc</t>
  </si>
  <si>
    <t>Đạt</t>
  </si>
  <si>
    <t>LNH0925ND02</t>
  </si>
  <si>
    <t>LNH1125NE01</t>
  </si>
  <si>
    <t>LNH0326NS01</t>
  </si>
  <si>
    <t>GT-TOEC</t>
  </si>
  <si>
    <t>25808900231</t>
  </si>
  <si>
    <t>Vũ Trung</t>
  </si>
  <si>
    <t>Nguyên</t>
  </si>
  <si>
    <t>LNH1125NO01</t>
  </si>
  <si>
    <t>LNH0126NP01</t>
  </si>
  <si>
    <t>GT-TOEIC</t>
  </si>
  <si>
    <t>25800500276</t>
  </si>
  <si>
    <t>Nguyễn Trọng</t>
  </si>
  <si>
    <t>Hảo</t>
  </si>
  <si>
    <t>LNH0925ND26</t>
  </si>
  <si>
    <t>LNH1125NO02</t>
  </si>
  <si>
    <t>LNH0126NP02</t>
  </si>
  <si>
    <t>TOEIC</t>
  </si>
  <si>
    <t>25807800108</t>
  </si>
  <si>
    <t>Huỳnh Hữu</t>
  </si>
  <si>
    <t>Phúc</t>
  </si>
  <si>
    <t>LNH0925NL01</t>
  </si>
  <si>
    <t>25801700104</t>
  </si>
  <si>
    <t>Nguyễn Thanh</t>
  </si>
  <si>
    <t>25803000213</t>
  </si>
  <si>
    <t>Vương Quốc</t>
  </si>
  <si>
    <t>Huy</t>
  </si>
  <si>
    <t>25820600001</t>
  </si>
  <si>
    <t>Lưu Hồng</t>
  </si>
  <si>
    <t>Anh</t>
  </si>
  <si>
    <t>25808700134</t>
  </si>
  <si>
    <t>Đỗ Gia</t>
  </si>
  <si>
    <t>25807800065</t>
  </si>
  <si>
    <t>Trần Võ Minh</t>
  </si>
  <si>
    <t>Thạch Thị Huỳnh</t>
  </si>
  <si>
    <t>Như</t>
  </si>
  <si>
    <t>25800400268</t>
  </si>
  <si>
    <t>Nguyễn Hoàng Đăng</t>
  </si>
  <si>
    <t>LNH0925NL02</t>
  </si>
  <si>
    <t>25802600143</t>
  </si>
  <si>
    <t>Phạm Thị Hải</t>
  </si>
  <si>
    <t>Yến</t>
  </si>
  <si>
    <t>25802800108</t>
  </si>
  <si>
    <t>Võ Trần Bảo</t>
  </si>
  <si>
    <t>Khang</t>
  </si>
  <si>
    <t>25803800012</t>
  </si>
  <si>
    <t>Level 3,4</t>
  </si>
  <si>
    <t>2383000855</t>
  </si>
  <si>
    <t>Nguyễn Minh</t>
  </si>
  <si>
    <t xml:space="preserve"> Phương</t>
  </si>
  <si>
    <t>Nguyễn Thành</t>
  </si>
  <si>
    <t>Kiệt</t>
  </si>
  <si>
    <t>25808600073</t>
  </si>
  <si>
    <t>Huỳnh Thị Hồng</t>
  </si>
  <si>
    <t>Ngọc</t>
  </si>
  <si>
    <t>LNH0326NS02</t>
  </si>
  <si>
    <t>25800400009</t>
  </si>
  <si>
    <t>Lê Khắc</t>
  </si>
  <si>
    <t>25800500124</t>
  </si>
  <si>
    <t>Trần Công Vĩnh</t>
  </si>
  <si>
    <t>25808100040</t>
  </si>
  <si>
    <t>Nguyễn Hoàng Trí</t>
  </si>
  <si>
    <t>25808800045</t>
  </si>
  <si>
    <t>Phạm Thị Mỹ</t>
  </si>
  <si>
    <t>Lệ</t>
  </si>
  <si>
    <t>25800400173</t>
  </si>
  <si>
    <t>Nguyễn Hoàng</t>
  </si>
  <si>
    <t>Vĩ</t>
  </si>
  <si>
    <t>25808700184</t>
  </si>
  <si>
    <t>Nguyễn Ngọc Thảo</t>
  </si>
  <si>
    <t>LNH0526NQ16</t>
  </si>
  <si>
    <t>25820200047</t>
  </si>
  <si>
    <t>Nguyễn Đại</t>
  </si>
  <si>
    <t>Phú</t>
  </si>
  <si>
    <t>25805900027</t>
  </si>
  <si>
    <t>Trần Thị Ngọc</t>
  </si>
  <si>
    <t>Nhi</t>
  </si>
  <si>
    <t>25807800048</t>
  </si>
  <si>
    <t>Lê Hải Huy</t>
  </si>
  <si>
    <t>25807800066</t>
  </si>
  <si>
    <t>Đinh Duy Anh</t>
  </si>
  <si>
    <t>25808200042</t>
  </si>
  <si>
    <t>Nguyễn Phi</t>
  </si>
  <si>
    <t>Hiệp</t>
  </si>
  <si>
    <t>25820200020</t>
  </si>
  <si>
    <t>Nguyễn Nhật</t>
  </si>
  <si>
    <t>Hào</t>
  </si>
  <si>
    <t>25802100002</t>
  </si>
  <si>
    <t>25802600087</t>
  </si>
  <si>
    <t>Phạm Thị Thanh</t>
  </si>
  <si>
    <t>25802800098</t>
  </si>
  <si>
    <t>Nguyễn Lệ</t>
  </si>
  <si>
    <t>Hương</t>
  </si>
  <si>
    <t>25801700020</t>
  </si>
  <si>
    <t>Bui Quang</t>
  </si>
  <si>
    <t>LNH0925ND01</t>
  </si>
  <si>
    <t>LNH0326NG01</t>
  </si>
  <si>
    <t>LNH0526NQ03</t>
  </si>
  <si>
    <t>25802800055</t>
  </si>
  <si>
    <t>Nguyễn Xuân Hoàng</t>
  </si>
  <si>
    <t>Hà</t>
  </si>
  <si>
    <t>LNH1125NE11</t>
  </si>
  <si>
    <t>LNH0526NQ01</t>
  </si>
  <si>
    <t>25802800133</t>
  </si>
  <si>
    <t>Đỗ Lê Thanh</t>
  </si>
  <si>
    <t>Loan</t>
  </si>
  <si>
    <t>25808600245</t>
  </si>
  <si>
    <t>Phan Minh</t>
  </si>
  <si>
    <t>Thư</t>
  </si>
  <si>
    <t>LNH0526NQ02</t>
  </si>
  <si>
    <t>25801800061</t>
  </si>
  <si>
    <t>Sang</t>
  </si>
  <si>
    <t>LNH0925ND03</t>
  </si>
  <si>
    <t>LNH0526NQ07</t>
  </si>
  <si>
    <t>25801900092</t>
  </si>
  <si>
    <t>Lê Thị Thúy</t>
  </si>
  <si>
    <t>LNH1125NE02</t>
  </si>
  <si>
    <t>25801900280</t>
  </si>
  <si>
    <t>Trần Nguyễn Hoàng</t>
  </si>
  <si>
    <t>25802800347</t>
  </si>
  <si>
    <t>Hoàng Minh</t>
  </si>
  <si>
    <t>Quân</t>
  </si>
  <si>
    <t>LNH0925ND04</t>
  </si>
  <si>
    <t>25806800069</t>
  </si>
  <si>
    <t>Phạm Thị Đào</t>
  </si>
  <si>
    <t>Thu</t>
  </si>
  <si>
    <t>LNH0925ND05</t>
  </si>
  <si>
    <t>LNH1125NE12</t>
  </si>
  <si>
    <t>25807400012</t>
  </si>
  <si>
    <t>Châu Lâm Gia</t>
  </si>
  <si>
    <t>Quyên</t>
  </si>
  <si>
    <t>LNH0925ND06</t>
  </si>
  <si>
    <t>LNH1125NE04</t>
  </si>
  <si>
    <t>25801900288</t>
  </si>
  <si>
    <t>Bùi Anh</t>
  </si>
  <si>
    <t>LNH0925ND08</t>
  </si>
  <si>
    <t>LNH1125NE06</t>
  </si>
  <si>
    <t>25802800351</t>
  </si>
  <si>
    <t>Nguyễn Duy</t>
  </si>
  <si>
    <t>Thắng</t>
  </si>
  <si>
    <t>LNH0925ND11</t>
  </si>
  <si>
    <t>LNH1125NE10</t>
  </si>
  <si>
    <t>25808300040</t>
  </si>
  <si>
    <t>Cao Chung Thái</t>
  </si>
  <si>
    <t>Sơn</t>
  </si>
  <si>
    <t>LNH0925ND13</t>
  </si>
  <si>
    <t>25802600097</t>
  </si>
  <si>
    <t>Phạm Cao Thái An</t>
  </si>
  <si>
    <t>Nhiên</t>
  </si>
  <si>
    <t>Học Bổng</t>
  </si>
  <si>
    <t>LNH0526NQ14</t>
  </si>
  <si>
    <t>25801200066</t>
  </si>
  <si>
    <t>Lê Nguyễn Hoài</t>
  </si>
  <si>
    <t>Thương</t>
  </si>
  <si>
    <t>LNH0925ND35</t>
  </si>
  <si>
    <t>LNH1125NE27</t>
  </si>
  <si>
    <t>LNH0526NQ19</t>
  </si>
  <si>
    <t>25807700041</t>
  </si>
  <si>
    <t>Phan Tử Gia</t>
  </si>
  <si>
    <t>Khiêm</t>
  </si>
  <si>
    <t>LNH0526NQ20</t>
  </si>
  <si>
    <t>25808900095</t>
  </si>
  <si>
    <t>Nguyễn Hữu</t>
  </si>
  <si>
    <t>Phát</t>
  </si>
  <si>
    <t>LNH0925ND14</t>
  </si>
  <si>
    <t>LNH1125NE13</t>
  </si>
  <si>
    <t>25807600039</t>
  </si>
  <si>
    <t>Bùi Hoàng Yến</t>
  </si>
  <si>
    <t>LNH0326NG02</t>
  </si>
  <si>
    <t>25808900260</t>
  </si>
  <si>
    <t>Dinh Gia</t>
  </si>
  <si>
    <t>Bao</t>
  </si>
  <si>
    <t>25802600056</t>
  </si>
  <si>
    <t>25808600087</t>
  </si>
  <si>
    <t>Võ Thị Tuyết</t>
  </si>
  <si>
    <t>LNH1125NE14</t>
  </si>
  <si>
    <t>25806500015</t>
  </si>
  <si>
    <t>Đặng Tất</t>
  </si>
  <si>
    <t>25808600134</t>
  </si>
  <si>
    <t>Phạm Nguyễn Huyền</t>
  </si>
  <si>
    <t>Trân</t>
  </si>
  <si>
    <t>25801600070</t>
  </si>
  <si>
    <t>Phan Thành</t>
  </si>
  <si>
    <t>LNH1125NE30</t>
  </si>
  <si>
    <t>25802600031</t>
  </si>
  <si>
    <t>Nguyễn Đặng Minh</t>
  </si>
  <si>
    <t>25801800072</t>
  </si>
  <si>
    <t>Nguyễn Ngọc Bảo</t>
  </si>
  <si>
    <t>Thy</t>
  </si>
  <si>
    <t>25808600086</t>
  </si>
  <si>
    <t>Tạ Thị Tuyết</t>
  </si>
  <si>
    <t>Nhung</t>
  </si>
  <si>
    <t>25820300038</t>
  </si>
  <si>
    <t>Trần Duy</t>
  </si>
  <si>
    <t>LNH1125NE05</t>
  </si>
  <si>
    <t>25807800050</t>
  </si>
  <si>
    <t>Võ Lương Nhật</t>
  </si>
  <si>
    <t>LNH0925ND23</t>
  </si>
  <si>
    <t>LNH0526NQ10</t>
  </si>
  <si>
    <t>25800500012</t>
  </si>
  <si>
    <t>Dương Gia</t>
  </si>
  <si>
    <t>LNH0925ND33</t>
  </si>
  <si>
    <t>25802800245</t>
  </si>
  <si>
    <t>Trần Anh</t>
  </si>
  <si>
    <t>Thi</t>
  </si>
  <si>
    <t>25820500009</t>
  </si>
  <si>
    <t>Huỳnh Uyển</t>
  </si>
  <si>
    <t>My</t>
  </si>
  <si>
    <t>25806300036</t>
  </si>
  <si>
    <t>Huỳnh Minh</t>
  </si>
  <si>
    <t>Trí</t>
  </si>
  <si>
    <t>25807000027</t>
  </si>
  <si>
    <t>Hồ Kiều</t>
  </si>
  <si>
    <t>Trang</t>
  </si>
  <si>
    <t>25802800070</t>
  </si>
  <si>
    <t>Lê Thị Thu</t>
  </si>
  <si>
    <t>Hiền</t>
  </si>
  <si>
    <t>LNH1125NE08</t>
  </si>
  <si>
    <t>LNH0326NG03</t>
  </si>
  <si>
    <t>25809600050</t>
  </si>
  <si>
    <t>Nguyễn Hoàng Bảo</t>
  </si>
  <si>
    <t>25802800087</t>
  </si>
  <si>
    <t>Hướng Huỳnh Gia</t>
  </si>
  <si>
    <t>LNH0526NQ09</t>
  </si>
  <si>
    <t>25808600084</t>
  </si>
  <si>
    <t>Lý Thị Tuyết</t>
  </si>
  <si>
    <t>25808600150</t>
  </si>
  <si>
    <t>Nguyễn Thị Ngọc</t>
  </si>
  <si>
    <t>Vi</t>
  </si>
  <si>
    <t>25808600014</t>
  </si>
  <si>
    <t>Chen Chien</t>
  </si>
  <si>
    <t>Chih</t>
  </si>
  <si>
    <t>25802800114</t>
  </si>
  <si>
    <t>Vũ Bùi Đăng</t>
  </si>
  <si>
    <t>25808600051</t>
  </si>
  <si>
    <t>Mã Thị</t>
  </si>
  <si>
    <t>Liên</t>
  </si>
  <si>
    <t>học lại</t>
  </si>
  <si>
    <t>25808900047</t>
  </si>
  <si>
    <t>Nguyễn Kim</t>
  </si>
  <si>
    <t>25802800107</t>
  </si>
  <si>
    <t>Trần Vĩnh</t>
  </si>
  <si>
    <t>LNH0925ND07</t>
  </si>
  <si>
    <t>25802300306</t>
  </si>
  <si>
    <t>Lê Ngọc Kiều</t>
  </si>
  <si>
    <t>Vy</t>
  </si>
  <si>
    <t>25802800140</t>
  </si>
  <si>
    <t>Giang Hoàng Đại</t>
  </si>
  <si>
    <t>25808600027</t>
  </si>
  <si>
    <t>Lê Thu Hải</t>
  </si>
  <si>
    <t>LNH1125NE15</t>
  </si>
  <si>
    <t>25802400007</t>
  </si>
  <si>
    <t>Lê Gia</t>
  </si>
  <si>
    <t>Hân</t>
  </si>
  <si>
    <t>25802800120</t>
  </si>
  <si>
    <t>25801800033</t>
  </si>
  <si>
    <t>Đoàn Đắc</t>
  </si>
  <si>
    <t>Mạnh</t>
  </si>
  <si>
    <t>LNH1125NE23</t>
  </si>
  <si>
    <t>25802300124</t>
  </si>
  <si>
    <t>Nguyễn Thùy</t>
  </si>
  <si>
    <t>Linh</t>
  </si>
  <si>
    <t>25809600060</t>
  </si>
  <si>
    <t>Đỗ Đức</t>
  </si>
  <si>
    <t>25802800379</t>
  </si>
  <si>
    <t>Nguyen Thien</t>
  </si>
  <si>
    <t>Phuc</t>
  </si>
  <si>
    <t>LNH0326NG04</t>
  </si>
  <si>
    <t>25801700102</t>
  </si>
  <si>
    <t>Trần Ngọc</t>
  </si>
  <si>
    <t>25808600253</t>
  </si>
  <si>
    <t>Trần Thị Kim</t>
  </si>
  <si>
    <t>25801100017</t>
  </si>
  <si>
    <t>Huỳnh Trung</t>
  </si>
  <si>
    <t>Hậu</t>
  </si>
  <si>
    <t>25802600089</t>
  </si>
  <si>
    <t>Đặng Kim Phương</t>
  </si>
  <si>
    <t>Nghi</t>
  </si>
  <si>
    <t>25802800274</t>
  </si>
  <si>
    <t>Lê Hoàng Bảo</t>
  </si>
  <si>
    <t>25805800005</t>
  </si>
  <si>
    <t>Nguyễn Khoa Tuyết</t>
  </si>
  <si>
    <t>Chi</t>
  </si>
  <si>
    <t>25805800015</t>
  </si>
  <si>
    <t>Lương Tấn</t>
  </si>
  <si>
    <t>LNH0526NQ06</t>
  </si>
  <si>
    <t>25801400608</t>
  </si>
  <si>
    <t>Trần Minh</t>
  </si>
  <si>
    <t>25802400025</t>
  </si>
  <si>
    <t>Ngô Bùi Nhật</t>
  </si>
  <si>
    <t>Tâm</t>
  </si>
  <si>
    <t>LNH0526NQ08</t>
  </si>
  <si>
    <t>25801500098</t>
  </si>
  <si>
    <t>LNH0925ND09</t>
  </si>
  <si>
    <t>25808500042</t>
  </si>
  <si>
    <t>Trần Chí</t>
  </si>
  <si>
    <t>Cường</t>
  </si>
  <si>
    <t>25809300003</t>
  </si>
  <si>
    <t>Nguyễn Đắc</t>
  </si>
  <si>
    <t>25802300384</t>
  </si>
  <si>
    <t>Mai Thien</t>
  </si>
  <si>
    <t>Tan</t>
  </si>
  <si>
    <t>25806800047</t>
  </si>
  <si>
    <t>Hồng Phước</t>
  </si>
  <si>
    <t>Nghĩa</t>
  </si>
  <si>
    <t>LNH0925ND17</t>
  </si>
  <si>
    <t>25809600015</t>
  </si>
  <si>
    <t>Lê Duy Hải</t>
  </si>
  <si>
    <t>Đăng</t>
  </si>
  <si>
    <t>25805800017</t>
  </si>
  <si>
    <t xml:space="preserve">Đặng Hoàng </t>
  </si>
  <si>
    <t xml:space="preserve"> Khôi</t>
  </si>
  <si>
    <t>LNH0526NQ04</t>
  </si>
  <si>
    <t>25802100030</t>
  </si>
  <si>
    <t>Châu Lê Thuận</t>
  </si>
  <si>
    <t>LNH0326NG05</t>
  </si>
  <si>
    <t>25801400451</t>
  </si>
  <si>
    <t>25805900064</t>
  </si>
  <si>
    <t>Trần Ngọc Hoàng</t>
  </si>
  <si>
    <t>Uyên</t>
  </si>
  <si>
    <t>25808300049</t>
  </si>
  <si>
    <t>Nguyễn Thị Anh</t>
  </si>
  <si>
    <t>25820500002</t>
  </si>
  <si>
    <t>Đặng Quốc</t>
  </si>
  <si>
    <t>25820500001</t>
  </si>
  <si>
    <t>Bùi Duy</t>
  </si>
  <si>
    <t>25805900003</t>
  </si>
  <si>
    <t>Đinh Thị Ngọc</t>
  </si>
  <si>
    <t>Ánh</t>
  </si>
  <si>
    <t>25808600039</t>
  </si>
  <si>
    <t>Đinh Nguyễn Nhựt</t>
  </si>
  <si>
    <t>25805900036</t>
  </si>
  <si>
    <t>Bùi Huỳnh</t>
  </si>
  <si>
    <t>LNH0925ND16</t>
  </si>
  <si>
    <t>25806800040</t>
  </si>
  <si>
    <t>Phan Nguyễn Trà</t>
  </si>
  <si>
    <t>25800400125</t>
  </si>
  <si>
    <t>25802600110</t>
  </si>
  <si>
    <t>Nguyễn Trần Nhật</t>
  </si>
  <si>
    <t>Thanh</t>
  </si>
  <si>
    <t>LNH0925ND18</t>
  </si>
  <si>
    <t>25808700011</t>
  </si>
  <si>
    <t>Lâm Ngọc Thùy</t>
  </si>
  <si>
    <t>Dương</t>
  </si>
  <si>
    <t>LNH0925ND25</t>
  </si>
  <si>
    <t>25820100019</t>
  </si>
  <si>
    <t>Hồ Quốc</t>
  </si>
  <si>
    <t>Khánh</t>
  </si>
  <si>
    <t>LNH0925ND27</t>
  </si>
  <si>
    <t>25800500310</t>
  </si>
  <si>
    <t>Phan Gia</t>
  </si>
  <si>
    <t>LNH0925ND34</t>
  </si>
  <si>
    <t>Đặng Công</t>
  </si>
  <si>
    <t>Minh</t>
  </si>
  <si>
    <t>Phan Tuấn</t>
  </si>
  <si>
    <t>Phùng Thế</t>
  </si>
  <si>
    <t>LNH1025ND01</t>
  </si>
  <si>
    <t>25802800081</t>
  </si>
  <si>
    <t>Lê Xuân</t>
  </si>
  <si>
    <t>Hùng</t>
  </si>
  <si>
    <t>LNH0326NG06</t>
  </si>
  <si>
    <t>25806800005</t>
  </si>
  <si>
    <t>Trương Thị Thúy</t>
  </si>
  <si>
    <t>An</t>
  </si>
  <si>
    <t>Bàng Thanh</t>
  </si>
  <si>
    <t>25802600004</t>
  </si>
  <si>
    <t>Nguyen Chau</t>
  </si>
  <si>
    <t>25807000014</t>
  </si>
  <si>
    <t>Huỳnh Tấn</t>
  </si>
  <si>
    <t>Lộc</t>
  </si>
  <si>
    <t>25801100082</t>
  </si>
  <si>
    <t>Nguyễn Thị Thảo</t>
  </si>
  <si>
    <t>25808600054</t>
  </si>
  <si>
    <t>Đặng Thị Thùy</t>
  </si>
  <si>
    <t>25808600180</t>
  </si>
  <si>
    <t>Nguyễn Nông Khánh</t>
  </si>
  <si>
    <t>25802600105</t>
  </si>
  <si>
    <t>Vưu Thanh</t>
  </si>
  <si>
    <t>25802800290</t>
  </si>
  <si>
    <t>Ngô Bảo</t>
  </si>
  <si>
    <t>25801100107</t>
  </si>
  <si>
    <t>Phan Thị Thuý</t>
  </si>
  <si>
    <t>25801700029</t>
  </si>
  <si>
    <t>Tân Vĩnh Bảo</t>
  </si>
  <si>
    <t>Long</t>
  </si>
  <si>
    <t>25805900008</t>
  </si>
  <si>
    <t>Dũng</t>
  </si>
  <si>
    <t>25807000043</t>
  </si>
  <si>
    <t>25802800260</t>
  </si>
  <si>
    <t>Trần Lê Thủy</t>
  </si>
  <si>
    <t>Tiên</t>
  </si>
  <si>
    <t>25801700022</t>
  </si>
  <si>
    <t>Phạm Hoàng</t>
  </si>
  <si>
    <t>ĐÓNG THÊM 2TR6 LV4 Cho a An</t>
  </si>
  <si>
    <t>25808700190</t>
  </si>
  <si>
    <t>Lê Minh</t>
  </si>
  <si>
    <t>25802800103</t>
  </si>
  <si>
    <t>Nguyễn Hồng</t>
  </si>
  <si>
    <t>LNH0326NG07</t>
  </si>
  <si>
    <t>25802800165</t>
  </si>
  <si>
    <t>25802800145</t>
  </si>
  <si>
    <t>Kiều Công</t>
  </si>
  <si>
    <t>25806000112</t>
  </si>
  <si>
    <t>Nguyễn Ngọc</t>
  </si>
  <si>
    <t>Trâm</t>
  </si>
  <si>
    <t>25801200058</t>
  </si>
  <si>
    <t>Nguyễn Phương</t>
  </si>
  <si>
    <t>Vĩnh</t>
  </si>
  <si>
    <t>25802800001</t>
  </si>
  <si>
    <t>25802800134</t>
  </si>
  <si>
    <t>Trần Văn Đặng</t>
  </si>
  <si>
    <t>25802800258</t>
  </si>
  <si>
    <t>Nguyễn Công</t>
  </si>
  <si>
    <t>Thường</t>
  </si>
  <si>
    <t>25806000015</t>
  </si>
  <si>
    <t>Đỗ Ngọc Thảo</t>
  </si>
  <si>
    <t>25802800289</t>
  </si>
  <si>
    <t>Nguyễn Thị Lan</t>
  </si>
  <si>
    <t>Tường</t>
  </si>
  <si>
    <t>25807000021</t>
  </si>
  <si>
    <t>Bùi Tiến</t>
  </si>
  <si>
    <t>25806800033</t>
  </si>
  <si>
    <t>Bùi Trúc</t>
  </si>
  <si>
    <t>25808600018</t>
  </si>
  <si>
    <t>Ngô Văn</t>
  </si>
  <si>
    <t>25805900012</t>
  </si>
  <si>
    <t>Trịnh Thị Diệu</t>
  </si>
  <si>
    <t>LNH0526NQ11</t>
  </si>
  <si>
    <t>25808600158</t>
  </si>
  <si>
    <t>Trương Ngọc Minh</t>
  </si>
  <si>
    <t>25808900132</t>
  </si>
  <si>
    <t>Phạm Thanh</t>
  </si>
  <si>
    <t>Toàn</t>
  </si>
  <si>
    <t>LNH0925ND21</t>
  </si>
  <si>
    <t>25801700057</t>
  </si>
  <si>
    <t>Nguyễn Thị Thủy</t>
  </si>
  <si>
    <t>25802800300</t>
  </si>
  <si>
    <t>Trần Nguyễn Phương</t>
  </si>
  <si>
    <t>LNH0326NG08</t>
  </si>
  <si>
    <t>25801800082</t>
  </si>
  <si>
    <t>Nguyễn Anh</t>
  </si>
  <si>
    <t>25808900077</t>
  </si>
  <si>
    <t>Lâm Hoàng</t>
  </si>
  <si>
    <t>25801100076</t>
  </si>
  <si>
    <t>Trần Huỳnh Vạn</t>
  </si>
  <si>
    <t>25802600064</t>
  </si>
  <si>
    <t>Huỳnh Quốc</t>
  </si>
  <si>
    <t>Lãm</t>
  </si>
  <si>
    <t>LNH0526NQ05</t>
  </si>
  <si>
    <t>25802800177</t>
  </si>
  <si>
    <t>Tô Đức</t>
  </si>
  <si>
    <t>25805900063</t>
  </si>
  <si>
    <t>Dương Phương</t>
  </si>
  <si>
    <t>25808100017</t>
  </si>
  <si>
    <t>Nguyễn Quang</t>
  </si>
  <si>
    <t>25808500347</t>
  </si>
  <si>
    <t>Trang Trần Thành</t>
  </si>
  <si>
    <t>25808900152</t>
  </si>
  <si>
    <t>Võ Thành</t>
  </si>
  <si>
    <t>Vinh</t>
  </si>
  <si>
    <t>25820200008</t>
  </si>
  <si>
    <t>Huỳnh Phú</t>
  </si>
  <si>
    <t>25808900055</t>
  </si>
  <si>
    <t>Huỳnh Ngọc Nguyên</t>
  </si>
  <si>
    <t>Khanh</t>
  </si>
  <si>
    <t>25807000017</t>
  </si>
  <si>
    <t>25802800198</t>
  </si>
  <si>
    <t>25807500115</t>
  </si>
  <si>
    <t>Huỳnh</t>
  </si>
  <si>
    <t>Thân</t>
  </si>
  <si>
    <t>LNH1125NE22</t>
  </si>
  <si>
    <t>25808200067</t>
  </si>
  <si>
    <t>Nguyễn Ngọc Đăng</t>
  </si>
  <si>
    <t>LNH0526NQ18</t>
  </si>
  <si>
    <t>25805800021</t>
  </si>
  <si>
    <t>Đinh Ngọc Phương</t>
  </si>
  <si>
    <t>25806000099</t>
  </si>
  <si>
    <t>Huỳnh Thị Nhã</t>
  </si>
  <si>
    <t>25801800183</t>
  </si>
  <si>
    <t>Trần Thị Minh</t>
  </si>
  <si>
    <t>Tú</t>
  </si>
  <si>
    <t>LNH0326NG09</t>
  </si>
  <si>
    <t>25805900103</t>
  </si>
  <si>
    <t>Lê Mỹ</t>
  </si>
  <si>
    <t>Nhàn</t>
  </si>
  <si>
    <t>25807100028</t>
  </si>
  <si>
    <t>Trần Nhật</t>
  </si>
  <si>
    <t>25808600065</t>
  </si>
  <si>
    <t>Nguyễn Trà</t>
  </si>
  <si>
    <t>25808600094</t>
  </si>
  <si>
    <t>Dương Tú</t>
  </si>
  <si>
    <t>25808600120</t>
  </si>
  <si>
    <t>Trần Nguyễn Anh</t>
  </si>
  <si>
    <t>25805800009</t>
  </si>
  <si>
    <t>Vũ Hải</t>
  </si>
  <si>
    <t>25808200100</t>
  </si>
  <si>
    <t>Phạm Tấn</t>
  </si>
  <si>
    <t>25808900057</t>
  </si>
  <si>
    <t>Nguyễn Hoàng Anh</t>
  </si>
  <si>
    <t>25801700103</t>
  </si>
  <si>
    <t>Phạm Trung</t>
  </si>
  <si>
    <t>25805800027</t>
  </si>
  <si>
    <t>Lê Hiền Thảo</t>
  </si>
  <si>
    <t>25801800089</t>
  </si>
  <si>
    <t>Nguyễn Ngọc Như</t>
  </si>
  <si>
    <t>Ý</t>
  </si>
  <si>
    <t>25805900043</t>
  </si>
  <si>
    <t>Thảo</t>
  </si>
  <si>
    <t>25801800021</t>
  </si>
  <si>
    <t>Võ Thảo</t>
  </si>
  <si>
    <t>Huyền</t>
  </si>
  <si>
    <t>25808200137</t>
  </si>
  <si>
    <t>LNH0925ND28</t>
  </si>
  <si>
    <t>LNH1125NE26</t>
  </si>
  <si>
    <t>25807800151</t>
  </si>
  <si>
    <t>Nguyễn Phước</t>
  </si>
  <si>
    <t>Trung</t>
  </si>
  <si>
    <t>LNH1125NE20</t>
  </si>
  <si>
    <t>25806000004</t>
  </si>
  <si>
    <t>Huỳnh Long</t>
  </si>
  <si>
    <t>Chương</t>
  </si>
  <si>
    <t>25802800180</t>
  </si>
  <si>
    <t>Thái Huỳnh</t>
  </si>
  <si>
    <t>LNH0326NG10</t>
  </si>
  <si>
    <t>25802800155</t>
  </si>
  <si>
    <t>Nguyễn Huỳnh Đình</t>
  </si>
  <si>
    <t>25808900122</t>
  </si>
  <si>
    <t>Thuận</t>
  </si>
  <si>
    <t>25805800025</t>
  </si>
  <si>
    <t>Thái Gia</t>
  </si>
  <si>
    <t>25808500106</t>
  </si>
  <si>
    <t>Phạm Ngọc</t>
  </si>
  <si>
    <t>25801800161</t>
  </si>
  <si>
    <t>Nguyễn Thị Kiều</t>
  </si>
  <si>
    <t>25805900035</t>
  </si>
  <si>
    <t>Chu Lập</t>
  </si>
  <si>
    <t>Level 3</t>
  </si>
  <si>
    <t>25809600068</t>
  </si>
  <si>
    <t>Võ Việt</t>
  </si>
  <si>
    <t>25802800392</t>
  </si>
  <si>
    <t>Nguyễn Chí</t>
  </si>
  <si>
    <t>25808900004</t>
  </si>
  <si>
    <t>Đào Duy</t>
  </si>
  <si>
    <t>25808900229</t>
  </si>
  <si>
    <t>Nguyễn Thiên</t>
  </si>
  <si>
    <t>Ân</t>
  </si>
  <si>
    <t>25808900091</t>
  </si>
  <si>
    <t>Dương Thị Tuyết</t>
  </si>
  <si>
    <t>25808900109</t>
  </si>
  <si>
    <t>Lê Văn</t>
  </si>
  <si>
    <t>Tấn</t>
  </si>
  <si>
    <t>25802400028</t>
  </si>
  <si>
    <t>Nguyễn Thị Xuân</t>
  </si>
  <si>
    <t>25820700012</t>
  </si>
  <si>
    <t>Ngô Mạnh Trường</t>
  </si>
  <si>
    <t>25808700077</t>
  </si>
  <si>
    <t>Trần Thanh</t>
  </si>
  <si>
    <t>25808600033</t>
  </si>
  <si>
    <t>Phạm Thị Ngọc</t>
  </si>
  <si>
    <t>LNH0326NG11</t>
  </si>
  <si>
    <t>25808600160</t>
  </si>
  <si>
    <t>Nguyễn Thị Như</t>
  </si>
  <si>
    <t>25808900043</t>
  </si>
  <si>
    <t>Huỳnh Xuân</t>
  </si>
  <si>
    <t>25808900240</t>
  </si>
  <si>
    <t>Phạm Văn</t>
  </si>
  <si>
    <t>25801800014</t>
  </si>
  <si>
    <t>Nguyễn Thị Thu</t>
  </si>
  <si>
    <t>25802800006</t>
  </si>
  <si>
    <t>Lê Hồng</t>
  </si>
  <si>
    <t/>
  </si>
  <si>
    <t>25801100089</t>
  </si>
  <si>
    <t>Trần Thị</t>
  </si>
  <si>
    <t>25808600135</t>
  </si>
  <si>
    <t>Trần Thị Huyền</t>
  </si>
  <si>
    <t>25809600017</t>
  </si>
  <si>
    <t>Phan Nguyễn Anh</t>
  </si>
  <si>
    <t>Đức</t>
  </si>
  <si>
    <t>25802800399</t>
  </si>
  <si>
    <t>25802800144</t>
  </si>
  <si>
    <t>Phạm Nguyễn Ngọc</t>
  </si>
  <si>
    <t>Mai</t>
  </si>
  <si>
    <t>25806600350</t>
  </si>
  <si>
    <t>25808900014</t>
  </si>
  <si>
    <t>Chí</t>
  </si>
  <si>
    <t>25808900146</t>
  </si>
  <si>
    <t>Phùng Minh</t>
  </si>
  <si>
    <t>25802800025</t>
  </si>
  <si>
    <t>Trần Vũ Bảo</t>
  </si>
  <si>
    <t>Châu</t>
  </si>
  <si>
    <t>LNH0925ND22</t>
  </si>
  <si>
    <t>25802800199</t>
  </si>
  <si>
    <t>Trần Xuân</t>
  </si>
  <si>
    <t>25802800167</t>
  </si>
  <si>
    <t>Nguyễn Trần Phương</t>
  </si>
  <si>
    <t>25805900091</t>
  </si>
  <si>
    <t>Phạm Phương</t>
  </si>
  <si>
    <t>LNH0326NG12</t>
  </si>
  <si>
    <t>25801200021</t>
  </si>
  <si>
    <t>Trần Quang</t>
  </si>
  <si>
    <t>25802800015</t>
  </si>
  <si>
    <t>25808300013</t>
  </si>
  <si>
    <t>Vi Thị Tú</t>
  </si>
  <si>
    <t>25802600139</t>
  </si>
  <si>
    <t>Phạm Nguyễn Thảo</t>
  </si>
  <si>
    <t>25806000026</t>
  </si>
  <si>
    <t>Phạm Văn Vĩnh</t>
  </si>
  <si>
    <t>25806000007</t>
  </si>
  <si>
    <t>25808300103</t>
  </si>
  <si>
    <t>Lê Thị Thuỳ</t>
  </si>
  <si>
    <t>Dịu</t>
  </si>
  <si>
    <t>25808700079</t>
  </si>
  <si>
    <t>Đặng Hiểu</t>
  </si>
  <si>
    <t>25800400058</t>
  </si>
  <si>
    <t>Phan Ngọc Gia</t>
  </si>
  <si>
    <t>25802600171</t>
  </si>
  <si>
    <t>Bùi Ngọc Hải</t>
  </si>
  <si>
    <t>LNH0526NQ13</t>
  </si>
  <si>
    <t>25808100019</t>
  </si>
  <si>
    <t>Trần Gia</t>
  </si>
  <si>
    <t>25803800058</t>
  </si>
  <si>
    <t>Giang Quốc</t>
  </si>
  <si>
    <t>25808100045</t>
  </si>
  <si>
    <t>25802400010</t>
  </si>
  <si>
    <t>25802700050</t>
  </si>
  <si>
    <t>Vũ Nguyễn Hoàng</t>
  </si>
  <si>
    <t>25808700034</t>
  </si>
  <si>
    <t xml:space="preserve">Nguyễn Gia </t>
  </si>
  <si>
    <t>25805800048</t>
  </si>
  <si>
    <t>LNH0326NG13</t>
  </si>
  <si>
    <t>25806500014</t>
  </si>
  <si>
    <t>Nguyễn Thanh Ngọc</t>
  </si>
  <si>
    <t>25802600042</t>
  </si>
  <si>
    <t>Châu Ngọc</t>
  </si>
  <si>
    <t>25806000038</t>
  </si>
  <si>
    <t>Nguyễn Hồ Thu</t>
  </si>
  <si>
    <t>Thủy</t>
  </si>
  <si>
    <t>25802800201</t>
  </si>
  <si>
    <t>Cao Vũ Anh</t>
  </si>
  <si>
    <t>25802800275</t>
  </si>
  <si>
    <t>Trần Ngọc Bảo</t>
  </si>
  <si>
    <t>25806000071</t>
  </si>
  <si>
    <t>25802600082</t>
  </si>
  <si>
    <t>Dương Nguyễn Hạnh</t>
  </si>
  <si>
    <t>25806000094</t>
  </si>
  <si>
    <t>25802600070</t>
  </si>
  <si>
    <t>Nguyễn Quỳnh</t>
  </si>
  <si>
    <t>25802800020</t>
  </si>
  <si>
    <t>Trương Nguyễn Gia</t>
  </si>
  <si>
    <t>25808900243</t>
  </si>
  <si>
    <t>Đỗ Ngọc</t>
  </si>
  <si>
    <t>25801100123</t>
  </si>
  <si>
    <t>Nguyễn Ngọc Anh</t>
  </si>
  <si>
    <t>25806000034</t>
  </si>
  <si>
    <t>Nguyễn Nhật Thanh</t>
  </si>
  <si>
    <t>LNH1125NE31</t>
  </si>
  <si>
    <t>25808900053</t>
  </si>
  <si>
    <t>25802800019</t>
  </si>
  <si>
    <t>Ninh Gia</t>
  </si>
  <si>
    <t>xin bảo lưu, học lại lv3 tháng 5</t>
  </si>
  <si>
    <t>25807900080</t>
  </si>
  <si>
    <t>Hoàng Gia Anh</t>
  </si>
  <si>
    <t>LNH1125NE19</t>
  </si>
  <si>
    <t>25808600258</t>
  </si>
  <si>
    <t>Nguyễn Ngọc Tú</t>
  </si>
  <si>
    <t>25807900073</t>
  </si>
  <si>
    <t>Trương Tấn</t>
  </si>
  <si>
    <t>LNH0326NG14</t>
  </si>
  <si>
    <t>25802800010</t>
  </si>
  <si>
    <t>25807500151</t>
  </si>
  <si>
    <t>Nguyễn Phạm Hoàng</t>
  </si>
  <si>
    <t>25808200225</t>
  </si>
  <si>
    <t>Việt</t>
  </si>
  <si>
    <t>25800400110</t>
  </si>
  <si>
    <t>Lê Trung</t>
  </si>
  <si>
    <t>LNH0925ND20</t>
  </si>
  <si>
    <t>25808200096</t>
  </si>
  <si>
    <t>25800400077</t>
  </si>
  <si>
    <t>Nguyễn Đăng</t>
  </si>
  <si>
    <t>25801100062</t>
  </si>
  <si>
    <t>Phạm Nhật</t>
  </si>
  <si>
    <t>Thiên</t>
  </si>
  <si>
    <t>LNH1125NE28</t>
  </si>
  <si>
    <t>25807500161</t>
  </si>
  <si>
    <t>25800400106</t>
  </si>
  <si>
    <t>Đặng Hiếu</t>
  </si>
  <si>
    <t>25800400117</t>
  </si>
  <si>
    <t>Vũ Hoàng Minh</t>
  </si>
  <si>
    <t>25800500288</t>
  </si>
  <si>
    <t>Nguyễn Trung</t>
  </si>
  <si>
    <t>Hiếu</t>
  </si>
  <si>
    <t>LNH0925ND29</t>
  </si>
  <si>
    <t>LNH1125NE16</t>
  </si>
  <si>
    <t>Nguyễn Ngọc Đức</t>
  </si>
  <si>
    <t>25808200147</t>
  </si>
  <si>
    <t>Vũ</t>
  </si>
  <si>
    <t>25800400133</t>
  </si>
  <si>
    <t>25800400244</t>
  </si>
  <si>
    <t>25800500248</t>
  </si>
  <si>
    <t>Vũ Minh</t>
  </si>
  <si>
    <t>25801900115</t>
  </si>
  <si>
    <t>Lê Phú</t>
  </si>
  <si>
    <t>LNH0925ND31</t>
  </si>
  <si>
    <t>25805900117</t>
  </si>
  <si>
    <t>Đặng Thị Trúc</t>
  </si>
  <si>
    <t>LNH1125NE29</t>
  </si>
  <si>
    <t>25807900003</t>
  </si>
  <si>
    <t>25807900054</t>
  </si>
  <si>
    <t>Mai Thanh</t>
  </si>
  <si>
    <t>Thơm</t>
  </si>
  <si>
    <t>25807900052</t>
  </si>
  <si>
    <t>Thiện</t>
  </si>
  <si>
    <t>25800500162</t>
  </si>
  <si>
    <t>Đinh Công</t>
  </si>
  <si>
    <t>25801100118</t>
  </si>
  <si>
    <t>Thái Nguyễn Nam</t>
  </si>
  <si>
    <t>LNH0326NG15</t>
  </si>
  <si>
    <t>25820300088</t>
  </si>
  <si>
    <t>Nông Thanh</t>
  </si>
  <si>
    <t>Quyền</t>
  </si>
  <si>
    <t>25801100128</t>
  </si>
  <si>
    <t>Nguyễn Tấn</t>
  </si>
  <si>
    <t>LNH0925ND19</t>
  </si>
  <si>
    <t>25802700147</t>
  </si>
  <si>
    <t>Vũ Nguyễn Thu</t>
  </si>
  <si>
    <t>25807500001</t>
  </si>
  <si>
    <t>Đoàn Ngọc Hoài</t>
  </si>
  <si>
    <t>25801300028</t>
  </si>
  <si>
    <t>Nguyễn Thị Yến</t>
  </si>
  <si>
    <t>25802700203</t>
  </si>
  <si>
    <t>Đỗ Nguyễn Thu</t>
  </si>
  <si>
    <t>Nguyệt</t>
  </si>
  <si>
    <t>25807500053</t>
  </si>
  <si>
    <t>Trần Tuấn</t>
  </si>
  <si>
    <t>25807500132</t>
  </si>
  <si>
    <t>Trần Hoàng</t>
  </si>
  <si>
    <t>Tiến</t>
  </si>
  <si>
    <t>LNH1125NE17</t>
  </si>
  <si>
    <t>25800600669</t>
  </si>
  <si>
    <t>Trần Thị Hoài</t>
  </si>
  <si>
    <t>25808200122</t>
  </si>
  <si>
    <t>Võ Nhất</t>
  </si>
  <si>
    <t>LNH1125NE21</t>
  </si>
  <si>
    <t>25802700054</t>
  </si>
  <si>
    <t>Lê Thị Tuyết</t>
  </si>
  <si>
    <t>25820200112</t>
  </si>
  <si>
    <t>Bùi Quang</t>
  </si>
  <si>
    <t>25808200228</t>
  </si>
  <si>
    <t>Trương Gia</t>
  </si>
  <si>
    <t>25808200223</t>
  </si>
  <si>
    <t>25807800110</t>
  </si>
  <si>
    <t>Nguyễn Duyên Hoàn</t>
  </si>
  <si>
    <t>25800500056</t>
  </si>
  <si>
    <t>Đồng Minh</t>
  </si>
  <si>
    <t>25808200258</t>
  </si>
  <si>
    <t>Ngô Phúc</t>
  </si>
  <si>
    <t>Hải</t>
  </si>
  <si>
    <t>LNH0326NG16</t>
  </si>
  <si>
    <t>25806800022</t>
  </si>
  <si>
    <t>25800500133</t>
  </si>
  <si>
    <t>25807500227</t>
  </si>
  <si>
    <t>Nguyễn Ngọc Phương</t>
  </si>
  <si>
    <t>25807800070</t>
  </si>
  <si>
    <t>Lê Hữu</t>
  </si>
  <si>
    <t>25807500069</t>
  </si>
  <si>
    <t>Lý Huệ</t>
  </si>
  <si>
    <t>Mẫn</t>
  </si>
  <si>
    <t>25807900120</t>
  </si>
  <si>
    <t>Trần Đức</t>
  </si>
  <si>
    <t>25800500278</t>
  </si>
  <si>
    <t>Phạm Thế</t>
  </si>
  <si>
    <t>Lân</t>
  </si>
  <si>
    <t>25808200117</t>
  </si>
  <si>
    <t>Nguyễn Thuận</t>
  </si>
  <si>
    <t>25808200125</t>
  </si>
  <si>
    <t>Dương Văn Minh</t>
  </si>
  <si>
    <t>Thông</t>
  </si>
  <si>
    <t>25808200111</t>
  </si>
  <si>
    <t>Phạm Hoàng Tài Ch</t>
  </si>
  <si>
    <t>25800600765</t>
  </si>
  <si>
    <t>Phan Anh</t>
  </si>
  <si>
    <t>25807800030</t>
  </si>
  <si>
    <t>Nguyễn Bá Công</t>
  </si>
  <si>
    <t>Định</t>
  </si>
  <si>
    <t>25800400059</t>
  </si>
  <si>
    <t>Phan Quốc</t>
  </si>
  <si>
    <t>25806400012</t>
  </si>
  <si>
    <t>25807800067</t>
  </si>
  <si>
    <t>Lê Trà Bảo</t>
  </si>
  <si>
    <t>25801100079</t>
  </si>
  <si>
    <t>Trần Thị Bích</t>
  </si>
  <si>
    <t>Tuyền</t>
  </si>
  <si>
    <t>25808700211</t>
  </si>
  <si>
    <t>LNH0326NG17</t>
  </si>
  <si>
    <t>25801300024</t>
  </si>
  <si>
    <t>Lê Huỳnh Khánh</t>
  </si>
  <si>
    <t>25802700069</t>
  </si>
  <si>
    <t>Nguyễn Lê Trúc</t>
  </si>
  <si>
    <t>Quỳnh</t>
  </si>
  <si>
    <t>25807700017</t>
  </si>
  <si>
    <t>Hà Quốc</t>
  </si>
  <si>
    <t>25820700063</t>
  </si>
  <si>
    <t>Hồng</t>
  </si>
  <si>
    <t>25808200072</t>
  </si>
  <si>
    <t>Hồng Văn</t>
  </si>
  <si>
    <t>Kiên</t>
  </si>
  <si>
    <t>25800400049</t>
  </si>
  <si>
    <t>Trương Vĩnh</t>
  </si>
  <si>
    <t>Hội</t>
  </si>
  <si>
    <t>25820300093</t>
  </si>
  <si>
    <t>25801100007</t>
  </si>
  <si>
    <t>Chiến</t>
  </si>
  <si>
    <t>LNH0925ND24</t>
  </si>
  <si>
    <t>25802700153</t>
  </si>
  <si>
    <t>Lê Thái</t>
  </si>
  <si>
    <t>25801100004</t>
  </si>
  <si>
    <t>25800500109</t>
  </si>
  <si>
    <t>Nguyễn Huỳnh Nhựt</t>
  </si>
  <si>
    <t>25800500096</t>
  </si>
  <si>
    <t>Đỗ Chí</t>
  </si>
  <si>
    <t>LNH0925ND32</t>
  </si>
  <si>
    <t>25807800099</t>
  </si>
  <si>
    <t>Đỗ Lê Hoàng</t>
  </si>
  <si>
    <t>25800400055</t>
  </si>
  <si>
    <t>Ngô Lâm Bảo</t>
  </si>
  <si>
    <t>25808200135</t>
  </si>
  <si>
    <t xml:space="preserve">Nguyễn Phi </t>
  </si>
  <si>
    <t>25802600010</t>
  </si>
  <si>
    <t>Tăng Hồng</t>
  </si>
  <si>
    <t>25808700047</t>
  </si>
  <si>
    <t>Nguyen Mai Nhat</t>
  </si>
  <si>
    <t>25802700012</t>
  </si>
  <si>
    <t>Nguyễn Thị Cẩm</t>
  </si>
  <si>
    <t>LNH0326NG18</t>
  </si>
  <si>
    <t>25808900008</t>
  </si>
  <si>
    <t>Le Do Hung</t>
  </si>
  <si>
    <t>25807500063</t>
  </si>
  <si>
    <t>Ngô Ngọc</t>
  </si>
  <si>
    <t>25808600069</t>
  </si>
  <si>
    <t>Nguyễn Ngọc Thanh</t>
  </si>
  <si>
    <t>25807800212</t>
  </si>
  <si>
    <t>Nguyễn Gia</t>
  </si>
  <si>
    <t>Khương</t>
  </si>
  <si>
    <t>25801100044</t>
  </si>
  <si>
    <t>25801300015</t>
  </si>
  <si>
    <t>Dương Thị Minh</t>
  </si>
  <si>
    <t>25820200068</t>
  </si>
  <si>
    <t>Nguyễn Minh Như</t>
  </si>
  <si>
    <t>25800400151</t>
  </si>
  <si>
    <t>25802700022</t>
  </si>
  <si>
    <t>Nguyễn Phạm Ngọc</t>
  </si>
  <si>
    <t>25820300027</t>
  </si>
  <si>
    <t>Hà Đình</t>
  </si>
  <si>
    <t>25802700003</t>
  </si>
  <si>
    <t>Trần Đình</t>
  </si>
  <si>
    <t>25802700104</t>
  </si>
  <si>
    <t>Lê Thị Mỹ</t>
  </si>
  <si>
    <t>25800400275</t>
  </si>
  <si>
    <t>Trần Lê Hữu</t>
  </si>
  <si>
    <t>25807800158</t>
  </si>
  <si>
    <t>Đỗ Thanh</t>
  </si>
  <si>
    <t>25820300063</t>
  </si>
  <si>
    <t>Thái Thành</t>
  </si>
  <si>
    <t>25820300085</t>
  </si>
  <si>
    <t>Nguyễn Hoàng Trọng</t>
  </si>
  <si>
    <t>25800400114</t>
  </si>
  <si>
    <t>Trần Thiện</t>
  </si>
  <si>
    <t>LNH0925ND36</t>
  </si>
  <si>
    <t>25805800054</t>
  </si>
  <si>
    <t>Lê Hoàng</t>
  </si>
  <si>
    <t>LNH0326NG19</t>
  </si>
  <si>
    <t>25808200108</t>
  </si>
  <si>
    <t>Tô Phước</t>
  </si>
  <si>
    <t>25800400291</t>
  </si>
  <si>
    <t>25800500136</t>
  </si>
  <si>
    <t>LNH0526NQ17</t>
  </si>
  <si>
    <t>25801200039</t>
  </si>
  <si>
    <t>Huỳnh Trần Thảo</t>
  </si>
  <si>
    <t>25802700134</t>
  </si>
  <si>
    <t>Phan Bảo</t>
  </si>
  <si>
    <t>Luân</t>
  </si>
  <si>
    <t>25807500032</t>
  </si>
  <si>
    <t>25807500124</t>
  </si>
  <si>
    <t>25807900042</t>
  </si>
  <si>
    <t>Quang</t>
  </si>
  <si>
    <t>Trần Huỳnh Quang</t>
  </si>
  <si>
    <t>25820100028</t>
  </si>
  <si>
    <t>25808500274</t>
  </si>
  <si>
    <t>25800400122</t>
  </si>
  <si>
    <t>Đặng Nguyễn Hoàng</t>
  </si>
  <si>
    <t>25808200139</t>
  </si>
  <si>
    <t>Lương Mạnh</t>
  </si>
  <si>
    <t>25800500072</t>
  </si>
  <si>
    <t>Nguyễn</t>
  </si>
  <si>
    <t>25806300022</t>
  </si>
  <si>
    <t>Ngô Thanh</t>
  </si>
  <si>
    <t>Vân</t>
  </si>
  <si>
    <t>25800400287</t>
  </si>
  <si>
    <t>LNH0326NG20</t>
  </si>
  <si>
    <t>25808200123</t>
  </si>
  <si>
    <t>Lê Ngọc</t>
  </si>
  <si>
    <t>25820700004</t>
  </si>
  <si>
    <t>Trần Quỳnh</t>
  </si>
  <si>
    <t>25820700010</t>
  </si>
  <si>
    <t>Nguyễn Dương Hiền</t>
  </si>
  <si>
    <t>Hòa</t>
  </si>
  <si>
    <t>25807800112</t>
  </si>
  <si>
    <t>Nguyễn Hoàng Minh</t>
  </si>
  <si>
    <t>25802100071</t>
  </si>
  <si>
    <t>Nguyễn Vinh</t>
  </si>
  <si>
    <t>25802700081</t>
  </si>
  <si>
    <t>Dương Nguyễn Ngọc</t>
  </si>
  <si>
    <t>25808200070</t>
  </si>
  <si>
    <t>25820300043</t>
  </si>
  <si>
    <t>Trần Tấn</t>
  </si>
  <si>
    <t>25820300026</t>
  </si>
  <si>
    <t>Phạm Nguyễn Đăng</t>
  </si>
  <si>
    <t>25820300009</t>
  </si>
  <si>
    <t>Trịnh Nhật</t>
  </si>
  <si>
    <t>Đông</t>
  </si>
  <si>
    <t>25807800073</t>
  </si>
  <si>
    <t>Võ Thanh</t>
  </si>
  <si>
    <t>Liêm</t>
  </si>
  <si>
    <t>25800400051</t>
  </si>
  <si>
    <t>Nguyễn Lâm</t>
  </si>
  <si>
    <t>25800500311</t>
  </si>
  <si>
    <t>Triệu Gia</t>
  </si>
  <si>
    <t>25820300049</t>
  </si>
  <si>
    <t>Đặng Nhân</t>
  </si>
  <si>
    <t>Quý</t>
  </si>
  <si>
    <t>25800600077</t>
  </si>
  <si>
    <t>Sơn Trung</t>
  </si>
  <si>
    <t>25807900018</t>
  </si>
  <si>
    <t>Lê Dương Gia</t>
  </si>
  <si>
    <t>Phạm Hùng</t>
  </si>
  <si>
    <t>25808200053</t>
  </si>
  <si>
    <t>Thái Ngọc</t>
  </si>
  <si>
    <t>LNH0326NG21</t>
  </si>
  <si>
    <t>25802800185</t>
  </si>
  <si>
    <t>Chu Yến</t>
  </si>
  <si>
    <t>25808200269</t>
  </si>
  <si>
    <t>25800600343</t>
  </si>
  <si>
    <t>25820200133</t>
  </si>
  <si>
    <t>Đại</t>
  </si>
  <si>
    <t>25803800021</t>
  </si>
  <si>
    <t>Đỗ Quốc</t>
  </si>
  <si>
    <t>25800500277</t>
  </si>
  <si>
    <t>Vũ Đức</t>
  </si>
  <si>
    <t>25807500028</t>
  </si>
  <si>
    <t>Tô Gia</t>
  </si>
  <si>
    <t>25800400088</t>
  </si>
  <si>
    <t>Nguyễn Đỗ Anh</t>
  </si>
  <si>
    <t>25801100001</t>
  </si>
  <si>
    <t>Đinh Tuấn</t>
  </si>
  <si>
    <t>25806400003</t>
  </si>
  <si>
    <t>Đỗ</t>
  </si>
  <si>
    <t>Duẫn</t>
  </si>
  <si>
    <t>25807500033</t>
  </si>
  <si>
    <t>25807800120</t>
  </si>
  <si>
    <t>Trần Văn</t>
  </si>
  <si>
    <t>25807000012</t>
  </si>
  <si>
    <t>Trần Ngọc Minh</t>
  </si>
  <si>
    <t>25803800037</t>
  </si>
  <si>
    <t>Lê Nguyễn Ngọc</t>
  </si>
  <si>
    <t>25808600137</t>
  </si>
  <si>
    <t>Lương Thị Tuyết</t>
  </si>
  <si>
    <t>Trinh</t>
  </si>
  <si>
    <t>25800500093</t>
  </si>
  <si>
    <t>Nguyễn Trần Đăng</t>
  </si>
  <si>
    <t>Ngô Nhật</t>
  </si>
  <si>
    <t>25806800058</t>
  </si>
  <si>
    <t>Huỳnh Hoa Trinh</t>
  </si>
  <si>
    <t>Nữ</t>
  </si>
  <si>
    <t>LNH0326NG22</t>
  </si>
  <si>
    <t>25808200049</t>
  </si>
  <si>
    <t>25808700221</t>
  </si>
  <si>
    <t>Huỳnh Phúc</t>
  </si>
  <si>
    <t>25807900016</t>
  </si>
  <si>
    <t>25820700014</t>
  </si>
  <si>
    <t>25820100030</t>
  </si>
  <si>
    <t>Phan Vũ Gia</t>
  </si>
  <si>
    <t>25820100044</t>
  </si>
  <si>
    <t>Chiêm Hoàng</t>
  </si>
  <si>
    <t>25801000013</t>
  </si>
  <si>
    <t>Trần Đặng Kim</t>
  </si>
  <si>
    <t>25809400056</t>
  </si>
  <si>
    <t>Hà Thanh</t>
  </si>
  <si>
    <t>25800400152</t>
  </si>
  <si>
    <t>Đào Quốc</t>
  </si>
  <si>
    <t>25806400021</t>
  </si>
  <si>
    <t>Lê Ngọc Quỳnh</t>
  </si>
  <si>
    <t>25807500054</t>
  </si>
  <si>
    <t>Đặng Mỹ</t>
  </si>
  <si>
    <t>Kiều</t>
  </si>
  <si>
    <t>25820300019</t>
  </si>
  <si>
    <t>Trần Quốc</t>
  </si>
  <si>
    <t>25807800116</t>
  </si>
  <si>
    <t>Nguyễn Trần Minh</t>
  </si>
  <si>
    <t>25808200093</t>
  </si>
  <si>
    <t>Nguyễn Khắc</t>
  </si>
  <si>
    <t>25802800160</t>
  </si>
  <si>
    <t>Cao Nguyễn Yến</t>
  </si>
  <si>
    <t>25820200013</t>
  </si>
  <si>
    <t>Mã Lương Hải</t>
  </si>
  <si>
    <t>25807500011</t>
  </si>
  <si>
    <t>Bùi Gia</t>
  </si>
  <si>
    <t>25803800008</t>
  </si>
  <si>
    <t>25820200036</t>
  </si>
  <si>
    <t>Võ Hoàng Anh</t>
  </si>
  <si>
    <t>25808700203</t>
  </si>
  <si>
    <t>Mai Tấn</t>
  </si>
  <si>
    <t>Nhất</t>
  </si>
  <si>
    <t>LNH0326NG23</t>
  </si>
  <si>
    <t>25802700192</t>
  </si>
  <si>
    <t>25803800063</t>
  </si>
  <si>
    <t>Nguyễn Hoàng Nhựt</t>
  </si>
  <si>
    <t>25820700032</t>
  </si>
  <si>
    <t>Nguyễn Hà Linh</t>
  </si>
  <si>
    <t>25803800039</t>
  </si>
  <si>
    <t>Lâm Đinh Bảo</t>
  </si>
  <si>
    <t>25808700068</t>
  </si>
  <si>
    <t>25808200027</t>
  </si>
  <si>
    <t>Hà Hải</t>
  </si>
  <si>
    <t>25808700161</t>
  </si>
  <si>
    <t>An Trang Vàng</t>
  </si>
  <si>
    <t>25820300011</t>
  </si>
  <si>
    <t>Bùi Nguyễn Thanh</t>
  </si>
  <si>
    <t>25807800156</t>
  </si>
  <si>
    <t>Lê Trần Quốc</t>
  </si>
  <si>
    <t>25808700009</t>
  </si>
  <si>
    <t>Diệp</t>
  </si>
  <si>
    <t>25808700023</t>
  </si>
  <si>
    <t>Phùng Thanh</t>
  </si>
  <si>
    <t>25808700099</t>
  </si>
  <si>
    <t>Lê Nguyễn Mỹ</t>
  </si>
  <si>
    <t>25808200079</t>
  </si>
  <si>
    <t>Đặng Thái</t>
  </si>
  <si>
    <t>25808700092</t>
  </si>
  <si>
    <t>Nguyễn Chiến</t>
  </si>
  <si>
    <t>25807900051</t>
  </si>
  <si>
    <t>25806000105</t>
  </si>
  <si>
    <t>Vũ Đỗ Như</t>
  </si>
  <si>
    <t>25808700122</t>
  </si>
  <si>
    <t>Trần Như</t>
  </si>
  <si>
    <t>25808700176</t>
  </si>
  <si>
    <t>Nguyễn Bảo</t>
  </si>
  <si>
    <t>25803800060</t>
  </si>
  <si>
    <t>25807700035</t>
  </si>
  <si>
    <t>Chung Long</t>
  </si>
  <si>
    <t>25808200051</t>
  </si>
  <si>
    <t>Lư Gia</t>
  </si>
  <si>
    <t>25808200280</t>
  </si>
  <si>
    <t>Triều</t>
  </si>
  <si>
    <t>25803800045</t>
  </si>
  <si>
    <t>Trần Ngọc Kiều</t>
  </si>
  <si>
    <t>Oanh</t>
  </si>
  <si>
    <t xml:space="preserve">Lê Nguyễn Anh </t>
  </si>
  <si>
    <t>25800500007</t>
  </si>
  <si>
    <t>Nguyễn Huy</t>
  </si>
  <si>
    <t>LNH0326NG24</t>
  </si>
  <si>
    <t>25801200035</t>
  </si>
  <si>
    <t>25807500079</t>
  </si>
  <si>
    <t>Lê Thảo Hạnh</t>
  </si>
  <si>
    <t>25800500108</t>
  </si>
  <si>
    <t>Tô Tấn</t>
  </si>
  <si>
    <t>25803800007</t>
  </si>
  <si>
    <t>Nguyễn Lâm Thiên</t>
  </si>
  <si>
    <t>25807700081</t>
  </si>
  <si>
    <t>Đặng Hoàng</t>
  </si>
  <si>
    <t>25800500025</t>
  </si>
  <si>
    <t>Hoàng Ngọc</t>
  </si>
  <si>
    <t>25800500134</t>
  </si>
  <si>
    <t>Huỳnh Nguyễn Lâm</t>
  </si>
  <si>
    <t>25800500075</t>
  </si>
  <si>
    <t>Lê Trọng</t>
  </si>
  <si>
    <t>Kha</t>
  </si>
  <si>
    <t>25820200060</t>
  </si>
  <si>
    <t>Phạm Trọng</t>
  </si>
  <si>
    <t>25801200012</t>
  </si>
  <si>
    <t>Hứa Nguyễn Gia</t>
  </si>
  <si>
    <t>25807500237</t>
  </si>
  <si>
    <t>25800500111</t>
  </si>
  <si>
    <t>25802100018</t>
  </si>
  <si>
    <t>Lê Anh</t>
  </si>
  <si>
    <t>25807500007</t>
  </si>
  <si>
    <t>Nguyen Thi Mai</t>
  </si>
  <si>
    <t>25808700114</t>
  </si>
  <si>
    <t>25802700127</t>
  </si>
  <si>
    <t>Nga</t>
  </si>
  <si>
    <t>25800601138</t>
  </si>
  <si>
    <t>LNH0326NG25</t>
  </si>
  <si>
    <t>25800500121</t>
  </si>
  <si>
    <t>Nguyễn Chỉnh</t>
  </si>
  <si>
    <t>Nghiêm</t>
  </si>
  <si>
    <t>25807700003</t>
  </si>
  <si>
    <t>Nguyễn Việt</t>
  </si>
  <si>
    <t>25808900092</t>
  </si>
  <si>
    <t>Trần Yến</t>
  </si>
  <si>
    <t>25807700074</t>
  </si>
  <si>
    <t>Phạm Lương</t>
  </si>
  <si>
    <t>25808700015</t>
  </si>
  <si>
    <t>Dương Hữu Khánh</t>
  </si>
  <si>
    <t>25800400290</t>
  </si>
  <si>
    <t>Nguyễn Trường</t>
  </si>
  <si>
    <t>Tín</t>
  </si>
  <si>
    <t>25800500005</t>
  </si>
  <si>
    <t>Lê Tuấn</t>
  </si>
  <si>
    <t>25800400150</t>
  </si>
  <si>
    <t>Lưu Nguyễn Minh</t>
  </si>
  <si>
    <t>25802100022</t>
  </si>
  <si>
    <t>Lê Nguyễn Tuấn</t>
  </si>
  <si>
    <t>25800400052</t>
  </si>
  <si>
    <t>Châu Gia</t>
  </si>
  <si>
    <t>25800400245</t>
  </si>
  <si>
    <t>Châu Anh</t>
  </si>
  <si>
    <t>25803800098</t>
  </si>
  <si>
    <t>Hứa Mỹ</t>
  </si>
  <si>
    <t>25801200041</t>
  </si>
  <si>
    <t>Nguyễn Thị Tường</t>
  </si>
  <si>
    <t>25820200064</t>
  </si>
  <si>
    <t>Ngô Mạnh</t>
  </si>
  <si>
    <t>25800500112</t>
  </si>
  <si>
    <t>Lê Hoài</t>
  </si>
  <si>
    <t>25808200014</t>
  </si>
  <si>
    <t>Đinh Đăng</t>
  </si>
  <si>
    <t>25820200051</t>
  </si>
  <si>
    <t>25806400010</t>
  </si>
  <si>
    <t>Trần Vũ Gia</t>
  </si>
  <si>
    <t>LNH0326NG26</t>
  </si>
  <si>
    <t>25806300031</t>
  </si>
  <si>
    <t>25806300028</t>
  </si>
  <si>
    <t>Trần Hoài</t>
  </si>
  <si>
    <t>25802100069</t>
  </si>
  <si>
    <t>Lương Bảo</t>
  </si>
  <si>
    <t>25820300020</t>
  </si>
  <si>
    <t>25807800143</t>
  </si>
  <si>
    <t>Phạm Nguyễn Minh</t>
  </si>
  <si>
    <t>25800400170</t>
  </si>
  <si>
    <t>Tô Bùi Hoàng</t>
  </si>
  <si>
    <t>25800500306</t>
  </si>
  <si>
    <t>Hà Minh</t>
  </si>
  <si>
    <t>25806400041</t>
  </si>
  <si>
    <t>Lữ</t>
  </si>
  <si>
    <t>25807500017</t>
  </si>
  <si>
    <t>Đỗ Tiến</t>
  </si>
  <si>
    <t>25820300056</t>
  </si>
  <si>
    <t>Võ Duy</t>
  </si>
  <si>
    <t>25800400142</t>
  </si>
  <si>
    <t>Đỗ Xuân</t>
  </si>
  <si>
    <t>25800500049</t>
  </si>
  <si>
    <t>25808700006</t>
  </si>
  <si>
    <t>Lê Chí</t>
  </si>
  <si>
    <t>25820200110</t>
  </si>
  <si>
    <t>Nguyễn Bá</t>
  </si>
  <si>
    <t>25800400020</t>
  </si>
  <si>
    <t>Lô Khánh</t>
  </si>
  <si>
    <t>25808200061</t>
  </si>
  <si>
    <t>Phạm Thái</t>
  </si>
  <si>
    <t>25802800402</t>
  </si>
  <si>
    <t>25808200098</t>
  </si>
  <si>
    <t>Lương Trường</t>
  </si>
  <si>
    <t>Chu Quang</t>
  </si>
  <si>
    <t>25808600121</t>
  </si>
  <si>
    <t>Võ Anh</t>
  </si>
  <si>
    <t>25809400036</t>
  </si>
  <si>
    <t>25802700006</t>
  </si>
  <si>
    <t>Lê Quốc</t>
  </si>
  <si>
    <t>25806800034</t>
  </si>
  <si>
    <t>Nguyễn Huỳnh Gia</t>
  </si>
  <si>
    <t>25806800053</t>
  </si>
  <si>
    <t>Đoàn Ngọc Yến</t>
  </si>
  <si>
    <t>25808700026</t>
  </si>
  <si>
    <t>Nguyễn Phạm Minh</t>
  </si>
  <si>
    <t>25809100020</t>
  </si>
  <si>
    <t>Phạm Huỳnh Hai</t>
  </si>
  <si>
    <t>Tỷ</t>
  </si>
  <si>
    <t>25801800110</t>
  </si>
  <si>
    <t>Lê Thị</t>
  </si>
  <si>
    <t>25802100009</t>
  </si>
  <si>
    <t>25808600126</t>
  </si>
  <si>
    <t>Hồ Nhật</t>
  </si>
  <si>
    <t>25808600105</t>
  </si>
  <si>
    <t>25800500131</t>
  </si>
  <si>
    <t>Vũ Văn</t>
  </si>
  <si>
    <t>25802800355</t>
  </si>
  <si>
    <t>25802600167</t>
  </si>
  <si>
    <t>Lê Thị Ngọc</t>
  </si>
  <si>
    <t>25808600090</t>
  </si>
  <si>
    <t>Đỗ Thị Minh</t>
  </si>
  <si>
    <t>25805900029</t>
  </si>
  <si>
    <t>Dương Huỳnh Thanh</t>
  </si>
  <si>
    <t>25808600083</t>
  </si>
  <si>
    <t>Nguyễn Thị Khánh</t>
  </si>
  <si>
    <t>25807500144</t>
  </si>
  <si>
    <t>25800600036</t>
  </si>
  <si>
    <t>25801300042</t>
  </si>
  <si>
    <t>25808200052</t>
  </si>
  <si>
    <t>25808700180</t>
  </si>
  <si>
    <t>Đinh Thế</t>
  </si>
  <si>
    <t>Hiển</t>
  </si>
  <si>
    <t>25820700005</t>
  </si>
  <si>
    <t>Võ Ngọc Vân</t>
  </si>
  <si>
    <t>25807800075</t>
  </si>
  <si>
    <t>25807800251</t>
  </si>
  <si>
    <t>Nguyễn Lê</t>
  </si>
  <si>
    <t>25808900060</t>
  </si>
  <si>
    <t>25801000044</t>
  </si>
  <si>
    <t>Phạm Hoàng Trang</t>
  </si>
  <si>
    <t>25807500078</t>
  </si>
  <si>
    <t>Nguyễn Hoài Như</t>
  </si>
  <si>
    <t>25808200104</t>
  </si>
  <si>
    <t>Tôn Thất Dương</t>
  </si>
  <si>
    <t>25808700110</t>
  </si>
  <si>
    <t>Trần Bảo</t>
  </si>
  <si>
    <t>25809600059</t>
  </si>
  <si>
    <t>25802700083</t>
  </si>
  <si>
    <t>Trần Triệu</t>
  </si>
  <si>
    <t>25807800085</t>
  </si>
  <si>
    <t>Tô Hoàng</t>
  </si>
  <si>
    <t>25808200085</t>
  </si>
  <si>
    <t>Nguyen Hoang</t>
  </si>
  <si>
    <t>25807500098</t>
  </si>
  <si>
    <t>Phan Ngọc Phú</t>
  </si>
  <si>
    <t>Quí</t>
  </si>
  <si>
    <t>25801200018</t>
  </si>
  <si>
    <t>Nguyễn Thị Hoàng</t>
  </si>
  <si>
    <t>25800500312</t>
  </si>
  <si>
    <t>Lưu Khải</t>
  </si>
  <si>
    <t>25808700072</t>
  </si>
  <si>
    <t>Nhựt</t>
  </si>
  <si>
    <t>25806300025</t>
  </si>
  <si>
    <t>Hoàng Đức</t>
  </si>
  <si>
    <t>25807500037</t>
  </si>
  <si>
    <t>25802600095</t>
  </si>
  <si>
    <t>Đinh Thị Linh</t>
  </si>
  <si>
    <t>25802800047</t>
  </si>
  <si>
    <t>25808700155</t>
  </si>
  <si>
    <t>25802800018</t>
  </si>
  <si>
    <t>25806400024</t>
  </si>
  <si>
    <t>Trần Dương Kim</t>
  </si>
  <si>
    <t>Tuyến</t>
  </si>
  <si>
    <t>25801600005</t>
  </si>
  <si>
    <t>Ngô Khắc Vân</t>
  </si>
  <si>
    <t>25802600109</t>
  </si>
  <si>
    <t>Ngô Tâm</t>
  </si>
  <si>
    <t>25820500007</t>
  </si>
  <si>
    <t>Trần Vũ Anh</t>
  </si>
  <si>
    <t>25801700016</t>
  </si>
  <si>
    <t>Lê Nguyễn Thu</t>
  </si>
  <si>
    <t>25801700013</t>
  </si>
  <si>
    <t>Trần Văn Anh</t>
  </si>
  <si>
    <t>25803000304</t>
  </si>
  <si>
    <t>Nguyễn Thị Thùy</t>
  </si>
  <si>
    <t>25806800057</t>
  </si>
  <si>
    <t>Lê Tâm</t>
  </si>
  <si>
    <t>25808600139</t>
  </si>
  <si>
    <t>Trúc</t>
  </si>
  <si>
    <t>Văn Công</t>
  </si>
  <si>
    <t>25808900099</t>
  </si>
  <si>
    <t>25802800122</t>
  </si>
  <si>
    <t>25809600077</t>
  </si>
  <si>
    <t>Lê Thành</t>
  </si>
  <si>
    <t>25802800021</t>
  </si>
  <si>
    <t>Bích</t>
  </si>
  <si>
    <t>25801800015</t>
  </si>
  <si>
    <t>Đặng Nguyễn Gia</t>
  </si>
  <si>
    <t>25802600209</t>
  </si>
  <si>
    <t>Bạch Đoan</t>
  </si>
  <si>
    <t>25805800030</t>
  </si>
  <si>
    <t>Ngô Ngọc Minh</t>
  </si>
  <si>
    <t>25802600208</t>
  </si>
  <si>
    <t>25802800250</t>
  </si>
  <si>
    <t>Thúy</t>
  </si>
  <si>
    <t>25802800151</t>
  </si>
  <si>
    <t>Rơ Châm</t>
  </si>
  <si>
    <t>Ngaoh</t>
  </si>
  <si>
    <t>25802600074</t>
  </si>
  <si>
    <t>Huỳnh Thanh</t>
  </si>
  <si>
    <t>25802300057</t>
  </si>
  <si>
    <t>25807500072</t>
  </si>
  <si>
    <t>Phan Thị</t>
  </si>
  <si>
    <t>Mừng</t>
  </si>
  <si>
    <t>25802800113</t>
  </si>
  <si>
    <t>Huỳnh Phạm Đăng</t>
  </si>
  <si>
    <t>25808900011</t>
  </si>
  <si>
    <t>Dương Hoàng</t>
  </si>
  <si>
    <t>25808900138</t>
  </si>
  <si>
    <t>Triết</t>
  </si>
  <si>
    <t>25801800063</t>
  </si>
  <si>
    <t>25809600006</t>
  </si>
  <si>
    <t>Vũ Quốc</t>
  </si>
  <si>
    <t>25807400009</t>
  </si>
  <si>
    <t>25802300142</t>
  </si>
  <si>
    <t>Đặng Thị Khánh</t>
  </si>
  <si>
    <t>Ly</t>
  </si>
  <si>
    <t>25808300046</t>
  </si>
  <si>
    <t>Lâm Thanh</t>
  </si>
  <si>
    <t>25802800152</t>
  </si>
  <si>
    <t>Đỗ Thị Thanh</t>
  </si>
  <si>
    <t>25807000055</t>
  </si>
  <si>
    <t>25809100019</t>
  </si>
  <si>
    <t>Lê Trần Anh</t>
  </si>
  <si>
    <t>25809600043</t>
  </si>
  <si>
    <t>25808600190</t>
  </si>
  <si>
    <t>Đinh Viết</t>
  </si>
  <si>
    <t>25808600200</t>
  </si>
  <si>
    <t>Trần Phương</t>
  </si>
  <si>
    <t>25802100043</t>
  </si>
  <si>
    <t>Văn</t>
  </si>
  <si>
    <t>25808500024</t>
  </si>
  <si>
    <t>Đinh Nguyễn Gia</t>
  </si>
  <si>
    <t>25802800240</t>
  </si>
  <si>
    <t>Nguyễn Thị Hồng</t>
  </si>
  <si>
    <t>25802800255</t>
  </si>
  <si>
    <t>Phạm Nguyễn Anh</t>
  </si>
  <si>
    <t>25803000403</t>
  </si>
  <si>
    <t>Nguyễn Ngọc Mẩn</t>
  </si>
  <si>
    <t>25806800024</t>
  </si>
  <si>
    <t>Phan Thị Kim</t>
  </si>
  <si>
    <t>25802600022</t>
  </si>
  <si>
    <t>Huỳnh Quang</t>
  </si>
  <si>
    <t>25808300060</t>
  </si>
  <si>
    <t>Đặng Ngọc Tú</t>
  </si>
  <si>
    <t>25809600002</t>
  </si>
  <si>
    <t>Nguyễn Trần Tuấn</t>
  </si>
  <si>
    <t>25802800082</t>
  </si>
  <si>
    <t>25805900005</t>
  </si>
  <si>
    <t>Bền</t>
  </si>
  <si>
    <t>25807700087</t>
  </si>
  <si>
    <t>25802800014</t>
  </si>
  <si>
    <t>Bùi Võ Thiên</t>
  </si>
  <si>
    <t>25807700083</t>
  </si>
  <si>
    <t>Bùi Xuân</t>
  </si>
  <si>
    <t>25808600127</t>
  </si>
  <si>
    <t>25802700181</t>
  </si>
  <si>
    <t>Úc</t>
  </si>
  <si>
    <t>25800400012</t>
  </si>
  <si>
    <t>25805900032</t>
  </si>
  <si>
    <t>25807000019</t>
  </si>
  <si>
    <t>Văn Thành</t>
  </si>
  <si>
    <t>25808900246</t>
  </si>
  <si>
    <t>25805900021</t>
  </si>
  <si>
    <t>25808600269</t>
  </si>
  <si>
    <t>Trần Nguyễn Thái</t>
  </si>
  <si>
    <t xml:space="preserve">Xin bảo lưu </t>
  </si>
  <si>
    <t>25801400076</t>
  </si>
  <si>
    <t>Lâm Kiến</t>
  </si>
  <si>
    <t>25808600067</t>
  </si>
  <si>
    <t>Võ Lê Thảo</t>
  </si>
  <si>
    <t>25807700079</t>
  </si>
  <si>
    <t>25807800024</t>
  </si>
  <si>
    <t>Hồ Minh</t>
  </si>
  <si>
    <t>25801600178</t>
  </si>
  <si>
    <t>Lê Ngọc Thảo</t>
  </si>
  <si>
    <t>25801300045</t>
  </si>
  <si>
    <t>Võ Quốc</t>
  </si>
  <si>
    <t>25802600218</t>
  </si>
  <si>
    <t>Nguyễn Thị Vân</t>
  </si>
  <si>
    <t>25805900060</t>
  </si>
  <si>
    <t>Nguyễn Cửu Minh</t>
  </si>
  <si>
    <t>25806000044</t>
  </si>
  <si>
    <t>Mai Lan</t>
  </si>
  <si>
    <t>25806000115</t>
  </si>
  <si>
    <t>Phạm Quang</t>
  </si>
  <si>
    <t>25806100240</t>
  </si>
  <si>
    <t>Bùi Thị Nguyệt</t>
  </si>
  <si>
    <t>25808600240</t>
  </si>
  <si>
    <t>Nguyễn Hàn Mỹ</t>
  </si>
  <si>
    <t>Dung</t>
  </si>
  <si>
    <t>25806800097</t>
  </si>
  <si>
    <t>Hồ Nguyễn Hải</t>
  </si>
  <si>
    <t>25820100031</t>
  </si>
  <si>
    <t>Đặng Trần Hải</t>
  </si>
  <si>
    <t>25820200041</t>
  </si>
  <si>
    <t>Tsìn Huỳnh Phúc</t>
  </si>
  <si>
    <t>25820200119</t>
  </si>
  <si>
    <t>25807500126</t>
  </si>
  <si>
    <t>Phan Ngọc Anh</t>
  </si>
  <si>
    <t>25800400256</t>
  </si>
  <si>
    <t>Trương Hồng</t>
  </si>
  <si>
    <t>Khãi</t>
  </si>
  <si>
    <t>25807500073</t>
  </si>
  <si>
    <t>Bùi Nguyễn Triệu</t>
  </si>
  <si>
    <t>25806300003</t>
  </si>
  <si>
    <t>Mai Khánh</t>
  </si>
  <si>
    <t>25800500253</t>
  </si>
  <si>
    <t>Hà Hữu</t>
  </si>
  <si>
    <t>25801100105</t>
  </si>
  <si>
    <t>25800400097</t>
  </si>
  <si>
    <t>Lê Đức</t>
  </si>
  <si>
    <t>Lượng</t>
  </si>
  <si>
    <t>25801100042</t>
  </si>
  <si>
    <t>25800500098</t>
  </si>
  <si>
    <t>Đàm Anh</t>
  </si>
  <si>
    <t>25808200022</t>
  </si>
  <si>
    <t>Nguyễn Vũ</t>
  </si>
  <si>
    <t>25809600021</t>
  </si>
  <si>
    <t>25807500152</t>
  </si>
  <si>
    <t>Đặng Minh</t>
  </si>
  <si>
    <t>25820700064</t>
  </si>
  <si>
    <t>Võ Thị Huyền</t>
  </si>
  <si>
    <t>25802700094</t>
  </si>
  <si>
    <t>Bùi Thị Ngọc</t>
  </si>
  <si>
    <t>25820300030</t>
  </si>
  <si>
    <t>25807700110</t>
  </si>
  <si>
    <t>25808200247</t>
  </si>
  <si>
    <t>Lê Quang</t>
  </si>
  <si>
    <t>25808200082</t>
  </si>
  <si>
    <t>25800400162</t>
  </si>
  <si>
    <t>Nguyen Van</t>
  </si>
  <si>
    <t>Truyen</t>
  </si>
  <si>
    <t>25800500155</t>
  </si>
  <si>
    <t>Phạm Duy</t>
  </si>
  <si>
    <t>25807500093</t>
  </si>
  <si>
    <t>25801100071</t>
  </si>
  <si>
    <t>Trần Trọng</t>
  </si>
  <si>
    <t>Tính</t>
  </si>
  <si>
    <t>25807500215</t>
  </si>
  <si>
    <t>Trương Ngọc Nhã</t>
  </si>
  <si>
    <t>Đoan</t>
  </si>
  <si>
    <t>25820100086</t>
  </si>
  <si>
    <t>25820700070</t>
  </si>
  <si>
    <t>Bùi Thị Kim</t>
  </si>
  <si>
    <t>25800400273</t>
  </si>
  <si>
    <t>25800500081</t>
  </si>
  <si>
    <t>25800601198</t>
  </si>
  <si>
    <t>25808200002</t>
  </si>
  <si>
    <t>25800500113</t>
  </si>
  <si>
    <t>25820100011</t>
  </si>
  <si>
    <t>25802700084</t>
  </si>
  <si>
    <t>Võ Phước</t>
  </si>
  <si>
    <t>25807900008</t>
  </si>
  <si>
    <t>Võ Khắc</t>
  </si>
  <si>
    <t>25802700193</t>
  </si>
  <si>
    <t>Lý Thị Ngọc</t>
  </si>
  <si>
    <t>25807800199</t>
  </si>
  <si>
    <t>25800400019</t>
  </si>
  <si>
    <t>Cao Quang</t>
  </si>
  <si>
    <t>Biên</t>
  </si>
  <si>
    <t>25820700021</t>
  </si>
  <si>
    <t>Ngô Thị Bảo</t>
  </si>
  <si>
    <t>25800400130</t>
  </si>
  <si>
    <t>Nguyễn Lưu Đông</t>
  </si>
  <si>
    <t>25807700031</t>
  </si>
  <si>
    <t>25808200010</t>
  </si>
  <si>
    <t>Thượng Hoài</t>
  </si>
  <si>
    <t>25806300034</t>
  </si>
  <si>
    <t>25808200109</t>
  </si>
  <si>
    <t>25808700021</t>
  </si>
  <si>
    <t>25801200024</t>
  </si>
  <si>
    <t>25807900026</t>
  </si>
  <si>
    <t>Phan Tấn Gia</t>
  </si>
  <si>
    <t>25800500325</t>
  </si>
  <si>
    <t>Đỗ Quang</t>
  </si>
  <si>
    <t>25808100046</t>
  </si>
  <si>
    <t>Lâm Phú</t>
  </si>
  <si>
    <t xml:space="preserve"> Bùi Anh </t>
  </si>
  <si>
    <t>25803800044</t>
  </si>
  <si>
    <t>25808200028</t>
  </si>
  <si>
    <t>Nguyễn Bá Hoàng</t>
  </si>
  <si>
    <t>25800400102</t>
  </si>
  <si>
    <t>25800600195</t>
  </si>
  <si>
    <t>25808200036</t>
  </si>
  <si>
    <t>25807400006</t>
  </si>
  <si>
    <t>25820300033</t>
  </si>
  <si>
    <t>Phạm Hồ Tân</t>
  </si>
  <si>
    <t>25808200180</t>
  </si>
  <si>
    <t>Trần Phước</t>
  </si>
  <si>
    <t>25802800371</t>
  </si>
  <si>
    <t>Vũ Lê Minh</t>
  </si>
  <si>
    <t>Vương</t>
  </si>
  <si>
    <t>25800400240</t>
  </si>
  <si>
    <t>25807900062</t>
  </si>
  <si>
    <t>Vượng</t>
  </si>
  <si>
    <t>25801200005</t>
  </si>
  <si>
    <t>Nguyễn Thế</t>
  </si>
  <si>
    <t>25800400220</t>
  </si>
  <si>
    <t>Nguyễn Trần Vương</t>
  </si>
  <si>
    <t>25806600141</t>
  </si>
  <si>
    <t>Trần Thị Mẫn</t>
  </si>
  <si>
    <t>25802600075</t>
  </si>
  <si>
    <t>Huỳnh Thanh Mai</t>
  </si>
  <si>
    <t>2388500585</t>
  </si>
  <si>
    <t>Nguyễn Phúc Minh</t>
  </si>
  <si>
    <t>25801700096</t>
  </si>
  <si>
    <t>Đặng Chí</t>
  </si>
  <si>
    <t>2180606153</t>
  </si>
  <si>
    <t>Nguyễn Đình</t>
  </si>
  <si>
    <t>Phạm Mỹ Lan</t>
  </si>
  <si>
    <t>25808600060</t>
  </si>
  <si>
    <t>25802700016</t>
  </si>
  <si>
    <t>Vũ Thị Minh</t>
  </si>
  <si>
    <t>25800500107</t>
  </si>
  <si>
    <t>Nguyễn Phạm Tấn</t>
  </si>
  <si>
    <t>25801300026</t>
  </si>
  <si>
    <t>25802700087</t>
  </si>
  <si>
    <t>25802700103</t>
  </si>
  <si>
    <t>Văn Thị Cẩm</t>
  </si>
  <si>
    <t>25802800095</t>
  </si>
  <si>
    <t>Tạ Quang</t>
  </si>
  <si>
    <t>25802800338</t>
  </si>
  <si>
    <t>Bùi Tân</t>
  </si>
  <si>
    <t>25803000389</t>
  </si>
  <si>
    <t>Nguyễn Thị Kim</t>
  </si>
  <si>
    <t>Xin bảo lưu qua năm sau học L3,4</t>
  </si>
  <si>
    <t>25805900007</t>
  </si>
  <si>
    <t>Nguyễn Thị Hiền</t>
  </si>
  <si>
    <t>Diệu</t>
  </si>
  <si>
    <t>25806500029</t>
  </si>
  <si>
    <t>Lâm Phúc</t>
  </si>
  <si>
    <t>25807500061</t>
  </si>
  <si>
    <t>Huỳnh Hồng</t>
  </si>
  <si>
    <t>25807800153</t>
  </si>
  <si>
    <t>Hoàng Văn</t>
  </si>
  <si>
    <t>25808200009</t>
  </si>
  <si>
    <t>Phan Huỳnh Thiên</t>
  </si>
  <si>
    <t>25808700038</t>
  </si>
  <si>
    <t>25806100301</t>
  </si>
  <si>
    <t>Nguyễn Nhựt Song</t>
  </si>
  <si>
    <t>25800400028</t>
  </si>
  <si>
    <t>25820700044</t>
  </si>
  <si>
    <t>25801100080</t>
  </si>
  <si>
    <t>Trương Quang</t>
  </si>
  <si>
    <t>25807100002</t>
  </si>
  <si>
    <t>Lưu Nguyễn Hoàng</t>
  </si>
  <si>
    <t>25802100007</t>
  </si>
  <si>
    <t>25801900315</t>
  </si>
  <si>
    <t>Bùi Đức</t>
  </si>
  <si>
    <t>25802800242</t>
  </si>
  <si>
    <t>Phạm Thùy Phương</t>
  </si>
  <si>
    <t>25806000082</t>
  </si>
  <si>
    <t>Nguyễn Tú</t>
  </si>
  <si>
    <t>25807500153</t>
  </si>
  <si>
    <t>25808900096</t>
  </si>
  <si>
    <t>Đinh Cao</t>
  </si>
  <si>
    <t>25809600056</t>
  </si>
  <si>
    <t>25808200221</t>
  </si>
  <si>
    <t>Bùi Đặng Quang</t>
  </si>
  <si>
    <t>25820100087</t>
  </si>
  <si>
    <t>Vũ Hoàng</t>
  </si>
  <si>
    <t>25808500496</t>
  </si>
  <si>
    <t>25808900070</t>
  </si>
  <si>
    <t>Trần Khánh</t>
  </si>
  <si>
    <t>25802800401</t>
  </si>
  <si>
    <t>Nguyễn Phan Phương</t>
  </si>
  <si>
    <t>Đặng Ngọc Quỳnh</t>
  </si>
  <si>
    <t>25806600042</t>
  </si>
  <si>
    <t>Nguyễn Hữu Hoàng</t>
  </si>
  <si>
    <t>25806600120</t>
  </si>
  <si>
    <t>25806800029</t>
  </si>
  <si>
    <t>Kiều Anh</t>
  </si>
  <si>
    <t>25808200141</t>
  </si>
  <si>
    <t>Nguyễn Thái</t>
  </si>
  <si>
    <t>25801700034</t>
  </si>
  <si>
    <t>Nguyễn Bùi Trọng</t>
  </si>
  <si>
    <t>25802800346</t>
  </si>
  <si>
    <t>Nguyễn Hồ Công</t>
  </si>
  <si>
    <t>2288903513</t>
  </si>
  <si>
    <t>Trương Nguyễn Văn</t>
  </si>
  <si>
    <t>Tiền</t>
  </si>
  <si>
    <t>25807800148</t>
  </si>
  <si>
    <t>Trần Phan Đức</t>
  </si>
  <si>
    <t>25807800229</t>
  </si>
  <si>
    <t>Phan Huynh Quoc</t>
  </si>
  <si>
    <t>Thang</t>
  </si>
  <si>
    <t>25801100058</t>
  </si>
  <si>
    <t>25800400025</t>
  </si>
  <si>
    <t>Cọc</t>
  </si>
  <si>
    <t>25800500004</t>
  </si>
  <si>
    <t>Lê Nguyễn Việt</t>
  </si>
  <si>
    <t>25800500043</t>
  </si>
  <si>
    <t>25800500120</t>
  </si>
  <si>
    <t>Nguyễn Chính</t>
  </si>
  <si>
    <t>25800500246</t>
  </si>
  <si>
    <t>Phan Le Duy</t>
  </si>
  <si>
    <t>25800601212</t>
  </si>
  <si>
    <t>Bùi Hồng</t>
  </si>
  <si>
    <t>Kỳ</t>
  </si>
  <si>
    <t>25801000042</t>
  </si>
  <si>
    <t>25801200009</t>
  </si>
  <si>
    <t>25801300005</t>
  </si>
  <si>
    <t>Mai Ngọc</t>
  </si>
  <si>
    <t>Cẩn</t>
  </si>
  <si>
    <t>25801300009</t>
  </si>
  <si>
    <t>Nguyễn Ngọc Trung</t>
  </si>
  <si>
    <t>25801300018</t>
  </si>
  <si>
    <t>25801300027</t>
  </si>
  <si>
    <t>Đinh Lê Hân</t>
  </si>
  <si>
    <t>25801400646</t>
  </si>
  <si>
    <t>25801700078</t>
  </si>
  <si>
    <t>Lê Hà Thuý</t>
  </si>
  <si>
    <t>25801800004</t>
  </si>
  <si>
    <t>25801800081</t>
  </si>
  <si>
    <t>Võ Thị Ngọc</t>
  </si>
  <si>
    <t>25801800085</t>
  </si>
  <si>
    <t>Trần Cẩm</t>
  </si>
  <si>
    <t>25802400055</t>
  </si>
  <si>
    <t>Võ Minh</t>
  </si>
  <si>
    <t>25802600104</t>
  </si>
  <si>
    <t>25802600107</t>
  </si>
  <si>
    <t>Ngô Đồng</t>
  </si>
  <si>
    <t>25802600133</t>
  </si>
  <si>
    <t>25802700046</t>
  </si>
  <si>
    <t>Nguyễn Kiều Ly</t>
  </si>
  <si>
    <t>25802700078</t>
  </si>
  <si>
    <t>Nguyễn Lê Phương</t>
  </si>
  <si>
    <t>25802800073</t>
  </si>
  <si>
    <t>Lê Thị Thanh</t>
  </si>
  <si>
    <t>Hoa</t>
  </si>
  <si>
    <t>25802800138</t>
  </si>
  <si>
    <t>Lê Nguyễn Hữu</t>
  </si>
  <si>
    <t>25802800249</t>
  </si>
  <si>
    <t>Trần Hồng Hoàng</t>
  </si>
  <si>
    <t>25802800280</t>
  </si>
  <si>
    <t>Trần Cao</t>
  </si>
  <si>
    <t>Trọng</t>
  </si>
  <si>
    <t>25802800410</t>
  </si>
  <si>
    <t>25802800436</t>
  </si>
  <si>
    <t>25803000317</t>
  </si>
  <si>
    <t>25803800087</t>
  </si>
  <si>
    <t>Cao Hoàng</t>
  </si>
  <si>
    <t>25805900069</t>
  </si>
  <si>
    <t>Bùi Nguyễn Minh</t>
  </si>
  <si>
    <t>25806000008</t>
  </si>
  <si>
    <t>Trịnh Thùy</t>
  </si>
  <si>
    <t>25806800036</t>
  </si>
  <si>
    <t>Mi</t>
  </si>
  <si>
    <t>25806800059</t>
  </si>
  <si>
    <t>25806800071</t>
  </si>
  <si>
    <t>Thùy</t>
  </si>
  <si>
    <t>25807500045</t>
  </si>
  <si>
    <t>25807500082</t>
  </si>
  <si>
    <t>25807500216</t>
  </si>
  <si>
    <t>Dang Dinh</t>
  </si>
  <si>
    <t>Hieu</t>
  </si>
  <si>
    <t>25807600017</t>
  </si>
  <si>
    <t>Phan Mạnh</t>
  </si>
  <si>
    <t>25807900030</t>
  </si>
  <si>
    <t>25808200016</t>
  </si>
  <si>
    <t>Nguyễn Sơn</t>
  </si>
  <si>
    <t>25808200132</t>
  </si>
  <si>
    <t>Vũ Cao Minh</t>
  </si>
  <si>
    <t>25808200146</t>
  </si>
  <si>
    <t>Ngô Quốc</t>
  </si>
  <si>
    <t>25808600125</t>
  </si>
  <si>
    <t>25808600181</t>
  </si>
  <si>
    <t>Nguyễn Thị Diệu</t>
  </si>
  <si>
    <t>25808600257</t>
  </si>
  <si>
    <t>25808700067</t>
  </si>
  <si>
    <t>25808700080</t>
  </si>
  <si>
    <t>Trần Hồng</t>
  </si>
  <si>
    <t>25808900012</t>
  </si>
  <si>
    <t>Phan Hoàng Gia</t>
  </si>
  <si>
    <t>25808900016</t>
  </si>
  <si>
    <t>25808900039</t>
  </si>
  <si>
    <t>Võ Trương Kim</t>
  </si>
  <si>
    <t>Hoàn</t>
  </si>
  <si>
    <t>25808900052</t>
  </si>
  <si>
    <t>25808900066</t>
  </si>
  <si>
    <t>Lai</t>
  </si>
  <si>
    <t>25808900119</t>
  </si>
  <si>
    <t>25809500009</t>
  </si>
  <si>
    <t>25809600004</t>
  </si>
  <si>
    <t>Trương Huỳnh Tuấn</t>
  </si>
  <si>
    <t>25809600013</t>
  </si>
  <si>
    <t>Nguyễn Phúc</t>
  </si>
  <si>
    <t>25809600027</t>
  </si>
  <si>
    <t>Trần Lương Gia</t>
  </si>
  <si>
    <t>25809600031</t>
  </si>
  <si>
    <t>Khuyn</t>
  </si>
  <si>
    <t>25809600042</t>
  </si>
  <si>
    <t>Nguyễn Phúc Khôi</t>
  </si>
  <si>
    <t>25820200001</t>
  </si>
  <si>
    <t>25820200021</t>
  </si>
  <si>
    <t>Phan</t>
  </si>
  <si>
    <t>25820200048</t>
  </si>
  <si>
    <t>Vũ Thiên</t>
  </si>
  <si>
    <t>25820200049</t>
  </si>
  <si>
    <t>Dương Vũ</t>
  </si>
  <si>
    <t>25820200083</t>
  </si>
  <si>
    <t>25820200126</t>
  </si>
  <si>
    <t>Vũ Đình Hoàng</t>
  </si>
  <si>
    <t>25820300015</t>
  </si>
  <si>
    <t>25820600003</t>
  </si>
  <si>
    <t>Mã Nguyễn Tấn</t>
  </si>
  <si>
    <t>25820700027</t>
  </si>
  <si>
    <t>Phạm Liễu Quỳnh</t>
  </si>
  <si>
    <t>25820700030</t>
  </si>
  <si>
    <t>25820700045</t>
  </si>
  <si>
    <t>Nguyễn Cẩm</t>
  </si>
  <si>
    <t>25800600034</t>
  </si>
  <si>
    <t>25801300019</t>
  </si>
  <si>
    <t>25803800066</t>
  </si>
  <si>
    <t>Lê Nguyễn Anh</t>
  </si>
  <si>
    <t>25805800023</t>
  </si>
  <si>
    <t>25808200103</t>
  </si>
  <si>
    <t>25820200039</t>
  </si>
  <si>
    <t>Nguyễn Hồng Lan</t>
  </si>
  <si>
    <t>25800400195</t>
  </si>
  <si>
    <t>25807800040</t>
  </si>
  <si>
    <t xml:space="preserve">Nguyễn Thành </t>
  </si>
  <si>
    <t>S V ngoài</t>
  </si>
  <si>
    <t>25802800096</t>
  </si>
  <si>
    <t>Tran Gia</t>
  </si>
  <si>
    <t>Họ và tên đệm</t>
  </si>
  <si>
    <t>Tên</t>
  </si>
  <si>
    <t>Thành tiền</t>
  </si>
  <si>
    <t>Mã lớp</t>
  </si>
  <si>
    <t xml:space="preserve">Bùi Đức </t>
  </si>
  <si>
    <t xml:space="preserve">Phạm Minh </t>
  </si>
  <si>
    <t>mới update</t>
  </si>
  <si>
    <t xml:space="preserve">Nhật </t>
  </si>
  <si>
    <t>Vũ Kiều Ngọc</t>
  </si>
  <si>
    <t>x</t>
  </si>
  <si>
    <t>chưa đki</t>
  </si>
  <si>
    <t>Nguyen Thi Anh</t>
  </si>
  <si>
    <t xml:space="preserve">Trần Bảo </t>
  </si>
  <si>
    <t xml:space="preserve">Trân </t>
  </si>
  <si>
    <t>25800500149</t>
  </si>
  <si>
    <t>Ly Hue</t>
  </si>
  <si>
    <t>Man</t>
  </si>
  <si>
    <t>25820100017</t>
  </si>
  <si>
    <t>Ca</t>
  </si>
  <si>
    <t>SL</t>
  </si>
  <si>
    <t>246 ca 2</t>
  </si>
  <si>
    <t xml:space="preserve">Nguyễn Phương </t>
  </si>
  <si>
    <t xml:space="preserve">Huỳnh Uyển </t>
  </si>
  <si>
    <t>246 ca 3</t>
  </si>
  <si>
    <t>Phạm Hoàng</t>
  </si>
  <si>
    <t>Nguyễn Thị Thuỷ</t>
  </si>
  <si>
    <t xml:space="preserve">Phan Minh </t>
  </si>
  <si>
    <t xml:space="preserve">Nguyễn Thị Kiều </t>
  </si>
  <si>
    <t xml:space="preserve">Trần Thị Huyền </t>
  </si>
  <si>
    <t xml:space="preserve">Tăng Hồng </t>
  </si>
  <si>
    <t xml:space="preserve">Đinh Nguyễn Nhựt </t>
  </si>
  <si>
    <t>246 CA 3</t>
  </si>
  <si>
    <t>Mai Thiên</t>
  </si>
  <si>
    <t>246 ca 5</t>
  </si>
  <si>
    <t xml:space="preserve">Trần Ngọc Hoàng </t>
  </si>
  <si>
    <t xml:space="preserve">Uyên </t>
  </si>
  <si>
    <t xml:space="preserve">Nguyễn Công </t>
  </si>
  <si>
    <t xml:space="preserve">Thường </t>
  </si>
  <si>
    <t xml:space="preserve">Nguyễn Thị Thảo </t>
  </si>
  <si>
    <t xml:space="preserve">Phan Thúy </t>
  </si>
  <si>
    <t xml:space="preserve">Vĩnh </t>
  </si>
  <si>
    <t xml:space="preserve">Nguyễn Ngọc Trâm </t>
  </si>
  <si>
    <t xml:space="preserve">Trâm </t>
  </si>
  <si>
    <t xml:space="preserve">Đỗ Ngọc Thảo </t>
  </si>
  <si>
    <t xml:space="preserve">Phạm Hoàng </t>
  </si>
  <si>
    <t xml:space="preserve">Huỳnh Phú </t>
  </si>
  <si>
    <t xml:space="preserve">Đinh Ngọc Phương </t>
  </si>
  <si>
    <t xml:space="preserve">Huỳnh Thị Nhã </t>
  </si>
  <si>
    <t>Lâm Ngọc Thuỳ</t>
  </si>
  <si>
    <t>357 CA 2</t>
  </si>
  <si>
    <t xml:space="preserve">Nguyễn Đặng Minh </t>
  </si>
  <si>
    <t xml:space="preserve">Bùi Hoàng Yến </t>
  </si>
  <si>
    <t xml:space="preserve">Nguyễn Khoa Tuyết Mộng </t>
  </si>
  <si>
    <t>Nguyễn Duy </t>
  </si>
  <si>
    <t>Thắng </t>
  </si>
  <si>
    <t>357 CA 3</t>
  </si>
  <si>
    <t xml:space="preserve">Nguyễn Quốc </t>
  </si>
  <si>
    <t xml:space="preserve">Nguyễn Thiên </t>
  </si>
  <si>
    <t xml:space="preserve">Phạm Văn </t>
  </si>
  <si>
    <t>Thành </t>
  </si>
  <si>
    <t xml:space="preserve">Dương Gia </t>
  </si>
  <si>
    <t>357 CA 5</t>
  </si>
  <si>
    <t xml:space="preserve">Nguyễn Ngọc Tú </t>
  </si>
  <si>
    <t xml:space="preserve">Nguyễn Nhật Thanh </t>
  </si>
  <si>
    <t xml:space="preserve">Nguyễn Ngọc Anh </t>
  </si>
  <si>
    <t>246 CA 2</t>
  </si>
  <si>
    <t>Nguyễn Duyên Hoàng</t>
  </si>
  <si>
    <t xml:space="preserve">Nguyễn Phạm Ngọc </t>
  </si>
  <si>
    <t xml:space="preserve">Lê Phú </t>
  </si>
  <si>
    <t xml:space="preserve">Nguyễn Thanh </t>
  </si>
  <si>
    <t xml:space="preserve">Lê Thị Tuyết </t>
  </si>
  <si>
    <t>Nguyễn Thị Mai</t>
  </si>
  <si>
    <t xml:space="preserve">Nguyễn Thùy </t>
  </si>
  <si>
    <t>246 CA 5</t>
  </si>
  <si>
    <t xml:space="preserve">Đinh Đăng </t>
  </si>
  <si>
    <t xml:space="preserve">Trần Văn </t>
  </si>
  <si>
    <t xml:space="preserve">Quyền </t>
  </si>
  <si>
    <t xml:space="preserve">Lê Ngọc Quỳnh </t>
  </si>
  <si>
    <t xml:space="preserve">Trang </t>
  </si>
  <si>
    <t xml:space="preserve">Đặng Mỹ </t>
  </si>
  <si>
    <t xml:space="preserve">Mã Lương Hải </t>
  </si>
  <si>
    <t xml:space="preserve">Đăng </t>
  </si>
  <si>
    <t xml:space="preserve">Nguyễn Minh </t>
  </si>
  <si>
    <t>Hoà</t>
  </si>
  <si>
    <t xml:space="preserve">Nguyễn Trần Đăng </t>
  </si>
  <si>
    <t xml:space="preserve">Nguyễn Hoàng Minh </t>
  </si>
  <si>
    <t xml:space="preserve">Trần Vũ Gia </t>
  </si>
  <si>
    <t xml:space="preserve">Đặng Nhân </t>
  </si>
  <si>
    <t xml:space="preserve">Đào Quốc </t>
  </si>
  <si>
    <t xml:space="preserve">Trần Ngọc </t>
  </si>
  <si>
    <t xml:space="preserve">Trần Nguyễn Hoàng </t>
  </si>
  <si>
    <t xml:space="preserve">Phan Bảo </t>
  </si>
  <si>
    <t>Hồ Ngọc</t>
  </si>
  <si>
    <t>sv K24 xin học lại</t>
  </si>
  <si>
    <t xml:space="preserve">Toàn </t>
  </si>
  <si>
    <t xml:space="preserve">Nguyễn Thị Xuân </t>
  </si>
  <si>
    <t xml:space="preserve">Đặng Hiếu </t>
  </si>
  <si>
    <t xml:space="preserve">Nghĩa </t>
  </si>
  <si>
    <t xml:space="preserve">Phạm Thế </t>
  </si>
  <si>
    <t xml:space="preserve">Lư Gia </t>
  </si>
  <si>
    <t>Đỗ Chí </t>
  </si>
  <si>
    <t xml:space="preserve">Đồng Minh </t>
  </si>
  <si>
    <t xml:space="preserve">Lê Trọng </t>
  </si>
  <si>
    <t xml:space="preserve">Nguyễn Thị Tường </t>
  </si>
  <si>
    <t xml:space="preserve">Trần Quốc </t>
  </si>
  <si>
    <t xml:space="preserve">Trần Thị Kim </t>
  </si>
  <si>
    <t xml:space="preserve">Huỳnh Trần Thảo </t>
  </si>
  <si>
    <t xml:space="preserve">Bùi Quang </t>
  </si>
  <si>
    <t xml:space="preserve">Nguyễn Bảo </t>
  </si>
  <si>
    <t>Nguyễn Bùi Bình</t>
  </si>
  <si>
    <t xml:space="preserve">Võ Duy </t>
  </si>
  <si>
    <t xml:space="preserve">Thành </t>
  </si>
  <si>
    <t xml:space="preserve">Lê Nguyễn Ngọc </t>
  </si>
  <si>
    <t xml:space="preserve">Dương </t>
  </si>
  <si>
    <t xml:space="preserve">Lô Khánh </t>
  </si>
  <si>
    <t xml:space="preserve">Chương </t>
  </si>
  <si>
    <t xml:space="preserve">Trần Quỳnh </t>
  </si>
  <si>
    <t xml:space="preserve">Phan Trương Bích </t>
  </si>
  <si>
    <t>Nguyễn văn</t>
  </si>
  <si>
    <t>HỌ</t>
  </si>
  <si>
    <t>TÊN</t>
  </si>
  <si>
    <t>Đặng Thị Trúc Phương</t>
  </si>
  <si>
    <t>Nguyễn Xuân Phú</t>
  </si>
  <si>
    <t xml:space="preserve">Võ Hoàng Anh </t>
  </si>
  <si>
    <t>tổng sv: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</si>
</sst>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/>
    <xf numFmtId="0" fontId="2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4" fillId="3" borderId="0" xfId="1" applyNumberFormat="1" applyFont="1" applyFill="1"/>
    <xf numFmtId="1" fontId="5" fillId="2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164" fontId="0" fillId="2" borderId="0" xfId="1" applyNumberFormat="1" applyFont="1" applyFill="1"/>
    <xf numFmtId="164" fontId="0" fillId="0" borderId="0" xfId="1" applyNumberFormat="1" applyFont="1"/>
    <xf numFmtId="0" fontId="0" fillId="5" borderId="0" xfId="0" applyFill="1" applyAlignment="1">
      <alignment horizontal="center"/>
    </xf>
    <xf numFmtId="164" fontId="0" fillId="0" borderId="0" xfId="0" applyNumberFormat="1"/>
    <xf numFmtId="0" fontId="0" fillId="2" borderId="0" xfId="0" applyFill="1"/>
    <xf numFmtId="0" fontId="2" fillId="0" borderId="0" xfId="2"/>
    <xf numFmtId="0" fontId="2" fillId="2" borderId="0" xfId="2" applyFill="1"/>
    <xf numFmtId="0" fontId="0" fillId="8" borderId="0" xfId="0" applyFill="1"/>
    <xf numFmtId="0" fontId="0" fillId="8" borderId="0" xfId="0" applyFill="1" applyAlignment="1">
      <alignment horizontal="center"/>
    </xf>
    <xf numFmtId="164" fontId="0" fillId="8" borderId="0" xfId="1" applyNumberFormat="1" applyFont="1" applyFill="1"/>
    <xf numFmtId="0" fontId="9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/>
    <xf numFmtId="164" fontId="0" fillId="0" borderId="1" xfId="1" applyNumberFormat="1" applyFont="1" applyBorder="1"/>
    <xf numFmtId="0" fontId="0" fillId="10" borderId="1" xfId="0" applyFill="1" applyBorder="1" applyAlignment="1">
      <alignment horizontal="center"/>
    </xf>
    <xf numFmtId="0" fontId="0" fillId="0" borderId="1" xfId="0" applyBorder="1"/>
    <xf numFmtId="0" fontId="0" fillId="11" borderId="1" xfId="0" applyFill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12" borderId="1" xfId="0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15" borderId="3" xfId="0" applyFill="1" applyBorder="1" applyAlignment="1">
      <alignment horizontal="center" vertical="center" wrapText="1"/>
    </xf>
    <xf numFmtId="0" fontId="0" fillId="0" borderId="3" xfId="0" applyBorder="1"/>
    <xf numFmtId="0" fontId="0" fillId="2" borderId="0" xfId="0" applyFill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vertical="center"/>
    </xf>
    <xf numFmtId="0" fontId="0" fillId="4" borderId="0" xfId="0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3" xfId="0" applyFill="1" applyBorder="1" applyAlignment="1">
      <alignment horizontal="center"/>
    </xf>
    <xf numFmtId="0" fontId="11" fillId="0" borderId="0" xfId="0" applyFont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4" borderId="5" xfId="0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164" fontId="0" fillId="0" borderId="0" xfId="1" applyNumberFormat="1" applyFont="1" applyAlignment="1">
      <alignment vertical="center"/>
    </xf>
    <xf numFmtId="3" fontId="0" fillId="0" borderId="0" xfId="0" applyNumberFormat="1" applyAlignment="1">
      <alignment vertical="center"/>
    </xf>
    <xf numFmtId="164" fontId="0" fillId="0" borderId="3" xfId="1" applyNumberFormat="1" applyFont="1" applyBorder="1" applyAlignment="1">
      <alignment vertical="center"/>
    </xf>
    <xf numFmtId="0" fontId="0" fillId="3" borderId="0" xfId="0" applyFill="1" applyAlignment="1">
      <alignment vertical="center"/>
    </xf>
    <xf numFmtId="164" fontId="0" fillId="3" borderId="0" xfId="1" applyNumberFormat="1" applyFont="1" applyFill="1" applyAlignment="1">
      <alignment vertical="center"/>
    </xf>
    <xf numFmtId="164" fontId="0" fillId="0" borderId="4" xfId="1" applyNumberFormat="1" applyFont="1" applyBorder="1" applyAlignment="1">
      <alignment vertical="center"/>
    </xf>
    <xf numFmtId="3" fontId="0" fillId="0" borderId="5" xfId="0" applyNumberFormat="1" applyBorder="1" applyAlignment="1">
      <alignment vertical="center"/>
    </xf>
    <xf numFmtId="3" fontId="0" fillId="0" borderId="4" xfId="0" applyNumberFormat="1" applyBorder="1" applyAlignment="1">
      <alignment vertical="center"/>
    </xf>
    <xf numFmtId="3" fontId="0" fillId="0" borderId="3" xfId="0" applyNumberFormat="1" applyBorder="1" applyAlignment="1">
      <alignment vertical="center"/>
    </xf>
    <xf numFmtId="3" fontId="0" fillId="3" borderId="0" xfId="0" applyNumberFormat="1" applyFill="1" applyAlignment="1">
      <alignment vertical="center"/>
    </xf>
    <xf numFmtId="3" fontId="0" fillId="3" borderId="0" xfId="0" applyNumberFormat="1" applyFill="1" applyAlignment="1">
      <alignment vertical="center" wrapText="1"/>
    </xf>
    <xf numFmtId="0" fontId="11" fillId="0" borderId="0" xfId="0" applyFont="1" applyAlignment="1">
      <alignment vertical="center"/>
    </xf>
    <xf numFmtId="3" fontId="0" fillId="2" borderId="0" xfId="0" applyNumberFormat="1" applyFill="1" applyAlignment="1">
      <alignment vertical="center"/>
    </xf>
    <xf numFmtId="0" fontId="9" fillId="0" borderId="0" xfId="0" applyFont="1"/>
    <xf numFmtId="0" fontId="0" fillId="16" borderId="0" xfId="0" applyFill="1" applyAlignment="1">
      <alignment horizontal="center" wrapText="1"/>
    </xf>
    <xf numFmtId="0" fontId="0" fillId="16" borderId="0" xfId="0" applyFill="1" applyAlignment="1">
      <alignment wrapText="1"/>
    </xf>
    <xf numFmtId="164" fontId="0" fillId="3" borderId="0" xfId="1" applyNumberFormat="1" applyFont="1" applyFill="1" applyAlignment="1">
      <alignment vertical="center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15" borderId="0" xfId="0" applyFill="1" applyAlignment="1">
      <alignment horizontal="center" vertical="center" wrapText="1"/>
    </xf>
    <xf numFmtId="164" fontId="0" fillId="2" borderId="0" xfId="1" applyNumberFormat="1" applyFont="1" applyFill="1" applyAlignment="1">
      <alignment vertic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15" borderId="0" xfId="0" applyFont="1" applyFill="1" applyAlignment="1">
      <alignment horizontal="center" readingOrder="1"/>
    </xf>
    <xf numFmtId="0" fontId="1" fillId="15" borderId="0" xfId="0" applyFont="1" applyFill="1" applyAlignment="1">
      <alignment readingOrder="1"/>
    </xf>
    <xf numFmtId="0" fontId="13" fillId="18" borderId="0" xfId="0" applyFont="1" applyFill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vertical="center"/>
    </xf>
    <xf numFmtId="0" fontId="9" fillId="4" borderId="6" xfId="0" applyFont="1" applyFill="1" applyBorder="1"/>
    <xf numFmtId="0" fontId="11" fillId="4" borderId="7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19" borderId="0" xfId="0" applyFont="1" applyFill="1" applyAlignment="1">
      <alignment vertical="center"/>
    </xf>
    <xf numFmtId="0" fontId="14" fillId="20" borderId="0" xfId="0" applyFont="1" applyFill="1" applyAlignment="1">
      <alignment horizontal="center" vertical="center"/>
    </xf>
    <xf numFmtId="0" fontId="15" fillId="0" borderId="0" xfId="0" applyFont="1"/>
    <xf numFmtId="3" fontId="13" fillId="0" borderId="0" xfId="0" applyNumberFormat="1" applyFont="1"/>
    <xf numFmtId="0" fontId="13" fillId="18" borderId="0" xfId="0" applyFont="1" applyFill="1"/>
    <xf numFmtId="0" fontId="13" fillId="21" borderId="0" xfId="0" applyFont="1" applyFill="1"/>
    <xf numFmtId="0" fontId="13" fillId="22" borderId="0" xfId="0" applyFont="1" applyFill="1" applyAlignment="1">
      <alignment horizontal="center"/>
    </xf>
    <xf numFmtId="0" fontId="13" fillId="22" borderId="0" xfId="0" applyFont="1" applyFill="1"/>
    <xf numFmtId="0" fontId="9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164" fontId="0" fillId="6" borderId="0" xfId="1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4" fontId="0" fillId="5" borderId="0" xfId="1" applyNumberFormat="1" applyFont="1" applyFill="1" applyAlignment="1">
      <alignment horizontal="center" vertical="center"/>
    </xf>
    <xf numFmtId="164" fontId="0" fillId="2" borderId="0" xfId="1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9" borderId="0" xfId="1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2" borderId="0" xfId="2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/>
  </cellXfs>
  <cellStyles count="3">
    <cellStyle name="Comma" xfId="1" builtinId="3"/>
    <cellStyle name="Normal" xfId="0" builtinId="0"/>
    <cellStyle name="Normal 3" xfId="2" xr:uid="{00000000-0005-0000-0000-000002000000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7"/>
  <sheetViews>
    <sheetView workbookViewId="0">
      <selection activeCell="B7" sqref="B7"/>
    </sheetView>
  </sheetViews>
  <sheetFormatPr defaultColWidth="8.85546875" defaultRowHeight="15" x14ac:dyDescent="0.25"/>
  <cols>
    <col min="2" max="2" width="18.28515625" customWidth="1"/>
    <col min="3" max="3" width="21.42578125" customWidth="1"/>
    <col min="5" max="5" width="13.42578125" customWidth="1"/>
    <col min="6" max="6" width="17.140625" customWidth="1"/>
    <col min="7" max="7" width="37.140625" customWidth="1"/>
  </cols>
  <sheetData>
    <row r="1" spans="1:6" x14ac:dyDescent="0.25">
      <c r="A1" s="18"/>
      <c r="B1" s="18"/>
      <c r="C1" s="18"/>
      <c r="D1" s="18"/>
      <c r="E1" s="18"/>
      <c r="F1" s="18"/>
    </row>
    <row r="2" spans="1:6" ht="15.75" customHeight="1" x14ac:dyDescent="0.25">
      <c r="A2" s="19" t="s">
        <v>0</v>
      </c>
      <c r="B2" s="19" t="s">
        <v>1</v>
      </c>
      <c r="C2" s="19" t="s">
        <v>1835</v>
      </c>
      <c r="D2" s="19" t="s">
        <v>1836</v>
      </c>
      <c r="E2" s="19" t="s">
        <v>1837</v>
      </c>
      <c r="F2" s="19" t="s">
        <v>1838</v>
      </c>
    </row>
    <row r="3" spans="1:6" ht="15.75" customHeight="1" x14ac:dyDescent="0.25">
      <c r="A3" s="20">
        <v>1</v>
      </c>
      <c r="B3" s="20">
        <v>25808700110</v>
      </c>
      <c r="C3" s="20" t="s">
        <v>1344</v>
      </c>
      <c r="D3" s="20" t="s">
        <v>311</v>
      </c>
      <c r="E3" s="21">
        <v>2103750</v>
      </c>
      <c r="F3" s="22" t="s">
        <v>612</v>
      </c>
    </row>
    <row r="4" spans="1:6" ht="15.75" customHeight="1" x14ac:dyDescent="0.25">
      <c r="A4" s="23">
        <v>2</v>
      </c>
      <c r="B4" s="20">
        <v>25808800046</v>
      </c>
      <c r="C4" s="23" t="s">
        <v>1839</v>
      </c>
      <c r="D4" s="23" t="s">
        <v>270</v>
      </c>
      <c r="E4" s="21">
        <v>2232500</v>
      </c>
      <c r="F4" s="24" t="s">
        <v>25</v>
      </c>
    </row>
    <row r="5" spans="1:6" ht="15.75" customHeight="1" x14ac:dyDescent="0.25">
      <c r="A5" s="23">
        <v>3</v>
      </c>
      <c r="B5" s="20">
        <v>25800600926</v>
      </c>
      <c r="C5" s="23" t="s">
        <v>820</v>
      </c>
      <c r="D5" s="23" t="s">
        <v>124</v>
      </c>
      <c r="E5" s="25">
        <v>2600000</v>
      </c>
      <c r="F5" s="26" t="s">
        <v>80</v>
      </c>
    </row>
    <row r="6" spans="1:6" ht="15.75" customHeight="1" x14ac:dyDescent="0.25">
      <c r="A6" s="23">
        <v>4</v>
      </c>
      <c r="B6" s="20">
        <v>25807500037</v>
      </c>
      <c r="C6" s="23" t="s">
        <v>1840</v>
      </c>
      <c r="D6" s="23" t="s">
        <v>54</v>
      </c>
      <c r="E6" s="21">
        <v>2103750</v>
      </c>
      <c r="F6" s="26" t="s">
        <v>80</v>
      </c>
    </row>
    <row r="7" spans="1:6" ht="15.75" customHeight="1" x14ac:dyDescent="0.25">
      <c r="A7" s="23">
        <v>5</v>
      </c>
      <c r="B7" s="20">
        <v>25800500107</v>
      </c>
      <c r="C7" s="23" t="s">
        <v>1624</v>
      </c>
      <c r="D7" s="23" t="s">
        <v>500</v>
      </c>
      <c r="E7" s="21">
        <v>2103750</v>
      </c>
      <c r="F7" s="26" t="s">
        <v>80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541"/>
  <sheetViews>
    <sheetView topLeftCell="A367" workbookViewId="0">
      <selection activeCell="F211" sqref="F211"/>
    </sheetView>
  </sheetViews>
  <sheetFormatPr defaultColWidth="8.85546875" defaultRowHeight="15" x14ac:dyDescent="0.25"/>
  <cols>
    <col min="1" max="1" width="9.140625" style="1" customWidth="1"/>
    <col min="2" max="2" width="15.85546875" customWidth="1"/>
    <col min="3" max="3" width="20.42578125" bestFit="1" customWidth="1"/>
    <col min="4" max="4" width="8.42578125" bestFit="1" customWidth="1"/>
    <col min="5" max="5" width="14.28515625" customWidth="1"/>
    <col min="6" max="6" width="13.42578125" bestFit="1" customWidth="1"/>
  </cols>
  <sheetData>
    <row r="2" spans="1:6" ht="16.5" customHeight="1" x14ac:dyDescent="0.25">
      <c r="A2" s="4" t="s">
        <v>0</v>
      </c>
      <c r="B2" s="4" t="s">
        <v>1</v>
      </c>
      <c r="C2" s="5" t="s">
        <v>2</v>
      </c>
      <c r="D2" s="5" t="s">
        <v>1836</v>
      </c>
      <c r="E2" s="6" t="s">
        <v>1837</v>
      </c>
      <c r="F2" s="7" t="s">
        <v>13</v>
      </c>
    </row>
    <row r="3" spans="1:6" x14ac:dyDescent="0.25">
      <c r="A3" s="1">
        <v>1</v>
      </c>
      <c r="B3" s="2" t="s">
        <v>20</v>
      </c>
      <c r="C3" t="s">
        <v>21</v>
      </c>
      <c r="D3" t="s">
        <v>22</v>
      </c>
      <c r="E3" s="9">
        <v>2103750</v>
      </c>
      <c r="F3" s="74" t="s">
        <v>25</v>
      </c>
    </row>
    <row r="4" spans="1:6" x14ac:dyDescent="0.25">
      <c r="A4" s="1">
        <v>2</v>
      </c>
      <c r="B4" s="2" t="s">
        <v>28</v>
      </c>
      <c r="C4" t="s">
        <v>29</v>
      </c>
      <c r="D4" t="s">
        <v>30</v>
      </c>
      <c r="E4" s="8">
        <v>2600000</v>
      </c>
      <c r="F4" s="74" t="s">
        <v>25</v>
      </c>
    </row>
    <row r="5" spans="1:6" x14ac:dyDescent="0.25">
      <c r="A5" s="1">
        <v>3</v>
      </c>
      <c r="B5" s="2" t="s">
        <v>32</v>
      </c>
      <c r="C5" t="s">
        <v>33</v>
      </c>
      <c r="D5" t="s">
        <v>34</v>
      </c>
      <c r="E5" s="9">
        <v>2103750</v>
      </c>
      <c r="F5" s="74" t="s">
        <v>25</v>
      </c>
    </row>
    <row r="6" spans="1:6" x14ac:dyDescent="0.25">
      <c r="A6" s="1">
        <v>4</v>
      </c>
      <c r="B6" s="2" t="s">
        <v>37</v>
      </c>
      <c r="C6" t="s">
        <v>38</v>
      </c>
      <c r="D6" t="s">
        <v>39</v>
      </c>
      <c r="E6" s="9">
        <v>2103750</v>
      </c>
      <c r="F6" s="74" t="s">
        <v>25</v>
      </c>
    </row>
    <row r="7" spans="1:6" x14ac:dyDescent="0.25">
      <c r="A7" s="1">
        <v>5</v>
      </c>
      <c r="B7" s="2" t="s">
        <v>41</v>
      </c>
      <c r="C7" t="s">
        <v>42</v>
      </c>
      <c r="D7" t="s">
        <v>43</v>
      </c>
      <c r="E7" s="9">
        <v>2103750</v>
      </c>
      <c r="F7" s="74" t="s">
        <v>25</v>
      </c>
    </row>
    <row r="8" spans="1:6" x14ac:dyDescent="0.25">
      <c r="A8" s="1">
        <v>6</v>
      </c>
      <c r="B8" s="2" t="s">
        <v>45</v>
      </c>
      <c r="C8" t="s">
        <v>46</v>
      </c>
      <c r="D8" t="s">
        <v>47</v>
      </c>
      <c r="E8" s="9">
        <v>2103750</v>
      </c>
      <c r="F8" s="74" t="s">
        <v>25</v>
      </c>
    </row>
    <row r="9" spans="1:6" x14ac:dyDescent="0.25">
      <c r="A9" s="1">
        <v>7</v>
      </c>
      <c r="B9" s="2" t="s">
        <v>48</v>
      </c>
      <c r="C9" t="s">
        <v>49</v>
      </c>
      <c r="D9" t="s">
        <v>50</v>
      </c>
      <c r="E9" s="9">
        <v>2103750</v>
      </c>
      <c r="F9" s="74" t="s">
        <v>25</v>
      </c>
    </row>
    <row r="10" spans="1:6" x14ac:dyDescent="0.25">
      <c r="A10" s="1">
        <v>8</v>
      </c>
      <c r="B10" s="2" t="s">
        <v>52</v>
      </c>
      <c r="C10" t="s">
        <v>53</v>
      </c>
      <c r="D10" t="s">
        <v>54</v>
      </c>
      <c r="E10" s="9">
        <v>2103750</v>
      </c>
      <c r="F10" s="74" t="s">
        <v>25</v>
      </c>
    </row>
    <row r="11" spans="1:6" x14ac:dyDescent="0.25">
      <c r="A11" s="1">
        <v>9</v>
      </c>
      <c r="B11" s="2" t="s">
        <v>55</v>
      </c>
      <c r="C11" t="s">
        <v>56</v>
      </c>
      <c r="D11" t="s">
        <v>57</v>
      </c>
      <c r="E11" s="9">
        <v>2103750</v>
      </c>
      <c r="F11" s="74" t="s">
        <v>25</v>
      </c>
    </row>
    <row r="12" spans="1:6" x14ac:dyDescent="0.25">
      <c r="A12" s="1">
        <v>10</v>
      </c>
      <c r="B12" s="2" t="s">
        <v>58</v>
      </c>
      <c r="C12" s="12" t="s">
        <v>59</v>
      </c>
      <c r="D12" s="12" t="s">
        <v>60</v>
      </c>
      <c r="E12" s="9">
        <v>2103750</v>
      </c>
      <c r="F12" s="74" t="s">
        <v>25</v>
      </c>
    </row>
    <row r="13" spans="1:6" x14ac:dyDescent="0.25">
      <c r="A13" s="1">
        <v>11</v>
      </c>
      <c r="B13" s="2" t="s">
        <v>61</v>
      </c>
      <c r="C13" t="s">
        <v>62</v>
      </c>
      <c r="D13" t="s">
        <v>63</v>
      </c>
      <c r="E13" s="9">
        <v>2232500</v>
      </c>
      <c r="F13" s="74" t="s">
        <v>25</v>
      </c>
    </row>
    <row r="14" spans="1:6" x14ac:dyDescent="0.25">
      <c r="A14" s="1">
        <v>12</v>
      </c>
      <c r="B14" s="2" t="s">
        <v>64</v>
      </c>
      <c r="C14" t="s">
        <v>65</v>
      </c>
      <c r="D14" t="s">
        <v>66</v>
      </c>
      <c r="E14" s="9">
        <v>2103750</v>
      </c>
      <c r="F14" s="74" t="s">
        <v>25</v>
      </c>
    </row>
    <row r="15" spans="1:6" x14ac:dyDescent="0.25">
      <c r="A15" s="1">
        <v>13</v>
      </c>
      <c r="B15" s="2" t="s">
        <v>68</v>
      </c>
      <c r="C15" t="s">
        <v>69</v>
      </c>
      <c r="D15" t="s">
        <v>70</v>
      </c>
      <c r="E15" s="9">
        <v>2232500</v>
      </c>
      <c r="F15" s="74" t="s">
        <v>25</v>
      </c>
    </row>
    <row r="16" spans="1:6" x14ac:dyDescent="0.25">
      <c r="A16" s="1">
        <v>14</v>
      </c>
      <c r="B16" s="2">
        <v>25805900128</v>
      </c>
      <c r="C16" t="s">
        <v>71</v>
      </c>
      <c r="D16" t="s">
        <v>72</v>
      </c>
      <c r="E16" s="9">
        <v>2103750</v>
      </c>
      <c r="F16" s="74" t="s">
        <v>25</v>
      </c>
    </row>
    <row r="17" spans="1:8" x14ac:dyDescent="0.25">
      <c r="A17" s="1">
        <v>15</v>
      </c>
      <c r="B17" s="2">
        <v>1911820446</v>
      </c>
      <c r="C17" t="s">
        <v>73</v>
      </c>
      <c r="D17" t="s">
        <v>74</v>
      </c>
      <c r="E17" s="8">
        <v>2600000</v>
      </c>
      <c r="F17" s="74" t="s">
        <v>25</v>
      </c>
    </row>
    <row r="18" spans="1:8" x14ac:dyDescent="0.25">
      <c r="A18" s="1">
        <v>16</v>
      </c>
      <c r="B18" s="2">
        <v>25808800046</v>
      </c>
      <c r="C18" t="s">
        <v>1658</v>
      </c>
      <c r="D18" t="s">
        <v>270</v>
      </c>
      <c r="E18" s="8">
        <v>2232500</v>
      </c>
      <c r="F18" s="74" t="s">
        <v>25</v>
      </c>
      <c r="G18" s="119" t="s">
        <v>1841</v>
      </c>
      <c r="H18" s="120"/>
    </row>
    <row r="19" spans="1:8" x14ac:dyDescent="0.25">
      <c r="A19" s="1">
        <v>17</v>
      </c>
      <c r="B19" s="2">
        <v>25801800094</v>
      </c>
      <c r="C19" t="s">
        <v>75</v>
      </c>
      <c r="D19" t="s">
        <v>76</v>
      </c>
      <c r="E19" s="9">
        <v>2103750</v>
      </c>
      <c r="F19" s="74" t="s">
        <v>25</v>
      </c>
    </row>
    <row r="20" spans="1:8" x14ac:dyDescent="0.25">
      <c r="A20" s="1">
        <v>18</v>
      </c>
      <c r="B20" s="2">
        <v>25806300055</v>
      </c>
      <c r="C20" t="s">
        <v>77</v>
      </c>
      <c r="D20" t="s">
        <v>78</v>
      </c>
      <c r="E20" s="9">
        <v>2103750</v>
      </c>
      <c r="F20" s="75" t="s">
        <v>80</v>
      </c>
    </row>
    <row r="21" spans="1:8" x14ac:dyDescent="0.25">
      <c r="A21" s="1">
        <v>19</v>
      </c>
      <c r="B21" s="2" t="s">
        <v>81</v>
      </c>
      <c r="C21" t="s">
        <v>82</v>
      </c>
      <c r="D21" t="s">
        <v>83</v>
      </c>
      <c r="E21" s="9">
        <v>2103750</v>
      </c>
      <c r="F21" s="75" t="s">
        <v>80</v>
      </c>
    </row>
    <row r="22" spans="1:8" x14ac:dyDescent="0.25">
      <c r="A22" s="1">
        <v>20</v>
      </c>
      <c r="B22" s="2" t="s">
        <v>86</v>
      </c>
      <c r="C22" t="s">
        <v>87</v>
      </c>
      <c r="D22" t="s">
        <v>88</v>
      </c>
      <c r="E22" s="9">
        <v>2103750</v>
      </c>
      <c r="F22" s="75" t="s">
        <v>80</v>
      </c>
    </row>
    <row r="23" spans="1:8" x14ac:dyDescent="0.25">
      <c r="A23" s="1">
        <v>21</v>
      </c>
      <c r="B23" s="2" t="s">
        <v>89</v>
      </c>
      <c r="C23" t="s">
        <v>90</v>
      </c>
      <c r="D23" t="s">
        <v>91</v>
      </c>
      <c r="E23" s="9">
        <v>2103750</v>
      </c>
      <c r="F23" s="75" t="s">
        <v>80</v>
      </c>
    </row>
    <row r="24" spans="1:8" x14ac:dyDescent="0.25">
      <c r="A24" s="1">
        <v>22</v>
      </c>
      <c r="B24" s="2" t="s">
        <v>92</v>
      </c>
      <c r="C24" t="s">
        <v>93</v>
      </c>
      <c r="D24" t="s">
        <v>94</v>
      </c>
      <c r="E24" s="9">
        <v>2103750</v>
      </c>
      <c r="F24" s="75" t="s">
        <v>80</v>
      </c>
    </row>
    <row r="25" spans="1:8" x14ac:dyDescent="0.25">
      <c r="A25" s="1">
        <v>23</v>
      </c>
      <c r="B25" s="2" t="s">
        <v>95</v>
      </c>
      <c r="C25" t="s">
        <v>96</v>
      </c>
      <c r="D25" t="s">
        <v>97</v>
      </c>
      <c r="E25" s="9">
        <v>2103750</v>
      </c>
      <c r="F25" s="75" t="s">
        <v>80</v>
      </c>
    </row>
    <row r="26" spans="1:8" x14ac:dyDescent="0.25">
      <c r="A26" s="1">
        <v>24</v>
      </c>
      <c r="B26" s="2" t="s">
        <v>99</v>
      </c>
      <c r="C26" t="s">
        <v>100</v>
      </c>
      <c r="D26" t="s">
        <v>101</v>
      </c>
      <c r="E26" s="9">
        <v>2103750</v>
      </c>
      <c r="F26" s="75" t="s">
        <v>80</v>
      </c>
    </row>
    <row r="27" spans="1:8" x14ac:dyDescent="0.25">
      <c r="A27" s="1">
        <v>25</v>
      </c>
      <c r="B27" s="2" t="s">
        <v>102</v>
      </c>
      <c r="C27" t="s">
        <v>1840</v>
      </c>
      <c r="D27" t="s">
        <v>1842</v>
      </c>
      <c r="E27" s="9">
        <v>2232500</v>
      </c>
      <c r="F27" s="75" t="s">
        <v>80</v>
      </c>
    </row>
    <row r="28" spans="1:8" x14ac:dyDescent="0.25">
      <c r="A28" s="1">
        <v>26</v>
      </c>
      <c r="B28" s="2" t="s">
        <v>105</v>
      </c>
      <c r="C28" t="s">
        <v>106</v>
      </c>
      <c r="D28" t="s">
        <v>107</v>
      </c>
      <c r="E28" s="9">
        <v>2103750</v>
      </c>
      <c r="F28" s="75" t="s">
        <v>80</v>
      </c>
    </row>
    <row r="29" spans="1:8" x14ac:dyDescent="0.25">
      <c r="A29" s="1">
        <v>27</v>
      </c>
      <c r="B29" s="2" t="s">
        <v>109</v>
      </c>
      <c r="C29" t="s">
        <v>110</v>
      </c>
      <c r="D29" t="s">
        <v>111</v>
      </c>
      <c r="E29" s="9">
        <v>2103750</v>
      </c>
      <c r="F29" s="75" t="s">
        <v>80</v>
      </c>
    </row>
    <row r="30" spans="1:8" x14ac:dyDescent="0.25">
      <c r="A30" s="1">
        <v>28</v>
      </c>
      <c r="B30" s="2" t="s">
        <v>114</v>
      </c>
      <c r="C30" t="s">
        <v>115</v>
      </c>
      <c r="D30" t="s">
        <v>116</v>
      </c>
      <c r="E30" s="9">
        <v>2103750</v>
      </c>
      <c r="F30" s="75" t="s">
        <v>80</v>
      </c>
    </row>
    <row r="31" spans="1:8" x14ac:dyDescent="0.25">
      <c r="A31" s="1">
        <v>29</v>
      </c>
      <c r="B31" s="2">
        <v>25820700033</v>
      </c>
      <c r="C31" t="s">
        <v>118</v>
      </c>
      <c r="D31" t="s">
        <v>111</v>
      </c>
      <c r="E31" s="8">
        <v>2600000</v>
      </c>
      <c r="F31" s="75" t="s">
        <v>80</v>
      </c>
    </row>
    <row r="32" spans="1:8" x14ac:dyDescent="0.25">
      <c r="A32" s="1">
        <v>30</v>
      </c>
      <c r="B32" s="2">
        <v>25800400016</v>
      </c>
      <c r="C32" t="s">
        <v>119</v>
      </c>
      <c r="D32" t="s">
        <v>120</v>
      </c>
      <c r="E32" s="8">
        <v>2600000</v>
      </c>
      <c r="F32" s="75" t="s">
        <v>80</v>
      </c>
    </row>
    <row r="33" spans="1:8" x14ac:dyDescent="0.25">
      <c r="A33" s="1">
        <v>31</v>
      </c>
      <c r="B33" s="2">
        <v>25802500026</v>
      </c>
      <c r="C33" t="s">
        <v>121</v>
      </c>
      <c r="D33" t="s">
        <v>120</v>
      </c>
      <c r="E33" s="8">
        <v>2600000</v>
      </c>
      <c r="F33" s="75" t="s">
        <v>80</v>
      </c>
    </row>
    <row r="34" spans="1:8" x14ac:dyDescent="0.25">
      <c r="A34" s="1">
        <v>32</v>
      </c>
      <c r="B34" s="2">
        <v>25807800016</v>
      </c>
      <c r="C34" t="s">
        <v>122</v>
      </c>
      <c r="D34" t="s">
        <v>120</v>
      </c>
      <c r="E34" s="8">
        <v>2600000</v>
      </c>
      <c r="F34" s="75" t="s">
        <v>80</v>
      </c>
      <c r="G34" s="121"/>
      <c r="H34" s="120"/>
    </row>
    <row r="35" spans="1:8" x14ac:dyDescent="0.25">
      <c r="A35" s="1">
        <v>33</v>
      </c>
      <c r="B35" s="1">
        <v>25800600926</v>
      </c>
      <c r="C35" t="s">
        <v>820</v>
      </c>
      <c r="D35" t="s">
        <v>124</v>
      </c>
      <c r="E35" s="8">
        <v>2600000</v>
      </c>
      <c r="F35" s="75" t="s">
        <v>80</v>
      </c>
      <c r="G35" s="119" t="s">
        <v>1841</v>
      </c>
      <c r="H35" s="120"/>
    </row>
    <row r="36" spans="1:8" x14ac:dyDescent="0.25">
      <c r="A36" s="1">
        <v>34</v>
      </c>
      <c r="B36" s="1">
        <v>25807500037</v>
      </c>
      <c r="C36" t="s">
        <v>1840</v>
      </c>
      <c r="D36" t="s">
        <v>54</v>
      </c>
      <c r="E36" s="9">
        <v>2103750</v>
      </c>
      <c r="F36" s="75" t="s">
        <v>80</v>
      </c>
      <c r="G36" s="119" t="s">
        <v>1841</v>
      </c>
      <c r="H36" s="120"/>
    </row>
    <row r="37" spans="1:8" x14ac:dyDescent="0.25">
      <c r="A37" s="1">
        <v>35</v>
      </c>
      <c r="B37" s="1">
        <v>25800500107</v>
      </c>
      <c r="C37" t="s">
        <v>1624</v>
      </c>
      <c r="D37" t="s">
        <v>500</v>
      </c>
      <c r="E37" s="9">
        <v>2103750</v>
      </c>
      <c r="F37" s="75" t="s">
        <v>80</v>
      </c>
    </row>
    <row r="38" spans="1:8" x14ac:dyDescent="0.25">
      <c r="A38" s="1">
        <v>36</v>
      </c>
      <c r="B38" s="2">
        <v>24806107982</v>
      </c>
      <c r="C38" t="s">
        <v>1843</v>
      </c>
      <c r="D38" t="s">
        <v>128</v>
      </c>
      <c r="E38" s="8">
        <v>2600000</v>
      </c>
      <c r="F38" s="75" t="s">
        <v>80</v>
      </c>
    </row>
    <row r="39" spans="1:8" x14ac:dyDescent="0.25">
      <c r="A39" s="1">
        <v>37</v>
      </c>
      <c r="B39" s="2" t="s">
        <v>129</v>
      </c>
      <c r="C39" t="s">
        <v>130</v>
      </c>
      <c r="D39" t="s">
        <v>131</v>
      </c>
      <c r="E39" s="9">
        <v>1530000</v>
      </c>
      <c r="F39" s="10" t="s">
        <v>134</v>
      </c>
    </row>
    <row r="40" spans="1:8" x14ac:dyDescent="0.25">
      <c r="A40" s="1">
        <v>38</v>
      </c>
      <c r="B40" s="2" t="s">
        <v>136</v>
      </c>
      <c r="C40" t="s">
        <v>137</v>
      </c>
      <c r="D40" t="s">
        <v>138</v>
      </c>
      <c r="E40" s="9">
        <v>1530000</v>
      </c>
      <c r="F40" s="10" t="s">
        <v>134</v>
      </c>
    </row>
    <row r="41" spans="1:8" x14ac:dyDescent="0.25">
      <c r="A41" s="1">
        <v>39</v>
      </c>
      <c r="B41" s="2" t="s">
        <v>142</v>
      </c>
      <c r="C41" t="s">
        <v>143</v>
      </c>
      <c r="D41" t="s">
        <v>144</v>
      </c>
      <c r="E41" s="9">
        <v>1530000</v>
      </c>
      <c r="F41" s="10" t="s">
        <v>134</v>
      </c>
    </row>
    <row r="42" spans="1:8" x14ac:dyDescent="0.25">
      <c r="A42" s="1">
        <v>40</v>
      </c>
      <c r="B42" s="2" t="s">
        <v>149</v>
      </c>
      <c r="C42" s="13" t="s">
        <v>150</v>
      </c>
      <c r="D42" s="13" t="s">
        <v>151</v>
      </c>
      <c r="E42" s="9">
        <v>1530000</v>
      </c>
      <c r="F42" s="10" t="s">
        <v>134</v>
      </c>
    </row>
    <row r="43" spans="1:8" x14ac:dyDescent="0.25">
      <c r="A43" s="1">
        <v>41</v>
      </c>
      <c r="B43" s="2" t="s">
        <v>153</v>
      </c>
      <c r="C43" s="13" t="s">
        <v>154</v>
      </c>
      <c r="D43" s="13" t="s">
        <v>116</v>
      </c>
      <c r="E43" s="9">
        <v>1530000</v>
      </c>
      <c r="F43" s="10" t="s">
        <v>134</v>
      </c>
    </row>
    <row r="44" spans="1:8" x14ac:dyDescent="0.25">
      <c r="A44" s="1">
        <v>42</v>
      </c>
      <c r="B44" s="2" t="s">
        <v>155</v>
      </c>
      <c r="C44" s="14" t="s">
        <v>156</v>
      </c>
      <c r="D44" s="14" t="s">
        <v>157</v>
      </c>
      <c r="E44" s="9">
        <v>1530000</v>
      </c>
      <c r="F44" s="10" t="s">
        <v>134</v>
      </c>
    </row>
    <row r="45" spans="1:8" x14ac:dyDescent="0.25">
      <c r="A45" s="1">
        <v>43</v>
      </c>
      <c r="B45" s="2" t="s">
        <v>158</v>
      </c>
      <c r="C45" s="14" t="s">
        <v>159</v>
      </c>
      <c r="D45" s="14" t="s">
        <v>160</v>
      </c>
      <c r="E45" s="9">
        <v>1530000</v>
      </c>
      <c r="F45" s="10" t="s">
        <v>134</v>
      </c>
    </row>
    <row r="46" spans="1:8" x14ac:dyDescent="0.25">
      <c r="A46" s="1">
        <v>44</v>
      </c>
      <c r="B46" s="2" t="s">
        <v>161</v>
      </c>
      <c r="C46" t="s">
        <v>162</v>
      </c>
      <c r="D46" t="s">
        <v>157</v>
      </c>
      <c r="E46" s="9">
        <v>1530000</v>
      </c>
      <c r="F46" s="10" t="s">
        <v>134</v>
      </c>
    </row>
    <row r="47" spans="1:8" x14ac:dyDescent="0.25">
      <c r="A47" s="1">
        <v>45</v>
      </c>
      <c r="B47" s="2" t="s">
        <v>163</v>
      </c>
      <c r="C47" t="s">
        <v>164</v>
      </c>
      <c r="D47" t="s">
        <v>57</v>
      </c>
      <c r="E47" s="9">
        <v>1530000</v>
      </c>
      <c r="F47" s="10" t="s">
        <v>134</v>
      </c>
    </row>
    <row r="48" spans="1:8" x14ac:dyDescent="0.25">
      <c r="A48" s="1">
        <v>46</v>
      </c>
      <c r="B48" s="2">
        <v>25807600154</v>
      </c>
      <c r="C48" s="13" t="s">
        <v>165</v>
      </c>
      <c r="D48" s="13" t="s">
        <v>166</v>
      </c>
      <c r="E48" s="9">
        <v>1530000</v>
      </c>
      <c r="F48" s="10" t="s">
        <v>134</v>
      </c>
    </row>
    <row r="49" spans="1:6" x14ac:dyDescent="0.25">
      <c r="A49" s="1">
        <v>47</v>
      </c>
      <c r="B49" s="2" t="s">
        <v>167</v>
      </c>
      <c r="C49" s="13" t="s">
        <v>168</v>
      </c>
      <c r="D49" s="13" t="s">
        <v>57</v>
      </c>
      <c r="E49" s="9">
        <v>1530000</v>
      </c>
      <c r="F49" s="10" t="s">
        <v>134</v>
      </c>
    </row>
    <row r="50" spans="1:6" x14ac:dyDescent="0.25">
      <c r="A50" s="1">
        <v>48</v>
      </c>
      <c r="B50" s="2" t="s">
        <v>170</v>
      </c>
      <c r="C50" s="13" t="s">
        <v>171</v>
      </c>
      <c r="D50" s="13" t="s">
        <v>172</v>
      </c>
      <c r="E50" s="9">
        <v>1530000</v>
      </c>
      <c r="F50" s="10" t="s">
        <v>134</v>
      </c>
    </row>
    <row r="51" spans="1:6" x14ac:dyDescent="0.25">
      <c r="A51" s="1">
        <v>49</v>
      </c>
      <c r="B51" s="2" t="s">
        <v>173</v>
      </c>
      <c r="C51" s="13" t="s">
        <v>174</v>
      </c>
      <c r="D51" s="13" t="s">
        <v>175</v>
      </c>
      <c r="E51" s="9">
        <v>1530000</v>
      </c>
      <c r="F51" s="10" t="s">
        <v>134</v>
      </c>
    </row>
    <row r="52" spans="1:6" x14ac:dyDescent="0.25">
      <c r="A52" s="1">
        <v>50</v>
      </c>
      <c r="B52" s="2" t="s">
        <v>176</v>
      </c>
      <c r="C52" s="14" t="s">
        <v>87</v>
      </c>
      <c r="D52" s="14" t="s">
        <v>131</v>
      </c>
      <c r="E52" s="9">
        <v>1900000</v>
      </c>
      <c r="F52" s="10" t="s">
        <v>134</v>
      </c>
    </row>
    <row r="53" spans="1:6" x14ac:dyDescent="0.25">
      <c r="A53" s="1">
        <v>51</v>
      </c>
      <c r="B53" s="2" t="s">
        <v>178</v>
      </c>
      <c r="C53" t="s">
        <v>179</v>
      </c>
      <c r="D53" t="s">
        <v>180</v>
      </c>
      <c r="E53" s="8">
        <v>2000000</v>
      </c>
      <c r="F53" s="10" t="s">
        <v>134</v>
      </c>
    </row>
    <row r="54" spans="1:6" x14ac:dyDescent="0.25">
      <c r="A54" s="1">
        <v>52</v>
      </c>
      <c r="B54" s="2">
        <v>2180608872</v>
      </c>
      <c r="C54" t="s">
        <v>181</v>
      </c>
      <c r="D54" t="s">
        <v>182</v>
      </c>
      <c r="E54" s="8">
        <v>2000000</v>
      </c>
      <c r="F54" s="10" t="s">
        <v>134</v>
      </c>
    </row>
    <row r="55" spans="1:6" x14ac:dyDescent="0.25">
      <c r="A55" s="1">
        <v>53</v>
      </c>
      <c r="B55" s="2" t="s">
        <v>183</v>
      </c>
      <c r="C55" t="s">
        <v>184</v>
      </c>
      <c r="D55" t="s">
        <v>185</v>
      </c>
      <c r="E55" s="9">
        <v>1530000</v>
      </c>
      <c r="F55" s="75" t="s">
        <v>186</v>
      </c>
    </row>
    <row r="56" spans="1:6" x14ac:dyDescent="0.25">
      <c r="A56" s="1">
        <v>54</v>
      </c>
      <c r="B56" s="2" t="s">
        <v>187</v>
      </c>
      <c r="C56" t="s">
        <v>188</v>
      </c>
      <c r="D56" t="s">
        <v>120</v>
      </c>
      <c r="E56" s="9">
        <v>1530000</v>
      </c>
      <c r="F56" s="75" t="s">
        <v>186</v>
      </c>
    </row>
    <row r="57" spans="1:6" x14ac:dyDescent="0.25">
      <c r="A57" s="1">
        <v>55</v>
      </c>
      <c r="B57" s="2" t="s">
        <v>189</v>
      </c>
      <c r="C57" s="14" t="s">
        <v>190</v>
      </c>
      <c r="D57" s="14" t="s">
        <v>138</v>
      </c>
      <c r="E57" s="9">
        <v>1530000</v>
      </c>
      <c r="F57" s="75" t="s">
        <v>186</v>
      </c>
    </row>
    <row r="58" spans="1:6" x14ac:dyDescent="0.25">
      <c r="A58" s="1">
        <v>56</v>
      </c>
      <c r="B58" s="2" t="s">
        <v>191</v>
      </c>
      <c r="C58" s="14" t="s">
        <v>192</v>
      </c>
      <c r="D58" s="14" t="s">
        <v>74</v>
      </c>
      <c r="E58" s="9">
        <v>1530000</v>
      </c>
      <c r="F58" s="75" t="s">
        <v>186</v>
      </c>
    </row>
    <row r="59" spans="1:6" x14ac:dyDescent="0.25">
      <c r="A59" s="1">
        <v>57</v>
      </c>
      <c r="B59" s="2" t="s">
        <v>193</v>
      </c>
      <c r="C59" s="13" t="s">
        <v>194</v>
      </c>
      <c r="D59" s="13" t="s">
        <v>195</v>
      </c>
      <c r="E59" s="9">
        <v>1530000</v>
      </c>
      <c r="F59" s="75" t="s">
        <v>186</v>
      </c>
    </row>
    <row r="60" spans="1:6" x14ac:dyDescent="0.25">
      <c r="A60" s="1">
        <v>58</v>
      </c>
      <c r="B60" s="2" t="s">
        <v>196</v>
      </c>
      <c r="C60" s="13" t="s">
        <v>197</v>
      </c>
      <c r="D60" s="13" t="s">
        <v>198</v>
      </c>
      <c r="E60" s="9">
        <v>1530000</v>
      </c>
      <c r="F60" s="75" t="s">
        <v>186</v>
      </c>
    </row>
    <row r="61" spans="1:6" x14ac:dyDescent="0.25">
      <c r="A61" s="1">
        <v>59</v>
      </c>
      <c r="B61" s="2" t="s">
        <v>199</v>
      </c>
      <c r="C61" s="13" t="s">
        <v>200</v>
      </c>
      <c r="D61" s="13" t="s">
        <v>22</v>
      </c>
      <c r="E61" s="9">
        <v>1530000</v>
      </c>
      <c r="F61" s="75" t="s">
        <v>186</v>
      </c>
    </row>
    <row r="62" spans="1:6" x14ac:dyDescent="0.25">
      <c r="A62" s="1">
        <v>60</v>
      </c>
      <c r="B62" s="2" t="s">
        <v>202</v>
      </c>
      <c r="C62" s="13" t="s">
        <v>203</v>
      </c>
      <c r="D62" s="13" t="s">
        <v>204</v>
      </c>
      <c r="E62" s="9">
        <v>1530000</v>
      </c>
      <c r="F62" s="75" t="s">
        <v>186</v>
      </c>
    </row>
    <row r="63" spans="1:6" x14ac:dyDescent="0.25">
      <c r="A63" s="1">
        <v>61</v>
      </c>
      <c r="B63" s="2" t="s">
        <v>205</v>
      </c>
      <c r="C63" s="13" t="s">
        <v>206</v>
      </c>
      <c r="D63" s="13" t="s">
        <v>207</v>
      </c>
      <c r="E63" s="9">
        <v>1530000</v>
      </c>
      <c r="F63" s="75" t="s">
        <v>186</v>
      </c>
    </row>
    <row r="64" spans="1:6" x14ac:dyDescent="0.25">
      <c r="A64" s="1">
        <v>62</v>
      </c>
      <c r="B64" s="2" t="s">
        <v>208</v>
      </c>
      <c r="C64" s="14" t="s">
        <v>209</v>
      </c>
      <c r="D64" s="14" t="s">
        <v>54</v>
      </c>
      <c r="E64" s="9">
        <v>1530000</v>
      </c>
      <c r="F64" s="75" t="s">
        <v>186</v>
      </c>
    </row>
    <row r="65" spans="1:7" x14ac:dyDescent="0.25">
      <c r="A65" s="1">
        <v>63</v>
      </c>
      <c r="B65" s="2" t="s">
        <v>210</v>
      </c>
      <c r="C65" s="14" t="s">
        <v>211</v>
      </c>
      <c r="D65" s="14" t="s">
        <v>50</v>
      </c>
      <c r="E65" s="9">
        <v>1530000</v>
      </c>
      <c r="F65" s="75" t="s">
        <v>186</v>
      </c>
    </row>
    <row r="66" spans="1:7" x14ac:dyDescent="0.25">
      <c r="A66" s="1">
        <v>64</v>
      </c>
      <c r="B66" s="2" t="s">
        <v>212</v>
      </c>
      <c r="C66" s="14" t="s">
        <v>213</v>
      </c>
      <c r="D66" s="14" t="s">
        <v>214</v>
      </c>
      <c r="E66" s="9">
        <v>1530000</v>
      </c>
      <c r="F66" s="75" t="s">
        <v>186</v>
      </c>
    </row>
    <row r="67" spans="1:7" x14ac:dyDescent="0.25">
      <c r="A67" s="1">
        <v>65</v>
      </c>
      <c r="B67" s="2" t="s">
        <v>215</v>
      </c>
      <c r="C67" s="13" t="s">
        <v>216</v>
      </c>
      <c r="D67" s="13" t="s">
        <v>217</v>
      </c>
      <c r="E67" s="9">
        <v>1530000</v>
      </c>
      <c r="F67" s="75" t="s">
        <v>186</v>
      </c>
    </row>
    <row r="68" spans="1:7" x14ac:dyDescent="0.25">
      <c r="A68" s="1">
        <v>66</v>
      </c>
      <c r="B68" s="2" t="s">
        <v>218</v>
      </c>
      <c r="C68" t="s">
        <v>197</v>
      </c>
      <c r="D68" t="s">
        <v>160</v>
      </c>
      <c r="E68" s="9">
        <v>1530000</v>
      </c>
      <c r="F68" s="75" t="s">
        <v>186</v>
      </c>
    </row>
    <row r="69" spans="1:7" x14ac:dyDescent="0.25">
      <c r="A69" s="1">
        <v>67</v>
      </c>
      <c r="B69" s="2" t="s">
        <v>219</v>
      </c>
      <c r="C69" s="12" t="s">
        <v>220</v>
      </c>
      <c r="D69" s="12" t="s">
        <v>22</v>
      </c>
      <c r="E69" s="9">
        <v>2000000</v>
      </c>
      <c r="F69" s="75" t="s">
        <v>186</v>
      </c>
    </row>
    <row r="70" spans="1:7" x14ac:dyDescent="0.25">
      <c r="A70" s="1">
        <v>68</v>
      </c>
      <c r="B70" s="2" t="s">
        <v>221</v>
      </c>
      <c r="C70" s="13" t="s">
        <v>222</v>
      </c>
      <c r="D70" s="13" t="s">
        <v>223</v>
      </c>
      <c r="E70" s="9">
        <v>1530000</v>
      </c>
      <c r="F70" s="75" t="s">
        <v>186</v>
      </c>
    </row>
    <row r="71" spans="1:7" x14ac:dyDescent="0.25">
      <c r="A71" s="1">
        <v>69</v>
      </c>
      <c r="B71" s="2" t="s">
        <v>224</v>
      </c>
      <c r="C71" s="12" t="s">
        <v>225</v>
      </c>
      <c r="D71" s="12" t="s">
        <v>157</v>
      </c>
      <c r="E71" s="9">
        <v>2103750</v>
      </c>
      <c r="F71" s="10" t="s">
        <v>227</v>
      </c>
      <c r="G71" t="s">
        <v>1844</v>
      </c>
    </row>
    <row r="72" spans="1:7" x14ac:dyDescent="0.25">
      <c r="A72" s="1">
        <v>70</v>
      </c>
      <c r="B72" s="2" t="s">
        <v>229</v>
      </c>
      <c r="C72" s="12" t="s">
        <v>230</v>
      </c>
      <c r="D72" s="12" t="s">
        <v>231</v>
      </c>
      <c r="E72" s="9">
        <v>2103750</v>
      </c>
      <c r="F72" s="10" t="s">
        <v>227</v>
      </c>
      <c r="G72" t="s">
        <v>1844</v>
      </c>
    </row>
    <row r="73" spans="1:7" x14ac:dyDescent="0.25">
      <c r="A73" s="1">
        <v>71</v>
      </c>
      <c r="B73" s="2" t="s">
        <v>234</v>
      </c>
      <c r="C73" s="12" t="s">
        <v>235</v>
      </c>
      <c r="D73" s="12" t="s">
        <v>236</v>
      </c>
      <c r="E73" s="9">
        <v>2103750</v>
      </c>
      <c r="F73" s="10" t="s">
        <v>227</v>
      </c>
      <c r="G73" t="s">
        <v>1844</v>
      </c>
    </row>
    <row r="74" spans="1:7" x14ac:dyDescent="0.25">
      <c r="A74" s="1">
        <v>72</v>
      </c>
      <c r="B74" s="2" t="s">
        <v>237</v>
      </c>
      <c r="C74" t="s">
        <v>238</v>
      </c>
      <c r="D74" t="s">
        <v>239</v>
      </c>
      <c r="E74" s="9">
        <v>2103750</v>
      </c>
      <c r="F74" s="10" t="s">
        <v>227</v>
      </c>
      <c r="G74" t="s">
        <v>1844</v>
      </c>
    </row>
    <row r="75" spans="1:7" x14ac:dyDescent="0.25">
      <c r="A75" s="1">
        <v>73</v>
      </c>
      <c r="B75" s="2" t="s">
        <v>241</v>
      </c>
      <c r="C75" s="12" t="s">
        <v>197</v>
      </c>
      <c r="D75" s="12" t="s">
        <v>242</v>
      </c>
      <c r="E75" s="9">
        <v>2103750</v>
      </c>
      <c r="F75" s="10" t="s">
        <v>227</v>
      </c>
    </row>
    <row r="76" spans="1:7" x14ac:dyDescent="0.25">
      <c r="A76" s="1">
        <v>74</v>
      </c>
      <c r="B76" s="2" t="s">
        <v>245</v>
      </c>
      <c r="C76" s="12" t="s">
        <v>246</v>
      </c>
      <c r="D76" s="12" t="s">
        <v>22</v>
      </c>
      <c r="E76" s="9">
        <v>2103750</v>
      </c>
      <c r="F76" s="10" t="s">
        <v>227</v>
      </c>
    </row>
    <row r="77" spans="1:7" x14ac:dyDescent="0.25">
      <c r="A77" s="1">
        <v>75</v>
      </c>
      <c r="B77" s="2" t="s">
        <v>248</v>
      </c>
      <c r="C77" s="12" t="s">
        <v>249</v>
      </c>
      <c r="D77" s="12" t="s">
        <v>151</v>
      </c>
      <c r="E77" s="9">
        <v>2103750</v>
      </c>
      <c r="F77" s="10" t="s">
        <v>227</v>
      </c>
    </row>
    <row r="78" spans="1:7" x14ac:dyDescent="0.25">
      <c r="A78" s="1">
        <v>76</v>
      </c>
      <c r="B78" s="2" t="s">
        <v>250</v>
      </c>
      <c r="C78" s="12" t="s">
        <v>251</v>
      </c>
      <c r="D78" s="12" t="s">
        <v>252</v>
      </c>
      <c r="E78" s="9">
        <v>2103750</v>
      </c>
      <c r="F78" s="10" t="s">
        <v>227</v>
      </c>
    </row>
    <row r="79" spans="1:7" x14ac:dyDescent="0.25">
      <c r="A79" s="1">
        <v>77</v>
      </c>
      <c r="B79" s="2" t="s">
        <v>254</v>
      </c>
      <c r="C79" s="12" t="s">
        <v>255</v>
      </c>
      <c r="D79" s="12" t="s">
        <v>256</v>
      </c>
      <c r="E79" s="9">
        <v>2103750</v>
      </c>
      <c r="F79" s="10" t="s">
        <v>227</v>
      </c>
    </row>
    <row r="80" spans="1:7" x14ac:dyDescent="0.25">
      <c r="A80" s="1">
        <v>78</v>
      </c>
      <c r="B80" s="2" t="s">
        <v>259</v>
      </c>
      <c r="C80" s="12" t="s">
        <v>260</v>
      </c>
      <c r="D80" s="12" t="s">
        <v>261</v>
      </c>
      <c r="E80" s="9">
        <v>2103750</v>
      </c>
      <c r="F80" s="10" t="s">
        <v>227</v>
      </c>
    </row>
    <row r="81" spans="1:7" x14ac:dyDescent="0.25">
      <c r="A81" s="1">
        <v>79</v>
      </c>
      <c r="B81" s="2" t="s">
        <v>264</v>
      </c>
      <c r="C81" s="12" t="s">
        <v>265</v>
      </c>
      <c r="D81" s="12" t="s">
        <v>239</v>
      </c>
      <c r="E81" s="9">
        <v>2103750</v>
      </c>
      <c r="F81" s="10" t="s">
        <v>227</v>
      </c>
    </row>
    <row r="82" spans="1:7" x14ac:dyDescent="0.25">
      <c r="A82" s="1">
        <v>80</v>
      </c>
      <c r="B82" s="2" t="s">
        <v>268</v>
      </c>
      <c r="C82" s="12" t="s">
        <v>269</v>
      </c>
      <c r="D82" s="12" t="s">
        <v>270</v>
      </c>
      <c r="E82" s="9">
        <v>2103750</v>
      </c>
      <c r="F82" s="10" t="s">
        <v>227</v>
      </c>
    </row>
    <row r="83" spans="1:7" x14ac:dyDescent="0.25">
      <c r="A83" s="1">
        <v>81</v>
      </c>
      <c r="B83" s="2" t="s">
        <v>273</v>
      </c>
      <c r="C83" s="12" t="s">
        <v>274</v>
      </c>
      <c r="D83" s="12" t="s">
        <v>275</v>
      </c>
      <c r="E83" s="9">
        <v>2103750</v>
      </c>
      <c r="F83" s="10" t="s">
        <v>227</v>
      </c>
    </row>
    <row r="84" spans="1:7" x14ac:dyDescent="0.25">
      <c r="A84" s="1">
        <v>82</v>
      </c>
      <c r="B84" s="2" t="s">
        <v>277</v>
      </c>
      <c r="C84" s="12" t="s">
        <v>278</v>
      </c>
      <c r="D84" s="12" t="s">
        <v>279</v>
      </c>
      <c r="E84" s="9">
        <v>2103750</v>
      </c>
      <c r="F84" s="10" t="s">
        <v>227</v>
      </c>
    </row>
    <row r="85" spans="1:7" x14ac:dyDescent="0.25">
      <c r="A85" s="1">
        <v>83</v>
      </c>
      <c r="B85" s="2" t="s">
        <v>282</v>
      </c>
      <c r="C85" s="12" t="s">
        <v>283</v>
      </c>
      <c r="D85" s="12" t="s">
        <v>284</v>
      </c>
      <c r="E85" s="9">
        <v>2103750</v>
      </c>
      <c r="F85" s="10" t="s">
        <v>227</v>
      </c>
    </row>
    <row r="86" spans="1:7" x14ac:dyDescent="0.25">
      <c r="A86" s="1">
        <v>84</v>
      </c>
      <c r="B86" s="2" t="s">
        <v>288</v>
      </c>
      <c r="C86" s="12" t="s">
        <v>289</v>
      </c>
      <c r="D86" s="12" t="s">
        <v>290</v>
      </c>
      <c r="E86" s="11">
        <v>2470000</v>
      </c>
      <c r="F86" s="10" t="s">
        <v>227</v>
      </c>
    </row>
    <row r="87" spans="1:7" x14ac:dyDescent="0.25">
      <c r="A87" s="1">
        <v>85</v>
      </c>
      <c r="B87" s="2" t="s">
        <v>292</v>
      </c>
      <c r="C87" t="s">
        <v>293</v>
      </c>
      <c r="D87" t="s">
        <v>294</v>
      </c>
      <c r="E87" s="11">
        <v>2470000</v>
      </c>
      <c r="F87" s="10" t="s">
        <v>227</v>
      </c>
    </row>
    <row r="88" spans="1:7" x14ac:dyDescent="0.25">
      <c r="A88" s="1">
        <v>86</v>
      </c>
      <c r="B88" s="2" t="s">
        <v>297</v>
      </c>
      <c r="C88" t="s">
        <v>298</v>
      </c>
      <c r="D88" t="s">
        <v>207</v>
      </c>
      <c r="E88" s="9">
        <v>2103750</v>
      </c>
      <c r="F88" s="74" t="s">
        <v>299</v>
      </c>
    </row>
    <row r="89" spans="1:7" x14ac:dyDescent="0.25">
      <c r="A89" s="1">
        <v>87</v>
      </c>
      <c r="B89" s="2" t="s">
        <v>300</v>
      </c>
      <c r="C89" s="12" t="s">
        <v>301</v>
      </c>
      <c r="D89" s="12" t="s">
        <v>302</v>
      </c>
      <c r="E89" s="9">
        <v>2103750</v>
      </c>
      <c r="F89" s="74" t="s">
        <v>299</v>
      </c>
      <c r="G89" t="s">
        <v>1845</v>
      </c>
    </row>
    <row r="90" spans="1:7" x14ac:dyDescent="0.25">
      <c r="A90" s="1">
        <v>88</v>
      </c>
      <c r="B90" s="2" t="s">
        <v>303</v>
      </c>
      <c r="C90" t="s">
        <v>269</v>
      </c>
      <c r="D90" t="s">
        <v>175</v>
      </c>
      <c r="E90" s="9">
        <v>2103750</v>
      </c>
      <c r="F90" s="74" t="s">
        <v>299</v>
      </c>
    </row>
    <row r="91" spans="1:7" x14ac:dyDescent="0.25">
      <c r="A91" s="1">
        <v>89</v>
      </c>
      <c r="B91" s="2" t="s">
        <v>304</v>
      </c>
      <c r="C91" t="s">
        <v>305</v>
      </c>
      <c r="D91" t="s">
        <v>166</v>
      </c>
      <c r="E91" s="9">
        <v>2103750</v>
      </c>
      <c r="F91" s="74" t="s">
        <v>299</v>
      </c>
    </row>
    <row r="92" spans="1:7" x14ac:dyDescent="0.25">
      <c r="A92" s="1">
        <v>90</v>
      </c>
      <c r="B92" s="2" t="s">
        <v>307</v>
      </c>
      <c r="C92" t="s">
        <v>308</v>
      </c>
      <c r="D92" t="s">
        <v>270</v>
      </c>
      <c r="E92" s="9">
        <v>2103750</v>
      </c>
      <c r="F92" s="74" t="s">
        <v>299</v>
      </c>
    </row>
    <row r="93" spans="1:7" x14ac:dyDescent="0.25">
      <c r="A93" s="1">
        <v>91</v>
      </c>
      <c r="B93" s="2" t="s">
        <v>309</v>
      </c>
      <c r="C93" t="s">
        <v>310</v>
      </c>
      <c r="D93" t="s">
        <v>311</v>
      </c>
      <c r="E93" s="9">
        <v>2103750</v>
      </c>
      <c r="F93" s="74" t="s">
        <v>299</v>
      </c>
    </row>
    <row r="94" spans="1:7" x14ac:dyDescent="0.25">
      <c r="A94" s="1">
        <v>92</v>
      </c>
      <c r="B94" s="2" t="s">
        <v>312</v>
      </c>
      <c r="C94" t="s">
        <v>313</v>
      </c>
      <c r="D94" t="s">
        <v>74</v>
      </c>
      <c r="E94" s="9">
        <v>2103750</v>
      </c>
      <c r="F94" s="74" t="s">
        <v>299</v>
      </c>
    </row>
    <row r="95" spans="1:7" x14ac:dyDescent="0.25">
      <c r="A95" s="1">
        <v>93</v>
      </c>
      <c r="B95" s="2" t="s">
        <v>315</v>
      </c>
      <c r="C95" t="s">
        <v>316</v>
      </c>
      <c r="D95" t="s">
        <v>131</v>
      </c>
      <c r="E95" s="9">
        <v>2103750</v>
      </c>
      <c r="F95" s="74" t="s">
        <v>299</v>
      </c>
    </row>
    <row r="96" spans="1:7" x14ac:dyDescent="0.25">
      <c r="A96" s="1">
        <v>94</v>
      </c>
      <c r="B96" s="2" t="s">
        <v>317</v>
      </c>
      <c r="C96" t="s">
        <v>318</v>
      </c>
      <c r="D96" t="s">
        <v>319</v>
      </c>
      <c r="E96" s="8">
        <v>2600000</v>
      </c>
      <c r="F96" s="74" t="s">
        <v>299</v>
      </c>
    </row>
    <row r="97" spans="1:6" x14ac:dyDescent="0.25">
      <c r="A97" s="1">
        <v>95</v>
      </c>
      <c r="B97" s="2" t="s">
        <v>320</v>
      </c>
      <c r="C97" t="s">
        <v>321</v>
      </c>
      <c r="D97" t="s">
        <v>322</v>
      </c>
      <c r="E97" s="9">
        <v>2103750</v>
      </c>
      <c r="F97" s="74" t="s">
        <v>299</v>
      </c>
    </row>
    <row r="98" spans="1:6" x14ac:dyDescent="0.25">
      <c r="A98" s="1">
        <v>96</v>
      </c>
      <c r="B98" s="2" t="s">
        <v>323</v>
      </c>
      <c r="C98" s="12" t="s">
        <v>324</v>
      </c>
      <c r="D98" s="12" t="s">
        <v>138</v>
      </c>
      <c r="E98" s="9">
        <v>2103750</v>
      </c>
      <c r="F98" s="74" t="s">
        <v>299</v>
      </c>
    </row>
    <row r="99" spans="1:6" x14ac:dyDescent="0.25">
      <c r="A99" s="1">
        <v>97</v>
      </c>
      <c r="B99" s="2" t="s">
        <v>326</v>
      </c>
      <c r="C99" t="s">
        <v>327</v>
      </c>
      <c r="D99" t="s">
        <v>54</v>
      </c>
      <c r="E99" s="9">
        <v>2103750</v>
      </c>
      <c r="F99" s="74" t="s">
        <v>299</v>
      </c>
    </row>
    <row r="100" spans="1:6" x14ac:dyDescent="0.25">
      <c r="A100" s="1">
        <v>98</v>
      </c>
      <c r="B100" s="2" t="s">
        <v>330</v>
      </c>
      <c r="C100" t="s">
        <v>331</v>
      </c>
      <c r="D100" t="s">
        <v>120</v>
      </c>
      <c r="E100" s="9">
        <v>2103750</v>
      </c>
      <c r="F100" s="74" t="s">
        <v>299</v>
      </c>
    </row>
    <row r="101" spans="1:6" x14ac:dyDescent="0.25">
      <c r="A101" s="1">
        <v>99</v>
      </c>
      <c r="B101" s="2" t="s">
        <v>333</v>
      </c>
      <c r="C101" t="s">
        <v>334</v>
      </c>
      <c r="D101" t="s">
        <v>335</v>
      </c>
      <c r="E101" s="11">
        <v>2470000</v>
      </c>
      <c r="F101" s="74" t="s">
        <v>299</v>
      </c>
    </row>
    <row r="102" spans="1:6" x14ac:dyDescent="0.25">
      <c r="A102" s="1">
        <v>100</v>
      </c>
      <c r="B102" s="2" t="s">
        <v>336</v>
      </c>
      <c r="C102" t="s">
        <v>337</v>
      </c>
      <c r="D102" t="s">
        <v>338</v>
      </c>
      <c r="E102" s="11">
        <v>2470000</v>
      </c>
      <c r="F102" s="74" t="s">
        <v>299</v>
      </c>
    </row>
    <row r="103" spans="1:6" x14ac:dyDescent="0.25">
      <c r="A103" s="1">
        <v>101</v>
      </c>
      <c r="B103" s="2" t="s">
        <v>339</v>
      </c>
      <c r="C103" s="12" t="s">
        <v>340</v>
      </c>
      <c r="D103" s="12" t="s">
        <v>341</v>
      </c>
      <c r="E103" s="11">
        <v>2470000</v>
      </c>
      <c r="F103" s="74" t="s">
        <v>299</v>
      </c>
    </row>
    <row r="104" spans="1:6" x14ac:dyDescent="0.25">
      <c r="A104" s="1">
        <v>102</v>
      </c>
      <c r="B104" s="2" t="s">
        <v>342</v>
      </c>
      <c r="C104" t="s">
        <v>343</v>
      </c>
      <c r="D104" t="s">
        <v>344</v>
      </c>
      <c r="E104" s="11">
        <v>2470000</v>
      </c>
      <c r="F104" s="74" t="s">
        <v>299</v>
      </c>
    </row>
    <row r="105" spans="1:6" x14ac:dyDescent="0.25">
      <c r="A105" s="1">
        <v>103</v>
      </c>
      <c r="B105" s="2" t="s">
        <v>345</v>
      </c>
      <c r="C105" t="s">
        <v>346</v>
      </c>
      <c r="D105" t="s">
        <v>347</v>
      </c>
      <c r="E105" s="9">
        <v>2103750</v>
      </c>
      <c r="F105" s="75" t="s">
        <v>349</v>
      </c>
    </row>
    <row r="106" spans="1:6" x14ac:dyDescent="0.25">
      <c r="A106" s="1">
        <v>104</v>
      </c>
      <c r="B106" s="2" t="s">
        <v>350</v>
      </c>
      <c r="C106" t="s">
        <v>351</v>
      </c>
      <c r="D106" t="s">
        <v>151</v>
      </c>
      <c r="E106" s="9">
        <v>2103750</v>
      </c>
      <c r="F106" s="75" t="s">
        <v>349</v>
      </c>
    </row>
    <row r="107" spans="1:6" x14ac:dyDescent="0.25">
      <c r="A107" s="1">
        <v>105</v>
      </c>
      <c r="B107" s="2" t="s">
        <v>352</v>
      </c>
      <c r="C107" t="s">
        <v>353</v>
      </c>
      <c r="D107" t="s">
        <v>157</v>
      </c>
      <c r="E107" s="9">
        <v>2103750</v>
      </c>
      <c r="F107" s="75" t="s">
        <v>349</v>
      </c>
    </row>
    <row r="108" spans="1:6" x14ac:dyDescent="0.25">
      <c r="A108" s="1">
        <v>106</v>
      </c>
      <c r="B108" s="2" t="s">
        <v>355</v>
      </c>
      <c r="C108" t="s">
        <v>356</v>
      </c>
      <c r="D108" t="s">
        <v>322</v>
      </c>
      <c r="E108" s="9">
        <v>2103750</v>
      </c>
      <c r="F108" s="75" t="s">
        <v>349</v>
      </c>
    </row>
    <row r="109" spans="1:6" x14ac:dyDescent="0.25">
      <c r="A109" s="1">
        <v>107</v>
      </c>
      <c r="B109" s="2" t="s">
        <v>357</v>
      </c>
      <c r="C109" t="s">
        <v>358</v>
      </c>
      <c r="D109" t="s">
        <v>359</v>
      </c>
      <c r="E109" s="9">
        <v>2103750</v>
      </c>
      <c r="F109" s="75" t="s">
        <v>349</v>
      </c>
    </row>
    <row r="110" spans="1:6" x14ac:dyDescent="0.25">
      <c r="A110" s="1">
        <v>108</v>
      </c>
      <c r="B110" s="2" t="s">
        <v>360</v>
      </c>
      <c r="C110" t="s">
        <v>361</v>
      </c>
      <c r="D110" t="s">
        <v>362</v>
      </c>
      <c r="E110" s="9">
        <v>2103750</v>
      </c>
      <c r="F110" s="75" t="s">
        <v>349</v>
      </c>
    </row>
    <row r="111" spans="1:6" x14ac:dyDescent="0.25">
      <c r="A111" s="1">
        <v>109</v>
      </c>
      <c r="B111" s="2" t="s">
        <v>363</v>
      </c>
      <c r="C111" t="s">
        <v>364</v>
      </c>
      <c r="D111" t="s">
        <v>57</v>
      </c>
      <c r="E111" s="9">
        <v>2103750</v>
      </c>
      <c r="F111" s="75" t="s">
        <v>349</v>
      </c>
    </row>
    <row r="112" spans="1:6" x14ac:dyDescent="0.25">
      <c r="A112" s="1">
        <v>110</v>
      </c>
      <c r="B112" s="2" t="s">
        <v>365</v>
      </c>
      <c r="C112" t="s">
        <v>366</v>
      </c>
      <c r="D112" t="s">
        <v>367</v>
      </c>
      <c r="E112" s="9">
        <v>2103750</v>
      </c>
      <c r="F112" s="75" t="s">
        <v>349</v>
      </c>
    </row>
    <row r="113" spans="1:6" x14ac:dyDescent="0.25">
      <c r="A113" s="1">
        <v>111</v>
      </c>
      <c r="B113" s="2" t="s">
        <v>369</v>
      </c>
      <c r="C113" t="s">
        <v>370</v>
      </c>
      <c r="D113" t="s">
        <v>157</v>
      </c>
      <c r="E113" s="9">
        <v>2103750</v>
      </c>
      <c r="F113" s="75" t="s">
        <v>349</v>
      </c>
    </row>
    <row r="114" spans="1:6" x14ac:dyDescent="0.25">
      <c r="A114" s="1">
        <v>112</v>
      </c>
      <c r="B114" s="2" t="s">
        <v>371</v>
      </c>
      <c r="C114" t="s">
        <v>372</v>
      </c>
      <c r="D114" t="s">
        <v>175</v>
      </c>
      <c r="E114" s="9">
        <v>2470000</v>
      </c>
      <c r="F114" s="75" t="s">
        <v>349</v>
      </c>
    </row>
    <row r="115" spans="1:6" x14ac:dyDescent="0.25">
      <c r="A115" s="1">
        <v>113</v>
      </c>
      <c r="B115" s="2" t="s">
        <v>374</v>
      </c>
      <c r="C115" t="s">
        <v>375</v>
      </c>
      <c r="D115" t="s">
        <v>376</v>
      </c>
      <c r="E115" s="9">
        <v>2103750</v>
      </c>
      <c r="F115" s="75" t="s">
        <v>349</v>
      </c>
    </row>
    <row r="116" spans="1:6" x14ac:dyDescent="0.25">
      <c r="A116" s="1">
        <v>114</v>
      </c>
      <c r="B116" s="2" t="s">
        <v>377</v>
      </c>
      <c r="C116" t="s">
        <v>378</v>
      </c>
      <c r="D116" t="s">
        <v>70</v>
      </c>
      <c r="E116" s="9">
        <v>2103750</v>
      </c>
      <c r="F116" s="75" t="s">
        <v>349</v>
      </c>
    </row>
    <row r="117" spans="1:6" x14ac:dyDescent="0.25">
      <c r="A117" s="1">
        <v>115</v>
      </c>
      <c r="B117" s="2" t="s">
        <v>379</v>
      </c>
      <c r="C117" s="12" t="s">
        <v>380</v>
      </c>
      <c r="D117" s="12" t="s">
        <v>231</v>
      </c>
      <c r="E117" s="11">
        <v>2470000</v>
      </c>
      <c r="F117" s="75" t="s">
        <v>349</v>
      </c>
    </row>
    <row r="118" spans="1:6" x14ac:dyDescent="0.25">
      <c r="A118" s="1">
        <v>116</v>
      </c>
      <c r="B118" s="2" t="s">
        <v>382</v>
      </c>
      <c r="C118" t="s">
        <v>383</v>
      </c>
      <c r="D118" t="s">
        <v>384</v>
      </c>
      <c r="E118" s="11">
        <v>2470000</v>
      </c>
      <c r="F118" s="75" t="s">
        <v>349</v>
      </c>
    </row>
    <row r="119" spans="1:6" x14ac:dyDescent="0.25">
      <c r="A119" s="1">
        <v>117</v>
      </c>
      <c r="B119" s="2" t="s">
        <v>385</v>
      </c>
      <c r="C119" t="s">
        <v>331</v>
      </c>
      <c r="D119" t="s">
        <v>182</v>
      </c>
      <c r="E119" s="11">
        <v>2470000</v>
      </c>
      <c r="F119" s="75" t="s">
        <v>349</v>
      </c>
    </row>
    <row r="120" spans="1:6" x14ac:dyDescent="0.25">
      <c r="A120" s="1">
        <v>118</v>
      </c>
      <c r="B120" s="2" t="s">
        <v>386</v>
      </c>
      <c r="C120" t="s">
        <v>387</v>
      </c>
      <c r="D120" t="s">
        <v>388</v>
      </c>
      <c r="E120" s="9">
        <v>2232500</v>
      </c>
      <c r="F120" s="75" t="s">
        <v>349</v>
      </c>
    </row>
    <row r="121" spans="1:6" x14ac:dyDescent="0.25">
      <c r="A121" s="1">
        <v>119</v>
      </c>
      <c r="B121" s="2" t="s">
        <v>390</v>
      </c>
      <c r="C121" s="13" t="s">
        <v>391</v>
      </c>
      <c r="D121" s="13" t="s">
        <v>392</v>
      </c>
      <c r="E121" s="8">
        <v>2600000</v>
      </c>
      <c r="F121" s="75" t="s">
        <v>349</v>
      </c>
    </row>
    <row r="122" spans="1:6" x14ac:dyDescent="0.25">
      <c r="A122" s="1">
        <v>120</v>
      </c>
      <c r="B122" s="2" t="s">
        <v>393</v>
      </c>
      <c r="C122" t="s">
        <v>394</v>
      </c>
      <c r="D122" t="s">
        <v>60</v>
      </c>
      <c r="E122" s="9">
        <v>2103750</v>
      </c>
      <c r="F122" s="75" t="s">
        <v>349</v>
      </c>
    </row>
    <row r="123" spans="1:6" x14ac:dyDescent="0.25">
      <c r="A123" s="1">
        <v>121</v>
      </c>
      <c r="B123" s="2" t="s">
        <v>395</v>
      </c>
      <c r="C123" t="s">
        <v>396</v>
      </c>
      <c r="D123" t="s">
        <v>397</v>
      </c>
      <c r="E123" s="9">
        <v>2103750</v>
      </c>
      <c r="F123" s="10" t="s">
        <v>398</v>
      </c>
    </row>
    <row r="124" spans="1:6" x14ac:dyDescent="0.25">
      <c r="A124" s="1">
        <v>122</v>
      </c>
      <c r="B124" s="2" t="s">
        <v>399</v>
      </c>
      <c r="C124" t="s">
        <v>400</v>
      </c>
      <c r="D124" t="s">
        <v>392</v>
      </c>
      <c r="E124" s="9">
        <v>2103750</v>
      </c>
      <c r="F124" s="10" t="s">
        <v>398</v>
      </c>
    </row>
    <row r="125" spans="1:6" x14ac:dyDescent="0.25">
      <c r="A125" s="1">
        <v>123</v>
      </c>
      <c r="B125" s="2" t="s">
        <v>401</v>
      </c>
      <c r="C125" t="s">
        <v>402</v>
      </c>
      <c r="D125" t="s">
        <v>22</v>
      </c>
      <c r="E125" s="9">
        <v>2103750</v>
      </c>
      <c r="F125" s="10" t="s">
        <v>398</v>
      </c>
    </row>
    <row r="126" spans="1:6" x14ac:dyDescent="0.25">
      <c r="A126" s="1">
        <v>124</v>
      </c>
      <c r="B126" s="2" t="s">
        <v>403</v>
      </c>
      <c r="C126" t="s">
        <v>404</v>
      </c>
      <c r="D126" t="s">
        <v>405</v>
      </c>
      <c r="E126" s="9">
        <v>2103750</v>
      </c>
      <c r="F126" s="10" t="s">
        <v>398</v>
      </c>
    </row>
    <row r="127" spans="1:6" x14ac:dyDescent="0.25">
      <c r="A127" s="1">
        <v>125</v>
      </c>
      <c r="B127" s="2" t="s">
        <v>406</v>
      </c>
      <c r="C127" t="s">
        <v>407</v>
      </c>
      <c r="D127" t="s">
        <v>408</v>
      </c>
      <c r="E127" s="9">
        <v>2103750</v>
      </c>
      <c r="F127" s="10" t="s">
        <v>398</v>
      </c>
    </row>
    <row r="128" spans="1:6" x14ac:dyDescent="0.25">
      <c r="A128" s="1">
        <v>126</v>
      </c>
      <c r="B128" s="2" t="s">
        <v>409</v>
      </c>
      <c r="C128" t="s">
        <v>410</v>
      </c>
      <c r="D128" t="s">
        <v>311</v>
      </c>
      <c r="E128" s="9">
        <v>2103750</v>
      </c>
      <c r="F128" s="10" t="s">
        <v>398</v>
      </c>
    </row>
    <row r="129" spans="1:6" x14ac:dyDescent="0.25">
      <c r="A129" s="1">
        <v>127</v>
      </c>
      <c r="B129" s="2" t="s">
        <v>411</v>
      </c>
      <c r="C129" t="s">
        <v>412</v>
      </c>
      <c r="D129" t="s">
        <v>413</v>
      </c>
      <c r="E129" s="9">
        <v>2103750</v>
      </c>
      <c r="F129" s="10" t="s">
        <v>398</v>
      </c>
    </row>
    <row r="130" spans="1:6" x14ac:dyDescent="0.25">
      <c r="A130" s="1">
        <v>128</v>
      </c>
      <c r="B130" s="2" t="s">
        <v>414</v>
      </c>
      <c r="C130" t="s">
        <v>415</v>
      </c>
      <c r="D130" t="s">
        <v>57</v>
      </c>
      <c r="E130" s="9">
        <v>2103750</v>
      </c>
      <c r="F130" s="10" t="s">
        <v>398</v>
      </c>
    </row>
    <row r="131" spans="1:6" x14ac:dyDescent="0.25">
      <c r="A131" s="1">
        <v>129</v>
      </c>
      <c r="B131" s="2" t="s">
        <v>417</v>
      </c>
      <c r="C131" t="s">
        <v>418</v>
      </c>
      <c r="D131" t="s">
        <v>91</v>
      </c>
      <c r="E131" s="9">
        <v>2103750</v>
      </c>
      <c r="F131" s="10" t="s">
        <v>398</v>
      </c>
    </row>
    <row r="132" spans="1:6" x14ac:dyDescent="0.25">
      <c r="A132" s="1">
        <v>130</v>
      </c>
      <c r="B132" s="2" t="s">
        <v>419</v>
      </c>
      <c r="C132" t="s">
        <v>420</v>
      </c>
      <c r="D132" t="s">
        <v>421</v>
      </c>
      <c r="E132" s="9">
        <v>2103750</v>
      </c>
      <c r="F132" s="10" t="s">
        <v>398</v>
      </c>
    </row>
    <row r="133" spans="1:6" x14ac:dyDescent="0.25">
      <c r="A133" s="1">
        <v>131</v>
      </c>
      <c r="B133" s="2" t="s">
        <v>423</v>
      </c>
      <c r="C133" t="s">
        <v>316</v>
      </c>
      <c r="D133" t="s">
        <v>341</v>
      </c>
      <c r="E133" s="9">
        <v>2103750</v>
      </c>
      <c r="F133" s="10" t="s">
        <v>398</v>
      </c>
    </row>
    <row r="134" spans="1:6" x14ac:dyDescent="0.25">
      <c r="A134" s="1">
        <v>132</v>
      </c>
      <c r="B134" s="2" t="s">
        <v>425</v>
      </c>
      <c r="C134" t="s">
        <v>426</v>
      </c>
      <c r="D134" t="s">
        <v>427</v>
      </c>
      <c r="E134" s="9">
        <v>2103750</v>
      </c>
      <c r="F134" s="10" t="s">
        <v>398</v>
      </c>
    </row>
    <row r="135" spans="1:6" x14ac:dyDescent="0.25">
      <c r="A135" s="1">
        <v>133</v>
      </c>
      <c r="B135" s="2" t="s">
        <v>428</v>
      </c>
      <c r="C135" t="s">
        <v>429</v>
      </c>
      <c r="D135" t="s">
        <v>60</v>
      </c>
      <c r="E135" s="9">
        <v>2103750</v>
      </c>
      <c r="F135" s="10" t="s">
        <v>398</v>
      </c>
    </row>
    <row r="136" spans="1:6" x14ac:dyDescent="0.25">
      <c r="A136" s="1">
        <v>134</v>
      </c>
      <c r="B136" s="2" t="s">
        <v>430</v>
      </c>
      <c r="C136" t="s">
        <v>431</v>
      </c>
      <c r="D136" t="s">
        <v>432</v>
      </c>
      <c r="E136" s="9">
        <v>2103750</v>
      </c>
      <c r="F136" s="10" t="s">
        <v>398</v>
      </c>
    </row>
    <row r="137" spans="1:6" x14ac:dyDescent="0.25">
      <c r="A137" s="1">
        <v>135</v>
      </c>
      <c r="B137" s="2" t="s">
        <v>433</v>
      </c>
      <c r="C137" t="s">
        <v>434</v>
      </c>
      <c r="D137" t="s">
        <v>435</v>
      </c>
      <c r="E137" s="9">
        <v>2103750</v>
      </c>
      <c r="F137" s="10" t="s">
        <v>398</v>
      </c>
    </row>
    <row r="138" spans="1:6" x14ac:dyDescent="0.25">
      <c r="A138" s="1">
        <v>136</v>
      </c>
      <c r="B138" s="2" t="s">
        <v>437</v>
      </c>
      <c r="C138" t="s">
        <v>438</v>
      </c>
      <c r="D138" t="s">
        <v>439</v>
      </c>
      <c r="E138" s="9">
        <v>2103750</v>
      </c>
      <c r="F138" s="10" t="s">
        <v>398</v>
      </c>
    </row>
    <row r="139" spans="1:6" x14ac:dyDescent="0.25">
      <c r="A139" s="1">
        <v>137</v>
      </c>
      <c r="B139" s="2" t="s">
        <v>440</v>
      </c>
      <c r="C139" t="s">
        <v>441</v>
      </c>
      <c r="D139" t="s">
        <v>442</v>
      </c>
      <c r="E139" s="11">
        <v>2470000</v>
      </c>
      <c r="F139" s="10" t="s">
        <v>398</v>
      </c>
    </row>
    <row r="140" spans="1:6" x14ac:dyDescent="0.25">
      <c r="A140" s="1">
        <v>138</v>
      </c>
      <c r="B140" s="2" t="s">
        <v>444</v>
      </c>
      <c r="C140" t="s">
        <v>445</v>
      </c>
      <c r="D140" t="s">
        <v>294</v>
      </c>
      <c r="E140" s="9">
        <v>2103750</v>
      </c>
      <c r="F140" s="75" t="s">
        <v>446</v>
      </c>
    </row>
    <row r="141" spans="1:6" x14ac:dyDescent="0.25">
      <c r="A141" s="1">
        <v>139</v>
      </c>
      <c r="B141" s="2" t="s">
        <v>447</v>
      </c>
      <c r="C141" t="s">
        <v>181</v>
      </c>
      <c r="D141" t="s">
        <v>60</v>
      </c>
      <c r="E141" s="9">
        <v>2103750</v>
      </c>
      <c r="F141" s="75" t="s">
        <v>446</v>
      </c>
    </row>
    <row r="142" spans="1:6" x14ac:dyDescent="0.25">
      <c r="A142" s="1">
        <v>140</v>
      </c>
      <c r="B142" s="2" t="s">
        <v>448</v>
      </c>
      <c r="C142" t="s">
        <v>449</v>
      </c>
      <c r="D142" t="s">
        <v>450</v>
      </c>
      <c r="E142" s="9">
        <v>2103750</v>
      </c>
      <c r="F142" s="75" t="s">
        <v>446</v>
      </c>
    </row>
    <row r="143" spans="1:6" x14ac:dyDescent="0.25">
      <c r="A143" s="1">
        <v>141</v>
      </c>
      <c r="B143" s="2" t="s">
        <v>451</v>
      </c>
      <c r="C143" t="s">
        <v>1846</v>
      </c>
      <c r="D143" t="s">
        <v>256</v>
      </c>
      <c r="E143" s="9">
        <v>2103750</v>
      </c>
      <c r="F143" s="75" t="s">
        <v>446</v>
      </c>
    </row>
    <row r="144" spans="1:6" x14ac:dyDescent="0.25">
      <c r="A144" s="1">
        <v>142</v>
      </c>
      <c r="B144" s="2" t="s">
        <v>453</v>
      </c>
      <c r="C144" t="s">
        <v>454</v>
      </c>
      <c r="D144" t="s">
        <v>120</v>
      </c>
      <c r="E144" s="9">
        <v>2103750</v>
      </c>
      <c r="F144" s="75" t="s">
        <v>446</v>
      </c>
    </row>
    <row r="145" spans="1:6" x14ac:dyDescent="0.25">
      <c r="A145" s="1">
        <v>143</v>
      </c>
      <c r="B145" s="2" t="s">
        <v>455</v>
      </c>
      <c r="C145" t="s">
        <v>456</v>
      </c>
      <c r="D145" t="s">
        <v>120</v>
      </c>
      <c r="E145" s="9">
        <v>2103750</v>
      </c>
      <c r="F145" s="75" t="s">
        <v>446</v>
      </c>
    </row>
    <row r="146" spans="1:6" x14ac:dyDescent="0.25">
      <c r="A146" s="1">
        <v>144</v>
      </c>
      <c r="B146" s="2" t="s">
        <v>457</v>
      </c>
      <c r="C146" t="s">
        <v>458</v>
      </c>
      <c r="D146" t="s">
        <v>459</v>
      </c>
      <c r="E146" s="9">
        <v>2103750</v>
      </c>
      <c r="F146" s="75" t="s">
        <v>446</v>
      </c>
    </row>
    <row r="147" spans="1:6" x14ac:dyDescent="0.25">
      <c r="A147" s="1">
        <v>145</v>
      </c>
      <c r="B147" s="2" t="s">
        <v>460</v>
      </c>
      <c r="C147" t="s">
        <v>461</v>
      </c>
      <c r="D147" t="s">
        <v>157</v>
      </c>
      <c r="E147" s="9">
        <v>2103750</v>
      </c>
      <c r="F147" s="75" t="s">
        <v>446</v>
      </c>
    </row>
    <row r="148" spans="1:6" x14ac:dyDescent="0.25">
      <c r="A148" s="1">
        <v>146</v>
      </c>
      <c r="B148" s="2" t="s">
        <v>462</v>
      </c>
      <c r="C148" t="s">
        <v>463</v>
      </c>
      <c r="D148" t="s">
        <v>261</v>
      </c>
      <c r="E148" s="9">
        <v>2103750</v>
      </c>
      <c r="F148" s="75" t="s">
        <v>446</v>
      </c>
    </row>
    <row r="149" spans="1:6" x14ac:dyDescent="0.25">
      <c r="A149" s="1">
        <v>147</v>
      </c>
      <c r="B149" s="2" t="s">
        <v>465</v>
      </c>
      <c r="C149" t="s">
        <v>466</v>
      </c>
      <c r="D149" t="s">
        <v>338</v>
      </c>
      <c r="E149" s="9">
        <v>2103750</v>
      </c>
      <c r="F149" s="75" t="s">
        <v>446</v>
      </c>
    </row>
    <row r="150" spans="1:6" x14ac:dyDescent="0.25">
      <c r="A150" s="1">
        <v>148</v>
      </c>
      <c r="B150" s="2" t="s">
        <v>467</v>
      </c>
      <c r="C150" t="s">
        <v>46</v>
      </c>
      <c r="D150" t="s">
        <v>204</v>
      </c>
      <c r="E150" s="9">
        <v>2103750</v>
      </c>
      <c r="F150" s="75" t="s">
        <v>446</v>
      </c>
    </row>
    <row r="151" spans="1:6" x14ac:dyDescent="0.25">
      <c r="A151" s="1">
        <v>149</v>
      </c>
      <c r="B151" s="2" t="s">
        <v>468</v>
      </c>
      <c r="C151" t="s">
        <v>469</v>
      </c>
      <c r="D151" t="s">
        <v>470</v>
      </c>
      <c r="E151" s="9">
        <v>2103750</v>
      </c>
      <c r="F151" s="75" t="s">
        <v>446</v>
      </c>
    </row>
    <row r="152" spans="1:6" x14ac:dyDescent="0.25">
      <c r="A152" s="1">
        <v>150</v>
      </c>
      <c r="B152" s="2" t="s">
        <v>472</v>
      </c>
      <c r="C152" t="s">
        <v>473</v>
      </c>
      <c r="D152" t="s">
        <v>474</v>
      </c>
      <c r="E152" s="9">
        <v>2103750</v>
      </c>
      <c r="F152" s="75" t="s">
        <v>446</v>
      </c>
    </row>
    <row r="153" spans="1:6" x14ac:dyDescent="0.25">
      <c r="A153" s="1">
        <v>151</v>
      </c>
      <c r="B153" s="2" t="s">
        <v>476</v>
      </c>
      <c r="C153" t="s">
        <v>477</v>
      </c>
      <c r="D153" t="s">
        <v>478</v>
      </c>
      <c r="E153" s="9">
        <v>2103750</v>
      </c>
      <c r="F153" s="75" t="s">
        <v>446</v>
      </c>
    </row>
    <row r="154" spans="1:6" x14ac:dyDescent="0.25">
      <c r="A154" s="1">
        <v>152</v>
      </c>
      <c r="B154" s="2" t="s">
        <v>480</v>
      </c>
      <c r="C154" t="s">
        <v>481</v>
      </c>
      <c r="D154" t="s">
        <v>157</v>
      </c>
      <c r="E154" s="9">
        <v>2103750</v>
      </c>
      <c r="F154" s="75" t="s">
        <v>446</v>
      </c>
    </row>
    <row r="155" spans="1:6" x14ac:dyDescent="0.25">
      <c r="A155" s="1">
        <v>153</v>
      </c>
      <c r="B155" s="2">
        <v>25808700053</v>
      </c>
      <c r="C155" t="s">
        <v>483</v>
      </c>
      <c r="D155" t="s">
        <v>484</v>
      </c>
      <c r="E155" s="9">
        <v>2232500</v>
      </c>
      <c r="F155" s="75" t="s">
        <v>446</v>
      </c>
    </row>
    <row r="156" spans="1:6" x14ac:dyDescent="0.25">
      <c r="A156" s="1">
        <v>154</v>
      </c>
      <c r="B156" s="2">
        <v>25808200090</v>
      </c>
      <c r="C156" t="s">
        <v>485</v>
      </c>
      <c r="D156" t="s">
        <v>435</v>
      </c>
      <c r="E156" s="9">
        <v>2232500</v>
      </c>
      <c r="F156" s="75" t="s">
        <v>446</v>
      </c>
    </row>
    <row r="157" spans="1:6" x14ac:dyDescent="0.25">
      <c r="A157" s="1">
        <v>155</v>
      </c>
      <c r="B157" s="2">
        <v>25802800205</v>
      </c>
      <c r="C157" t="s">
        <v>486</v>
      </c>
      <c r="D157" t="s">
        <v>88</v>
      </c>
      <c r="E157" s="9">
        <v>2103750</v>
      </c>
      <c r="F157" s="75" t="s">
        <v>446</v>
      </c>
    </row>
    <row r="158" spans="1:6" x14ac:dyDescent="0.25">
      <c r="A158" s="1">
        <v>156</v>
      </c>
      <c r="B158" s="2" t="s">
        <v>488</v>
      </c>
      <c r="C158" t="s">
        <v>489</v>
      </c>
      <c r="D158" t="s">
        <v>490</v>
      </c>
      <c r="E158" s="9">
        <v>2103750</v>
      </c>
      <c r="F158" s="10" t="s">
        <v>491</v>
      </c>
    </row>
    <row r="159" spans="1:6" x14ac:dyDescent="0.25">
      <c r="A159" s="1">
        <v>157</v>
      </c>
      <c r="B159" s="2" t="s">
        <v>492</v>
      </c>
      <c r="C159" t="s">
        <v>493</v>
      </c>
      <c r="D159" t="s">
        <v>494</v>
      </c>
      <c r="E159" s="9">
        <v>2103750</v>
      </c>
      <c r="F159" s="10" t="s">
        <v>491</v>
      </c>
    </row>
    <row r="160" spans="1:6" x14ac:dyDescent="0.25">
      <c r="A160" s="1">
        <v>158</v>
      </c>
      <c r="B160" s="2">
        <v>25806800008</v>
      </c>
      <c r="C160" t="s">
        <v>495</v>
      </c>
      <c r="D160" t="s">
        <v>120</v>
      </c>
      <c r="E160" s="8">
        <v>2470000</v>
      </c>
      <c r="F160" s="10" t="s">
        <v>491</v>
      </c>
    </row>
    <row r="161" spans="1:6" x14ac:dyDescent="0.25">
      <c r="A161" s="1">
        <v>159</v>
      </c>
      <c r="B161" s="2" t="s">
        <v>496</v>
      </c>
      <c r="C161" t="s">
        <v>497</v>
      </c>
      <c r="D161" t="s">
        <v>160</v>
      </c>
      <c r="E161" s="9">
        <v>2103750</v>
      </c>
      <c r="F161" s="10" t="s">
        <v>491</v>
      </c>
    </row>
    <row r="162" spans="1:6" x14ac:dyDescent="0.25">
      <c r="A162" s="1">
        <v>160</v>
      </c>
      <c r="B162" s="2" t="s">
        <v>498</v>
      </c>
      <c r="C162" t="s">
        <v>499</v>
      </c>
      <c r="D162" t="s">
        <v>500</v>
      </c>
      <c r="E162" s="9">
        <v>2103750</v>
      </c>
      <c r="F162" s="10" t="s">
        <v>491</v>
      </c>
    </row>
    <row r="163" spans="1:6" x14ac:dyDescent="0.25">
      <c r="A163" s="1">
        <v>161</v>
      </c>
      <c r="B163" s="2" t="s">
        <v>501</v>
      </c>
      <c r="C163" t="s">
        <v>502</v>
      </c>
      <c r="D163" t="s">
        <v>376</v>
      </c>
      <c r="E163" s="9">
        <v>2103750</v>
      </c>
      <c r="F163" s="10" t="s">
        <v>491</v>
      </c>
    </row>
    <row r="164" spans="1:6" x14ac:dyDescent="0.25">
      <c r="A164" s="1">
        <v>162</v>
      </c>
      <c r="B164" s="2" t="s">
        <v>503</v>
      </c>
      <c r="C164" t="s">
        <v>504</v>
      </c>
      <c r="D164" t="s">
        <v>392</v>
      </c>
      <c r="E164" s="9">
        <v>2103750</v>
      </c>
      <c r="F164" s="10" t="s">
        <v>491</v>
      </c>
    </row>
    <row r="165" spans="1:6" x14ac:dyDescent="0.25">
      <c r="A165" s="1">
        <v>163</v>
      </c>
      <c r="B165" s="2" t="s">
        <v>505</v>
      </c>
      <c r="C165" t="s">
        <v>506</v>
      </c>
      <c r="D165" t="s">
        <v>392</v>
      </c>
      <c r="E165" s="9">
        <v>2103750</v>
      </c>
      <c r="F165" s="10" t="s">
        <v>491</v>
      </c>
    </row>
    <row r="166" spans="1:6" x14ac:dyDescent="0.25">
      <c r="A166" s="1">
        <v>164</v>
      </c>
      <c r="B166" s="2" t="s">
        <v>507</v>
      </c>
      <c r="C166" t="s">
        <v>508</v>
      </c>
      <c r="D166" t="s">
        <v>275</v>
      </c>
      <c r="E166" s="9">
        <v>2103750</v>
      </c>
      <c r="F166" s="10" t="s">
        <v>491</v>
      </c>
    </row>
    <row r="167" spans="1:6" x14ac:dyDescent="0.25">
      <c r="A167" s="1">
        <v>165</v>
      </c>
      <c r="B167" s="2" t="s">
        <v>509</v>
      </c>
      <c r="C167" t="s">
        <v>510</v>
      </c>
      <c r="D167" t="s">
        <v>450</v>
      </c>
      <c r="E167" s="9">
        <v>2103750</v>
      </c>
      <c r="F167" s="10" t="s">
        <v>491</v>
      </c>
    </row>
    <row r="168" spans="1:6" x14ac:dyDescent="0.25">
      <c r="A168" s="1">
        <v>166</v>
      </c>
      <c r="B168" s="2" t="s">
        <v>511</v>
      </c>
      <c r="C168" t="s">
        <v>512</v>
      </c>
      <c r="D168" t="s">
        <v>359</v>
      </c>
      <c r="E168" s="9">
        <v>2103750</v>
      </c>
      <c r="F168" s="10" t="s">
        <v>491</v>
      </c>
    </row>
    <row r="169" spans="1:6" x14ac:dyDescent="0.25">
      <c r="A169" s="1">
        <v>167</v>
      </c>
      <c r="B169" s="2" t="s">
        <v>513</v>
      </c>
      <c r="C169" t="s">
        <v>514</v>
      </c>
      <c r="D169" t="s">
        <v>515</v>
      </c>
      <c r="E169" s="9">
        <v>2103750</v>
      </c>
      <c r="F169" s="10" t="s">
        <v>491</v>
      </c>
    </row>
    <row r="170" spans="1:6" x14ac:dyDescent="0.25">
      <c r="A170" s="1">
        <v>168</v>
      </c>
      <c r="B170" s="2" t="s">
        <v>516</v>
      </c>
      <c r="C170" t="s">
        <v>499</v>
      </c>
      <c r="D170" t="s">
        <v>517</v>
      </c>
      <c r="E170" s="9">
        <v>2103750</v>
      </c>
      <c r="F170" s="10" t="s">
        <v>491</v>
      </c>
    </row>
    <row r="171" spans="1:6" x14ac:dyDescent="0.25">
      <c r="A171" s="1">
        <v>169</v>
      </c>
      <c r="B171" s="2" t="s">
        <v>518</v>
      </c>
      <c r="C171" t="s">
        <v>512</v>
      </c>
      <c r="D171" t="s">
        <v>359</v>
      </c>
      <c r="E171" s="9">
        <v>2232500</v>
      </c>
      <c r="F171" s="10" t="s">
        <v>491</v>
      </c>
    </row>
    <row r="172" spans="1:6" x14ac:dyDescent="0.25">
      <c r="A172" s="1">
        <v>170</v>
      </c>
      <c r="B172" s="2" t="s">
        <v>519</v>
      </c>
      <c r="C172" t="s">
        <v>520</v>
      </c>
      <c r="D172" t="s">
        <v>521</v>
      </c>
      <c r="E172" s="9">
        <v>2232500</v>
      </c>
      <c r="F172" s="10" t="s">
        <v>491</v>
      </c>
    </row>
    <row r="173" spans="1:6" x14ac:dyDescent="0.25">
      <c r="A173" s="1">
        <v>171</v>
      </c>
      <c r="B173" s="2" t="s">
        <v>522</v>
      </c>
      <c r="C173" t="s">
        <v>523</v>
      </c>
      <c r="D173" t="s">
        <v>175</v>
      </c>
      <c r="E173" s="8">
        <v>2600000</v>
      </c>
      <c r="F173" s="10" t="s">
        <v>491</v>
      </c>
    </row>
    <row r="174" spans="1:6" x14ac:dyDescent="0.25">
      <c r="A174" s="1">
        <v>172</v>
      </c>
      <c r="B174" s="2" t="s">
        <v>525</v>
      </c>
      <c r="C174" t="s">
        <v>526</v>
      </c>
      <c r="D174" t="s">
        <v>515</v>
      </c>
      <c r="E174" s="9">
        <v>2103750</v>
      </c>
      <c r="F174" s="10" t="s">
        <v>491</v>
      </c>
    </row>
    <row r="175" spans="1:6" x14ac:dyDescent="0.25">
      <c r="A175" s="1">
        <v>173</v>
      </c>
      <c r="B175" s="2" t="s">
        <v>527</v>
      </c>
      <c r="C175" t="s">
        <v>528</v>
      </c>
      <c r="D175" t="s">
        <v>175</v>
      </c>
      <c r="E175" s="9">
        <v>2103750</v>
      </c>
      <c r="F175" s="75" t="s">
        <v>529</v>
      </c>
    </row>
    <row r="176" spans="1:6" x14ac:dyDescent="0.25">
      <c r="A176" s="1">
        <v>174</v>
      </c>
      <c r="B176" s="2" t="s">
        <v>530</v>
      </c>
      <c r="C176" t="s">
        <v>370</v>
      </c>
      <c r="D176" t="s">
        <v>185</v>
      </c>
      <c r="E176" s="9">
        <v>2103750</v>
      </c>
      <c r="F176" s="75" t="s">
        <v>529</v>
      </c>
    </row>
    <row r="177" spans="1:7" x14ac:dyDescent="0.25">
      <c r="A177" s="1">
        <v>175</v>
      </c>
      <c r="B177" s="2" t="s">
        <v>531</v>
      </c>
      <c r="C177" t="s">
        <v>532</v>
      </c>
      <c r="D177" t="s">
        <v>484</v>
      </c>
      <c r="E177" s="9">
        <v>2103750</v>
      </c>
      <c r="F177" s="75" t="s">
        <v>529</v>
      </c>
    </row>
    <row r="178" spans="1:7" x14ac:dyDescent="0.25">
      <c r="A178" s="1">
        <v>176</v>
      </c>
      <c r="B178" s="2" t="s">
        <v>533</v>
      </c>
      <c r="C178" t="s">
        <v>534</v>
      </c>
      <c r="D178" t="s">
        <v>535</v>
      </c>
      <c r="E178" s="9">
        <v>2103750</v>
      </c>
      <c r="F178" s="75" t="s">
        <v>529</v>
      </c>
      <c r="G178" t="s">
        <v>1844</v>
      </c>
    </row>
    <row r="179" spans="1:7" x14ac:dyDescent="0.25">
      <c r="A179" s="1">
        <v>177</v>
      </c>
      <c r="B179" s="2" t="s">
        <v>536</v>
      </c>
      <c r="C179" t="s">
        <v>537</v>
      </c>
      <c r="D179" t="s">
        <v>538</v>
      </c>
      <c r="E179" s="9">
        <v>2103750</v>
      </c>
      <c r="F179" s="75" t="s">
        <v>529</v>
      </c>
    </row>
    <row r="180" spans="1:7" x14ac:dyDescent="0.25">
      <c r="A180" s="1">
        <v>178</v>
      </c>
      <c r="B180" s="2" t="s">
        <v>539</v>
      </c>
      <c r="C180" t="s">
        <v>130</v>
      </c>
      <c r="D180" t="s">
        <v>494</v>
      </c>
      <c r="E180" s="9">
        <v>2103750</v>
      </c>
      <c r="F180" s="75" t="s">
        <v>529</v>
      </c>
    </row>
    <row r="181" spans="1:7" x14ac:dyDescent="0.25">
      <c r="A181" s="1">
        <v>179</v>
      </c>
      <c r="B181" s="2" t="s">
        <v>540</v>
      </c>
      <c r="C181" t="s">
        <v>541</v>
      </c>
      <c r="D181" t="s">
        <v>515</v>
      </c>
      <c r="E181" s="9">
        <v>2103750</v>
      </c>
      <c r="F181" s="75" t="s">
        <v>529</v>
      </c>
    </row>
    <row r="182" spans="1:7" x14ac:dyDescent="0.25">
      <c r="A182" s="1">
        <v>180</v>
      </c>
      <c r="B182" s="2" t="s">
        <v>542</v>
      </c>
      <c r="C182" t="s">
        <v>543</v>
      </c>
      <c r="D182" t="s">
        <v>544</v>
      </c>
      <c r="E182" s="9">
        <v>2103750</v>
      </c>
      <c r="F182" s="75" t="s">
        <v>529</v>
      </c>
      <c r="G182" t="s">
        <v>1844</v>
      </c>
    </row>
    <row r="183" spans="1:7" x14ac:dyDescent="0.25">
      <c r="A183" s="1">
        <v>181</v>
      </c>
      <c r="B183" s="2" t="s">
        <v>545</v>
      </c>
      <c r="C183" t="s">
        <v>546</v>
      </c>
      <c r="D183" t="s">
        <v>392</v>
      </c>
      <c r="E183" s="9">
        <v>2103750</v>
      </c>
      <c r="F183" s="75" t="s">
        <v>529</v>
      </c>
    </row>
    <row r="184" spans="1:7" x14ac:dyDescent="0.25">
      <c r="A184" s="1">
        <v>182</v>
      </c>
      <c r="B184" s="2" t="s">
        <v>547</v>
      </c>
      <c r="C184" t="s">
        <v>548</v>
      </c>
      <c r="D184" t="s">
        <v>549</v>
      </c>
      <c r="E184" s="9">
        <v>2103750</v>
      </c>
      <c r="F184" s="75" t="s">
        <v>529</v>
      </c>
      <c r="G184" t="s">
        <v>1844</v>
      </c>
    </row>
    <row r="185" spans="1:7" x14ac:dyDescent="0.25">
      <c r="A185" s="1">
        <v>183</v>
      </c>
      <c r="B185" s="2" t="s">
        <v>550</v>
      </c>
      <c r="C185" t="s">
        <v>551</v>
      </c>
      <c r="D185" t="s">
        <v>294</v>
      </c>
      <c r="E185" s="9">
        <v>2103750</v>
      </c>
      <c r="F185" s="75" t="s">
        <v>529</v>
      </c>
      <c r="G185" t="s">
        <v>1844</v>
      </c>
    </row>
    <row r="186" spans="1:7" x14ac:dyDescent="0.25">
      <c r="A186" s="1">
        <v>184</v>
      </c>
      <c r="B186" s="2" t="s">
        <v>552</v>
      </c>
      <c r="C186" t="s">
        <v>553</v>
      </c>
      <c r="D186" t="s">
        <v>392</v>
      </c>
      <c r="E186" s="9">
        <v>2103750</v>
      </c>
      <c r="F186" s="75" t="s">
        <v>529</v>
      </c>
    </row>
    <row r="187" spans="1:7" x14ac:dyDescent="0.25">
      <c r="A187" s="1">
        <v>185</v>
      </c>
      <c r="B187" s="2" t="s">
        <v>554</v>
      </c>
      <c r="C187" t="s">
        <v>555</v>
      </c>
      <c r="D187" t="s">
        <v>517</v>
      </c>
      <c r="E187" s="9">
        <v>2103750</v>
      </c>
      <c r="F187" s="75" t="s">
        <v>529</v>
      </c>
    </row>
    <row r="188" spans="1:7" x14ac:dyDescent="0.25">
      <c r="A188" s="1">
        <v>186</v>
      </c>
      <c r="B188" s="2" t="s">
        <v>556</v>
      </c>
      <c r="C188" t="s">
        <v>557</v>
      </c>
      <c r="D188" t="s">
        <v>66</v>
      </c>
      <c r="E188" s="9">
        <v>2103750</v>
      </c>
      <c r="F188" s="75" t="s">
        <v>529</v>
      </c>
      <c r="G188" t="s">
        <v>1844</v>
      </c>
    </row>
    <row r="189" spans="1:7" x14ac:dyDescent="0.25">
      <c r="A189" s="1">
        <v>187</v>
      </c>
      <c r="B189" s="2" t="s">
        <v>559</v>
      </c>
      <c r="C189" t="s">
        <v>560</v>
      </c>
      <c r="D189" t="s">
        <v>376</v>
      </c>
      <c r="E189" s="9">
        <v>2600000</v>
      </c>
      <c r="F189" s="75" t="s">
        <v>529</v>
      </c>
      <c r="G189" t="s">
        <v>1844</v>
      </c>
    </row>
    <row r="190" spans="1:7" x14ac:dyDescent="0.25">
      <c r="A190" s="1">
        <v>188</v>
      </c>
      <c r="B190" s="2" t="s">
        <v>561</v>
      </c>
      <c r="C190" t="s">
        <v>562</v>
      </c>
      <c r="D190" t="s">
        <v>563</v>
      </c>
      <c r="E190" s="9">
        <v>2103750</v>
      </c>
      <c r="F190" s="75" t="s">
        <v>529</v>
      </c>
    </row>
    <row r="191" spans="1:7" x14ac:dyDescent="0.25">
      <c r="A191" s="1">
        <v>189</v>
      </c>
      <c r="B191" s="2" t="s">
        <v>565</v>
      </c>
      <c r="C191" t="s">
        <v>566</v>
      </c>
      <c r="D191" t="s">
        <v>521</v>
      </c>
      <c r="E191" s="9">
        <v>2103750</v>
      </c>
      <c r="F191" s="75" t="s">
        <v>529</v>
      </c>
      <c r="G191" t="s">
        <v>1844</v>
      </c>
    </row>
    <row r="192" spans="1:7" x14ac:dyDescent="0.25">
      <c r="A192" s="1">
        <v>190</v>
      </c>
      <c r="B192" s="2" t="s">
        <v>567</v>
      </c>
      <c r="C192" t="s">
        <v>568</v>
      </c>
      <c r="D192" t="s">
        <v>376</v>
      </c>
      <c r="E192" s="9">
        <v>2103750</v>
      </c>
      <c r="F192" s="10" t="s">
        <v>569</v>
      </c>
    </row>
    <row r="193" spans="1:6" x14ac:dyDescent="0.25">
      <c r="A193" s="1">
        <v>191</v>
      </c>
      <c r="B193" s="2" t="s">
        <v>570</v>
      </c>
      <c r="C193" t="s">
        <v>571</v>
      </c>
      <c r="D193" t="s">
        <v>78</v>
      </c>
      <c r="E193" s="9">
        <v>2103750</v>
      </c>
      <c r="F193" s="10" t="s">
        <v>569</v>
      </c>
    </row>
    <row r="194" spans="1:6" x14ac:dyDescent="0.25">
      <c r="A194" s="1">
        <v>192</v>
      </c>
      <c r="B194" s="2" t="s">
        <v>572</v>
      </c>
      <c r="C194" t="s">
        <v>573</v>
      </c>
      <c r="D194" t="s">
        <v>388</v>
      </c>
      <c r="E194" s="9">
        <v>2103750</v>
      </c>
      <c r="F194" s="10" t="s">
        <v>569</v>
      </c>
    </row>
    <row r="195" spans="1:6" x14ac:dyDescent="0.25">
      <c r="A195" s="1">
        <v>193</v>
      </c>
      <c r="B195" s="2" t="s">
        <v>574</v>
      </c>
      <c r="C195" t="s">
        <v>575</v>
      </c>
      <c r="D195" t="s">
        <v>341</v>
      </c>
      <c r="E195" s="9">
        <v>2103750</v>
      </c>
      <c r="F195" s="10" t="s">
        <v>569</v>
      </c>
    </row>
    <row r="196" spans="1:6" x14ac:dyDescent="0.25">
      <c r="A196" s="1">
        <v>194</v>
      </c>
      <c r="B196" s="2" t="s">
        <v>576</v>
      </c>
      <c r="C196" t="s">
        <v>577</v>
      </c>
      <c r="D196" t="s">
        <v>578</v>
      </c>
      <c r="E196" s="9">
        <v>2103750</v>
      </c>
      <c r="F196" s="10" t="s">
        <v>569</v>
      </c>
    </row>
    <row r="197" spans="1:6" x14ac:dyDescent="0.25">
      <c r="A197" s="1">
        <v>195</v>
      </c>
      <c r="B197" s="2" t="s">
        <v>580</v>
      </c>
      <c r="C197" t="s">
        <v>581</v>
      </c>
      <c r="D197" t="s">
        <v>138</v>
      </c>
      <c r="E197" s="9">
        <v>2103750</v>
      </c>
      <c r="F197" s="10" t="s">
        <v>569</v>
      </c>
    </row>
    <row r="198" spans="1:6" x14ac:dyDescent="0.25">
      <c r="A198" s="1">
        <v>196</v>
      </c>
      <c r="B198" s="2" t="s">
        <v>582</v>
      </c>
      <c r="C198" t="s">
        <v>583</v>
      </c>
      <c r="D198" t="s">
        <v>450</v>
      </c>
      <c r="E198" s="9">
        <v>2103750</v>
      </c>
      <c r="F198" s="10" t="s">
        <v>569</v>
      </c>
    </row>
    <row r="199" spans="1:6" x14ac:dyDescent="0.25">
      <c r="A199" s="1">
        <v>197</v>
      </c>
      <c r="B199" s="2" t="s">
        <v>584</v>
      </c>
      <c r="C199" t="s">
        <v>585</v>
      </c>
      <c r="D199" t="s">
        <v>157</v>
      </c>
      <c r="E199" s="9">
        <v>2103750</v>
      </c>
      <c r="F199" s="10" t="s">
        <v>569</v>
      </c>
    </row>
    <row r="200" spans="1:6" x14ac:dyDescent="0.25">
      <c r="A200" s="1">
        <v>198</v>
      </c>
      <c r="B200" s="2" t="s">
        <v>586</v>
      </c>
      <c r="C200" t="s">
        <v>587</v>
      </c>
      <c r="D200" t="s">
        <v>30</v>
      </c>
      <c r="E200" s="9">
        <v>2103750</v>
      </c>
      <c r="F200" s="10" t="s">
        <v>569</v>
      </c>
    </row>
    <row r="201" spans="1:6" x14ac:dyDescent="0.25">
      <c r="A201" s="1">
        <v>199</v>
      </c>
      <c r="B201" s="2" t="s">
        <v>588</v>
      </c>
      <c r="C201" t="s">
        <v>589</v>
      </c>
      <c r="D201" t="s">
        <v>590</v>
      </c>
      <c r="E201" s="9">
        <v>2103750</v>
      </c>
      <c r="F201" s="10" t="s">
        <v>569</v>
      </c>
    </row>
    <row r="202" spans="1:6" x14ac:dyDescent="0.25">
      <c r="A202" s="1">
        <v>200</v>
      </c>
      <c r="B202" s="2" t="s">
        <v>591</v>
      </c>
      <c r="C202" t="s">
        <v>592</v>
      </c>
      <c r="D202" t="s">
        <v>427</v>
      </c>
      <c r="E202" s="9">
        <v>2103750</v>
      </c>
      <c r="F202" s="10" t="s">
        <v>569</v>
      </c>
    </row>
    <row r="203" spans="1:6" x14ac:dyDescent="0.25">
      <c r="A203" s="1">
        <v>201</v>
      </c>
      <c r="B203" s="2" t="s">
        <v>593</v>
      </c>
      <c r="C203" t="s">
        <v>594</v>
      </c>
      <c r="D203" t="s">
        <v>595</v>
      </c>
      <c r="E203" s="8">
        <v>2600000</v>
      </c>
      <c r="F203" s="10" t="s">
        <v>569</v>
      </c>
    </row>
    <row r="204" spans="1:6" x14ac:dyDescent="0.25">
      <c r="A204" s="1">
        <v>202</v>
      </c>
      <c r="B204" s="2" t="s">
        <v>596</v>
      </c>
      <c r="C204" t="s">
        <v>154</v>
      </c>
      <c r="D204" t="s">
        <v>22</v>
      </c>
      <c r="E204" s="9">
        <v>2103750</v>
      </c>
      <c r="F204" s="10" t="s">
        <v>569</v>
      </c>
    </row>
    <row r="205" spans="1:6" x14ac:dyDescent="0.25">
      <c r="A205" s="1">
        <v>203</v>
      </c>
      <c r="B205" s="2" t="s">
        <v>597</v>
      </c>
      <c r="C205" t="s">
        <v>523</v>
      </c>
      <c r="D205" t="s">
        <v>294</v>
      </c>
      <c r="E205" s="9">
        <v>2103750</v>
      </c>
      <c r="F205" s="10" t="s">
        <v>569</v>
      </c>
    </row>
    <row r="206" spans="1:6" x14ac:dyDescent="0.25">
      <c r="A206" s="1">
        <v>204</v>
      </c>
      <c r="B206" s="2" t="s">
        <v>598</v>
      </c>
      <c r="C206" t="s">
        <v>599</v>
      </c>
      <c r="D206" t="s">
        <v>600</v>
      </c>
      <c r="E206" s="9">
        <v>2103750</v>
      </c>
      <c r="F206" s="10" t="s">
        <v>569</v>
      </c>
    </row>
    <row r="207" spans="1:6" x14ac:dyDescent="0.25">
      <c r="A207" s="1">
        <v>205</v>
      </c>
      <c r="B207" s="2" t="s">
        <v>602</v>
      </c>
      <c r="C207" t="s">
        <v>603</v>
      </c>
      <c r="D207" t="s">
        <v>57</v>
      </c>
      <c r="E207" s="9">
        <v>2103750</v>
      </c>
      <c r="F207" s="10" t="s">
        <v>569</v>
      </c>
    </row>
    <row r="208" spans="1:6" x14ac:dyDescent="0.25">
      <c r="A208" s="1">
        <v>206</v>
      </c>
      <c r="B208" s="2" t="s">
        <v>605</v>
      </c>
      <c r="C208" t="s">
        <v>606</v>
      </c>
      <c r="D208" t="s">
        <v>22</v>
      </c>
      <c r="E208" s="9">
        <v>2103750</v>
      </c>
      <c r="F208" s="10" t="s">
        <v>569</v>
      </c>
    </row>
    <row r="209" spans="1:6" x14ac:dyDescent="0.25">
      <c r="A209" s="1">
        <v>207</v>
      </c>
      <c r="B209" s="2" t="s">
        <v>607</v>
      </c>
      <c r="C209" t="s">
        <v>608</v>
      </c>
      <c r="D209" t="s">
        <v>111</v>
      </c>
      <c r="E209" s="9">
        <v>2103750</v>
      </c>
      <c r="F209" s="10" t="s">
        <v>569</v>
      </c>
    </row>
    <row r="210" spans="1:6" x14ac:dyDescent="0.25">
      <c r="A210" s="1">
        <v>208</v>
      </c>
      <c r="B210" s="2" t="s">
        <v>609</v>
      </c>
      <c r="C210" t="s">
        <v>610</v>
      </c>
      <c r="D210" t="s">
        <v>611</v>
      </c>
      <c r="E210" s="9">
        <v>2103750</v>
      </c>
      <c r="F210" s="75" t="s">
        <v>612</v>
      </c>
    </row>
    <row r="211" spans="1:6" x14ac:dyDescent="0.25">
      <c r="A211" s="1">
        <v>209</v>
      </c>
      <c r="B211" s="2" t="s">
        <v>613</v>
      </c>
      <c r="C211" t="s">
        <v>614</v>
      </c>
      <c r="D211" t="s">
        <v>615</v>
      </c>
      <c r="E211" s="9">
        <v>2103750</v>
      </c>
      <c r="F211" s="75" t="s">
        <v>612</v>
      </c>
    </row>
    <row r="212" spans="1:6" x14ac:dyDescent="0.25">
      <c r="A212" s="1">
        <v>210</v>
      </c>
      <c r="B212" s="2" t="s">
        <v>616</v>
      </c>
      <c r="C212" t="s">
        <v>617</v>
      </c>
      <c r="D212" t="s">
        <v>160</v>
      </c>
      <c r="E212" s="9">
        <v>2103750</v>
      </c>
      <c r="F212" s="75" t="s">
        <v>612</v>
      </c>
    </row>
    <row r="213" spans="1:6" x14ac:dyDescent="0.25">
      <c r="A213" s="1">
        <v>211</v>
      </c>
      <c r="B213" s="2" t="s">
        <v>618</v>
      </c>
      <c r="C213" t="s">
        <v>619</v>
      </c>
      <c r="D213" t="s">
        <v>338</v>
      </c>
      <c r="E213" s="9">
        <v>2103750</v>
      </c>
      <c r="F213" s="75" t="s">
        <v>612</v>
      </c>
    </row>
    <row r="214" spans="1:6" x14ac:dyDescent="0.25">
      <c r="A214" s="1">
        <v>212</v>
      </c>
      <c r="B214" s="2" t="s">
        <v>620</v>
      </c>
      <c r="C214" t="s">
        <v>621</v>
      </c>
      <c r="D214" t="s">
        <v>252</v>
      </c>
      <c r="E214" s="9">
        <v>2103750</v>
      </c>
      <c r="F214" s="75" t="s">
        <v>612</v>
      </c>
    </row>
    <row r="215" spans="1:6" x14ac:dyDescent="0.25">
      <c r="A215" s="1">
        <v>213</v>
      </c>
      <c r="B215" s="2" t="s">
        <v>622</v>
      </c>
      <c r="C215" t="s">
        <v>623</v>
      </c>
      <c r="D215" t="s">
        <v>239</v>
      </c>
      <c r="E215" s="9">
        <v>2103750</v>
      </c>
      <c r="F215" s="75" t="s">
        <v>612</v>
      </c>
    </row>
    <row r="216" spans="1:6" x14ac:dyDescent="0.25">
      <c r="A216" s="1">
        <v>214</v>
      </c>
      <c r="B216" s="2" t="s">
        <v>624</v>
      </c>
      <c r="C216" t="s">
        <v>625</v>
      </c>
      <c r="D216" t="s">
        <v>231</v>
      </c>
      <c r="E216" s="9">
        <v>2103750</v>
      </c>
      <c r="F216" s="75" t="s">
        <v>612</v>
      </c>
    </row>
    <row r="217" spans="1:6" x14ac:dyDescent="0.25">
      <c r="A217" s="1">
        <v>215</v>
      </c>
      <c r="B217" s="2" t="s">
        <v>626</v>
      </c>
      <c r="C217" t="s">
        <v>627</v>
      </c>
      <c r="D217" t="s">
        <v>294</v>
      </c>
      <c r="E217" s="9">
        <v>2103750</v>
      </c>
      <c r="F217" s="75" t="s">
        <v>612</v>
      </c>
    </row>
    <row r="218" spans="1:6" x14ac:dyDescent="0.25">
      <c r="A218" s="1">
        <v>216</v>
      </c>
      <c r="B218" s="2" t="s">
        <v>628</v>
      </c>
      <c r="C218" t="s">
        <v>629</v>
      </c>
      <c r="D218" t="s">
        <v>57</v>
      </c>
      <c r="E218" s="9">
        <v>2103750</v>
      </c>
      <c r="F218" s="75" t="s">
        <v>612</v>
      </c>
    </row>
    <row r="219" spans="1:6" x14ac:dyDescent="0.25">
      <c r="A219" s="1">
        <v>217</v>
      </c>
      <c r="B219" s="2" t="s">
        <v>630</v>
      </c>
      <c r="C219" t="s">
        <v>631</v>
      </c>
      <c r="D219" t="s">
        <v>435</v>
      </c>
      <c r="E219" s="9">
        <v>2470000</v>
      </c>
      <c r="F219" s="75" t="s">
        <v>612</v>
      </c>
    </row>
    <row r="220" spans="1:6" x14ac:dyDescent="0.25">
      <c r="A220" s="1">
        <v>218</v>
      </c>
      <c r="B220" s="2" t="s">
        <v>632</v>
      </c>
      <c r="C220" t="s">
        <v>633</v>
      </c>
      <c r="D220" t="s">
        <v>261</v>
      </c>
      <c r="E220" s="9">
        <v>2103750</v>
      </c>
      <c r="F220" s="75" t="s">
        <v>612</v>
      </c>
    </row>
    <row r="221" spans="1:6" x14ac:dyDescent="0.25">
      <c r="A221" s="1">
        <v>219</v>
      </c>
      <c r="B221" s="2" t="s">
        <v>634</v>
      </c>
      <c r="C221" t="s">
        <v>635</v>
      </c>
      <c r="D221" t="s">
        <v>636</v>
      </c>
      <c r="E221" s="9">
        <v>2103750</v>
      </c>
      <c r="F221" s="75" t="s">
        <v>612</v>
      </c>
    </row>
    <row r="222" spans="1:6" x14ac:dyDescent="0.25">
      <c r="A222" s="1">
        <v>220</v>
      </c>
      <c r="B222" s="2" t="s">
        <v>637</v>
      </c>
      <c r="C222" t="s">
        <v>537</v>
      </c>
      <c r="D222" t="s">
        <v>638</v>
      </c>
      <c r="E222" s="9">
        <v>2103750</v>
      </c>
      <c r="F222" s="75" t="s">
        <v>612</v>
      </c>
    </row>
    <row r="223" spans="1:6" x14ac:dyDescent="0.25">
      <c r="A223" s="1">
        <v>221</v>
      </c>
      <c r="B223" s="2" t="s">
        <v>639</v>
      </c>
      <c r="C223" t="s">
        <v>640</v>
      </c>
      <c r="D223" t="s">
        <v>641</v>
      </c>
      <c r="E223" s="9">
        <v>2103750</v>
      </c>
      <c r="F223" s="75" t="s">
        <v>612</v>
      </c>
    </row>
    <row r="224" spans="1:6" x14ac:dyDescent="0.25">
      <c r="A224" s="1">
        <v>222</v>
      </c>
      <c r="B224" s="2" t="s">
        <v>642</v>
      </c>
      <c r="C224" t="s">
        <v>418</v>
      </c>
      <c r="D224" t="s">
        <v>611</v>
      </c>
      <c r="E224" s="9">
        <v>2103750</v>
      </c>
      <c r="F224" s="75" t="s">
        <v>612</v>
      </c>
    </row>
    <row r="225" spans="1:8" x14ac:dyDescent="0.25">
      <c r="A225" s="1">
        <v>223</v>
      </c>
      <c r="B225" s="2" t="s">
        <v>645</v>
      </c>
      <c r="C225" t="s">
        <v>646</v>
      </c>
      <c r="D225" t="s">
        <v>647</v>
      </c>
      <c r="E225" s="9">
        <v>2103750</v>
      </c>
      <c r="F225" s="75" t="s">
        <v>612</v>
      </c>
    </row>
    <row r="226" spans="1:8" x14ac:dyDescent="0.25">
      <c r="A226" s="1">
        <v>224</v>
      </c>
      <c r="B226" s="2" t="s">
        <v>1343</v>
      </c>
      <c r="C226" t="s">
        <v>1847</v>
      </c>
      <c r="D226" t="s">
        <v>1848</v>
      </c>
      <c r="E226" s="9">
        <v>2103750</v>
      </c>
      <c r="F226" s="75" t="s">
        <v>612</v>
      </c>
      <c r="G226" s="122" t="s">
        <v>1841</v>
      </c>
      <c r="H226" s="120"/>
    </row>
    <row r="227" spans="1:8" x14ac:dyDescent="0.25">
      <c r="A227" s="1">
        <v>225</v>
      </c>
      <c r="B227" s="2" t="s">
        <v>649</v>
      </c>
      <c r="C227" t="s">
        <v>650</v>
      </c>
      <c r="D227" t="s">
        <v>651</v>
      </c>
      <c r="E227" s="9">
        <v>2103750</v>
      </c>
      <c r="F227" s="75" t="s">
        <v>612</v>
      </c>
    </row>
    <row r="228" spans="1:8" x14ac:dyDescent="0.25">
      <c r="A228" s="1">
        <v>226</v>
      </c>
      <c r="B228" s="2" t="s">
        <v>652</v>
      </c>
      <c r="C228" t="s">
        <v>653</v>
      </c>
      <c r="D228" t="s">
        <v>74</v>
      </c>
      <c r="E228" s="9">
        <v>2103750</v>
      </c>
      <c r="F228" s="10" t="s">
        <v>654</v>
      </c>
    </row>
    <row r="229" spans="1:8" x14ac:dyDescent="0.25">
      <c r="A229" s="1">
        <v>227</v>
      </c>
      <c r="B229" s="2" t="s">
        <v>655</v>
      </c>
      <c r="C229" t="s">
        <v>656</v>
      </c>
      <c r="D229" t="s">
        <v>408</v>
      </c>
      <c r="E229" s="9">
        <v>2103750</v>
      </c>
      <c r="F229" s="10" t="s">
        <v>654</v>
      </c>
    </row>
    <row r="230" spans="1:8" x14ac:dyDescent="0.25">
      <c r="A230" s="1">
        <v>228</v>
      </c>
      <c r="B230" s="2" t="s">
        <v>657</v>
      </c>
      <c r="C230" t="s">
        <v>534</v>
      </c>
      <c r="D230" t="s">
        <v>658</v>
      </c>
      <c r="E230" s="9">
        <v>2103750</v>
      </c>
      <c r="F230" s="10" t="s">
        <v>654</v>
      </c>
    </row>
    <row r="231" spans="1:8" x14ac:dyDescent="0.25">
      <c r="A231" s="1">
        <v>229</v>
      </c>
      <c r="B231" s="2" t="s">
        <v>659</v>
      </c>
      <c r="C231" t="s">
        <v>660</v>
      </c>
      <c r="D231" t="s">
        <v>204</v>
      </c>
      <c r="E231" s="9">
        <v>2103750</v>
      </c>
      <c r="F231" s="10" t="s">
        <v>654</v>
      </c>
    </row>
    <row r="232" spans="1:8" x14ac:dyDescent="0.25">
      <c r="A232" s="1">
        <v>230</v>
      </c>
      <c r="B232" s="2" t="s">
        <v>661</v>
      </c>
      <c r="C232" t="s">
        <v>662</v>
      </c>
      <c r="D232" t="s">
        <v>384</v>
      </c>
      <c r="E232" s="9">
        <v>2103750</v>
      </c>
      <c r="F232" s="10" t="s">
        <v>654</v>
      </c>
    </row>
    <row r="233" spans="1:8" x14ac:dyDescent="0.25">
      <c r="A233" s="1">
        <v>231</v>
      </c>
      <c r="B233" s="2" t="s">
        <v>663</v>
      </c>
      <c r="C233" t="s">
        <v>664</v>
      </c>
      <c r="D233" t="s">
        <v>376</v>
      </c>
      <c r="E233" s="9">
        <v>2103750</v>
      </c>
      <c r="F233" s="10" t="s">
        <v>654</v>
      </c>
    </row>
    <row r="234" spans="1:8" x14ac:dyDescent="0.25">
      <c r="A234" s="1">
        <v>232</v>
      </c>
      <c r="B234" s="2" t="s">
        <v>665</v>
      </c>
      <c r="C234" t="s">
        <v>666</v>
      </c>
      <c r="D234" t="s">
        <v>124</v>
      </c>
      <c r="E234" s="9">
        <v>2232500</v>
      </c>
      <c r="F234" s="10" t="s">
        <v>654</v>
      </c>
    </row>
    <row r="235" spans="1:8" x14ac:dyDescent="0.25">
      <c r="A235" s="1">
        <v>233</v>
      </c>
      <c r="B235" s="2" t="s">
        <v>668</v>
      </c>
      <c r="C235" t="s">
        <v>669</v>
      </c>
      <c r="D235" t="s">
        <v>341</v>
      </c>
      <c r="E235" s="9">
        <v>2103750</v>
      </c>
      <c r="F235" s="10" t="s">
        <v>654</v>
      </c>
    </row>
    <row r="236" spans="1:8" x14ac:dyDescent="0.25">
      <c r="A236" s="1">
        <v>234</v>
      </c>
      <c r="B236" s="2" t="s">
        <v>670</v>
      </c>
      <c r="C236" t="s">
        <v>671</v>
      </c>
      <c r="D236" t="s">
        <v>91</v>
      </c>
      <c r="E236" s="9">
        <v>2103750</v>
      </c>
      <c r="F236" s="10" t="s">
        <v>654</v>
      </c>
    </row>
    <row r="237" spans="1:8" x14ac:dyDescent="0.25">
      <c r="A237" s="1">
        <v>235</v>
      </c>
      <c r="B237" s="2" t="s">
        <v>672</v>
      </c>
      <c r="C237" t="s">
        <v>673</v>
      </c>
      <c r="D237" t="s">
        <v>160</v>
      </c>
      <c r="E237" s="9">
        <v>2103750</v>
      </c>
      <c r="F237" s="10" t="s">
        <v>654</v>
      </c>
    </row>
    <row r="238" spans="1:8" x14ac:dyDescent="0.25">
      <c r="A238" s="1">
        <v>236</v>
      </c>
      <c r="B238" s="2" t="s">
        <v>674</v>
      </c>
      <c r="C238" t="s">
        <v>675</v>
      </c>
      <c r="D238" t="s">
        <v>676</v>
      </c>
      <c r="E238" s="9">
        <v>2103750</v>
      </c>
      <c r="F238" s="10" t="s">
        <v>654</v>
      </c>
    </row>
    <row r="239" spans="1:8" x14ac:dyDescent="0.25">
      <c r="A239" s="1">
        <v>237</v>
      </c>
      <c r="B239" s="2" t="s">
        <v>677</v>
      </c>
      <c r="C239" t="s">
        <v>678</v>
      </c>
      <c r="D239" t="s">
        <v>207</v>
      </c>
      <c r="E239" s="9">
        <v>2103750</v>
      </c>
      <c r="F239" s="10" t="s">
        <v>654</v>
      </c>
    </row>
    <row r="240" spans="1:8" x14ac:dyDescent="0.25">
      <c r="A240" s="1">
        <v>238</v>
      </c>
      <c r="B240" s="2" t="s">
        <v>679</v>
      </c>
      <c r="C240" s="12" t="s">
        <v>680</v>
      </c>
      <c r="D240" s="12" t="s">
        <v>681</v>
      </c>
      <c r="E240" s="9">
        <v>2103750</v>
      </c>
      <c r="F240" s="10" t="s">
        <v>654</v>
      </c>
    </row>
    <row r="241" spans="1:6" x14ac:dyDescent="0.25">
      <c r="A241" s="1">
        <v>239</v>
      </c>
      <c r="B241" s="2" t="s">
        <v>682</v>
      </c>
      <c r="C241" s="12" t="s">
        <v>683</v>
      </c>
      <c r="D241" s="12" t="s">
        <v>638</v>
      </c>
      <c r="E241" s="9">
        <v>2103750</v>
      </c>
      <c r="F241" s="10" t="s">
        <v>654</v>
      </c>
    </row>
    <row r="242" spans="1:6" x14ac:dyDescent="0.25">
      <c r="A242" s="1">
        <v>240</v>
      </c>
      <c r="B242" s="2" t="s">
        <v>684</v>
      </c>
      <c r="C242" s="12" t="s">
        <v>685</v>
      </c>
      <c r="D242" s="12" t="s">
        <v>157</v>
      </c>
      <c r="E242" s="11">
        <v>2470000</v>
      </c>
      <c r="F242" s="10" t="s">
        <v>654</v>
      </c>
    </row>
    <row r="243" spans="1:6" x14ac:dyDescent="0.25">
      <c r="A243" s="1">
        <v>241</v>
      </c>
      <c r="B243" s="2" t="s">
        <v>686</v>
      </c>
      <c r="C243" s="12" t="s">
        <v>687</v>
      </c>
      <c r="D243" s="12" t="s">
        <v>88</v>
      </c>
      <c r="E243" s="9">
        <v>2103750</v>
      </c>
      <c r="F243" s="10" t="s">
        <v>654</v>
      </c>
    </row>
    <row r="244" spans="1:6" x14ac:dyDescent="0.25">
      <c r="A244" s="1">
        <v>242</v>
      </c>
      <c r="B244" s="2" t="s">
        <v>688</v>
      </c>
      <c r="C244" s="12" t="s">
        <v>689</v>
      </c>
      <c r="D244" s="12" t="s">
        <v>384</v>
      </c>
      <c r="E244" s="9">
        <v>2103750</v>
      </c>
      <c r="F244" s="75" t="s">
        <v>690</v>
      </c>
    </row>
    <row r="245" spans="1:6" x14ac:dyDescent="0.25">
      <c r="A245" s="1">
        <v>243</v>
      </c>
      <c r="B245" s="2" t="s">
        <v>691</v>
      </c>
      <c r="C245" t="s">
        <v>692</v>
      </c>
      <c r="D245" t="s">
        <v>636</v>
      </c>
      <c r="E245" s="9">
        <v>2103750</v>
      </c>
      <c r="F245" s="75" t="s">
        <v>690</v>
      </c>
    </row>
    <row r="246" spans="1:6" x14ac:dyDescent="0.25">
      <c r="A246" s="1">
        <v>244</v>
      </c>
      <c r="B246" s="2" t="s">
        <v>693</v>
      </c>
      <c r="C246" t="s">
        <v>694</v>
      </c>
      <c r="D246" t="s">
        <v>490</v>
      </c>
      <c r="E246" s="9">
        <v>2103750</v>
      </c>
      <c r="F246" s="75" t="s">
        <v>690</v>
      </c>
    </row>
    <row r="247" spans="1:6" x14ac:dyDescent="0.25">
      <c r="A247" s="1">
        <v>245</v>
      </c>
      <c r="B247" s="2" t="s">
        <v>695</v>
      </c>
      <c r="C247" t="s">
        <v>696</v>
      </c>
      <c r="D247" t="s">
        <v>91</v>
      </c>
      <c r="E247" s="9">
        <v>2103750</v>
      </c>
      <c r="F247" s="75" t="s">
        <v>690</v>
      </c>
    </row>
    <row r="248" spans="1:6" x14ac:dyDescent="0.25">
      <c r="A248" s="1">
        <v>246</v>
      </c>
      <c r="B248" s="2" t="s">
        <v>697</v>
      </c>
      <c r="C248" t="s">
        <v>698</v>
      </c>
      <c r="D248" t="s">
        <v>66</v>
      </c>
      <c r="E248" s="9">
        <v>2103750</v>
      </c>
      <c r="F248" s="75" t="s">
        <v>690</v>
      </c>
    </row>
    <row r="249" spans="1:6" x14ac:dyDescent="0.25">
      <c r="A249" s="1">
        <v>247</v>
      </c>
      <c r="B249" s="2" t="s">
        <v>699</v>
      </c>
      <c r="C249" t="s">
        <v>700</v>
      </c>
      <c r="D249" t="s">
        <v>160</v>
      </c>
      <c r="E249" s="9">
        <v>2103750</v>
      </c>
      <c r="F249" s="75" t="s">
        <v>690</v>
      </c>
    </row>
    <row r="250" spans="1:6" x14ac:dyDescent="0.25">
      <c r="A250" s="1">
        <v>248</v>
      </c>
      <c r="B250" s="2" t="s">
        <v>702</v>
      </c>
      <c r="C250" t="s">
        <v>703</v>
      </c>
      <c r="D250" t="s">
        <v>231</v>
      </c>
      <c r="E250" s="9">
        <v>2103750</v>
      </c>
      <c r="F250" s="75" t="s">
        <v>690</v>
      </c>
    </row>
    <row r="251" spans="1:6" x14ac:dyDescent="0.25">
      <c r="A251" s="1">
        <v>249</v>
      </c>
      <c r="B251" s="2" t="s">
        <v>704</v>
      </c>
      <c r="C251" t="s">
        <v>705</v>
      </c>
      <c r="D251" t="s">
        <v>311</v>
      </c>
      <c r="E251" s="9">
        <v>2103750</v>
      </c>
      <c r="F251" s="75" t="s">
        <v>690</v>
      </c>
    </row>
    <row r="252" spans="1:6" x14ac:dyDescent="0.25">
      <c r="A252" s="1">
        <v>250</v>
      </c>
      <c r="B252" s="2" t="s">
        <v>706</v>
      </c>
      <c r="C252" t="s">
        <v>707</v>
      </c>
      <c r="D252" t="s">
        <v>708</v>
      </c>
      <c r="E252" s="9">
        <v>2103750</v>
      </c>
      <c r="F252" s="75" t="s">
        <v>690</v>
      </c>
    </row>
    <row r="253" spans="1:6" x14ac:dyDescent="0.25">
      <c r="A253" s="1">
        <v>251</v>
      </c>
      <c r="B253" s="2" t="s">
        <v>709</v>
      </c>
      <c r="C253" t="s">
        <v>562</v>
      </c>
      <c r="D253" t="s">
        <v>275</v>
      </c>
      <c r="E253" s="9">
        <v>2103750</v>
      </c>
      <c r="F253" s="75" t="s">
        <v>690</v>
      </c>
    </row>
    <row r="254" spans="1:6" x14ac:dyDescent="0.25">
      <c r="A254" s="1">
        <v>252</v>
      </c>
      <c r="B254" s="2" t="s">
        <v>710</v>
      </c>
      <c r="C254" t="s">
        <v>711</v>
      </c>
      <c r="D254" t="s">
        <v>712</v>
      </c>
      <c r="E254" s="9">
        <v>2103750</v>
      </c>
      <c r="F254" s="75" t="s">
        <v>690</v>
      </c>
    </row>
    <row r="255" spans="1:6" x14ac:dyDescent="0.25">
      <c r="A255" s="1">
        <v>253</v>
      </c>
      <c r="B255" s="2" t="s">
        <v>713</v>
      </c>
      <c r="C255" t="s">
        <v>383</v>
      </c>
      <c r="D255" t="s">
        <v>484</v>
      </c>
      <c r="E255" s="9">
        <v>2103750</v>
      </c>
      <c r="F255" s="75" t="s">
        <v>690</v>
      </c>
    </row>
    <row r="256" spans="1:6" x14ac:dyDescent="0.25">
      <c r="A256" s="1">
        <v>254</v>
      </c>
      <c r="B256" s="2" t="s">
        <v>714</v>
      </c>
      <c r="C256" t="s">
        <v>418</v>
      </c>
      <c r="D256" t="s">
        <v>715</v>
      </c>
      <c r="E256" s="9">
        <v>2103750</v>
      </c>
      <c r="F256" s="75" t="s">
        <v>690</v>
      </c>
    </row>
    <row r="257" spans="1:6" x14ac:dyDescent="0.25">
      <c r="A257" s="1">
        <v>255</v>
      </c>
      <c r="B257" s="2" t="s">
        <v>716</v>
      </c>
      <c r="C257" t="s">
        <v>717</v>
      </c>
      <c r="D257" t="s">
        <v>78</v>
      </c>
      <c r="E257" s="9">
        <v>2103750</v>
      </c>
      <c r="F257" s="75" t="s">
        <v>690</v>
      </c>
    </row>
    <row r="258" spans="1:6" x14ac:dyDescent="0.25">
      <c r="A258" s="1">
        <v>256</v>
      </c>
      <c r="B258" s="2" t="s">
        <v>718</v>
      </c>
      <c r="C258" t="s">
        <v>719</v>
      </c>
      <c r="D258" t="s">
        <v>720</v>
      </c>
      <c r="E258" s="8">
        <v>2470000</v>
      </c>
      <c r="F258" s="75" t="s">
        <v>690</v>
      </c>
    </row>
    <row r="259" spans="1:6" x14ac:dyDescent="0.25">
      <c r="A259" s="1">
        <v>257</v>
      </c>
      <c r="B259" s="2" t="s">
        <v>722</v>
      </c>
      <c r="C259" t="s">
        <v>723</v>
      </c>
      <c r="D259" t="s">
        <v>294</v>
      </c>
      <c r="E259" s="9">
        <v>2103750</v>
      </c>
      <c r="F259" s="75" t="s">
        <v>690</v>
      </c>
    </row>
    <row r="260" spans="1:6" x14ac:dyDescent="0.25">
      <c r="A260" s="1">
        <v>258</v>
      </c>
      <c r="B260" s="2" t="s">
        <v>724</v>
      </c>
      <c r="C260" t="s">
        <v>725</v>
      </c>
      <c r="D260" t="s">
        <v>185</v>
      </c>
      <c r="E260" s="11">
        <v>2470000</v>
      </c>
      <c r="F260" s="75" t="s">
        <v>690</v>
      </c>
    </row>
    <row r="261" spans="1:6" x14ac:dyDescent="0.25">
      <c r="A261" s="1">
        <v>259</v>
      </c>
      <c r="B261" s="2" t="s">
        <v>726</v>
      </c>
      <c r="C261" t="s">
        <v>727</v>
      </c>
      <c r="D261" t="s">
        <v>450</v>
      </c>
      <c r="E261" s="8">
        <v>2600000</v>
      </c>
      <c r="F261" s="10" t="s">
        <v>728</v>
      </c>
    </row>
    <row r="262" spans="1:6" x14ac:dyDescent="0.25">
      <c r="A262" s="1">
        <v>260</v>
      </c>
      <c r="B262" s="2" t="s">
        <v>729</v>
      </c>
      <c r="C262" s="12" t="s">
        <v>730</v>
      </c>
      <c r="D262" s="12" t="s">
        <v>484</v>
      </c>
      <c r="E262" s="9">
        <v>2103750</v>
      </c>
      <c r="F262" s="10" t="s">
        <v>728</v>
      </c>
    </row>
    <row r="263" spans="1:6" x14ac:dyDescent="0.25">
      <c r="A263" s="1">
        <v>261</v>
      </c>
      <c r="B263" s="2" t="s">
        <v>731</v>
      </c>
      <c r="C263" t="s">
        <v>318</v>
      </c>
      <c r="D263" t="s">
        <v>676</v>
      </c>
      <c r="E263" s="9">
        <v>2103750</v>
      </c>
      <c r="F263" s="10" t="s">
        <v>728</v>
      </c>
    </row>
    <row r="264" spans="1:6" x14ac:dyDescent="0.25">
      <c r="A264" s="1">
        <v>262</v>
      </c>
      <c r="B264" s="2" t="s">
        <v>732</v>
      </c>
      <c r="C264" t="s">
        <v>733</v>
      </c>
      <c r="D264" t="s">
        <v>144</v>
      </c>
      <c r="E264" s="9">
        <v>2103750</v>
      </c>
      <c r="F264" s="10" t="s">
        <v>728</v>
      </c>
    </row>
    <row r="265" spans="1:6" x14ac:dyDescent="0.25">
      <c r="A265" s="1">
        <v>263</v>
      </c>
      <c r="B265" s="2" t="s">
        <v>734</v>
      </c>
      <c r="C265" t="s">
        <v>735</v>
      </c>
      <c r="D265" t="s">
        <v>376</v>
      </c>
      <c r="E265" s="9">
        <v>2103750</v>
      </c>
      <c r="F265" s="10" t="s">
        <v>728</v>
      </c>
    </row>
    <row r="266" spans="1:6" x14ac:dyDescent="0.25">
      <c r="A266" s="1">
        <v>264</v>
      </c>
      <c r="B266" s="2" t="s">
        <v>736</v>
      </c>
      <c r="C266" t="s">
        <v>737</v>
      </c>
      <c r="D266" t="s">
        <v>151</v>
      </c>
      <c r="E266" s="9">
        <v>2103750</v>
      </c>
      <c r="F266" s="10" t="s">
        <v>728</v>
      </c>
    </row>
    <row r="267" spans="1:6" x14ac:dyDescent="0.25">
      <c r="A267" s="1">
        <v>265</v>
      </c>
      <c r="B267" s="2" t="s">
        <v>738</v>
      </c>
      <c r="C267" t="s">
        <v>130</v>
      </c>
      <c r="D267" t="s">
        <v>116</v>
      </c>
      <c r="E267" s="9">
        <v>2103750</v>
      </c>
      <c r="F267" s="10" t="s">
        <v>728</v>
      </c>
    </row>
    <row r="268" spans="1:6" x14ac:dyDescent="0.25">
      <c r="A268" s="1">
        <v>266</v>
      </c>
      <c r="B268" s="2" t="s">
        <v>739</v>
      </c>
      <c r="C268" t="s">
        <v>740</v>
      </c>
      <c r="D268" t="s">
        <v>741</v>
      </c>
      <c r="E268" s="9">
        <v>2103750</v>
      </c>
      <c r="F268" s="10" t="s">
        <v>728</v>
      </c>
    </row>
    <row r="269" spans="1:6" x14ac:dyDescent="0.25">
      <c r="A269" s="1">
        <v>267</v>
      </c>
      <c r="B269" s="2" t="s">
        <v>742</v>
      </c>
      <c r="C269" t="s">
        <v>743</v>
      </c>
      <c r="D269" t="s">
        <v>151</v>
      </c>
      <c r="E269" s="9">
        <v>2103750</v>
      </c>
      <c r="F269" s="10" t="s">
        <v>728</v>
      </c>
    </row>
    <row r="270" spans="1:6" x14ac:dyDescent="0.25">
      <c r="A270" s="1">
        <v>268</v>
      </c>
      <c r="B270" s="2" t="s">
        <v>744</v>
      </c>
      <c r="C270" t="s">
        <v>745</v>
      </c>
      <c r="D270" t="s">
        <v>157</v>
      </c>
      <c r="E270" s="9">
        <v>2103750</v>
      </c>
      <c r="F270" s="10" t="s">
        <v>728</v>
      </c>
    </row>
    <row r="271" spans="1:6" x14ac:dyDescent="0.25">
      <c r="A271" s="1">
        <v>269</v>
      </c>
      <c r="B271" s="2" t="s">
        <v>746</v>
      </c>
      <c r="C271" t="s">
        <v>747</v>
      </c>
      <c r="D271" t="s">
        <v>392</v>
      </c>
      <c r="E271" s="9">
        <v>2103750</v>
      </c>
      <c r="F271" s="10" t="s">
        <v>728</v>
      </c>
    </row>
    <row r="272" spans="1:6" x14ac:dyDescent="0.25">
      <c r="A272" s="1">
        <v>270</v>
      </c>
      <c r="B272" s="2" t="s">
        <v>749</v>
      </c>
      <c r="C272" s="12" t="s">
        <v>750</v>
      </c>
      <c r="D272" s="12" t="s">
        <v>157</v>
      </c>
      <c r="E272" s="9">
        <v>2103750</v>
      </c>
      <c r="F272" s="10" t="s">
        <v>728</v>
      </c>
    </row>
    <row r="273" spans="1:6" x14ac:dyDescent="0.25">
      <c r="A273" s="1">
        <v>271</v>
      </c>
      <c r="B273" s="2" t="s">
        <v>751</v>
      </c>
      <c r="C273" s="12" t="s">
        <v>752</v>
      </c>
      <c r="D273" s="12" t="s">
        <v>30</v>
      </c>
      <c r="E273" s="9">
        <v>2103750</v>
      </c>
      <c r="F273" s="10" t="s">
        <v>728</v>
      </c>
    </row>
    <row r="274" spans="1:6" x14ac:dyDescent="0.25">
      <c r="A274" s="1">
        <v>272</v>
      </c>
      <c r="B274" s="2" t="s">
        <v>753</v>
      </c>
      <c r="C274" s="12" t="s">
        <v>197</v>
      </c>
      <c r="D274" s="12" t="s">
        <v>252</v>
      </c>
      <c r="E274" s="9">
        <v>2103750</v>
      </c>
      <c r="F274" s="10" t="s">
        <v>728</v>
      </c>
    </row>
    <row r="275" spans="1:6" x14ac:dyDescent="0.25">
      <c r="A275" s="1">
        <v>273</v>
      </c>
      <c r="B275" s="2" t="s">
        <v>754</v>
      </c>
      <c r="C275" s="12" t="s">
        <v>502</v>
      </c>
      <c r="D275" s="12" t="s">
        <v>392</v>
      </c>
      <c r="E275" s="11">
        <v>2470000</v>
      </c>
      <c r="F275" s="10" t="s">
        <v>728</v>
      </c>
    </row>
    <row r="276" spans="1:6" x14ac:dyDescent="0.25">
      <c r="A276" s="1">
        <v>274</v>
      </c>
      <c r="B276" s="2" t="s">
        <v>755</v>
      </c>
      <c r="C276" s="12" t="s">
        <v>756</v>
      </c>
      <c r="D276" s="12" t="s">
        <v>484</v>
      </c>
      <c r="E276" s="11">
        <v>2470000</v>
      </c>
      <c r="F276" s="10" t="s">
        <v>728</v>
      </c>
    </row>
    <row r="277" spans="1:6" x14ac:dyDescent="0.25">
      <c r="A277" s="1">
        <v>275</v>
      </c>
      <c r="B277" s="2" t="s">
        <v>757</v>
      </c>
      <c r="C277" s="12" t="s">
        <v>758</v>
      </c>
      <c r="D277" s="12" t="s">
        <v>34</v>
      </c>
      <c r="E277" s="8">
        <v>2600000</v>
      </c>
      <c r="F277" s="10" t="s">
        <v>728</v>
      </c>
    </row>
    <row r="278" spans="1:6" x14ac:dyDescent="0.25">
      <c r="A278" s="1">
        <v>276</v>
      </c>
      <c r="B278" s="2" t="s">
        <v>759</v>
      </c>
      <c r="C278" s="12" t="s">
        <v>426</v>
      </c>
      <c r="D278" s="12" t="s">
        <v>157</v>
      </c>
      <c r="E278" s="9">
        <v>2103750</v>
      </c>
      <c r="F278" s="74" t="s">
        <v>760</v>
      </c>
    </row>
    <row r="279" spans="1:6" x14ac:dyDescent="0.25">
      <c r="A279" s="1">
        <v>277</v>
      </c>
      <c r="B279" s="2" t="s">
        <v>761</v>
      </c>
      <c r="C279" s="12" t="s">
        <v>762</v>
      </c>
      <c r="D279" s="12" t="s">
        <v>638</v>
      </c>
      <c r="E279" s="9">
        <v>2103750</v>
      </c>
      <c r="F279" s="74" t="s">
        <v>760</v>
      </c>
    </row>
    <row r="280" spans="1:6" x14ac:dyDescent="0.25">
      <c r="A280" s="1">
        <v>278</v>
      </c>
      <c r="B280" s="2" t="s">
        <v>763</v>
      </c>
      <c r="C280" t="s">
        <v>764</v>
      </c>
      <c r="D280" t="s">
        <v>384</v>
      </c>
      <c r="E280" s="9">
        <v>2103750</v>
      </c>
      <c r="F280" s="74" t="s">
        <v>760</v>
      </c>
    </row>
    <row r="281" spans="1:6" x14ac:dyDescent="0.25">
      <c r="A281" s="1">
        <v>279</v>
      </c>
      <c r="B281" s="2" t="s">
        <v>765</v>
      </c>
      <c r="C281" t="s">
        <v>766</v>
      </c>
      <c r="D281" t="s">
        <v>767</v>
      </c>
      <c r="E281" s="9">
        <v>2103750</v>
      </c>
      <c r="F281" s="74" t="s">
        <v>760</v>
      </c>
    </row>
    <row r="282" spans="1:6" x14ac:dyDescent="0.25">
      <c r="A282" s="1">
        <v>280</v>
      </c>
      <c r="B282" s="2" t="s">
        <v>768</v>
      </c>
      <c r="C282" t="s">
        <v>769</v>
      </c>
      <c r="D282" t="s">
        <v>88</v>
      </c>
      <c r="E282" s="8">
        <v>2600000</v>
      </c>
      <c r="F282" s="74" t="s">
        <v>760</v>
      </c>
    </row>
    <row r="283" spans="1:6" x14ac:dyDescent="0.25">
      <c r="A283" s="1">
        <v>281</v>
      </c>
      <c r="B283" s="2" t="s">
        <v>770</v>
      </c>
      <c r="C283" t="s">
        <v>771</v>
      </c>
      <c r="D283" t="s">
        <v>311</v>
      </c>
      <c r="E283" s="9">
        <v>2103750</v>
      </c>
      <c r="F283" s="74" t="s">
        <v>760</v>
      </c>
    </row>
    <row r="284" spans="1:6" x14ac:dyDescent="0.25">
      <c r="A284" s="1">
        <v>282</v>
      </c>
      <c r="B284" s="2" t="s">
        <v>772</v>
      </c>
      <c r="C284" t="s">
        <v>750</v>
      </c>
      <c r="D284" t="s">
        <v>408</v>
      </c>
      <c r="E284" s="9">
        <v>2103750</v>
      </c>
      <c r="F284" s="74" t="s">
        <v>760</v>
      </c>
    </row>
    <row r="285" spans="1:6" x14ac:dyDescent="0.25">
      <c r="A285" s="1">
        <v>283</v>
      </c>
      <c r="B285" s="2" t="s">
        <v>773</v>
      </c>
      <c r="C285" t="s">
        <v>774</v>
      </c>
      <c r="D285" t="s">
        <v>22</v>
      </c>
      <c r="E285" s="8">
        <v>2470000</v>
      </c>
      <c r="F285" s="74" t="s">
        <v>760</v>
      </c>
    </row>
    <row r="286" spans="1:6" x14ac:dyDescent="0.25">
      <c r="A286" s="1">
        <v>284</v>
      </c>
      <c r="B286" s="2" t="s">
        <v>775</v>
      </c>
      <c r="C286" t="s">
        <v>154</v>
      </c>
      <c r="D286" t="s">
        <v>22</v>
      </c>
      <c r="E286" s="9">
        <v>2103750</v>
      </c>
      <c r="F286" s="74" t="s">
        <v>760</v>
      </c>
    </row>
    <row r="287" spans="1:6" x14ac:dyDescent="0.25">
      <c r="A287" s="1">
        <v>285</v>
      </c>
      <c r="B287" s="2" t="s">
        <v>776</v>
      </c>
      <c r="C287" t="s">
        <v>777</v>
      </c>
      <c r="D287" t="s">
        <v>236</v>
      </c>
      <c r="E287" s="11">
        <v>2470000</v>
      </c>
      <c r="F287" s="74" t="s">
        <v>760</v>
      </c>
    </row>
    <row r="288" spans="1:6" x14ac:dyDescent="0.25">
      <c r="A288" s="1">
        <v>286</v>
      </c>
      <c r="B288" s="2" t="s">
        <v>778</v>
      </c>
      <c r="C288" t="s">
        <v>779</v>
      </c>
      <c r="D288" t="s">
        <v>120</v>
      </c>
      <c r="E288" s="9">
        <v>2103750</v>
      </c>
      <c r="F288" s="74" t="s">
        <v>760</v>
      </c>
    </row>
    <row r="289" spans="1:6" x14ac:dyDescent="0.25">
      <c r="A289" s="1">
        <v>287</v>
      </c>
      <c r="B289" s="2" t="s">
        <v>780</v>
      </c>
      <c r="C289" t="s">
        <v>781</v>
      </c>
      <c r="D289" t="s">
        <v>494</v>
      </c>
      <c r="E289" s="9">
        <v>2103750</v>
      </c>
      <c r="F289" s="74" t="s">
        <v>760</v>
      </c>
    </row>
    <row r="290" spans="1:6" x14ac:dyDescent="0.25">
      <c r="A290" s="1">
        <v>288</v>
      </c>
      <c r="B290" s="2" t="s">
        <v>782</v>
      </c>
      <c r="C290" t="s">
        <v>783</v>
      </c>
      <c r="D290" t="s">
        <v>157</v>
      </c>
      <c r="E290" s="9">
        <v>2103750</v>
      </c>
      <c r="F290" s="74" t="s">
        <v>760</v>
      </c>
    </row>
    <row r="291" spans="1:6" x14ac:dyDescent="0.25">
      <c r="A291" s="1">
        <v>289</v>
      </c>
      <c r="B291" s="2" t="s">
        <v>784</v>
      </c>
      <c r="C291" t="s">
        <v>785</v>
      </c>
      <c r="D291" t="s">
        <v>275</v>
      </c>
      <c r="E291" s="9">
        <v>2103750</v>
      </c>
      <c r="F291" s="74" t="s">
        <v>760</v>
      </c>
    </row>
    <row r="292" spans="1:6" x14ac:dyDescent="0.25">
      <c r="A292" s="1">
        <v>290</v>
      </c>
      <c r="B292" s="2" t="s">
        <v>787</v>
      </c>
      <c r="C292" t="s">
        <v>49</v>
      </c>
      <c r="D292" t="s">
        <v>175</v>
      </c>
      <c r="E292" s="9">
        <v>2103750</v>
      </c>
      <c r="F292" s="74" t="s">
        <v>760</v>
      </c>
    </row>
    <row r="293" spans="1:6" x14ac:dyDescent="0.25">
      <c r="A293" s="1">
        <v>291</v>
      </c>
      <c r="B293" s="2" t="s">
        <v>788</v>
      </c>
      <c r="C293" t="s">
        <v>789</v>
      </c>
      <c r="D293" t="s">
        <v>120</v>
      </c>
      <c r="E293" s="11">
        <v>2470000</v>
      </c>
      <c r="F293" s="74" t="s">
        <v>760</v>
      </c>
    </row>
    <row r="294" spans="1:6" x14ac:dyDescent="0.25">
      <c r="A294" s="1">
        <v>292</v>
      </c>
      <c r="B294" s="2" t="s">
        <v>791</v>
      </c>
      <c r="C294" t="s">
        <v>792</v>
      </c>
      <c r="D294" t="s">
        <v>182</v>
      </c>
      <c r="E294" s="11">
        <v>2470000</v>
      </c>
      <c r="F294" s="74" t="s">
        <v>760</v>
      </c>
    </row>
    <row r="295" spans="1:6" x14ac:dyDescent="0.25">
      <c r="A295" s="1">
        <v>293</v>
      </c>
      <c r="B295" s="2" t="s">
        <v>794</v>
      </c>
      <c r="C295" t="s">
        <v>795</v>
      </c>
      <c r="D295" t="s">
        <v>166</v>
      </c>
      <c r="E295" s="11">
        <v>2470000</v>
      </c>
      <c r="F295" s="74" t="s">
        <v>760</v>
      </c>
    </row>
    <row r="296" spans="1:6" x14ac:dyDescent="0.25">
      <c r="A296" s="1">
        <v>294</v>
      </c>
      <c r="B296" s="2" t="s">
        <v>796</v>
      </c>
      <c r="C296" t="s">
        <v>797</v>
      </c>
      <c r="D296" t="s">
        <v>515</v>
      </c>
      <c r="E296" s="9">
        <v>2103750</v>
      </c>
      <c r="F296" s="10" t="s">
        <v>798</v>
      </c>
    </row>
    <row r="297" spans="1:6" x14ac:dyDescent="0.25">
      <c r="A297" s="1">
        <v>295</v>
      </c>
      <c r="B297" s="2" t="s">
        <v>799</v>
      </c>
      <c r="C297" t="s">
        <v>689</v>
      </c>
      <c r="D297" t="s">
        <v>160</v>
      </c>
      <c r="E297" s="9">
        <v>2103750</v>
      </c>
      <c r="F297" s="10" t="s">
        <v>798</v>
      </c>
    </row>
    <row r="298" spans="1:6" x14ac:dyDescent="0.25">
      <c r="A298" s="1">
        <v>296</v>
      </c>
      <c r="B298" s="2" t="s">
        <v>800</v>
      </c>
      <c r="C298" t="s">
        <v>801</v>
      </c>
      <c r="D298" t="s">
        <v>647</v>
      </c>
      <c r="E298" s="9">
        <v>2103750</v>
      </c>
      <c r="F298" s="10" t="s">
        <v>798</v>
      </c>
    </row>
    <row r="299" spans="1:6" x14ac:dyDescent="0.25">
      <c r="A299" s="1">
        <v>297</v>
      </c>
      <c r="B299" s="2" t="s">
        <v>802</v>
      </c>
      <c r="C299" t="s">
        <v>130</v>
      </c>
      <c r="D299" t="s">
        <v>803</v>
      </c>
      <c r="E299" s="9">
        <v>2103750</v>
      </c>
      <c r="F299" s="10" t="s">
        <v>798</v>
      </c>
    </row>
    <row r="300" spans="1:6" x14ac:dyDescent="0.25">
      <c r="A300" s="1">
        <v>298</v>
      </c>
      <c r="B300" s="2" t="s">
        <v>804</v>
      </c>
      <c r="C300" t="s">
        <v>805</v>
      </c>
      <c r="D300" t="s">
        <v>138</v>
      </c>
      <c r="E300" s="9">
        <v>2103750</v>
      </c>
      <c r="F300" s="10" t="s">
        <v>798</v>
      </c>
    </row>
    <row r="301" spans="1:6" x14ac:dyDescent="0.25">
      <c r="A301" s="1">
        <v>299</v>
      </c>
      <c r="B301" s="2" t="s">
        <v>807</v>
      </c>
      <c r="C301" t="s">
        <v>69</v>
      </c>
      <c r="D301" t="s">
        <v>104</v>
      </c>
      <c r="E301" s="9">
        <v>2103750</v>
      </c>
      <c r="F301" s="10" t="s">
        <v>798</v>
      </c>
    </row>
    <row r="302" spans="1:6" x14ac:dyDescent="0.25">
      <c r="A302" s="1">
        <v>300</v>
      </c>
      <c r="B302" s="2" t="s">
        <v>808</v>
      </c>
      <c r="C302" t="s">
        <v>809</v>
      </c>
      <c r="D302" t="s">
        <v>57</v>
      </c>
      <c r="E302" s="9">
        <v>2103750</v>
      </c>
      <c r="F302" s="10" t="s">
        <v>798</v>
      </c>
    </row>
    <row r="303" spans="1:6" x14ac:dyDescent="0.25">
      <c r="A303" s="1">
        <v>301</v>
      </c>
      <c r="B303" s="2" t="s">
        <v>810</v>
      </c>
      <c r="C303" t="s">
        <v>811</v>
      </c>
      <c r="D303" t="s">
        <v>812</v>
      </c>
      <c r="E303" s="9">
        <v>2103750</v>
      </c>
      <c r="F303" s="10" t="s">
        <v>798</v>
      </c>
    </row>
    <row r="304" spans="1:6" x14ac:dyDescent="0.25">
      <c r="A304" s="1">
        <v>302</v>
      </c>
      <c r="B304" s="2" t="s">
        <v>814</v>
      </c>
      <c r="C304" t="s">
        <v>537</v>
      </c>
      <c r="D304" t="s">
        <v>450</v>
      </c>
      <c r="E304" s="11">
        <v>2470000</v>
      </c>
      <c r="F304" s="10" t="s">
        <v>798</v>
      </c>
    </row>
    <row r="305" spans="1:6" x14ac:dyDescent="0.25">
      <c r="A305" s="1">
        <v>303</v>
      </c>
      <c r="B305" s="2" t="s">
        <v>815</v>
      </c>
      <c r="C305" t="s">
        <v>816</v>
      </c>
      <c r="D305" t="s">
        <v>435</v>
      </c>
      <c r="E305" s="9">
        <v>2103750</v>
      </c>
      <c r="F305" s="10" t="s">
        <v>798</v>
      </c>
    </row>
    <row r="306" spans="1:6" x14ac:dyDescent="0.25">
      <c r="A306" s="1">
        <v>304</v>
      </c>
      <c r="B306" s="2" t="s">
        <v>817</v>
      </c>
      <c r="C306" t="s">
        <v>818</v>
      </c>
      <c r="D306" t="s">
        <v>104</v>
      </c>
      <c r="E306" s="9">
        <v>2103750</v>
      </c>
      <c r="F306" s="10" t="s">
        <v>798</v>
      </c>
    </row>
    <row r="307" spans="1:6" x14ac:dyDescent="0.25">
      <c r="A307" s="1">
        <v>305</v>
      </c>
      <c r="B307" s="2" t="s">
        <v>819</v>
      </c>
      <c r="C307" t="s">
        <v>820</v>
      </c>
      <c r="D307" t="s">
        <v>821</v>
      </c>
      <c r="E307" s="9">
        <v>2103750</v>
      </c>
      <c r="F307" s="10" t="s">
        <v>798</v>
      </c>
    </row>
    <row r="308" spans="1:6" x14ac:dyDescent="0.25">
      <c r="A308" s="1">
        <v>306</v>
      </c>
      <c r="B308" s="2" t="s">
        <v>1849</v>
      </c>
      <c r="C308" t="s">
        <v>824</v>
      </c>
      <c r="D308" t="s">
        <v>60</v>
      </c>
      <c r="E308" s="9">
        <v>2103750</v>
      </c>
      <c r="F308" s="10" t="s">
        <v>798</v>
      </c>
    </row>
    <row r="309" spans="1:6" x14ac:dyDescent="0.25">
      <c r="A309" s="1">
        <v>307</v>
      </c>
      <c r="B309" s="2" t="s">
        <v>825</v>
      </c>
      <c r="C309" t="s">
        <v>571</v>
      </c>
      <c r="D309" t="s">
        <v>826</v>
      </c>
      <c r="E309" s="9">
        <v>2103750</v>
      </c>
      <c r="F309" s="10" t="s">
        <v>798</v>
      </c>
    </row>
    <row r="310" spans="1:6" x14ac:dyDescent="0.25">
      <c r="A310" s="1">
        <v>308</v>
      </c>
      <c r="B310" s="2" t="s">
        <v>827</v>
      </c>
      <c r="C310" t="s">
        <v>797</v>
      </c>
      <c r="D310" t="s">
        <v>242</v>
      </c>
      <c r="E310" s="9">
        <v>2103750</v>
      </c>
      <c r="F310" s="10" t="s">
        <v>798</v>
      </c>
    </row>
    <row r="311" spans="1:6" x14ac:dyDescent="0.25">
      <c r="A311" s="1">
        <v>309</v>
      </c>
      <c r="B311" s="2" t="s">
        <v>828</v>
      </c>
      <c r="C311" t="s">
        <v>809</v>
      </c>
      <c r="D311" t="s">
        <v>175</v>
      </c>
      <c r="E311" s="9">
        <v>2103750</v>
      </c>
      <c r="F311" s="10" t="s">
        <v>798</v>
      </c>
    </row>
    <row r="312" spans="1:6" x14ac:dyDescent="0.25">
      <c r="A312" s="1">
        <v>310</v>
      </c>
      <c r="B312" s="2" t="s">
        <v>829</v>
      </c>
      <c r="C312" t="s">
        <v>830</v>
      </c>
      <c r="D312" t="s">
        <v>821</v>
      </c>
      <c r="E312" s="9">
        <v>2103750</v>
      </c>
      <c r="F312" s="10" t="s">
        <v>798</v>
      </c>
    </row>
    <row r="313" spans="1:6" x14ac:dyDescent="0.25">
      <c r="A313" s="1">
        <v>311</v>
      </c>
      <c r="B313" s="2" t="s">
        <v>831</v>
      </c>
      <c r="C313" t="s">
        <v>832</v>
      </c>
      <c r="D313" t="s">
        <v>151</v>
      </c>
      <c r="E313" s="9">
        <v>2103750</v>
      </c>
      <c r="F313" s="10" t="s">
        <v>798</v>
      </c>
    </row>
    <row r="314" spans="1:6" x14ac:dyDescent="0.25">
      <c r="A314" s="1">
        <v>312</v>
      </c>
      <c r="B314" s="2" t="s">
        <v>834</v>
      </c>
      <c r="C314" t="s">
        <v>835</v>
      </c>
      <c r="D314" t="s">
        <v>111</v>
      </c>
      <c r="E314" s="9">
        <v>2103750</v>
      </c>
      <c r="F314" s="10" t="s">
        <v>798</v>
      </c>
    </row>
    <row r="315" spans="1:6" x14ac:dyDescent="0.25">
      <c r="A315" s="1">
        <v>313</v>
      </c>
      <c r="B315" s="2" t="s">
        <v>837</v>
      </c>
      <c r="C315" t="s">
        <v>383</v>
      </c>
      <c r="D315" t="s">
        <v>120</v>
      </c>
      <c r="E315" s="9">
        <v>2103750</v>
      </c>
      <c r="F315" s="10" t="s">
        <v>798</v>
      </c>
    </row>
    <row r="316" spans="1:6" x14ac:dyDescent="0.25">
      <c r="A316" s="1">
        <v>314</v>
      </c>
      <c r="B316" s="2" t="s">
        <v>838</v>
      </c>
      <c r="C316" t="s">
        <v>839</v>
      </c>
      <c r="D316" t="s">
        <v>840</v>
      </c>
      <c r="E316" s="9">
        <v>2103750</v>
      </c>
      <c r="F316" s="10" t="s">
        <v>798</v>
      </c>
    </row>
    <row r="317" spans="1:6" x14ac:dyDescent="0.25">
      <c r="A317" s="1">
        <v>315</v>
      </c>
      <c r="B317" s="2" t="s">
        <v>841</v>
      </c>
      <c r="C317" s="12" t="s">
        <v>418</v>
      </c>
      <c r="D317" s="12" t="s">
        <v>842</v>
      </c>
      <c r="E317" s="8">
        <v>2470000</v>
      </c>
      <c r="F317" s="10" t="s">
        <v>798</v>
      </c>
    </row>
    <row r="318" spans="1:6" x14ac:dyDescent="0.25">
      <c r="A318" s="1">
        <v>316</v>
      </c>
      <c r="B318" s="2" t="s">
        <v>843</v>
      </c>
      <c r="C318" s="12" t="s">
        <v>844</v>
      </c>
      <c r="D318" s="12" t="s">
        <v>270</v>
      </c>
      <c r="E318" s="9">
        <v>2103750</v>
      </c>
      <c r="F318" s="10" t="s">
        <v>798</v>
      </c>
    </row>
    <row r="319" spans="1:6" x14ac:dyDescent="0.25">
      <c r="A319" s="1">
        <v>317</v>
      </c>
      <c r="B319" s="2" t="s">
        <v>845</v>
      </c>
      <c r="C319" s="12" t="s">
        <v>846</v>
      </c>
      <c r="D319" s="12" t="s">
        <v>478</v>
      </c>
      <c r="E319" s="9">
        <v>2103750</v>
      </c>
      <c r="F319" s="75" t="s">
        <v>847</v>
      </c>
    </row>
    <row r="320" spans="1:6" x14ac:dyDescent="0.25">
      <c r="A320" s="1">
        <v>318</v>
      </c>
      <c r="B320" s="2" t="s">
        <v>848</v>
      </c>
      <c r="C320" s="12" t="s">
        <v>849</v>
      </c>
      <c r="D320" s="12" t="s">
        <v>850</v>
      </c>
      <c r="E320" s="9">
        <v>2103750</v>
      </c>
      <c r="F320" s="75" t="s">
        <v>847</v>
      </c>
    </row>
    <row r="321" spans="1:6" x14ac:dyDescent="0.25">
      <c r="A321" s="1">
        <v>319</v>
      </c>
      <c r="B321" s="2" t="s">
        <v>851</v>
      </c>
      <c r="C321" t="s">
        <v>852</v>
      </c>
      <c r="D321" t="s">
        <v>803</v>
      </c>
      <c r="E321" s="9">
        <v>2103750</v>
      </c>
      <c r="F321" s="75" t="s">
        <v>847</v>
      </c>
    </row>
    <row r="322" spans="1:6" x14ac:dyDescent="0.25">
      <c r="A322" s="1">
        <v>320</v>
      </c>
      <c r="B322" s="2" t="s">
        <v>854</v>
      </c>
      <c r="C322" t="s">
        <v>855</v>
      </c>
      <c r="D322" t="s">
        <v>172</v>
      </c>
      <c r="E322" s="9">
        <v>2103750</v>
      </c>
      <c r="F322" s="75" t="s">
        <v>847</v>
      </c>
    </row>
    <row r="323" spans="1:6" x14ac:dyDescent="0.25">
      <c r="A323" s="1">
        <v>321</v>
      </c>
      <c r="B323" s="2" t="s">
        <v>856</v>
      </c>
      <c r="C323" t="s">
        <v>857</v>
      </c>
      <c r="D323" t="s">
        <v>494</v>
      </c>
      <c r="E323" s="9">
        <v>2103750</v>
      </c>
      <c r="F323" s="75" t="s">
        <v>847</v>
      </c>
    </row>
    <row r="324" spans="1:6" x14ac:dyDescent="0.25">
      <c r="A324" s="1">
        <v>322</v>
      </c>
      <c r="B324" s="2" t="s">
        <v>858</v>
      </c>
      <c r="C324" t="s">
        <v>859</v>
      </c>
      <c r="D324" t="s">
        <v>207</v>
      </c>
      <c r="E324" s="9">
        <v>2103750</v>
      </c>
      <c r="F324" s="75" t="s">
        <v>847</v>
      </c>
    </row>
    <row r="325" spans="1:6" x14ac:dyDescent="0.25">
      <c r="A325" s="1">
        <v>323</v>
      </c>
      <c r="B325" s="2" t="s">
        <v>860</v>
      </c>
      <c r="C325" t="s">
        <v>861</v>
      </c>
      <c r="D325" t="s">
        <v>862</v>
      </c>
      <c r="E325" s="9">
        <v>2103750</v>
      </c>
      <c r="F325" s="75" t="s">
        <v>847</v>
      </c>
    </row>
    <row r="326" spans="1:6" x14ac:dyDescent="0.25">
      <c r="A326" s="1">
        <v>324</v>
      </c>
      <c r="B326" s="2" t="s">
        <v>863</v>
      </c>
      <c r="C326" t="s">
        <v>864</v>
      </c>
      <c r="D326" t="s">
        <v>182</v>
      </c>
      <c r="E326" s="9">
        <v>2103750</v>
      </c>
      <c r="F326" s="75" t="s">
        <v>847</v>
      </c>
    </row>
    <row r="327" spans="1:6" x14ac:dyDescent="0.25">
      <c r="A327" s="1">
        <v>325</v>
      </c>
      <c r="B327" s="2" t="s">
        <v>865</v>
      </c>
      <c r="C327" t="s">
        <v>866</v>
      </c>
      <c r="D327" t="s">
        <v>867</v>
      </c>
      <c r="E327" s="9">
        <v>2103750</v>
      </c>
      <c r="F327" s="75" t="s">
        <v>847</v>
      </c>
    </row>
    <row r="328" spans="1:6" x14ac:dyDescent="0.25">
      <c r="A328" s="1">
        <v>326</v>
      </c>
      <c r="B328" s="2" t="s">
        <v>869</v>
      </c>
      <c r="C328" t="s">
        <v>870</v>
      </c>
      <c r="D328" t="s">
        <v>284</v>
      </c>
      <c r="E328" s="9">
        <v>2103750</v>
      </c>
      <c r="F328" s="75" t="s">
        <v>847</v>
      </c>
    </row>
    <row r="329" spans="1:6" x14ac:dyDescent="0.25">
      <c r="A329" s="1">
        <v>327</v>
      </c>
      <c r="B329" s="2" t="s">
        <v>871</v>
      </c>
      <c r="C329" t="s">
        <v>872</v>
      </c>
      <c r="D329" t="s">
        <v>812</v>
      </c>
      <c r="E329" s="9">
        <v>2103750</v>
      </c>
      <c r="F329" s="75" t="s">
        <v>847</v>
      </c>
    </row>
    <row r="330" spans="1:6" x14ac:dyDescent="0.25">
      <c r="A330" s="1">
        <v>328</v>
      </c>
      <c r="B330" s="2" t="s">
        <v>874</v>
      </c>
      <c r="C330" t="s">
        <v>875</v>
      </c>
      <c r="D330" t="s">
        <v>22</v>
      </c>
      <c r="E330" s="11">
        <v>2470000</v>
      </c>
      <c r="F330" s="75" t="s">
        <v>847</v>
      </c>
    </row>
    <row r="331" spans="1:6" x14ac:dyDescent="0.25">
      <c r="A331" s="1">
        <v>329</v>
      </c>
      <c r="B331" s="2" t="s">
        <v>876</v>
      </c>
      <c r="C331" t="s">
        <v>877</v>
      </c>
      <c r="D331" t="s">
        <v>484</v>
      </c>
      <c r="E331" s="9">
        <v>2103750</v>
      </c>
      <c r="F331" s="75" t="s">
        <v>847</v>
      </c>
    </row>
    <row r="332" spans="1:6" x14ac:dyDescent="0.25">
      <c r="A332" s="1">
        <v>330</v>
      </c>
      <c r="B332" s="2" t="s">
        <v>878</v>
      </c>
      <c r="C332" t="s">
        <v>879</v>
      </c>
      <c r="D332" t="s">
        <v>120</v>
      </c>
      <c r="E332" s="9">
        <v>2103750</v>
      </c>
      <c r="F332" s="75" t="s">
        <v>847</v>
      </c>
    </row>
    <row r="333" spans="1:6" x14ac:dyDescent="0.25">
      <c r="A333" s="1">
        <v>331</v>
      </c>
      <c r="B333" s="2" t="s">
        <v>880</v>
      </c>
      <c r="C333" t="s">
        <v>154</v>
      </c>
      <c r="D333" t="s">
        <v>88</v>
      </c>
      <c r="E333" s="9">
        <v>2103750</v>
      </c>
      <c r="F333" s="75" t="s">
        <v>847</v>
      </c>
    </row>
    <row r="334" spans="1:6" x14ac:dyDescent="0.25">
      <c r="A334" s="1">
        <v>332</v>
      </c>
      <c r="B334" s="2" t="s">
        <v>881</v>
      </c>
      <c r="C334" t="s">
        <v>882</v>
      </c>
      <c r="D334" t="s">
        <v>151</v>
      </c>
      <c r="E334" s="9">
        <v>2103750</v>
      </c>
      <c r="F334" s="75" t="s">
        <v>847</v>
      </c>
    </row>
    <row r="335" spans="1:6" x14ac:dyDescent="0.25">
      <c r="A335" s="1">
        <v>333</v>
      </c>
      <c r="B335" s="2" t="s">
        <v>883</v>
      </c>
      <c r="C335" s="12" t="s">
        <v>884</v>
      </c>
      <c r="D335" s="12" t="s">
        <v>54</v>
      </c>
      <c r="E335" s="8">
        <v>2470000</v>
      </c>
      <c r="F335" s="75" t="s">
        <v>847</v>
      </c>
    </row>
    <row r="336" spans="1:6" x14ac:dyDescent="0.25">
      <c r="A336" s="1">
        <v>334</v>
      </c>
      <c r="B336" s="2" t="s">
        <v>885</v>
      </c>
      <c r="C336" t="s">
        <v>886</v>
      </c>
      <c r="D336" t="s">
        <v>887</v>
      </c>
      <c r="E336" s="9">
        <v>2103750</v>
      </c>
      <c r="F336" s="10" t="s">
        <v>888</v>
      </c>
    </row>
    <row r="337" spans="1:6" x14ac:dyDescent="0.25">
      <c r="A337" s="1">
        <v>335</v>
      </c>
      <c r="B337" s="2" t="s">
        <v>889</v>
      </c>
      <c r="C337" t="s">
        <v>358</v>
      </c>
      <c r="D337" t="s">
        <v>384</v>
      </c>
      <c r="E337" s="9">
        <v>2103750</v>
      </c>
      <c r="F337" s="10" t="s">
        <v>888</v>
      </c>
    </row>
    <row r="338" spans="1:6" x14ac:dyDescent="0.25">
      <c r="A338" s="1">
        <v>336</v>
      </c>
      <c r="B338" s="2" t="s">
        <v>890</v>
      </c>
      <c r="C338" t="s">
        <v>852</v>
      </c>
      <c r="D338" t="s">
        <v>294</v>
      </c>
      <c r="E338" s="9">
        <v>2103750</v>
      </c>
      <c r="F338" s="10" t="s">
        <v>888</v>
      </c>
    </row>
    <row r="339" spans="1:6" x14ac:dyDescent="0.25">
      <c r="A339" s="1">
        <v>337</v>
      </c>
      <c r="B339" s="2" t="s">
        <v>891</v>
      </c>
      <c r="C339" t="s">
        <v>892</v>
      </c>
      <c r="D339" t="s">
        <v>311</v>
      </c>
      <c r="E339" s="9">
        <v>2103750</v>
      </c>
      <c r="F339" s="10" t="s">
        <v>888</v>
      </c>
    </row>
    <row r="340" spans="1:6" x14ac:dyDescent="0.25">
      <c r="A340" s="1">
        <v>338</v>
      </c>
      <c r="B340" s="2" t="s">
        <v>893</v>
      </c>
      <c r="C340" t="s">
        <v>894</v>
      </c>
      <c r="D340" t="s">
        <v>182</v>
      </c>
      <c r="E340" s="9">
        <v>2103750</v>
      </c>
      <c r="F340" s="10" t="s">
        <v>888</v>
      </c>
    </row>
    <row r="341" spans="1:6" x14ac:dyDescent="0.25">
      <c r="A341" s="1">
        <v>339</v>
      </c>
      <c r="B341" s="2" t="s">
        <v>895</v>
      </c>
      <c r="C341" t="s">
        <v>1850</v>
      </c>
      <c r="D341" t="s">
        <v>1851</v>
      </c>
      <c r="E341" s="9">
        <v>2103750</v>
      </c>
      <c r="F341" s="10" t="s">
        <v>888</v>
      </c>
    </row>
    <row r="342" spans="1:6" x14ac:dyDescent="0.25">
      <c r="A342" s="1">
        <v>340</v>
      </c>
      <c r="B342" s="2" t="s">
        <v>898</v>
      </c>
      <c r="C342" t="s">
        <v>899</v>
      </c>
      <c r="D342" t="s">
        <v>294</v>
      </c>
      <c r="E342" s="9">
        <v>2103750</v>
      </c>
      <c r="F342" s="10" t="s">
        <v>888</v>
      </c>
    </row>
    <row r="343" spans="1:6" x14ac:dyDescent="0.25">
      <c r="A343" s="1">
        <v>341</v>
      </c>
      <c r="B343" s="2" t="s">
        <v>900</v>
      </c>
      <c r="C343" t="s">
        <v>901</v>
      </c>
      <c r="D343" t="s">
        <v>902</v>
      </c>
      <c r="E343" s="9">
        <v>2103750</v>
      </c>
      <c r="F343" s="10" t="s">
        <v>888</v>
      </c>
    </row>
    <row r="344" spans="1:6" x14ac:dyDescent="0.25">
      <c r="A344" s="1">
        <v>342</v>
      </c>
      <c r="B344" s="2" t="s">
        <v>903</v>
      </c>
      <c r="C344" t="s">
        <v>904</v>
      </c>
      <c r="D344" t="s">
        <v>470</v>
      </c>
      <c r="E344" s="9">
        <v>2103750</v>
      </c>
      <c r="F344" s="10" t="s">
        <v>888</v>
      </c>
    </row>
    <row r="345" spans="1:6" x14ac:dyDescent="0.25">
      <c r="A345" s="1">
        <v>343</v>
      </c>
      <c r="B345" s="2" t="s">
        <v>905</v>
      </c>
      <c r="C345" t="s">
        <v>906</v>
      </c>
      <c r="D345" t="s">
        <v>907</v>
      </c>
      <c r="E345" s="9">
        <v>2103750</v>
      </c>
      <c r="F345" s="10" t="s">
        <v>888</v>
      </c>
    </row>
    <row r="346" spans="1:6" x14ac:dyDescent="0.25">
      <c r="A346" s="1">
        <v>344</v>
      </c>
      <c r="B346" s="2" t="s">
        <v>908</v>
      </c>
      <c r="C346" t="s">
        <v>909</v>
      </c>
      <c r="D346" t="s">
        <v>421</v>
      </c>
      <c r="E346" s="9">
        <v>2103750</v>
      </c>
      <c r="F346" s="10" t="s">
        <v>888</v>
      </c>
    </row>
    <row r="347" spans="1:6" x14ac:dyDescent="0.25">
      <c r="A347" s="1">
        <v>345</v>
      </c>
      <c r="B347" s="2" t="s">
        <v>910</v>
      </c>
      <c r="C347" t="s">
        <v>911</v>
      </c>
      <c r="D347" t="s">
        <v>78</v>
      </c>
      <c r="E347" s="9">
        <v>2103750</v>
      </c>
      <c r="F347" s="10" t="s">
        <v>888</v>
      </c>
    </row>
    <row r="348" spans="1:6" x14ac:dyDescent="0.25">
      <c r="A348" s="1">
        <v>346</v>
      </c>
      <c r="B348" s="2" t="s">
        <v>912</v>
      </c>
      <c r="C348" t="s">
        <v>913</v>
      </c>
      <c r="D348" t="s">
        <v>914</v>
      </c>
      <c r="E348" s="9">
        <v>2103750</v>
      </c>
      <c r="F348" s="10" t="s">
        <v>888</v>
      </c>
    </row>
    <row r="349" spans="1:6" x14ac:dyDescent="0.25">
      <c r="A349" s="1">
        <v>347</v>
      </c>
      <c r="B349" s="2" t="s">
        <v>915</v>
      </c>
      <c r="C349" t="s">
        <v>916</v>
      </c>
      <c r="D349" t="s">
        <v>157</v>
      </c>
      <c r="E349" s="9">
        <v>2103750</v>
      </c>
      <c r="F349" s="10" t="s">
        <v>888</v>
      </c>
    </row>
    <row r="350" spans="1:6" x14ac:dyDescent="0.25">
      <c r="A350" s="1">
        <v>348</v>
      </c>
      <c r="B350" s="2" t="s">
        <v>917</v>
      </c>
      <c r="C350" t="s">
        <v>197</v>
      </c>
      <c r="D350" t="s">
        <v>50</v>
      </c>
      <c r="E350" s="9">
        <v>2103750</v>
      </c>
      <c r="F350" s="10" t="s">
        <v>888</v>
      </c>
    </row>
    <row r="351" spans="1:6" x14ac:dyDescent="0.25">
      <c r="A351" s="1">
        <v>349</v>
      </c>
      <c r="B351" s="2" t="s">
        <v>918</v>
      </c>
      <c r="C351" t="s">
        <v>919</v>
      </c>
      <c r="D351" t="s">
        <v>50</v>
      </c>
      <c r="E351" s="9">
        <v>2103750</v>
      </c>
      <c r="F351" s="10" t="s">
        <v>888</v>
      </c>
    </row>
    <row r="352" spans="1:6" x14ac:dyDescent="0.25">
      <c r="A352" s="1">
        <v>350</v>
      </c>
      <c r="B352" s="2" t="s">
        <v>920</v>
      </c>
      <c r="C352" s="12" t="s">
        <v>921</v>
      </c>
      <c r="D352" s="12" t="s">
        <v>922</v>
      </c>
      <c r="E352" s="9">
        <v>2103750</v>
      </c>
      <c r="F352" s="10" t="s">
        <v>888</v>
      </c>
    </row>
    <row r="353" spans="1:6" x14ac:dyDescent="0.25">
      <c r="A353" s="1">
        <v>351</v>
      </c>
      <c r="B353" s="2" t="s">
        <v>923</v>
      </c>
      <c r="C353" t="s">
        <v>154</v>
      </c>
      <c r="D353" t="s">
        <v>88</v>
      </c>
      <c r="E353" s="11">
        <v>2470000</v>
      </c>
      <c r="F353" s="75" t="s">
        <v>924</v>
      </c>
    </row>
    <row r="354" spans="1:6" x14ac:dyDescent="0.25">
      <c r="A354" s="1">
        <v>352</v>
      </c>
      <c r="B354" s="2" t="s">
        <v>925</v>
      </c>
      <c r="C354" t="s">
        <v>926</v>
      </c>
      <c r="D354" t="s">
        <v>138</v>
      </c>
      <c r="E354" s="9">
        <v>2103750</v>
      </c>
      <c r="F354" s="75" t="s">
        <v>924</v>
      </c>
    </row>
    <row r="355" spans="1:6" x14ac:dyDescent="0.25">
      <c r="A355" s="1">
        <v>353</v>
      </c>
      <c r="B355" s="2" t="s">
        <v>927</v>
      </c>
      <c r="C355" t="s">
        <v>928</v>
      </c>
      <c r="D355" t="s">
        <v>929</v>
      </c>
      <c r="E355" s="9">
        <v>2103750</v>
      </c>
      <c r="F355" s="75" t="s">
        <v>924</v>
      </c>
    </row>
    <row r="356" spans="1:6" x14ac:dyDescent="0.25">
      <c r="A356" s="1">
        <v>354</v>
      </c>
      <c r="B356" s="2" t="s">
        <v>930</v>
      </c>
      <c r="C356" t="s">
        <v>931</v>
      </c>
      <c r="D356" t="s">
        <v>517</v>
      </c>
      <c r="E356" s="9">
        <v>2103750</v>
      </c>
      <c r="F356" s="75" t="s">
        <v>924</v>
      </c>
    </row>
    <row r="357" spans="1:6" x14ac:dyDescent="0.25">
      <c r="A357" s="1">
        <v>355</v>
      </c>
      <c r="B357" s="2" t="s">
        <v>932</v>
      </c>
      <c r="C357" t="s">
        <v>683</v>
      </c>
      <c r="D357" t="s">
        <v>933</v>
      </c>
      <c r="E357" s="9">
        <v>2103750</v>
      </c>
      <c r="F357" s="75" t="s">
        <v>924</v>
      </c>
    </row>
    <row r="358" spans="1:6" x14ac:dyDescent="0.25">
      <c r="A358" s="1">
        <v>356</v>
      </c>
      <c r="B358" s="2" t="s">
        <v>934</v>
      </c>
      <c r="C358" t="s">
        <v>935</v>
      </c>
      <c r="D358" t="s">
        <v>936</v>
      </c>
      <c r="E358" s="9">
        <v>2600000</v>
      </c>
      <c r="F358" s="75" t="s">
        <v>924</v>
      </c>
    </row>
    <row r="359" spans="1:6" x14ac:dyDescent="0.25">
      <c r="A359" s="1">
        <v>357</v>
      </c>
      <c r="B359" s="2" t="s">
        <v>937</v>
      </c>
      <c r="C359" t="s">
        <v>938</v>
      </c>
      <c r="D359" t="s">
        <v>939</v>
      </c>
      <c r="E359" s="9">
        <v>2103750</v>
      </c>
      <c r="F359" s="75" t="s">
        <v>924</v>
      </c>
    </row>
    <row r="360" spans="1:6" x14ac:dyDescent="0.25">
      <c r="A360" s="1">
        <v>358</v>
      </c>
      <c r="B360" s="2" t="s">
        <v>940</v>
      </c>
      <c r="C360" t="s">
        <v>154</v>
      </c>
      <c r="D360" t="s">
        <v>204</v>
      </c>
      <c r="E360" s="9">
        <v>2103750</v>
      </c>
      <c r="F360" s="75" t="s">
        <v>924</v>
      </c>
    </row>
    <row r="361" spans="1:6" x14ac:dyDescent="0.25">
      <c r="A361" s="1">
        <v>359</v>
      </c>
      <c r="B361" s="2" t="s">
        <v>941</v>
      </c>
      <c r="C361" t="s">
        <v>238</v>
      </c>
      <c r="D361" t="s">
        <v>942</v>
      </c>
      <c r="E361" s="9">
        <v>2103750</v>
      </c>
      <c r="F361" s="75" t="s">
        <v>924</v>
      </c>
    </row>
    <row r="362" spans="1:6" x14ac:dyDescent="0.25">
      <c r="A362" s="1">
        <v>360</v>
      </c>
      <c r="B362" s="2" t="s">
        <v>944</v>
      </c>
      <c r="C362" t="s">
        <v>945</v>
      </c>
      <c r="D362" t="s">
        <v>515</v>
      </c>
      <c r="E362" s="9">
        <v>2103750</v>
      </c>
      <c r="F362" s="75" t="s">
        <v>924</v>
      </c>
    </row>
    <row r="363" spans="1:6" x14ac:dyDescent="0.25">
      <c r="A363" s="1">
        <v>361</v>
      </c>
      <c r="B363" s="2" t="s">
        <v>946</v>
      </c>
      <c r="C363" t="s">
        <v>331</v>
      </c>
      <c r="D363" t="s">
        <v>120</v>
      </c>
      <c r="E363" s="9">
        <v>2103750</v>
      </c>
      <c r="F363" s="75" t="s">
        <v>924</v>
      </c>
    </row>
    <row r="364" spans="1:6" x14ac:dyDescent="0.25">
      <c r="A364" s="1">
        <v>362</v>
      </c>
      <c r="B364" s="2" t="s">
        <v>947</v>
      </c>
      <c r="C364" t="s">
        <v>948</v>
      </c>
      <c r="D364" t="s">
        <v>484</v>
      </c>
      <c r="E364" s="9">
        <v>2103750</v>
      </c>
      <c r="F364" s="75" t="s">
        <v>924</v>
      </c>
    </row>
    <row r="365" spans="1:6" x14ac:dyDescent="0.25">
      <c r="A365" s="1">
        <v>363</v>
      </c>
      <c r="B365" s="2" t="s">
        <v>949</v>
      </c>
      <c r="C365" t="s">
        <v>950</v>
      </c>
      <c r="D365" t="s">
        <v>936</v>
      </c>
      <c r="E365" s="9">
        <v>2103750</v>
      </c>
      <c r="F365" s="75" t="s">
        <v>924</v>
      </c>
    </row>
    <row r="366" spans="1:6" x14ac:dyDescent="0.25">
      <c r="A366" s="1">
        <v>364</v>
      </c>
      <c r="B366" s="2" t="s">
        <v>952</v>
      </c>
      <c r="C366" t="s">
        <v>953</v>
      </c>
      <c r="D366" t="s">
        <v>74</v>
      </c>
      <c r="E366" s="9">
        <v>2103750</v>
      </c>
      <c r="F366" s="75" t="s">
        <v>924</v>
      </c>
    </row>
    <row r="367" spans="1:6" x14ac:dyDescent="0.25">
      <c r="A367" s="1">
        <v>365</v>
      </c>
      <c r="B367" s="2" t="s">
        <v>954</v>
      </c>
      <c r="C367" t="s">
        <v>955</v>
      </c>
      <c r="D367" t="s">
        <v>157</v>
      </c>
      <c r="E367" s="9">
        <v>2103750</v>
      </c>
      <c r="F367" s="75" t="s">
        <v>924</v>
      </c>
    </row>
    <row r="368" spans="1:6" x14ac:dyDescent="0.25">
      <c r="A368" s="1">
        <v>366</v>
      </c>
      <c r="B368" s="2" t="s">
        <v>956</v>
      </c>
      <c r="C368" t="s">
        <v>957</v>
      </c>
      <c r="D368" s="13" t="s">
        <v>47</v>
      </c>
      <c r="E368" s="8">
        <v>2600000</v>
      </c>
      <c r="F368" s="75" t="s">
        <v>924</v>
      </c>
    </row>
    <row r="369" spans="1:6" x14ac:dyDescent="0.25">
      <c r="A369" s="1">
        <v>367</v>
      </c>
      <c r="B369" s="2" t="s">
        <v>958</v>
      </c>
      <c r="C369" t="s">
        <v>959</v>
      </c>
      <c r="D369" t="s">
        <v>160</v>
      </c>
      <c r="E369" s="8">
        <v>2600000</v>
      </c>
      <c r="F369" s="75" t="s">
        <v>924</v>
      </c>
    </row>
    <row r="370" spans="1:6" x14ac:dyDescent="0.25">
      <c r="A370" s="1">
        <v>368</v>
      </c>
      <c r="B370" s="2" t="s">
        <v>960</v>
      </c>
      <c r="C370" s="12" t="s">
        <v>961</v>
      </c>
      <c r="D370" s="12" t="s">
        <v>392</v>
      </c>
      <c r="E370" s="9">
        <v>2103750</v>
      </c>
      <c r="F370" s="75" t="s">
        <v>924</v>
      </c>
    </row>
    <row r="371" spans="1:6" x14ac:dyDescent="0.25">
      <c r="A371" s="1">
        <v>369</v>
      </c>
      <c r="B371" s="2" t="s">
        <v>962</v>
      </c>
      <c r="C371" t="s">
        <v>963</v>
      </c>
      <c r="D371" t="s">
        <v>83</v>
      </c>
      <c r="E371" s="9">
        <v>2103750</v>
      </c>
      <c r="F371" s="10" t="s">
        <v>964</v>
      </c>
    </row>
    <row r="372" spans="1:6" x14ac:dyDescent="0.25">
      <c r="A372" s="1">
        <v>370</v>
      </c>
      <c r="B372" s="2" t="s">
        <v>965</v>
      </c>
      <c r="C372" t="s">
        <v>966</v>
      </c>
      <c r="D372" t="s">
        <v>160</v>
      </c>
      <c r="E372" s="9">
        <v>2103750</v>
      </c>
      <c r="F372" s="10" t="s">
        <v>964</v>
      </c>
    </row>
    <row r="373" spans="1:6" x14ac:dyDescent="0.25">
      <c r="A373" s="1">
        <v>371</v>
      </c>
      <c r="B373" s="2" t="s">
        <v>967</v>
      </c>
      <c r="C373" t="s">
        <v>968</v>
      </c>
      <c r="D373" t="s">
        <v>515</v>
      </c>
      <c r="E373" s="9">
        <v>2103750</v>
      </c>
      <c r="F373" s="10" t="s">
        <v>964</v>
      </c>
    </row>
    <row r="374" spans="1:6" x14ac:dyDescent="0.25">
      <c r="A374" s="1">
        <v>372</v>
      </c>
      <c r="B374" s="2" t="s">
        <v>969</v>
      </c>
      <c r="C374" t="s">
        <v>970</v>
      </c>
      <c r="D374" t="s">
        <v>22</v>
      </c>
      <c r="E374" s="9">
        <v>2103750</v>
      </c>
      <c r="F374" s="10" t="s">
        <v>964</v>
      </c>
    </row>
    <row r="375" spans="1:6" x14ac:dyDescent="0.25">
      <c r="A375" s="1">
        <v>373</v>
      </c>
      <c r="B375" s="2" t="s">
        <v>971</v>
      </c>
      <c r="C375" t="s">
        <v>972</v>
      </c>
      <c r="D375" t="s">
        <v>973</v>
      </c>
      <c r="E375" s="9">
        <v>2103750</v>
      </c>
      <c r="F375" s="10" t="s">
        <v>964</v>
      </c>
    </row>
    <row r="376" spans="1:6" x14ac:dyDescent="0.25">
      <c r="A376" s="1">
        <v>374</v>
      </c>
      <c r="B376" s="2" t="s">
        <v>974</v>
      </c>
      <c r="C376" t="s">
        <v>680</v>
      </c>
      <c r="D376" t="s">
        <v>74</v>
      </c>
      <c r="E376" s="9">
        <v>2103750</v>
      </c>
      <c r="F376" s="10" t="s">
        <v>964</v>
      </c>
    </row>
    <row r="377" spans="1:6" x14ac:dyDescent="0.25">
      <c r="A377" s="1">
        <v>375</v>
      </c>
      <c r="B377" s="2" t="s">
        <v>975</v>
      </c>
      <c r="C377" t="s">
        <v>976</v>
      </c>
      <c r="D377" t="s">
        <v>500</v>
      </c>
      <c r="E377" s="9">
        <v>2103750</v>
      </c>
      <c r="F377" s="10" t="s">
        <v>964</v>
      </c>
    </row>
    <row r="378" spans="1:6" x14ac:dyDescent="0.25">
      <c r="A378" s="1">
        <v>376</v>
      </c>
      <c r="B378" s="2" t="s">
        <v>977</v>
      </c>
      <c r="C378" t="s">
        <v>978</v>
      </c>
      <c r="D378" t="s">
        <v>636</v>
      </c>
      <c r="E378" s="9">
        <v>2103750</v>
      </c>
      <c r="F378" s="10" t="s">
        <v>964</v>
      </c>
    </row>
    <row r="379" spans="1:6" x14ac:dyDescent="0.25">
      <c r="A379" s="1">
        <v>377</v>
      </c>
      <c r="B379" s="2" t="s">
        <v>979</v>
      </c>
      <c r="C379" t="s">
        <v>523</v>
      </c>
      <c r="D379" t="s">
        <v>907</v>
      </c>
      <c r="E379" s="9">
        <v>2103750</v>
      </c>
      <c r="F379" s="10" t="s">
        <v>964</v>
      </c>
    </row>
    <row r="380" spans="1:6" x14ac:dyDescent="0.25">
      <c r="A380" s="1">
        <v>378</v>
      </c>
      <c r="B380" s="2" t="s">
        <v>980</v>
      </c>
      <c r="C380" t="s">
        <v>981</v>
      </c>
      <c r="D380" t="s">
        <v>384</v>
      </c>
      <c r="E380" s="9">
        <v>2103750</v>
      </c>
      <c r="F380" s="10" t="s">
        <v>964</v>
      </c>
    </row>
    <row r="381" spans="1:6" x14ac:dyDescent="0.25">
      <c r="A381" s="1">
        <v>379</v>
      </c>
      <c r="B381" s="2" t="s">
        <v>982</v>
      </c>
      <c r="C381" t="s">
        <v>983</v>
      </c>
      <c r="D381" t="s">
        <v>936</v>
      </c>
      <c r="E381" s="9">
        <v>2103750</v>
      </c>
      <c r="F381" s="10" t="s">
        <v>964</v>
      </c>
    </row>
    <row r="382" spans="1:6" x14ac:dyDescent="0.25">
      <c r="A382" s="1">
        <v>380</v>
      </c>
      <c r="B382" s="2" t="s">
        <v>984</v>
      </c>
      <c r="C382" t="s">
        <v>985</v>
      </c>
      <c r="D382" t="s">
        <v>494</v>
      </c>
      <c r="E382" s="9">
        <v>2103750</v>
      </c>
      <c r="F382" s="10" t="s">
        <v>964</v>
      </c>
    </row>
    <row r="383" spans="1:6" x14ac:dyDescent="0.25">
      <c r="A383" s="1">
        <v>381</v>
      </c>
      <c r="B383" s="2" t="s">
        <v>986</v>
      </c>
      <c r="C383" t="s">
        <v>987</v>
      </c>
      <c r="D383" t="s">
        <v>922</v>
      </c>
      <c r="E383" s="9">
        <v>2103750</v>
      </c>
      <c r="F383" s="10" t="s">
        <v>964</v>
      </c>
    </row>
    <row r="384" spans="1:6" x14ac:dyDescent="0.25">
      <c r="A384" s="1">
        <v>382</v>
      </c>
      <c r="B384" s="2" t="s">
        <v>988</v>
      </c>
      <c r="C384" t="s">
        <v>989</v>
      </c>
      <c r="D384" t="s">
        <v>405</v>
      </c>
      <c r="E384" s="9">
        <v>2103750</v>
      </c>
      <c r="F384" s="10" t="s">
        <v>964</v>
      </c>
    </row>
    <row r="385" spans="1:6" x14ac:dyDescent="0.25">
      <c r="A385" s="1">
        <v>383</v>
      </c>
      <c r="B385" s="2" t="s">
        <v>990</v>
      </c>
      <c r="C385" t="s">
        <v>991</v>
      </c>
      <c r="D385" t="s">
        <v>72</v>
      </c>
      <c r="E385" s="9">
        <v>2103750</v>
      </c>
      <c r="F385" s="10" t="s">
        <v>964</v>
      </c>
    </row>
    <row r="386" spans="1:6" x14ac:dyDescent="0.25">
      <c r="A386" s="1">
        <v>384</v>
      </c>
      <c r="B386" s="2" t="s">
        <v>992</v>
      </c>
      <c r="C386" t="s">
        <v>993</v>
      </c>
      <c r="D386" t="s">
        <v>341</v>
      </c>
      <c r="E386" s="11">
        <v>2470000</v>
      </c>
      <c r="F386" s="10" t="s">
        <v>964</v>
      </c>
    </row>
    <row r="387" spans="1:6" x14ac:dyDescent="0.25">
      <c r="A387" s="1">
        <v>385</v>
      </c>
      <c r="B387" s="2" t="s">
        <v>994</v>
      </c>
      <c r="C387" t="s">
        <v>995</v>
      </c>
      <c r="D387" t="s">
        <v>204</v>
      </c>
      <c r="E387" s="9">
        <v>2103750</v>
      </c>
      <c r="F387" s="10" t="s">
        <v>964</v>
      </c>
    </row>
    <row r="388" spans="1:6" x14ac:dyDescent="0.25">
      <c r="A388" s="1">
        <v>386</v>
      </c>
      <c r="B388" s="2" t="s">
        <v>996</v>
      </c>
      <c r="C388" t="s">
        <v>997</v>
      </c>
      <c r="D388" t="s">
        <v>74</v>
      </c>
      <c r="E388" s="9">
        <v>2103750</v>
      </c>
      <c r="F388" s="10" t="s">
        <v>964</v>
      </c>
    </row>
    <row r="389" spans="1:6" x14ac:dyDescent="0.25">
      <c r="A389" s="1">
        <v>387</v>
      </c>
      <c r="B389" s="2" t="s">
        <v>999</v>
      </c>
      <c r="C389" t="s">
        <v>1000</v>
      </c>
      <c r="D389" t="s">
        <v>160</v>
      </c>
      <c r="E389" s="9">
        <v>2103750</v>
      </c>
      <c r="F389" s="75" t="s">
        <v>1001</v>
      </c>
    </row>
    <row r="390" spans="1:6" x14ac:dyDescent="0.25">
      <c r="A390" s="1">
        <v>388</v>
      </c>
      <c r="B390" s="2" t="s">
        <v>1002</v>
      </c>
      <c r="C390" t="s">
        <v>1003</v>
      </c>
      <c r="D390" t="s">
        <v>242</v>
      </c>
      <c r="E390" s="9">
        <v>2103750</v>
      </c>
      <c r="F390" s="75" t="s">
        <v>1001</v>
      </c>
    </row>
    <row r="391" spans="1:6" x14ac:dyDescent="0.25">
      <c r="A391" s="1">
        <v>389</v>
      </c>
      <c r="B391" s="2" t="s">
        <v>1004</v>
      </c>
      <c r="C391" t="s">
        <v>717</v>
      </c>
      <c r="D391" t="s">
        <v>341</v>
      </c>
      <c r="E391" s="9">
        <v>2103750</v>
      </c>
      <c r="F391" s="75" t="s">
        <v>1001</v>
      </c>
    </row>
    <row r="392" spans="1:6" x14ac:dyDescent="0.25">
      <c r="A392" s="1">
        <v>390</v>
      </c>
      <c r="B392" s="2" t="s">
        <v>1005</v>
      </c>
      <c r="C392" t="s">
        <v>571</v>
      </c>
      <c r="D392" t="s">
        <v>88</v>
      </c>
      <c r="E392" s="9">
        <v>2103750</v>
      </c>
      <c r="F392" s="75" t="s">
        <v>1001</v>
      </c>
    </row>
    <row r="393" spans="1:6" x14ac:dyDescent="0.25">
      <c r="A393" s="1">
        <v>391</v>
      </c>
      <c r="B393" s="2" t="s">
        <v>1007</v>
      </c>
      <c r="C393" t="s">
        <v>1008</v>
      </c>
      <c r="D393" t="s">
        <v>376</v>
      </c>
      <c r="E393" s="9">
        <v>2103750</v>
      </c>
      <c r="F393" s="75" t="s">
        <v>1001</v>
      </c>
    </row>
    <row r="394" spans="1:6" x14ac:dyDescent="0.25">
      <c r="A394" s="1">
        <v>392</v>
      </c>
      <c r="B394" s="2" t="s">
        <v>1009</v>
      </c>
      <c r="C394" t="s">
        <v>1010</v>
      </c>
      <c r="D394" t="s">
        <v>1011</v>
      </c>
      <c r="E394" s="9">
        <v>2103750</v>
      </c>
      <c r="F394" s="75" t="s">
        <v>1001</v>
      </c>
    </row>
    <row r="395" spans="1:6" x14ac:dyDescent="0.25">
      <c r="A395" s="1">
        <v>393</v>
      </c>
      <c r="B395" s="2" t="s">
        <v>1012</v>
      </c>
      <c r="C395" t="s">
        <v>400</v>
      </c>
      <c r="D395" t="s">
        <v>821</v>
      </c>
      <c r="E395" s="9">
        <v>2103750</v>
      </c>
      <c r="F395" s="75" t="s">
        <v>1001</v>
      </c>
    </row>
    <row r="396" spans="1:6" x14ac:dyDescent="0.25">
      <c r="A396" s="1">
        <v>394</v>
      </c>
      <c r="B396" s="2" t="s">
        <v>1013</v>
      </c>
      <c r="C396" t="s">
        <v>571</v>
      </c>
      <c r="D396" t="s">
        <v>239</v>
      </c>
      <c r="E396" s="9">
        <v>2103750</v>
      </c>
      <c r="F396" s="75" t="s">
        <v>1001</v>
      </c>
    </row>
    <row r="397" spans="1:6" x14ac:dyDescent="0.25">
      <c r="A397" s="1">
        <v>395</v>
      </c>
      <c r="B397" s="2" t="s">
        <v>1014</v>
      </c>
      <c r="C397" t="s">
        <v>617</v>
      </c>
      <c r="D397" t="s">
        <v>1015</v>
      </c>
      <c r="E397" s="9">
        <v>2103750</v>
      </c>
      <c r="F397" s="75" t="s">
        <v>1001</v>
      </c>
    </row>
    <row r="398" spans="1:6" x14ac:dyDescent="0.25">
      <c r="A398" s="1">
        <v>396</v>
      </c>
      <c r="B398" s="2" t="s">
        <v>1852</v>
      </c>
      <c r="C398" t="s">
        <v>1016</v>
      </c>
      <c r="D398" t="s">
        <v>157</v>
      </c>
      <c r="E398" s="9">
        <v>2103750</v>
      </c>
      <c r="F398" s="75" t="s">
        <v>1001</v>
      </c>
    </row>
    <row r="399" spans="1:6" x14ac:dyDescent="0.25">
      <c r="A399" s="1">
        <v>397</v>
      </c>
      <c r="B399" s="2" t="s">
        <v>1017</v>
      </c>
      <c r="C399" t="s">
        <v>249</v>
      </c>
      <c r="D399" t="s">
        <v>515</v>
      </c>
      <c r="E399" s="9">
        <v>2103750</v>
      </c>
      <c r="F399" s="75" t="s">
        <v>1001</v>
      </c>
    </row>
    <row r="400" spans="1:6" x14ac:dyDescent="0.25">
      <c r="A400" s="1">
        <v>398</v>
      </c>
      <c r="B400" s="2" t="s">
        <v>1018</v>
      </c>
      <c r="C400" t="s">
        <v>143</v>
      </c>
      <c r="D400" t="s">
        <v>294</v>
      </c>
      <c r="E400" s="8">
        <v>2600000</v>
      </c>
      <c r="F400" s="75" t="s">
        <v>1001</v>
      </c>
    </row>
    <row r="401" spans="1:6" x14ac:dyDescent="0.25">
      <c r="A401" s="1">
        <v>399</v>
      </c>
      <c r="B401" s="2" t="s">
        <v>1019</v>
      </c>
      <c r="C401" t="s">
        <v>1020</v>
      </c>
      <c r="D401" t="s">
        <v>204</v>
      </c>
      <c r="E401" s="9">
        <v>2103750</v>
      </c>
      <c r="F401" s="75" t="s">
        <v>1001</v>
      </c>
    </row>
    <row r="402" spans="1:6" x14ac:dyDescent="0.25">
      <c r="A402" s="1">
        <v>400</v>
      </c>
      <c r="B402" s="2" t="s">
        <v>1021</v>
      </c>
      <c r="C402" t="s">
        <v>1022</v>
      </c>
      <c r="D402" t="s">
        <v>78</v>
      </c>
      <c r="E402" s="9">
        <v>2103750</v>
      </c>
      <c r="F402" s="75" t="s">
        <v>1001</v>
      </c>
    </row>
    <row r="403" spans="1:6" x14ac:dyDescent="0.25">
      <c r="A403" s="1">
        <v>401</v>
      </c>
      <c r="B403" s="2" t="s">
        <v>1023</v>
      </c>
      <c r="C403" t="s">
        <v>1024</v>
      </c>
      <c r="D403" t="s">
        <v>34</v>
      </c>
      <c r="E403" s="8">
        <v>2600000</v>
      </c>
      <c r="F403" s="75" t="s">
        <v>1001</v>
      </c>
    </row>
    <row r="404" spans="1:6" x14ac:dyDescent="0.25">
      <c r="A404" s="1">
        <v>402</v>
      </c>
      <c r="B404" s="2" t="s">
        <v>1025</v>
      </c>
      <c r="C404" t="s">
        <v>49</v>
      </c>
      <c r="D404" t="s">
        <v>182</v>
      </c>
      <c r="E404" s="9">
        <v>2103750</v>
      </c>
      <c r="F404" s="75" t="s">
        <v>1001</v>
      </c>
    </row>
    <row r="405" spans="1:6" x14ac:dyDescent="0.25">
      <c r="A405" s="1">
        <v>403</v>
      </c>
      <c r="B405" s="2">
        <v>25820700046</v>
      </c>
      <c r="C405" t="s">
        <v>1026</v>
      </c>
      <c r="D405" t="s">
        <v>1027</v>
      </c>
      <c r="E405" s="11">
        <v>2470000</v>
      </c>
      <c r="F405" s="75" t="s">
        <v>1001</v>
      </c>
    </row>
    <row r="406" spans="1:6" x14ac:dyDescent="0.25">
      <c r="A406" s="1">
        <v>404</v>
      </c>
      <c r="B406" s="2" t="s">
        <v>1028</v>
      </c>
      <c r="C406" t="s">
        <v>179</v>
      </c>
      <c r="D406" t="s">
        <v>821</v>
      </c>
      <c r="E406" s="9">
        <v>2103750</v>
      </c>
      <c r="F406" s="10" t="s">
        <v>1029</v>
      </c>
    </row>
    <row r="407" spans="1:6" x14ac:dyDescent="0.25">
      <c r="A407" s="1">
        <v>405</v>
      </c>
      <c r="B407" s="2" t="s">
        <v>1030</v>
      </c>
      <c r="C407" t="s">
        <v>1031</v>
      </c>
      <c r="D407" t="s">
        <v>842</v>
      </c>
      <c r="E407" s="9">
        <v>2103750</v>
      </c>
      <c r="F407" s="10" t="s">
        <v>1029</v>
      </c>
    </row>
    <row r="408" spans="1:6" x14ac:dyDescent="0.25">
      <c r="A408" s="1">
        <v>406</v>
      </c>
      <c r="B408" s="2" t="s">
        <v>1032</v>
      </c>
      <c r="C408" t="s">
        <v>1033</v>
      </c>
      <c r="D408" t="s">
        <v>160</v>
      </c>
      <c r="E408" s="9">
        <v>2103750</v>
      </c>
      <c r="F408" s="10" t="s">
        <v>1029</v>
      </c>
    </row>
    <row r="409" spans="1:6" x14ac:dyDescent="0.25">
      <c r="A409" s="1">
        <v>407</v>
      </c>
      <c r="B409" s="2" t="s">
        <v>1034</v>
      </c>
      <c r="C409" t="s">
        <v>1035</v>
      </c>
      <c r="D409" t="s">
        <v>1036</v>
      </c>
      <c r="E409" s="9">
        <v>2103750</v>
      </c>
      <c r="F409" s="10" t="s">
        <v>1029</v>
      </c>
    </row>
    <row r="410" spans="1:6" x14ac:dyDescent="0.25">
      <c r="A410" s="1">
        <v>408</v>
      </c>
      <c r="B410" s="2" t="s">
        <v>1037</v>
      </c>
      <c r="C410" t="s">
        <v>1038</v>
      </c>
      <c r="D410" t="s">
        <v>1015</v>
      </c>
      <c r="E410" s="11">
        <v>2470000</v>
      </c>
      <c r="F410" s="10" t="s">
        <v>1029</v>
      </c>
    </row>
    <row r="411" spans="1:6" x14ac:dyDescent="0.25">
      <c r="A411" s="1">
        <v>409</v>
      </c>
      <c r="B411" s="2" t="s">
        <v>1039</v>
      </c>
      <c r="C411" t="s">
        <v>1040</v>
      </c>
      <c r="D411" t="s">
        <v>1015</v>
      </c>
      <c r="E411" s="9">
        <v>2103750</v>
      </c>
      <c r="F411" s="10" t="s">
        <v>1029</v>
      </c>
    </row>
    <row r="412" spans="1:6" x14ac:dyDescent="0.25">
      <c r="A412" s="1">
        <v>410</v>
      </c>
      <c r="B412" s="2" t="s">
        <v>1041</v>
      </c>
      <c r="C412" t="s">
        <v>1042</v>
      </c>
      <c r="D412" t="s">
        <v>270</v>
      </c>
      <c r="E412" s="9">
        <v>2103750</v>
      </c>
      <c r="F412" s="10" t="s">
        <v>1029</v>
      </c>
    </row>
    <row r="413" spans="1:6" x14ac:dyDescent="0.25">
      <c r="A413" s="1">
        <v>411</v>
      </c>
      <c r="B413" s="2" t="s">
        <v>1043</v>
      </c>
      <c r="C413" t="s">
        <v>418</v>
      </c>
      <c r="D413" t="s">
        <v>57</v>
      </c>
      <c r="E413" s="9">
        <v>2103750</v>
      </c>
      <c r="F413" s="10" t="s">
        <v>1029</v>
      </c>
    </row>
    <row r="414" spans="1:6" x14ac:dyDescent="0.25">
      <c r="A414" s="1">
        <v>412</v>
      </c>
      <c r="B414" s="2" t="s">
        <v>1044</v>
      </c>
      <c r="C414" t="s">
        <v>1045</v>
      </c>
      <c r="D414" t="s">
        <v>294</v>
      </c>
      <c r="E414" s="9">
        <v>2103750</v>
      </c>
      <c r="F414" s="10" t="s">
        <v>1029</v>
      </c>
    </row>
    <row r="415" spans="1:6" x14ac:dyDescent="0.25">
      <c r="A415" s="1">
        <v>413</v>
      </c>
      <c r="B415" s="2" t="s">
        <v>1046</v>
      </c>
      <c r="C415" t="s">
        <v>1047</v>
      </c>
      <c r="D415" t="s">
        <v>57</v>
      </c>
      <c r="E415" s="9">
        <v>2103750</v>
      </c>
      <c r="F415" s="10" t="s">
        <v>1029</v>
      </c>
    </row>
    <row r="416" spans="1:6" x14ac:dyDescent="0.25">
      <c r="A416" s="1">
        <v>414</v>
      </c>
      <c r="B416" s="2" t="s">
        <v>1048</v>
      </c>
      <c r="C416" t="s">
        <v>1049</v>
      </c>
      <c r="D416" t="s">
        <v>1050</v>
      </c>
      <c r="E416" s="9">
        <v>2103750</v>
      </c>
      <c r="F416" s="10" t="s">
        <v>1029</v>
      </c>
    </row>
    <row r="417" spans="1:6" x14ac:dyDescent="0.25">
      <c r="A417" s="1">
        <v>415</v>
      </c>
      <c r="B417" s="2" t="s">
        <v>1051</v>
      </c>
      <c r="C417" t="s">
        <v>1052</v>
      </c>
      <c r="D417" t="s">
        <v>1053</v>
      </c>
      <c r="E417" s="9">
        <v>2103750</v>
      </c>
      <c r="F417" s="10" t="s">
        <v>1029</v>
      </c>
    </row>
    <row r="418" spans="1:6" x14ac:dyDescent="0.25">
      <c r="A418" s="1">
        <v>416</v>
      </c>
      <c r="B418" s="2" t="s">
        <v>1054</v>
      </c>
      <c r="C418" t="s">
        <v>1055</v>
      </c>
      <c r="D418" t="s">
        <v>490</v>
      </c>
      <c r="E418" s="9">
        <v>2103750</v>
      </c>
      <c r="F418" s="10" t="s">
        <v>1029</v>
      </c>
    </row>
    <row r="419" spans="1:6" x14ac:dyDescent="0.25">
      <c r="A419" s="1">
        <v>417</v>
      </c>
      <c r="B419" s="2" t="s">
        <v>1056</v>
      </c>
      <c r="C419" s="12" t="s">
        <v>1057</v>
      </c>
      <c r="D419" s="12" t="s">
        <v>175</v>
      </c>
      <c r="E419" s="9">
        <v>2103750</v>
      </c>
      <c r="F419" s="10" t="s">
        <v>1029</v>
      </c>
    </row>
    <row r="420" spans="1:6" x14ac:dyDescent="0.25">
      <c r="A420" s="1">
        <v>418</v>
      </c>
      <c r="B420" s="2" t="s">
        <v>1058</v>
      </c>
      <c r="C420" s="12" t="s">
        <v>1059</v>
      </c>
      <c r="D420" s="12" t="s">
        <v>1060</v>
      </c>
      <c r="E420" s="9">
        <v>2103750</v>
      </c>
      <c r="F420" s="10" t="s">
        <v>1029</v>
      </c>
    </row>
    <row r="421" spans="1:6" x14ac:dyDescent="0.25">
      <c r="A421" s="1">
        <v>419</v>
      </c>
      <c r="B421" s="2" t="s">
        <v>1061</v>
      </c>
      <c r="C421" s="12" t="s">
        <v>1062</v>
      </c>
      <c r="D421" s="12" t="s">
        <v>942</v>
      </c>
      <c r="E421" s="9">
        <v>2103750</v>
      </c>
      <c r="F421" s="10" t="s">
        <v>1029</v>
      </c>
    </row>
    <row r="422" spans="1:6" x14ac:dyDescent="0.25">
      <c r="A422" s="1">
        <v>420</v>
      </c>
      <c r="B422" s="2" t="s">
        <v>1063</v>
      </c>
      <c r="C422" s="12" t="s">
        <v>1064</v>
      </c>
      <c r="D422" s="12" t="s">
        <v>157</v>
      </c>
      <c r="E422" s="11">
        <v>2470000</v>
      </c>
      <c r="F422" s="10" t="s">
        <v>1029</v>
      </c>
    </row>
    <row r="423" spans="1:6" x14ac:dyDescent="0.25">
      <c r="A423" s="1">
        <v>421</v>
      </c>
      <c r="B423" s="2">
        <v>25820200011</v>
      </c>
      <c r="C423" s="12" t="s">
        <v>1065</v>
      </c>
      <c r="D423" s="12" t="s">
        <v>116</v>
      </c>
      <c r="E423" s="11">
        <v>2470000</v>
      </c>
      <c r="F423" s="10" t="s">
        <v>1029</v>
      </c>
    </row>
    <row r="424" spans="1:6" x14ac:dyDescent="0.25">
      <c r="A424" s="1">
        <v>422</v>
      </c>
      <c r="B424" s="2" t="s">
        <v>1066</v>
      </c>
      <c r="C424" t="s">
        <v>1067</v>
      </c>
      <c r="D424" t="s">
        <v>157</v>
      </c>
      <c r="E424" s="8">
        <v>2600000</v>
      </c>
      <c r="F424" s="75" t="s">
        <v>1068</v>
      </c>
    </row>
    <row r="425" spans="1:6" x14ac:dyDescent="0.25">
      <c r="A425" s="1">
        <v>423</v>
      </c>
      <c r="B425" s="2" t="s">
        <v>1069</v>
      </c>
      <c r="C425" t="s">
        <v>1070</v>
      </c>
      <c r="D425" t="s">
        <v>207</v>
      </c>
      <c r="E425" s="9">
        <v>2103750</v>
      </c>
      <c r="F425" s="75" t="s">
        <v>1068</v>
      </c>
    </row>
    <row r="426" spans="1:6" x14ac:dyDescent="0.25">
      <c r="A426" s="1">
        <v>424</v>
      </c>
      <c r="B426" s="2" t="s">
        <v>1135</v>
      </c>
      <c r="C426" t="s">
        <v>1136</v>
      </c>
      <c r="D426" t="s">
        <v>120</v>
      </c>
      <c r="E426" s="9">
        <v>2103750</v>
      </c>
      <c r="F426" s="75" t="s">
        <v>1068</v>
      </c>
    </row>
    <row r="427" spans="1:6" x14ac:dyDescent="0.25">
      <c r="A427" s="1">
        <v>425</v>
      </c>
      <c r="B427" s="2" t="s">
        <v>1071</v>
      </c>
      <c r="C427" t="s">
        <v>181</v>
      </c>
      <c r="D427" t="s">
        <v>867</v>
      </c>
      <c r="E427" s="9">
        <v>2103750</v>
      </c>
      <c r="F427" s="75" t="s">
        <v>1068</v>
      </c>
    </row>
    <row r="428" spans="1:6" x14ac:dyDescent="0.25">
      <c r="A428" s="1">
        <v>426</v>
      </c>
      <c r="B428" s="2" t="s">
        <v>1072</v>
      </c>
      <c r="C428" t="s">
        <v>809</v>
      </c>
      <c r="D428" t="s">
        <v>57</v>
      </c>
      <c r="E428" s="9">
        <v>2103750</v>
      </c>
      <c r="F428" s="75" t="s">
        <v>1068</v>
      </c>
    </row>
    <row r="429" spans="1:6" x14ac:dyDescent="0.25">
      <c r="A429" s="1">
        <v>427</v>
      </c>
      <c r="B429" s="2" t="s">
        <v>1073</v>
      </c>
      <c r="C429" t="s">
        <v>585</v>
      </c>
      <c r="D429" t="s">
        <v>1074</v>
      </c>
      <c r="E429" s="9">
        <v>2103750</v>
      </c>
      <c r="F429" s="75" t="s">
        <v>1068</v>
      </c>
    </row>
    <row r="430" spans="1:6" x14ac:dyDescent="0.25">
      <c r="A430" s="1">
        <v>428</v>
      </c>
      <c r="B430" s="2" t="s">
        <v>1075</v>
      </c>
      <c r="C430" t="s">
        <v>1076</v>
      </c>
      <c r="D430" t="s">
        <v>478</v>
      </c>
      <c r="E430" s="9">
        <v>2103750</v>
      </c>
      <c r="F430" s="75" t="s">
        <v>1068</v>
      </c>
    </row>
    <row r="431" spans="1:6" x14ac:dyDescent="0.25">
      <c r="A431" s="1">
        <v>429</v>
      </c>
      <c r="B431" s="2" t="s">
        <v>1077</v>
      </c>
      <c r="C431" t="s">
        <v>1078</v>
      </c>
      <c r="D431" t="s">
        <v>1036</v>
      </c>
      <c r="E431" s="11">
        <v>2470000</v>
      </c>
      <c r="F431" s="75" t="s">
        <v>1068</v>
      </c>
    </row>
    <row r="432" spans="1:6" x14ac:dyDescent="0.25">
      <c r="A432" s="1">
        <v>430</v>
      </c>
      <c r="B432" s="2" t="s">
        <v>1079</v>
      </c>
      <c r="C432" s="12" t="s">
        <v>1080</v>
      </c>
      <c r="D432" s="12" t="s">
        <v>384</v>
      </c>
      <c r="E432" s="11">
        <v>2470000</v>
      </c>
      <c r="F432" s="75" t="s">
        <v>1068</v>
      </c>
    </row>
    <row r="433" spans="1:6" x14ac:dyDescent="0.25">
      <c r="A433" s="1">
        <v>431</v>
      </c>
      <c r="B433" s="2" t="s">
        <v>1081</v>
      </c>
      <c r="C433" t="s">
        <v>1082</v>
      </c>
      <c r="D433" t="s">
        <v>182</v>
      </c>
      <c r="E433" s="9">
        <v>2103750</v>
      </c>
      <c r="F433" s="75" t="s">
        <v>1068</v>
      </c>
    </row>
    <row r="434" spans="1:6" x14ac:dyDescent="0.25">
      <c r="A434" s="1">
        <v>432</v>
      </c>
      <c r="B434" s="2" t="s">
        <v>1083</v>
      </c>
      <c r="C434" t="s">
        <v>1084</v>
      </c>
      <c r="D434" t="s">
        <v>160</v>
      </c>
      <c r="E434" s="9">
        <v>2103750</v>
      </c>
      <c r="F434" s="75" t="s">
        <v>1068</v>
      </c>
    </row>
    <row r="435" spans="1:6" x14ac:dyDescent="0.25">
      <c r="A435" s="1">
        <v>433</v>
      </c>
      <c r="B435" s="2" t="s">
        <v>1085</v>
      </c>
      <c r="C435" t="s">
        <v>1086</v>
      </c>
      <c r="D435" t="s">
        <v>1087</v>
      </c>
      <c r="E435" s="9">
        <v>2103750</v>
      </c>
      <c r="F435" s="75" t="s">
        <v>1068</v>
      </c>
    </row>
    <row r="436" spans="1:6" x14ac:dyDescent="0.25">
      <c r="A436" s="1">
        <v>434</v>
      </c>
      <c r="B436" s="2" t="s">
        <v>1088</v>
      </c>
      <c r="C436" t="s">
        <v>103</v>
      </c>
      <c r="D436" t="s">
        <v>1036</v>
      </c>
      <c r="E436" s="9">
        <v>2103750</v>
      </c>
      <c r="F436" s="75" t="s">
        <v>1068</v>
      </c>
    </row>
    <row r="437" spans="1:6" x14ac:dyDescent="0.25">
      <c r="A437" s="1">
        <v>435</v>
      </c>
      <c r="B437" s="2" t="s">
        <v>1089</v>
      </c>
      <c r="C437" t="s">
        <v>1090</v>
      </c>
      <c r="D437" t="s">
        <v>850</v>
      </c>
      <c r="E437" s="9">
        <v>2103750</v>
      </c>
      <c r="F437" s="75" t="s">
        <v>1068</v>
      </c>
    </row>
    <row r="438" spans="1:6" x14ac:dyDescent="0.25">
      <c r="A438" s="1">
        <v>436</v>
      </c>
      <c r="B438" s="2" t="s">
        <v>1091</v>
      </c>
      <c r="C438" t="s">
        <v>1092</v>
      </c>
      <c r="D438" t="s">
        <v>641</v>
      </c>
      <c r="E438" s="9">
        <v>2470000</v>
      </c>
      <c r="F438" s="75" t="s">
        <v>1068</v>
      </c>
    </row>
    <row r="439" spans="1:6" x14ac:dyDescent="0.25">
      <c r="A439" s="1">
        <v>437</v>
      </c>
      <c r="B439" s="2" t="s">
        <v>1093</v>
      </c>
      <c r="C439" t="s">
        <v>1094</v>
      </c>
      <c r="D439" t="s">
        <v>22</v>
      </c>
      <c r="E439" s="9">
        <v>2103750</v>
      </c>
      <c r="F439" s="75" t="s">
        <v>1068</v>
      </c>
    </row>
    <row r="440" spans="1:6" x14ac:dyDescent="0.25">
      <c r="A440" s="1">
        <v>438</v>
      </c>
      <c r="B440" s="2" t="s">
        <v>1095</v>
      </c>
      <c r="C440" t="s">
        <v>1096</v>
      </c>
      <c r="D440" t="s">
        <v>1097</v>
      </c>
      <c r="E440" s="9">
        <v>2103750</v>
      </c>
      <c r="F440" s="75" t="s">
        <v>1068</v>
      </c>
    </row>
    <row r="441" spans="1:6" x14ac:dyDescent="0.25">
      <c r="A441" s="1">
        <v>439</v>
      </c>
      <c r="B441" s="2" t="s">
        <v>1098</v>
      </c>
      <c r="C441" t="s">
        <v>1099</v>
      </c>
      <c r="D441" t="s">
        <v>57</v>
      </c>
      <c r="E441" s="9">
        <v>2103750</v>
      </c>
      <c r="F441" s="75" t="s">
        <v>1068</v>
      </c>
    </row>
    <row r="442" spans="1:6" x14ac:dyDescent="0.25">
      <c r="A442" s="1">
        <v>440</v>
      </c>
      <c r="B442" s="2">
        <v>25807900124</v>
      </c>
      <c r="C442" t="s">
        <v>1100</v>
      </c>
      <c r="D442" t="s">
        <v>160</v>
      </c>
      <c r="E442" s="8">
        <v>2600000</v>
      </c>
      <c r="F442" s="75" t="s">
        <v>1068</v>
      </c>
    </row>
    <row r="443" spans="1:6" x14ac:dyDescent="0.25">
      <c r="A443" s="1">
        <v>441</v>
      </c>
      <c r="B443" s="2" t="s">
        <v>1101</v>
      </c>
      <c r="C443" t="s">
        <v>1102</v>
      </c>
      <c r="D443" t="s">
        <v>1103</v>
      </c>
      <c r="E443" s="9">
        <v>2103750</v>
      </c>
      <c r="F443" s="10" t="s">
        <v>1104</v>
      </c>
    </row>
    <row r="444" spans="1:6" x14ac:dyDescent="0.25">
      <c r="A444" s="1">
        <v>442</v>
      </c>
      <c r="B444" s="2" t="s">
        <v>1105</v>
      </c>
      <c r="C444" t="s">
        <v>49</v>
      </c>
      <c r="D444" t="s">
        <v>490</v>
      </c>
      <c r="E444" s="9">
        <v>2103750</v>
      </c>
      <c r="F444" s="10" t="s">
        <v>1104</v>
      </c>
    </row>
    <row r="445" spans="1:6" x14ac:dyDescent="0.25">
      <c r="A445" s="1">
        <v>443</v>
      </c>
      <c r="B445" s="2" t="s">
        <v>1106</v>
      </c>
      <c r="C445" t="s">
        <v>1107</v>
      </c>
      <c r="D445" t="s">
        <v>942</v>
      </c>
      <c r="E445" s="9">
        <v>2103750</v>
      </c>
      <c r="F445" s="10" t="s">
        <v>1104</v>
      </c>
    </row>
    <row r="446" spans="1:6" x14ac:dyDescent="0.25">
      <c r="A446" s="1">
        <v>444</v>
      </c>
      <c r="B446" s="2" t="s">
        <v>1108</v>
      </c>
      <c r="C446" t="s">
        <v>269</v>
      </c>
      <c r="D446" t="s">
        <v>490</v>
      </c>
      <c r="E446" s="9">
        <v>2103750</v>
      </c>
      <c r="F446" s="10" t="s">
        <v>1104</v>
      </c>
    </row>
    <row r="447" spans="1:6" x14ac:dyDescent="0.25">
      <c r="A447" s="1">
        <v>445</v>
      </c>
      <c r="B447" s="2" t="s">
        <v>1109</v>
      </c>
      <c r="C447" t="s">
        <v>664</v>
      </c>
      <c r="D447" t="s">
        <v>236</v>
      </c>
      <c r="E447" s="9">
        <v>2103750</v>
      </c>
      <c r="F447" s="10" t="s">
        <v>1104</v>
      </c>
    </row>
    <row r="448" spans="1:6" x14ac:dyDescent="0.25">
      <c r="A448" s="1">
        <v>446</v>
      </c>
      <c r="B448" s="2" t="s">
        <v>1110</v>
      </c>
      <c r="C448" t="s">
        <v>1111</v>
      </c>
      <c r="D448" t="s">
        <v>484</v>
      </c>
      <c r="E448" s="9">
        <v>2103750</v>
      </c>
      <c r="F448" s="10" t="s">
        <v>1104</v>
      </c>
    </row>
    <row r="449" spans="1:6" x14ac:dyDescent="0.25">
      <c r="A449" s="1">
        <v>447</v>
      </c>
      <c r="B449" s="2" t="s">
        <v>1112</v>
      </c>
      <c r="C449" t="s">
        <v>1113</v>
      </c>
      <c r="D449" t="s">
        <v>43</v>
      </c>
      <c r="E449" s="9">
        <v>2103750</v>
      </c>
      <c r="F449" s="10" t="s">
        <v>1104</v>
      </c>
    </row>
    <row r="450" spans="1:6" x14ac:dyDescent="0.25">
      <c r="A450" s="1">
        <v>448</v>
      </c>
      <c r="B450" s="2" t="s">
        <v>1114</v>
      </c>
      <c r="C450" t="s">
        <v>1115</v>
      </c>
      <c r="D450" t="s">
        <v>22</v>
      </c>
      <c r="E450" s="11">
        <v>2470000</v>
      </c>
      <c r="F450" s="10" t="s">
        <v>1104</v>
      </c>
    </row>
    <row r="451" spans="1:6" x14ac:dyDescent="0.25">
      <c r="A451" s="1">
        <v>449</v>
      </c>
      <c r="B451" s="2" t="s">
        <v>1116</v>
      </c>
      <c r="C451" t="s">
        <v>1117</v>
      </c>
      <c r="D451" t="s">
        <v>116</v>
      </c>
      <c r="E451" s="9">
        <v>2103750</v>
      </c>
      <c r="F451" s="10" t="s">
        <v>1104</v>
      </c>
    </row>
    <row r="452" spans="1:6" x14ac:dyDescent="0.25">
      <c r="A452" s="1">
        <v>450</v>
      </c>
      <c r="B452" s="2" t="s">
        <v>1118</v>
      </c>
      <c r="C452" t="s">
        <v>1119</v>
      </c>
      <c r="D452" t="s">
        <v>658</v>
      </c>
      <c r="E452" s="9">
        <v>2103750</v>
      </c>
      <c r="F452" s="10" t="s">
        <v>1104</v>
      </c>
    </row>
    <row r="453" spans="1:6" x14ac:dyDescent="0.25">
      <c r="A453" s="1">
        <v>451</v>
      </c>
      <c r="B453" s="2" t="s">
        <v>1120</v>
      </c>
      <c r="C453" t="s">
        <v>1121</v>
      </c>
      <c r="D453" t="s">
        <v>344</v>
      </c>
      <c r="E453" s="9">
        <v>2103750</v>
      </c>
      <c r="F453" s="10" t="s">
        <v>1104</v>
      </c>
    </row>
    <row r="454" spans="1:6" x14ac:dyDescent="0.25">
      <c r="A454" s="1">
        <v>452</v>
      </c>
      <c r="B454" s="2" t="s">
        <v>1122</v>
      </c>
      <c r="C454" t="s">
        <v>1123</v>
      </c>
      <c r="D454" t="s">
        <v>1124</v>
      </c>
      <c r="E454" s="9">
        <v>2103750</v>
      </c>
      <c r="F454" s="10" t="s">
        <v>1104</v>
      </c>
    </row>
    <row r="455" spans="1:6" x14ac:dyDescent="0.25">
      <c r="A455" s="1">
        <v>453</v>
      </c>
      <c r="B455" s="2" t="s">
        <v>1125</v>
      </c>
      <c r="C455" t="s">
        <v>1126</v>
      </c>
      <c r="D455" t="s">
        <v>157</v>
      </c>
      <c r="E455" s="9">
        <v>2103750</v>
      </c>
      <c r="F455" s="10" t="s">
        <v>1104</v>
      </c>
    </row>
    <row r="456" spans="1:6" x14ac:dyDescent="0.25">
      <c r="A456" s="1">
        <v>454</v>
      </c>
      <c r="B456" s="2" t="s">
        <v>1127</v>
      </c>
      <c r="C456" t="s">
        <v>1128</v>
      </c>
      <c r="D456" t="s">
        <v>252</v>
      </c>
      <c r="E456" s="9">
        <v>2470000</v>
      </c>
      <c r="F456" s="10" t="s">
        <v>1104</v>
      </c>
    </row>
    <row r="457" spans="1:6" x14ac:dyDescent="0.25">
      <c r="A457" s="1">
        <v>455</v>
      </c>
      <c r="B457" s="2" t="s">
        <v>1129</v>
      </c>
      <c r="C457" t="s">
        <v>1130</v>
      </c>
      <c r="D457" t="s">
        <v>138</v>
      </c>
      <c r="E457" s="9">
        <v>2103750</v>
      </c>
      <c r="F457" s="10" t="s">
        <v>1104</v>
      </c>
    </row>
    <row r="458" spans="1:6" x14ac:dyDescent="0.25">
      <c r="A458" s="1">
        <v>456</v>
      </c>
      <c r="B458" s="2" t="s">
        <v>1131</v>
      </c>
      <c r="C458" t="s">
        <v>1132</v>
      </c>
      <c r="D458" t="s">
        <v>185</v>
      </c>
      <c r="E458" s="9">
        <v>2103750</v>
      </c>
      <c r="F458" s="10" t="s">
        <v>1104</v>
      </c>
    </row>
    <row r="459" spans="1:6" x14ac:dyDescent="0.25">
      <c r="A459" s="1">
        <v>457</v>
      </c>
      <c r="B459" s="2" t="s">
        <v>1133</v>
      </c>
      <c r="C459" t="s">
        <v>1134</v>
      </c>
      <c r="D459" t="s">
        <v>439</v>
      </c>
      <c r="E459" s="9">
        <v>2103750</v>
      </c>
      <c r="F459" s="10" t="s">
        <v>1104</v>
      </c>
    </row>
    <row r="460" spans="1:6" x14ac:dyDescent="0.25">
      <c r="A460" s="1">
        <v>458</v>
      </c>
      <c r="B460" s="2" t="s">
        <v>1137</v>
      </c>
      <c r="C460" t="s">
        <v>1126</v>
      </c>
      <c r="D460" t="s">
        <v>120</v>
      </c>
      <c r="E460" s="9">
        <v>2232500</v>
      </c>
      <c r="F460" s="10" t="s">
        <v>1104</v>
      </c>
    </row>
    <row r="461" spans="1:6" x14ac:dyDescent="0.25">
      <c r="A461" s="1">
        <v>459</v>
      </c>
      <c r="B461" s="2" t="s">
        <v>1138</v>
      </c>
      <c r="C461" t="s">
        <v>1139</v>
      </c>
      <c r="D461" t="s">
        <v>182</v>
      </c>
      <c r="E461" s="9">
        <v>2600000</v>
      </c>
      <c r="F461" s="10" t="s">
        <v>1104</v>
      </c>
    </row>
    <row r="462" spans="1:6" x14ac:dyDescent="0.25">
      <c r="A462" s="1">
        <v>460</v>
      </c>
      <c r="B462" s="2" t="s">
        <v>1140</v>
      </c>
      <c r="C462" t="s">
        <v>1141</v>
      </c>
      <c r="D462" t="s">
        <v>1142</v>
      </c>
      <c r="E462" s="9">
        <v>2103750</v>
      </c>
      <c r="F462" s="75" t="s">
        <v>1143</v>
      </c>
    </row>
    <row r="463" spans="1:6" x14ac:dyDescent="0.25">
      <c r="A463" s="1">
        <v>461</v>
      </c>
      <c r="B463" s="2" t="s">
        <v>1144</v>
      </c>
      <c r="C463" t="s">
        <v>852</v>
      </c>
      <c r="D463" t="s">
        <v>294</v>
      </c>
      <c r="E463" s="9">
        <v>2103750</v>
      </c>
      <c r="F463" s="75" t="s">
        <v>1143</v>
      </c>
    </row>
    <row r="464" spans="1:6" x14ac:dyDescent="0.25">
      <c r="A464" s="1">
        <v>462</v>
      </c>
      <c r="B464" s="2" t="s">
        <v>1145</v>
      </c>
      <c r="C464" t="s">
        <v>1146</v>
      </c>
      <c r="D464" t="s">
        <v>341</v>
      </c>
      <c r="E464" s="8">
        <v>2600000</v>
      </c>
      <c r="F464" s="75" t="s">
        <v>1143</v>
      </c>
    </row>
    <row r="465" spans="1:6" x14ac:dyDescent="0.25">
      <c r="A465" s="1">
        <v>463</v>
      </c>
      <c r="B465" s="2" t="s">
        <v>1147</v>
      </c>
      <c r="C465" t="s">
        <v>1148</v>
      </c>
      <c r="D465" t="s">
        <v>111</v>
      </c>
      <c r="E465" s="9">
        <v>2103750</v>
      </c>
      <c r="F465" s="75" t="s">
        <v>1143</v>
      </c>
    </row>
    <row r="466" spans="1:6" x14ac:dyDescent="0.25">
      <c r="A466" s="1">
        <v>464</v>
      </c>
      <c r="B466" s="2" t="s">
        <v>1149</v>
      </c>
      <c r="C466" t="s">
        <v>1150</v>
      </c>
      <c r="D466" t="s">
        <v>408</v>
      </c>
      <c r="E466" s="9">
        <v>2103750</v>
      </c>
      <c r="F466" s="75" t="s">
        <v>1143</v>
      </c>
    </row>
    <row r="467" spans="1:6" x14ac:dyDescent="0.25">
      <c r="A467" s="1">
        <v>465</v>
      </c>
      <c r="B467" s="2" t="s">
        <v>1151</v>
      </c>
      <c r="C467" t="s">
        <v>206</v>
      </c>
      <c r="D467" t="s">
        <v>207</v>
      </c>
      <c r="E467" s="9">
        <v>2103750</v>
      </c>
      <c r="F467" s="75" t="s">
        <v>1143</v>
      </c>
    </row>
    <row r="468" spans="1:6" x14ac:dyDescent="0.25">
      <c r="A468" s="1">
        <v>466</v>
      </c>
      <c r="B468" s="2" t="s">
        <v>1152</v>
      </c>
      <c r="C468" t="s">
        <v>1153</v>
      </c>
      <c r="D468" t="s">
        <v>474</v>
      </c>
      <c r="E468" s="9">
        <v>2103750</v>
      </c>
      <c r="F468" s="75" t="s">
        <v>1143</v>
      </c>
    </row>
    <row r="469" spans="1:6" x14ac:dyDescent="0.25">
      <c r="A469" s="1">
        <v>467</v>
      </c>
      <c r="B469" s="2" t="s">
        <v>1154</v>
      </c>
      <c r="C469" t="s">
        <v>1155</v>
      </c>
      <c r="D469" t="s">
        <v>160</v>
      </c>
      <c r="E469" s="9">
        <v>2103750</v>
      </c>
      <c r="F469" s="75" t="s">
        <v>1143</v>
      </c>
    </row>
    <row r="470" spans="1:6" x14ac:dyDescent="0.25">
      <c r="A470" s="1">
        <v>468</v>
      </c>
      <c r="B470" s="2" t="s">
        <v>1156</v>
      </c>
      <c r="C470" t="s">
        <v>1157</v>
      </c>
      <c r="D470" t="s">
        <v>66</v>
      </c>
      <c r="E470" s="9">
        <v>2103750</v>
      </c>
      <c r="F470" s="75" t="s">
        <v>1143</v>
      </c>
    </row>
    <row r="471" spans="1:6" x14ac:dyDescent="0.25">
      <c r="A471" s="1">
        <v>469</v>
      </c>
      <c r="B471" s="2" t="s">
        <v>1158</v>
      </c>
      <c r="C471" t="s">
        <v>1159</v>
      </c>
      <c r="D471" t="s">
        <v>78</v>
      </c>
      <c r="E471" s="9">
        <v>2103750</v>
      </c>
      <c r="F471" s="75" t="s">
        <v>1143</v>
      </c>
    </row>
    <row r="472" spans="1:6" x14ac:dyDescent="0.25">
      <c r="A472" s="1">
        <v>470</v>
      </c>
      <c r="B472" s="2" t="s">
        <v>1160</v>
      </c>
      <c r="C472" t="s">
        <v>534</v>
      </c>
      <c r="D472" t="s">
        <v>1161</v>
      </c>
      <c r="E472" s="9">
        <v>2103750</v>
      </c>
      <c r="F472" s="75" t="s">
        <v>1143</v>
      </c>
    </row>
    <row r="473" spans="1:6" x14ac:dyDescent="0.25">
      <c r="A473" s="1">
        <v>471</v>
      </c>
      <c r="B473" s="2" t="s">
        <v>1162</v>
      </c>
      <c r="C473" t="s">
        <v>1163</v>
      </c>
      <c r="D473" t="s">
        <v>66</v>
      </c>
      <c r="E473" s="9">
        <v>2103750</v>
      </c>
      <c r="F473" s="75" t="s">
        <v>1143</v>
      </c>
    </row>
    <row r="474" spans="1:6" x14ac:dyDescent="0.25">
      <c r="A474" s="1">
        <v>472</v>
      </c>
      <c r="B474" s="2" t="s">
        <v>1164</v>
      </c>
      <c r="C474" t="s">
        <v>1165</v>
      </c>
      <c r="D474" t="s">
        <v>544</v>
      </c>
      <c r="E474" s="9">
        <v>2103750</v>
      </c>
      <c r="F474" s="75" t="s">
        <v>1143</v>
      </c>
    </row>
    <row r="475" spans="1:6" x14ac:dyDescent="0.25">
      <c r="A475" s="1">
        <v>473</v>
      </c>
      <c r="B475" s="2" t="s">
        <v>1166</v>
      </c>
      <c r="C475" t="s">
        <v>1167</v>
      </c>
      <c r="D475" t="s">
        <v>500</v>
      </c>
      <c r="E475" s="9">
        <v>2103750</v>
      </c>
      <c r="F475" s="75" t="s">
        <v>1143</v>
      </c>
    </row>
    <row r="476" spans="1:6" x14ac:dyDescent="0.25">
      <c r="A476" s="1">
        <v>474</v>
      </c>
      <c r="B476" s="2" t="s">
        <v>1168</v>
      </c>
      <c r="C476" t="s">
        <v>1169</v>
      </c>
      <c r="D476" t="s">
        <v>270</v>
      </c>
      <c r="E476" s="9">
        <v>2103750</v>
      </c>
      <c r="F476" s="75" t="s">
        <v>1143</v>
      </c>
    </row>
    <row r="477" spans="1:6" x14ac:dyDescent="0.25">
      <c r="A477" s="1">
        <v>475</v>
      </c>
      <c r="B477" s="2" t="s">
        <v>1170</v>
      </c>
      <c r="C477" t="s">
        <v>426</v>
      </c>
      <c r="D477" t="s">
        <v>842</v>
      </c>
      <c r="E477" s="9">
        <v>2600000</v>
      </c>
      <c r="F477" s="75" t="s">
        <v>1143</v>
      </c>
    </row>
    <row r="478" spans="1:6" x14ac:dyDescent="0.25">
      <c r="A478" s="1">
        <v>476</v>
      </c>
      <c r="B478" s="2" t="s">
        <v>1171</v>
      </c>
      <c r="C478" t="s">
        <v>1172</v>
      </c>
      <c r="D478" t="s">
        <v>929</v>
      </c>
      <c r="E478" s="9">
        <v>2103750</v>
      </c>
      <c r="F478" s="75" t="s">
        <v>1143</v>
      </c>
    </row>
    <row r="479" spans="1:6" x14ac:dyDescent="0.25">
      <c r="A479" s="1">
        <v>477</v>
      </c>
      <c r="B479" s="2" t="s">
        <v>1173</v>
      </c>
      <c r="C479" t="s">
        <v>1174</v>
      </c>
      <c r="D479" t="s">
        <v>636</v>
      </c>
      <c r="E479" s="9">
        <v>2103750</v>
      </c>
      <c r="F479" s="75" t="s">
        <v>1143</v>
      </c>
    </row>
    <row r="480" spans="1:6" x14ac:dyDescent="0.25">
      <c r="A480" s="1">
        <v>478</v>
      </c>
      <c r="B480" s="2" t="s">
        <v>1175</v>
      </c>
      <c r="C480" t="s">
        <v>1176</v>
      </c>
      <c r="D480" t="s">
        <v>450</v>
      </c>
      <c r="E480" s="9">
        <v>2103750</v>
      </c>
      <c r="F480" s="75" t="s">
        <v>1143</v>
      </c>
    </row>
    <row r="481" spans="1:6" x14ac:dyDescent="0.25">
      <c r="A481" s="1">
        <v>479</v>
      </c>
      <c r="B481" s="2" t="s">
        <v>1177</v>
      </c>
      <c r="C481" t="s">
        <v>391</v>
      </c>
      <c r="D481" t="s">
        <v>344</v>
      </c>
      <c r="E481" s="9">
        <v>2103750</v>
      </c>
      <c r="F481" s="75" t="s">
        <v>1143</v>
      </c>
    </row>
    <row r="482" spans="1:6" x14ac:dyDescent="0.25">
      <c r="A482" s="1">
        <v>480</v>
      </c>
      <c r="B482" s="2" t="s">
        <v>1178</v>
      </c>
      <c r="C482" t="s">
        <v>1179</v>
      </c>
      <c r="D482" t="s">
        <v>175</v>
      </c>
      <c r="E482" s="9">
        <v>2103750</v>
      </c>
      <c r="F482" s="75" t="s">
        <v>1143</v>
      </c>
    </row>
    <row r="483" spans="1:6" x14ac:dyDescent="0.25">
      <c r="A483" s="1">
        <v>481</v>
      </c>
      <c r="B483" s="2" t="s">
        <v>1180</v>
      </c>
      <c r="C483" t="s">
        <v>1181</v>
      </c>
      <c r="D483" t="s">
        <v>157</v>
      </c>
      <c r="E483" s="9">
        <v>2103750</v>
      </c>
      <c r="F483" s="75" t="s">
        <v>1143</v>
      </c>
    </row>
    <row r="484" spans="1:6" x14ac:dyDescent="0.25">
      <c r="A484" s="1">
        <v>482</v>
      </c>
      <c r="B484" s="2" t="s">
        <v>1182</v>
      </c>
      <c r="C484" t="s">
        <v>38</v>
      </c>
      <c r="D484" t="s">
        <v>1183</v>
      </c>
      <c r="E484" s="9">
        <v>2103750</v>
      </c>
      <c r="F484" s="75" t="s">
        <v>1143</v>
      </c>
    </row>
    <row r="485" spans="1:6" x14ac:dyDescent="0.25">
      <c r="A485" s="1">
        <v>483</v>
      </c>
      <c r="B485" s="2" t="s">
        <v>1184</v>
      </c>
      <c r="C485" t="s">
        <v>1185</v>
      </c>
      <c r="D485" t="s">
        <v>1186</v>
      </c>
      <c r="E485" s="11">
        <v>2470000</v>
      </c>
      <c r="F485" s="75" t="s">
        <v>1143</v>
      </c>
    </row>
    <row r="486" spans="1:6" x14ac:dyDescent="0.25">
      <c r="A486" s="1">
        <v>484</v>
      </c>
      <c r="B486" s="2">
        <v>25808700098</v>
      </c>
      <c r="C486" t="s">
        <v>1187</v>
      </c>
      <c r="D486" t="s">
        <v>239</v>
      </c>
      <c r="E486" s="8">
        <v>2600000</v>
      </c>
      <c r="F486" s="75" t="s">
        <v>1143</v>
      </c>
    </row>
    <row r="487" spans="1:6" x14ac:dyDescent="0.25">
      <c r="A487" s="1">
        <v>485</v>
      </c>
      <c r="B487" s="2" t="s">
        <v>1188</v>
      </c>
      <c r="C487" t="s">
        <v>1189</v>
      </c>
      <c r="D487" t="s">
        <v>160</v>
      </c>
      <c r="E487" s="9">
        <v>2103750</v>
      </c>
      <c r="F487" s="10" t="s">
        <v>1190</v>
      </c>
    </row>
    <row r="488" spans="1:6" x14ac:dyDescent="0.25">
      <c r="A488" s="1">
        <v>486</v>
      </c>
      <c r="B488" s="2" t="s">
        <v>1191</v>
      </c>
      <c r="C488" t="s">
        <v>1126</v>
      </c>
      <c r="D488" t="s">
        <v>563</v>
      </c>
      <c r="E488" s="9">
        <v>2103750</v>
      </c>
      <c r="F488" s="10" t="s">
        <v>1190</v>
      </c>
    </row>
    <row r="489" spans="1:6" x14ac:dyDescent="0.25">
      <c r="A489" s="1">
        <v>487</v>
      </c>
      <c r="B489" s="2" t="s">
        <v>1192</v>
      </c>
      <c r="C489" t="s">
        <v>1193</v>
      </c>
      <c r="D489" t="s">
        <v>138</v>
      </c>
      <c r="E489" s="9">
        <v>2103750</v>
      </c>
      <c r="F489" s="10" t="s">
        <v>1190</v>
      </c>
    </row>
    <row r="490" spans="1:6" x14ac:dyDescent="0.25">
      <c r="A490" s="1">
        <v>488</v>
      </c>
      <c r="B490" s="2" t="s">
        <v>1194</v>
      </c>
      <c r="C490" t="s">
        <v>1195</v>
      </c>
      <c r="D490" t="s">
        <v>500</v>
      </c>
      <c r="E490" s="9">
        <v>2103750</v>
      </c>
      <c r="F490" s="10" t="s">
        <v>1190</v>
      </c>
    </row>
    <row r="491" spans="1:6" x14ac:dyDescent="0.25">
      <c r="A491" s="1">
        <v>489</v>
      </c>
      <c r="B491" s="2" t="s">
        <v>1196</v>
      </c>
      <c r="C491" t="s">
        <v>1197</v>
      </c>
      <c r="D491" t="s">
        <v>120</v>
      </c>
      <c r="E491" s="9">
        <v>2103750</v>
      </c>
      <c r="F491" s="10" t="s">
        <v>1190</v>
      </c>
    </row>
    <row r="492" spans="1:6" x14ac:dyDescent="0.25">
      <c r="A492" s="1">
        <v>490</v>
      </c>
      <c r="B492" s="2" t="s">
        <v>1198</v>
      </c>
      <c r="C492" t="s">
        <v>1199</v>
      </c>
      <c r="D492" t="s">
        <v>590</v>
      </c>
      <c r="E492" s="9">
        <v>2600000</v>
      </c>
      <c r="F492" s="10" t="s">
        <v>1190</v>
      </c>
    </row>
    <row r="493" spans="1:6" x14ac:dyDescent="0.25">
      <c r="A493" s="1">
        <v>491</v>
      </c>
      <c r="B493" s="2" t="s">
        <v>1200</v>
      </c>
      <c r="C493" t="s">
        <v>1201</v>
      </c>
      <c r="D493" t="s">
        <v>116</v>
      </c>
      <c r="E493" s="9">
        <v>2103750</v>
      </c>
      <c r="F493" s="10" t="s">
        <v>1190</v>
      </c>
    </row>
    <row r="494" spans="1:6" x14ac:dyDescent="0.25">
      <c r="A494" s="1">
        <v>492</v>
      </c>
      <c r="B494" s="2" t="s">
        <v>1202</v>
      </c>
      <c r="C494" t="s">
        <v>1203</v>
      </c>
      <c r="D494" t="s">
        <v>88</v>
      </c>
      <c r="E494" s="9">
        <v>2103750</v>
      </c>
      <c r="F494" s="10" t="s">
        <v>1190</v>
      </c>
    </row>
    <row r="495" spans="1:6" x14ac:dyDescent="0.25">
      <c r="A495" s="1">
        <v>493</v>
      </c>
      <c r="B495" s="2" t="s">
        <v>1204</v>
      </c>
      <c r="C495" t="s">
        <v>1205</v>
      </c>
      <c r="D495" t="s">
        <v>1206</v>
      </c>
      <c r="E495" s="9">
        <v>2103750</v>
      </c>
      <c r="F495" s="10" t="s">
        <v>1190</v>
      </c>
    </row>
    <row r="496" spans="1:6" x14ac:dyDescent="0.25">
      <c r="A496" s="1">
        <v>494</v>
      </c>
      <c r="B496" s="2" t="s">
        <v>1207</v>
      </c>
      <c r="C496" t="s">
        <v>1208</v>
      </c>
      <c r="D496" t="s">
        <v>563</v>
      </c>
      <c r="E496" s="9">
        <v>2103750</v>
      </c>
      <c r="F496" s="10" t="s">
        <v>1190</v>
      </c>
    </row>
    <row r="497" spans="1:6" x14ac:dyDescent="0.25">
      <c r="A497" s="1">
        <v>495</v>
      </c>
      <c r="B497" s="2" t="s">
        <v>1209</v>
      </c>
      <c r="C497" t="s">
        <v>1210</v>
      </c>
      <c r="D497" t="s">
        <v>384</v>
      </c>
      <c r="E497" s="9">
        <v>2103750</v>
      </c>
      <c r="F497" s="10" t="s">
        <v>1190</v>
      </c>
    </row>
    <row r="498" spans="1:6" x14ac:dyDescent="0.25">
      <c r="A498" s="1">
        <v>496</v>
      </c>
      <c r="B498" s="2" t="s">
        <v>1211</v>
      </c>
      <c r="C498" t="s">
        <v>181</v>
      </c>
      <c r="D498" t="s">
        <v>1011</v>
      </c>
      <c r="E498" s="9">
        <v>2103750</v>
      </c>
      <c r="F498" s="10" t="s">
        <v>1190</v>
      </c>
    </row>
    <row r="499" spans="1:6" x14ac:dyDescent="0.25">
      <c r="A499" s="1">
        <v>497</v>
      </c>
      <c r="B499" s="2" t="s">
        <v>1212</v>
      </c>
      <c r="C499" t="s">
        <v>249</v>
      </c>
      <c r="D499" t="s">
        <v>484</v>
      </c>
      <c r="E499" s="9">
        <v>2103750</v>
      </c>
      <c r="F499" s="10" t="s">
        <v>1190</v>
      </c>
    </row>
    <row r="500" spans="1:6" x14ac:dyDescent="0.25">
      <c r="A500" s="1">
        <v>498</v>
      </c>
      <c r="B500" s="2" t="s">
        <v>1213</v>
      </c>
      <c r="C500" t="s">
        <v>1214</v>
      </c>
      <c r="D500" t="s">
        <v>57</v>
      </c>
      <c r="E500" s="9">
        <v>2103750</v>
      </c>
      <c r="F500" s="10" t="s">
        <v>1190</v>
      </c>
    </row>
    <row r="501" spans="1:6" x14ac:dyDescent="0.25">
      <c r="A501" s="1">
        <v>499</v>
      </c>
      <c r="B501" s="2" t="s">
        <v>1215</v>
      </c>
      <c r="C501" t="s">
        <v>1216</v>
      </c>
      <c r="D501" t="s">
        <v>160</v>
      </c>
      <c r="E501" s="9">
        <v>2103750</v>
      </c>
      <c r="F501" s="10" t="s">
        <v>1190</v>
      </c>
    </row>
    <row r="502" spans="1:6" x14ac:dyDescent="0.25">
      <c r="A502" s="1">
        <v>500</v>
      </c>
      <c r="B502" s="2" t="s">
        <v>1217</v>
      </c>
      <c r="C502" t="s">
        <v>293</v>
      </c>
      <c r="D502" t="s">
        <v>47</v>
      </c>
      <c r="E502" s="9">
        <v>2103750</v>
      </c>
      <c r="F502" s="10" t="s">
        <v>1190</v>
      </c>
    </row>
    <row r="503" spans="1:6" x14ac:dyDescent="0.25">
      <c r="A503" s="1">
        <v>501</v>
      </c>
      <c r="B503" s="2" t="s">
        <v>1218</v>
      </c>
      <c r="C503" t="s">
        <v>489</v>
      </c>
      <c r="D503" t="s">
        <v>34</v>
      </c>
      <c r="E503" s="9">
        <v>2103750</v>
      </c>
      <c r="F503" s="10" t="s">
        <v>1190</v>
      </c>
    </row>
    <row r="504" spans="1:6" x14ac:dyDescent="0.25">
      <c r="A504" s="1">
        <v>502</v>
      </c>
      <c r="B504" s="2">
        <v>25801200059</v>
      </c>
      <c r="C504" t="s">
        <v>402</v>
      </c>
      <c r="D504" t="s">
        <v>1219</v>
      </c>
      <c r="E504" s="11">
        <v>2470000</v>
      </c>
      <c r="F504" s="10" t="s">
        <v>1190</v>
      </c>
    </row>
    <row r="505" spans="1:6" x14ac:dyDescent="0.25">
      <c r="A505" s="1">
        <v>503</v>
      </c>
      <c r="B505" s="2" t="s">
        <v>1220</v>
      </c>
      <c r="C505" t="s">
        <v>38</v>
      </c>
      <c r="D505" t="s">
        <v>70</v>
      </c>
      <c r="E505" s="9">
        <v>2103750</v>
      </c>
      <c r="F505" s="75" t="s">
        <v>1221</v>
      </c>
    </row>
    <row r="506" spans="1:6" x14ac:dyDescent="0.25">
      <c r="A506" s="1">
        <v>504</v>
      </c>
      <c r="B506" s="2" t="s">
        <v>1222</v>
      </c>
      <c r="C506" t="s">
        <v>1223</v>
      </c>
      <c r="D506" t="s">
        <v>1224</v>
      </c>
      <c r="E506" s="9">
        <v>2103750</v>
      </c>
      <c r="F506" s="75" t="s">
        <v>1221</v>
      </c>
    </row>
    <row r="507" spans="1:6" x14ac:dyDescent="0.25">
      <c r="A507" s="1">
        <v>505</v>
      </c>
      <c r="B507" s="2" t="s">
        <v>1225</v>
      </c>
      <c r="C507" t="s">
        <v>1226</v>
      </c>
      <c r="D507" t="s">
        <v>160</v>
      </c>
      <c r="E507" s="9">
        <v>2103750</v>
      </c>
      <c r="F507" s="75" t="s">
        <v>1221</v>
      </c>
    </row>
    <row r="508" spans="1:6" x14ac:dyDescent="0.25">
      <c r="A508" s="1">
        <v>506</v>
      </c>
      <c r="B508" s="2" t="s">
        <v>1227</v>
      </c>
      <c r="C508" t="s">
        <v>1228</v>
      </c>
      <c r="D508" t="s">
        <v>207</v>
      </c>
      <c r="E508" s="9">
        <v>2103750</v>
      </c>
      <c r="F508" s="75" t="s">
        <v>1221</v>
      </c>
    </row>
    <row r="509" spans="1:6" x14ac:dyDescent="0.25">
      <c r="A509" s="1">
        <v>507</v>
      </c>
      <c r="B509" s="2" t="s">
        <v>1229</v>
      </c>
      <c r="C509" t="s">
        <v>1230</v>
      </c>
      <c r="D509" t="s">
        <v>563</v>
      </c>
      <c r="E509" s="9">
        <v>2103750</v>
      </c>
      <c r="F509" s="75" t="s">
        <v>1221</v>
      </c>
    </row>
    <row r="510" spans="1:6" x14ac:dyDescent="0.25">
      <c r="A510" s="1">
        <v>508</v>
      </c>
      <c r="B510" s="2" t="s">
        <v>1231</v>
      </c>
      <c r="C510" t="s">
        <v>1232</v>
      </c>
      <c r="D510" t="s">
        <v>131</v>
      </c>
      <c r="E510" s="9">
        <v>2103750</v>
      </c>
      <c r="F510" s="75" t="s">
        <v>1221</v>
      </c>
    </row>
    <row r="511" spans="1:6" x14ac:dyDescent="0.25">
      <c r="A511" s="1">
        <v>509</v>
      </c>
      <c r="B511" s="2" t="s">
        <v>1233</v>
      </c>
      <c r="C511" t="s">
        <v>1234</v>
      </c>
      <c r="D511" t="s">
        <v>1235</v>
      </c>
      <c r="E511" s="9">
        <v>2103750</v>
      </c>
      <c r="F511" s="75" t="s">
        <v>1221</v>
      </c>
    </row>
    <row r="512" spans="1:6" x14ac:dyDescent="0.25">
      <c r="A512" s="1">
        <v>510</v>
      </c>
      <c r="B512" s="2" t="s">
        <v>1236</v>
      </c>
      <c r="C512" t="s">
        <v>1237</v>
      </c>
      <c r="D512" t="s">
        <v>160</v>
      </c>
      <c r="E512" s="9">
        <v>2103750</v>
      </c>
      <c r="F512" s="75" t="s">
        <v>1221</v>
      </c>
    </row>
    <row r="513" spans="1:6" x14ac:dyDescent="0.25">
      <c r="A513" s="1">
        <v>511</v>
      </c>
      <c r="B513" s="2" t="s">
        <v>1238</v>
      </c>
      <c r="C513" t="s">
        <v>1239</v>
      </c>
      <c r="D513" t="s">
        <v>907</v>
      </c>
      <c r="E513" s="9">
        <v>2103750</v>
      </c>
      <c r="F513" s="75" t="s">
        <v>1221</v>
      </c>
    </row>
    <row r="514" spans="1:6" x14ac:dyDescent="0.25">
      <c r="A514" s="1">
        <v>512</v>
      </c>
      <c r="B514" s="2" t="s">
        <v>1240</v>
      </c>
      <c r="C514" t="s">
        <v>1241</v>
      </c>
      <c r="D514" t="s">
        <v>182</v>
      </c>
      <c r="E514" s="9">
        <v>2103750</v>
      </c>
      <c r="F514" s="75" t="s">
        <v>1221</v>
      </c>
    </row>
    <row r="515" spans="1:6" x14ac:dyDescent="0.25">
      <c r="A515" s="1">
        <v>513</v>
      </c>
      <c r="B515" s="2" t="s">
        <v>1242</v>
      </c>
      <c r="C515" t="s">
        <v>1243</v>
      </c>
      <c r="D515" t="s">
        <v>157</v>
      </c>
      <c r="E515" s="9">
        <v>2103750</v>
      </c>
      <c r="F515" s="75" t="s">
        <v>1221</v>
      </c>
    </row>
    <row r="516" spans="1:6" x14ac:dyDescent="0.25">
      <c r="A516" s="1">
        <v>514</v>
      </c>
      <c r="B516" s="2" t="s">
        <v>1244</v>
      </c>
      <c r="C516" t="s">
        <v>1245</v>
      </c>
      <c r="D516" t="s">
        <v>182</v>
      </c>
      <c r="E516" s="9">
        <v>2103750</v>
      </c>
      <c r="F516" s="75" t="s">
        <v>1221</v>
      </c>
    </row>
    <row r="517" spans="1:6" x14ac:dyDescent="0.25">
      <c r="A517" s="1">
        <v>515</v>
      </c>
      <c r="B517" s="2" t="s">
        <v>1246</v>
      </c>
      <c r="C517" t="s">
        <v>1247</v>
      </c>
      <c r="D517" t="s">
        <v>392</v>
      </c>
      <c r="E517" s="9">
        <v>2103750</v>
      </c>
      <c r="F517" s="75" t="s">
        <v>1221</v>
      </c>
    </row>
    <row r="518" spans="1:6" x14ac:dyDescent="0.25">
      <c r="A518" s="1">
        <v>516</v>
      </c>
      <c r="B518" s="2" t="s">
        <v>1248</v>
      </c>
      <c r="C518" t="s">
        <v>1249</v>
      </c>
      <c r="D518" t="s">
        <v>376</v>
      </c>
      <c r="E518" s="9">
        <v>2103750</v>
      </c>
      <c r="F518" s="75" t="s">
        <v>1221</v>
      </c>
    </row>
    <row r="519" spans="1:6" x14ac:dyDescent="0.25">
      <c r="A519" s="1">
        <v>517</v>
      </c>
      <c r="B519" s="2" t="s">
        <v>1250</v>
      </c>
      <c r="C519" t="s">
        <v>1251</v>
      </c>
      <c r="D519" t="s">
        <v>78</v>
      </c>
      <c r="E519" s="9">
        <v>2103750</v>
      </c>
      <c r="F519" s="75" t="s">
        <v>1221</v>
      </c>
    </row>
    <row r="520" spans="1:6" x14ac:dyDescent="0.25">
      <c r="A520" s="1">
        <v>518</v>
      </c>
      <c r="B520" s="2" t="s">
        <v>1252</v>
      </c>
      <c r="C520" t="s">
        <v>1253</v>
      </c>
      <c r="D520" t="s">
        <v>97</v>
      </c>
      <c r="E520" s="11">
        <v>2470000</v>
      </c>
      <c r="F520" s="75" t="s">
        <v>1221</v>
      </c>
    </row>
    <row r="521" spans="1:6" x14ac:dyDescent="0.25">
      <c r="A521" s="1">
        <v>519</v>
      </c>
      <c r="B521" s="2" t="s">
        <v>1254</v>
      </c>
      <c r="C521" t="s">
        <v>1255</v>
      </c>
      <c r="D521" t="s">
        <v>120</v>
      </c>
      <c r="E521" s="11">
        <v>2470000</v>
      </c>
      <c r="F521" s="75" t="s">
        <v>1221</v>
      </c>
    </row>
    <row r="522" spans="1:6" x14ac:dyDescent="0.25">
      <c r="A522" s="1">
        <v>520</v>
      </c>
      <c r="B522" s="2" t="s">
        <v>1256</v>
      </c>
      <c r="C522" t="s">
        <v>143</v>
      </c>
      <c r="D522" t="s">
        <v>151</v>
      </c>
      <c r="E522" s="9">
        <v>2103750</v>
      </c>
      <c r="F522" s="75" t="s">
        <v>1221</v>
      </c>
    </row>
    <row r="523" spans="1:6" x14ac:dyDescent="0.25">
      <c r="A523" s="1">
        <v>521</v>
      </c>
      <c r="B523" s="2" t="s">
        <v>1257</v>
      </c>
      <c r="C523" t="s">
        <v>1258</v>
      </c>
      <c r="D523" t="s">
        <v>157</v>
      </c>
      <c r="E523" s="9">
        <v>2103750</v>
      </c>
      <c r="F523" s="10" t="s">
        <v>1259</v>
      </c>
    </row>
    <row r="524" spans="1:6" x14ac:dyDescent="0.25">
      <c r="A524" s="1">
        <v>522</v>
      </c>
      <c r="B524" s="2" t="s">
        <v>1260</v>
      </c>
      <c r="C524" t="s">
        <v>179</v>
      </c>
      <c r="D524" t="s">
        <v>104</v>
      </c>
      <c r="E524" s="9">
        <v>2103750</v>
      </c>
      <c r="F524" s="10" t="s">
        <v>1259</v>
      </c>
    </row>
    <row r="525" spans="1:6" x14ac:dyDescent="0.25">
      <c r="A525" s="1">
        <v>523</v>
      </c>
      <c r="B525" s="2" t="s">
        <v>1261</v>
      </c>
      <c r="C525" t="s">
        <v>1262</v>
      </c>
      <c r="D525" t="s">
        <v>97</v>
      </c>
      <c r="E525" s="9">
        <v>2103750</v>
      </c>
      <c r="F525" s="10" t="s">
        <v>1259</v>
      </c>
    </row>
    <row r="526" spans="1:6" x14ac:dyDescent="0.25">
      <c r="A526" s="1">
        <v>524</v>
      </c>
      <c r="B526" s="2" t="s">
        <v>1263</v>
      </c>
      <c r="C526" t="s">
        <v>1264</v>
      </c>
      <c r="D526" t="s">
        <v>157</v>
      </c>
      <c r="E526" s="9">
        <v>2103750</v>
      </c>
      <c r="F526" s="10" t="s">
        <v>1259</v>
      </c>
    </row>
    <row r="527" spans="1:6" x14ac:dyDescent="0.25">
      <c r="A527" s="1">
        <v>525</v>
      </c>
      <c r="B527" s="2" t="s">
        <v>1265</v>
      </c>
      <c r="C527" s="12" t="s">
        <v>1024</v>
      </c>
      <c r="D527" s="12" t="s">
        <v>599</v>
      </c>
      <c r="E527" s="9">
        <v>2103750</v>
      </c>
      <c r="F527" s="10" t="s">
        <v>1259</v>
      </c>
    </row>
    <row r="528" spans="1:6" x14ac:dyDescent="0.25">
      <c r="A528" s="1">
        <v>526</v>
      </c>
      <c r="B528" s="2" t="s">
        <v>1266</v>
      </c>
      <c r="C528" t="s">
        <v>1267</v>
      </c>
      <c r="D528" t="s">
        <v>867</v>
      </c>
      <c r="E528" s="9">
        <v>2103750</v>
      </c>
      <c r="F528" s="10" t="s">
        <v>1259</v>
      </c>
    </row>
    <row r="529" spans="1:6" x14ac:dyDescent="0.25">
      <c r="A529" s="1">
        <v>527</v>
      </c>
      <c r="B529" s="2" t="s">
        <v>1268</v>
      </c>
      <c r="C529" t="s">
        <v>1269</v>
      </c>
      <c r="D529" t="s">
        <v>78</v>
      </c>
      <c r="E529" s="9">
        <v>2103750</v>
      </c>
      <c r="F529" s="10" t="s">
        <v>1259</v>
      </c>
    </row>
    <row r="530" spans="1:6" x14ac:dyDescent="0.25">
      <c r="A530" s="1">
        <v>528</v>
      </c>
      <c r="B530" s="2" t="s">
        <v>1270</v>
      </c>
      <c r="C530" t="s">
        <v>1271</v>
      </c>
      <c r="D530" t="s">
        <v>708</v>
      </c>
      <c r="E530" s="9">
        <v>2103750</v>
      </c>
      <c r="F530" s="10" t="s">
        <v>1259</v>
      </c>
    </row>
    <row r="531" spans="1:6" x14ac:dyDescent="0.25">
      <c r="A531" s="1">
        <v>529</v>
      </c>
      <c r="B531" s="2" t="s">
        <v>1272</v>
      </c>
      <c r="C531" t="s">
        <v>418</v>
      </c>
      <c r="D531" t="s">
        <v>1273</v>
      </c>
      <c r="E531" s="9">
        <v>2103750</v>
      </c>
      <c r="F531" s="10" t="s">
        <v>1259</v>
      </c>
    </row>
    <row r="532" spans="1:6" x14ac:dyDescent="0.25">
      <c r="A532" s="1">
        <v>530</v>
      </c>
      <c r="B532" s="2" t="s">
        <v>1274</v>
      </c>
      <c r="C532" t="s">
        <v>1275</v>
      </c>
      <c r="D532" t="s">
        <v>474</v>
      </c>
      <c r="E532" s="9">
        <v>2103750</v>
      </c>
      <c r="F532" s="10" t="s">
        <v>1259</v>
      </c>
    </row>
    <row r="533" spans="1:6" x14ac:dyDescent="0.25">
      <c r="A533" s="1">
        <v>531</v>
      </c>
      <c r="B533" s="2" t="s">
        <v>1276</v>
      </c>
      <c r="C533" t="s">
        <v>1277</v>
      </c>
      <c r="D533" t="s">
        <v>91</v>
      </c>
      <c r="E533" s="9">
        <v>2103750</v>
      </c>
      <c r="F533" s="10" t="s">
        <v>1259</v>
      </c>
    </row>
    <row r="534" spans="1:6" x14ac:dyDescent="0.25">
      <c r="A534" s="1">
        <v>532</v>
      </c>
      <c r="B534" s="2" t="s">
        <v>1278</v>
      </c>
      <c r="C534" t="s">
        <v>1279</v>
      </c>
      <c r="D534" t="s">
        <v>91</v>
      </c>
      <c r="E534" s="9">
        <v>2103750</v>
      </c>
      <c r="F534" s="10" t="s">
        <v>1259</v>
      </c>
    </row>
    <row r="535" spans="1:6" x14ac:dyDescent="0.25">
      <c r="A535" s="1">
        <v>533</v>
      </c>
      <c r="B535" s="2" t="s">
        <v>1280</v>
      </c>
      <c r="C535" s="12" t="s">
        <v>805</v>
      </c>
      <c r="D535" s="12" t="s">
        <v>821</v>
      </c>
      <c r="E535" s="9">
        <v>2103750</v>
      </c>
      <c r="F535" s="10" t="s">
        <v>1259</v>
      </c>
    </row>
    <row r="536" spans="1:6" x14ac:dyDescent="0.25">
      <c r="A536" s="1">
        <v>534</v>
      </c>
      <c r="B536" s="2" t="s">
        <v>1281</v>
      </c>
      <c r="C536" s="12" t="s">
        <v>1282</v>
      </c>
      <c r="D536" s="12" t="s">
        <v>120</v>
      </c>
      <c r="E536" s="9">
        <v>2103750</v>
      </c>
      <c r="F536" s="10" t="s">
        <v>1259</v>
      </c>
    </row>
    <row r="537" spans="1:6" x14ac:dyDescent="0.25">
      <c r="A537" s="1">
        <v>535</v>
      </c>
      <c r="B537" s="2" t="s">
        <v>1283</v>
      </c>
      <c r="C537" s="12" t="s">
        <v>1284</v>
      </c>
      <c r="D537" s="12" t="s">
        <v>494</v>
      </c>
      <c r="E537" s="9">
        <v>2103750</v>
      </c>
      <c r="F537" s="10" t="s">
        <v>1259</v>
      </c>
    </row>
    <row r="538" spans="1:6" x14ac:dyDescent="0.25">
      <c r="A538" s="1">
        <v>536</v>
      </c>
      <c r="B538" s="2" t="s">
        <v>1285</v>
      </c>
      <c r="C538" s="12" t="s">
        <v>1286</v>
      </c>
      <c r="D538" s="12" t="s">
        <v>651</v>
      </c>
      <c r="E538" s="11">
        <v>2470000</v>
      </c>
      <c r="F538" s="10" t="s">
        <v>1259</v>
      </c>
    </row>
    <row r="539" spans="1:6" x14ac:dyDescent="0.25">
      <c r="A539" s="1">
        <v>537</v>
      </c>
      <c r="B539" s="2" t="s">
        <v>1287</v>
      </c>
      <c r="C539" s="12" t="s">
        <v>1189</v>
      </c>
      <c r="D539" s="12" t="s">
        <v>1206</v>
      </c>
      <c r="E539" s="11">
        <v>2470000</v>
      </c>
      <c r="F539" s="10" t="s">
        <v>1259</v>
      </c>
    </row>
    <row r="540" spans="1:6" x14ac:dyDescent="0.25">
      <c r="A540" s="1">
        <v>538</v>
      </c>
      <c r="B540" s="2">
        <v>25800600007</v>
      </c>
      <c r="C540" s="12" t="s">
        <v>1288</v>
      </c>
      <c r="D540" s="12" t="s">
        <v>494</v>
      </c>
      <c r="E540" s="8">
        <v>2600000</v>
      </c>
      <c r="F540" s="10" t="s">
        <v>1259</v>
      </c>
    </row>
    <row r="541" spans="1:6" x14ac:dyDescent="0.25">
      <c r="B541" s="2"/>
      <c r="C541" s="12"/>
      <c r="D541" s="12"/>
      <c r="E541" s="9"/>
      <c r="F541" s="2"/>
    </row>
  </sheetData>
  <autoFilter ref="A2:F541" xr:uid="{00000000-0009-0000-0000-000001000000}"/>
  <mergeCells count="5">
    <mergeCell ref="G35:H35"/>
    <mergeCell ref="G34:H34"/>
    <mergeCell ref="G226:H226"/>
    <mergeCell ref="G36:H36"/>
    <mergeCell ref="G18:H18"/>
  </mergeCells>
  <conditionalFormatting sqref="A2">
    <cfRule type="duplicateValues" dxfId="98" priority="17"/>
    <cfRule type="duplicateValues" dxfId="97" priority="20"/>
    <cfRule type="duplicateValues" dxfId="96" priority="19"/>
    <cfRule type="duplicateValues" dxfId="95" priority="18"/>
    <cfRule type="duplicateValues" dxfId="94" priority="16"/>
  </conditionalFormatting>
  <conditionalFormatting sqref="A2:B2">
    <cfRule type="duplicateValues" dxfId="93" priority="29"/>
    <cfRule type="duplicateValues" dxfId="92" priority="28"/>
    <cfRule type="duplicateValues" dxfId="91" priority="27"/>
    <cfRule type="timePeriod" dxfId="90" priority="26" timePeriod="yesterday">
      <formula>FLOOR(A2,1)=TODAY()-1</formula>
    </cfRule>
    <cfRule type="duplicateValues" dxfId="89" priority="25"/>
    <cfRule type="duplicateValues" dxfId="88" priority="24"/>
    <cfRule type="duplicateValues" dxfId="87" priority="23"/>
    <cfRule type="duplicateValues" dxfId="86" priority="22"/>
  </conditionalFormatting>
  <conditionalFormatting sqref="B2:B17 B19:B225 B227:B540">
    <cfRule type="duplicateValues" dxfId="85" priority="31"/>
    <cfRule type="duplicateValues" dxfId="84" priority="30"/>
    <cfRule type="duplicateValues" dxfId="83" priority="21"/>
  </conditionalFormatting>
  <conditionalFormatting sqref="B2:B17 B19:B225">
    <cfRule type="duplicateValues" dxfId="82" priority="32"/>
  </conditionalFormatting>
  <conditionalFormatting sqref="B2:B17">
    <cfRule type="duplicateValues" dxfId="81" priority="33"/>
  </conditionalFormatting>
  <conditionalFormatting sqref="B18">
    <cfRule type="duplicateValues" dxfId="80" priority="5"/>
    <cfRule type="duplicateValues" dxfId="79" priority="4"/>
    <cfRule type="duplicateValues" dxfId="78" priority="3"/>
    <cfRule type="duplicateValues" dxfId="77" priority="2"/>
    <cfRule type="duplicateValues" dxfId="76" priority="1"/>
  </conditionalFormatting>
  <conditionalFormatting sqref="B226">
    <cfRule type="duplicateValues" dxfId="75" priority="10"/>
    <cfRule type="duplicateValues" dxfId="74" priority="9"/>
    <cfRule type="duplicateValues" dxfId="73" priority="8"/>
    <cfRule type="duplicateValues" dxfId="72" priority="7"/>
    <cfRule type="duplicateValues" dxfId="71" priority="6"/>
  </conditionalFormatting>
  <conditionalFormatting sqref="B541">
    <cfRule type="duplicateValues" dxfId="70" priority="14"/>
    <cfRule type="duplicateValues" dxfId="69" priority="13"/>
    <cfRule type="duplicateValues" dxfId="68" priority="12"/>
    <cfRule type="duplicateValues" dxfId="67" priority="11"/>
    <cfRule type="duplicateValues" dxfId="66" priority="15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1:V1247"/>
  <sheetViews>
    <sheetView tabSelected="1" topLeftCell="O1" zoomScaleNormal="100" workbookViewId="0">
      <selection activeCell="T5" sqref="T5"/>
    </sheetView>
  </sheetViews>
  <sheetFormatPr defaultColWidth="8.85546875" defaultRowHeight="15" x14ac:dyDescent="0.25"/>
  <cols>
    <col min="1" max="1" width="5.42578125" style="69" bestFit="1" customWidth="1"/>
    <col min="2" max="2" width="17.42578125" style="35" customWidth="1"/>
    <col min="3" max="3" width="20.140625" style="69" customWidth="1"/>
    <col min="4" max="4" width="8.140625" style="69" customWidth="1"/>
    <col min="5" max="5" width="16.42578125" style="104" customWidth="1"/>
    <col min="6" max="6" width="13.42578125" style="69" customWidth="1"/>
    <col min="7" max="7" width="14.140625" style="69" customWidth="1"/>
    <col min="8" max="8" width="13.28515625" style="69" customWidth="1"/>
    <col min="9" max="9" width="15" style="69" customWidth="1"/>
    <col min="10" max="10" width="16.85546875" style="69" customWidth="1"/>
    <col min="11" max="11" width="11.5703125" style="69" customWidth="1"/>
    <col min="12" max="12" width="24.7109375" style="69" customWidth="1"/>
    <col min="13" max="13" width="25.140625" style="69" customWidth="1"/>
    <col min="14" max="14" width="22" style="69" customWidth="1"/>
    <col min="15" max="15" width="20" style="69" customWidth="1"/>
    <col min="16" max="17" width="17.42578125" style="69" customWidth="1"/>
    <col min="18" max="18" width="25.85546875" style="69" customWidth="1"/>
    <col min="19" max="19" width="15.42578125" style="69" customWidth="1"/>
    <col min="20" max="20" width="16" style="69" customWidth="1"/>
    <col min="21" max="21" width="22.7109375" style="69" customWidth="1"/>
    <col min="22" max="22" width="25.5703125" style="69" bestFit="1" customWidth="1"/>
    <col min="23" max="16384" width="8.85546875" style="123"/>
  </cols>
  <sheetData>
    <row r="1" spans="1:22" x14ac:dyDescent="0.25">
      <c r="A1" s="1"/>
      <c r="B1" s="2"/>
      <c r="E1" s="8"/>
      <c r="K1" s="1"/>
      <c r="O1" s="1"/>
    </row>
    <row r="2" spans="1:22" ht="24.75" customHeight="1" x14ac:dyDescent="0.25">
      <c r="A2" s="1"/>
      <c r="B2" s="2"/>
      <c r="D2" s="3"/>
      <c r="E2" s="3">
        <f>SUM(E5:E834)</f>
        <v>5729830008</v>
      </c>
      <c r="F2" s="3"/>
      <c r="H2" s="3"/>
      <c r="J2" s="3"/>
      <c r="K2" s="3"/>
      <c r="L2" s="3">
        <f>SUBTOTAL(9,L97:L127)</f>
        <v>0</v>
      </c>
      <c r="N2" s="3"/>
      <c r="O2" s="1"/>
    </row>
    <row r="3" spans="1:22" x14ac:dyDescent="0.25">
      <c r="A3" s="1"/>
      <c r="B3" s="2"/>
      <c r="E3" s="8"/>
      <c r="K3" s="1"/>
      <c r="O3" s="1"/>
    </row>
    <row r="4" spans="1:22" ht="16.5" customHeight="1" x14ac:dyDescent="0.25">
      <c r="A4" s="93" t="s">
        <v>0</v>
      </c>
      <c r="B4" s="94" t="s">
        <v>1</v>
      </c>
      <c r="C4" s="107" t="s">
        <v>2</v>
      </c>
      <c r="D4" s="107"/>
      <c r="E4" s="108" t="s">
        <v>3</v>
      </c>
      <c r="F4" s="95" t="s">
        <v>4</v>
      </c>
      <c r="G4" s="95" t="s">
        <v>5</v>
      </c>
      <c r="H4" s="95" t="s">
        <v>6</v>
      </c>
      <c r="I4" s="95" t="s">
        <v>7</v>
      </c>
      <c r="J4" s="95" t="s">
        <v>8</v>
      </c>
      <c r="K4" s="95" t="s">
        <v>9</v>
      </c>
      <c r="L4" s="95" t="s">
        <v>10</v>
      </c>
      <c r="M4" s="95" t="s">
        <v>11</v>
      </c>
      <c r="N4" s="95" t="s">
        <v>12</v>
      </c>
      <c r="O4" s="95" t="s">
        <v>13</v>
      </c>
      <c r="P4" s="95" t="s">
        <v>14</v>
      </c>
      <c r="Q4" s="95" t="s">
        <v>15</v>
      </c>
      <c r="R4" s="95" t="s">
        <v>16</v>
      </c>
      <c r="S4" s="95" t="s">
        <v>17</v>
      </c>
      <c r="T4" s="95" t="s">
        <v>18</v>
      </c>
      <c r="U4" s="95" t="s">
        <v>15</v>
      </c>
      <c r="V4" s="95" t="s">
        <v>19</v>
      </c>
    </row>
    <row r="5" spans="1:22" ht="15" customHeight="1" x14ac:dyDescent="0.25">
      <c r="A5" s="69">
        <v>143</v>
      </c>
      <c r="B5" s="35" t="s">
        <v>20</v>
      </c>
      <c r="C5" s="69" t="s">
        <v>21</v>
      </c>
      <c r="D5" s="69" t="s">
        <v>22</v>
      </c>
      <c r="E5" s="104">
        <v>8415000</v>
      </c>
      <c r="F5" s="109">
        <v>2103750</v>
      </c>
      <c r="G5" s="96" t="s">
        <v>23</v>
      </c>
      <c r="J5" s="109">
        <v>2103750</v>
      </c>
      <c r="K5" s="96" t="s">
        <v>24</v>
      </c>
      <c r="N5" s="109">
        <v>2103750</v>
      </c>
      <c r="O5" s="97" t="s">
        <v>25</v>
      </c>
      <c r="P5" s="110">
        <f>E5-F5-H5-J5-L5-N5</f>
        <v>2103750</v>
      </c>
      <c r="Q5" s="69" t="s">
        <v>26</v>
      </c>
      <c r="V5" t="s">
        <v>27</v>
      </c>
    </row>
    <row r="6" spans="1:22" ht="15" customHeight="1" x14ac:dyDescent="0.25">
      <c r="A6" s="69">
        <v>190</v>
      </c>
      <c r="B6" s="35" t="s">
        <v>28</v>
      </c>
      <c r="C6" s="69" t="s">
        <v>29</v>
      </c>
      <c r="D6" s="69" t="s">
        <v>30</v>
      </c>
      <c r="E6" s="104">
        <v>4700000</v>
      </c>
      <c r="F6" s="109">
        <v>2100000</v>
      </c>
      <c r="G6" s="96" t="s">
        <v>31</v>
      </c>
      <c r="N6" s="104">
        <v>2600000</v>
      </c>
      <c r="O6" s="97" t="s">
        <v>25</v>
      </c>
      <c r="P6" s="110">
        <f>E6-F6-H6-J6-L6-N6</f>
        <v>0</v>
      </c>
      <c r="Q6" s="69" t="s">
        <v>26</v>
      </c>
      <c r="V6" t="s">
        <v>27</v>
      </c>
    </row>
    <row r="7" spans="1:22" ht="15" customHeight="1" x14ac:dyDescent="0.25">
      <c r="A7" s="69">
        <v>629</v>
      </c>
      <c r="B7" s="35" t="s">
        <v>32</v>
      </c>
      <c r="C7" s="69" t="s">
        <v>33</v>
      </c>
      <c r="D7" s="69" t="s">
        <v>34</v>
      </c>
      <c r="E7" s="104">
        <v>8415000</v>
      </c>
      <c r="F7" s="109"/>
      <c r="H7" s="109"/>
      <c r="I7" s="35"/>
      <c r="J7" s="109">
        <v>2103750</v>
      </c>
      <c r="K7" s="98" t="s">
        <v>35</v>
      </c>
      <c r="N7" s="109">
        <v>2103750</v>
      </c>
      <c r="O7" s="97" t="s">
        <v>25</v>
      </c>
      <c r="P7" s="110">
        <f>E7-F7-H7-J7-L7-N7</f>
        <v>4207500</v>
      </c>
      <c r="Q7" s="69" t="s">
        <v>26</v>
      </c>
      <c r="R7" s="109">
        <v>2103750</v>
      </c>
      <c r="S7" s="99" t="s">
        <v>36</v>
      </c>
      <c r="T7" s="110">
        <f>E7-J7-N7-R7</f>
        <v>2103750</v>
      </c>
      <c r="V7" t="s">
        <v>27</v>
      </c>
    </row>
    <row r="8" spans="1:22" ht="15" customHeight="1" x14ac:dyDescent="0.25">
      <c r="A8" s="69">
        <v>642</v>
      </c>
      <c r="B8" s="35" t="s">
        <v>37</v>
      </c>
      <c r="C8" s="69" t="s">
        <v>38</v>
      </c>
      <c r="D8" s="69" t="s">
        <v>39</v>
      </c>
      <c r="E8" s="104">
        <v>8415000</v>
      </c>
      <c r="F8" s="109"/>
      <c r="G8" s="35"/>
      <c r="I8" s="35"/>
      <c r="J8" s="109">
        <v>2103750</v>
      </c>
      <c r="K8" s="97" t="s">
        <v>35</v>
      </c>
      <c r="N8" s="109">
        <v>2103750</v>
      </c>
      <c r="O8" s="97" t="s">
        <v>25</v>
      </c>
      <c r="P8" s="110">
        <f>E8-F8-H8-J8-L8-N8</f>
        <v>4207500</v>
      </c>
      <c r="Q8" s="69" t="s">
        <v>26</v>
      </c>
      <c r="R8" s="109">
        <v>2103750</v>
      </c>
      <c r="S8" s="100" t="s">
        <v>40</v>
      </c>
      <c r="T8" s="110">
        <f>E8-J8-N8-R8</f>
        <v>2103750</v>
      </c>
      <c r="V8" t="s">
        <v>27</v>
      </c>
    </row>
    <row r="9" spans="1:22" ht="15" customHeight="1" x14ac:dyDescent="0.25">
      <c r="A9" s="69">
        <v>643</v>
      </c>
      <c r="B9" s="35" t="s">
        <v>41</v>
      </c>
      <c r="C9" s="69" t="s">
        <v>42</v>
      </c>
      <c r="D9" s="69" t="s">
        <v>43</v>
      </c>
      <c r="E9" s="104">
        <v>8415000</v>
      </c>
      <c r="F9" s="109"/>
      <c r="G9" s="35"/>
      <c r="J9" s="109">
        <v>2103750</v>
      </c>
      <c r="K9" s="98" t="s">
        <v>35</v>
      </c>
      <c r="N9" s="109">
        <v>2103750</v>
      </c>
      <c r="O9" s="97" t="s">
        <v>25</v>
      </c>
      <c r="P9" s="110">
        <f>E9-F9-H9-J8-L9-N9</f>
        <v>4207500</v>
      </c>
      <c r="Q9" s="69" t="s">
        <v>26</v>
      </c>
      <c r="R9" s="109">
        <v>2103750</v>
      </c>
      <c r="S9" s="99" t="s">
        <v>44</v>
      </c>
      <c r="T9" s="110">
        <f>E9-F9-H9-J9-L9-N9-R9</f>
        <v>2103750</v>
      </c>
      <c r="V9" t="s">
        <v>27</v>
      </c>
    </row>
    <row r="10" spans="1:22" ht="15" customHeight="1" x14ac:dyDescent="0.25">
      <c r="A10" s="69">
        <v>645</v>
      </c>
      <c r="B10" s="35" t="s">
        <v>45</v>
      </c>
      <c r="C10" s="69" t="s">
        <v>46</v>
      </c>
      <c r="D10" s="69" t="s">
        <v>47</v>
      </c>
      <c r="E10" s="104">
        <v>8415000</v>
      </c>
      <c r="F10" s="109"/>
      <c r="J10" s="109">
        <v>2103750</v>
      </c>
      <c r="K10" s="98" t="s">
        <v>35</v>
      </c>
      <c r="N10" s="109">
        <v>2103750</v>
      </c>
      <c r="O10" s="97" t="s">
        <v>25</v>
      </c>
      <c r="P10" s="110">
        <f t="shared" ref="P10:P35" si="0">E10-F10-H10-J10-L10-N10</f>
        <v>4207500</v>
      </c>
      <c r="Q10" s="69" t="s">
        <v>26</v>
      </c>
      <c r="V10" t="s">
        <v>27</v>
      </c>
    </row>
    <row r="11" spans="1:22" ht="15" customHeight="1" x14ac:dyDescent="0.25">
      <c r="A11" s="69">
        <v>653</v>
      </c>
      <c r="B11" s="35" t="s">
        <v>48</v>
      </c>
      <c r="C11" s="69" t="s">
        <v>49</v>
      </c>
      <c r="D11" s="69" t="s">
        <v>50</v>
      </c>
      <c r="E11" s="104">
        <v>8415000</v>
      </c>
      <c r="F11" s="109"/>
      <c r="J11" s="109">
        <v>2103750</v>
      </c>
      <c r="K11" s="101" t="s">
        <v>51</v>
      </c>
      <c r="N11" s="109">
        <v>2103750</v>
      </c>
      <c r="O11" s="97" t="s">
        <v>25</v>
      </c>
      <c r="P11" s="110">
        <f t="shared" si="0"/>
        <v>4207500</v>
      </c>
      <c r="Q11" s="69" t="s">
        <v>26</v>
      </c>
      <c r="V11" t="s">
        <v>27</v>
      </c>
    </row>
    <row r="12" spans="1:22" ht="15" customHeight="1" x14ac:dyDescent="0.25">
      <c r="A12" s="69">
        <v>660</v>
      </c>
      <c r="B12" s="35" t="s">
        <v>52</v>
      </c>
      <c r="C12" s="69" t="s">
        <v>53</v>
      </c>
      <c r="D12" s="69" t="s">
        <v>54</v>
      </c>
      <c r="E12" s="104">
        <v>8415000</v>
      </c>
      <c r="F12" s="109"/>
      <c r="N12" s="109">
        <v>2103750</v>
      </c>
      <c r="O12" s="97" t="s">
        <v>25</v>
      </c>
      <c r="P12" s="110">
        <f t="shared" si="0"/>
        <v>6311250</v>
      </c>
      <c r="Q12" s="69" t="s">
        <v>26</v>
      </c>
      <c r="R12" s="109">
        <v>2103750</v>
      </c>
      <c r="S12" s="99" t="s">
        <v>36</v>
      </c>
      <c r="T12" s="110">
        <f>E12-F12-J12-N12-R12</f>
        <v>4207500</v>
      </c>
      <c r="V12" t="s">
        <v>27</v>
      </c>
    </row>
    <row r="13" spans="1:22" ht="15" customHeight="1" x14ac:dyDescent="0.25">
      <c r="A13" s="69">
        <v>662</v>
      </c>
      <c r="B13" s="35" t="s">
        <v>55</v>
      </c>
      <c r="C13" s="69" t="s">
        <v>56</v>
      </c>
      <c r="D13" s="69" t="s">
        <v>57</v>
      </c>
      <c r="E13" s="104">
        <v>8415000</v>
      </c>
      <c r="F13" s="109"/>
      <c r="J13" s="109">
        <v>2103750</v>
      </c>
      <c r="K13" s="98" t="s">
        <v>35</v>
      </c>
      <c r="N13" s="109">
        <v>2103750</v>
      </c>
      <c r="O13" s="97" t="s">
        <v>25</v>
      </c>
      <c r="P13" s="110">
        <f t="shared" si="0"/>
        <v>4207500</v>
      </c>
      <c r="Q13" s="69" t="s">
        <v>26</v>
      </c>
      <c r="R13" s="109">
        <v>2103750</v>
      </c>
      <c r="S13" s="99" t="s">
        <v>44</v>
      </c>
      <c r="T13" s="110">
        <f>E13-J13-N13-R13</f>
        <v>2103750</v>
      </c>
      <c r="V13" t="s">
        <v>27</v>
      </c>
    </row>
    <row r="14" spans="1:22" ht="15" customHeight="1" x14ac:dyDescent="0.25">
      <c r="A14" s="69">
        <v>672</v>
      </c>
      <c r="B14" s="35" t="s">
        <v>58</v>
      </c>
      <c r="C14" s="35" t="s">
        <v>59</v>
      </c>
      <c r="D14" s="35" t="s">
        <v>60</v>
      </c>
      <c r="E14" s="104">
        <v>8415000</v>
      </c>
      <c r="F14" s="109"/>
      <c r="J14" s="109">
        <v>2103750</v>
      </c>
      <c r="K14" s="98" t="s">
        <v>35</v>
      </c>
      <c r="N14" s="109">
        <v>2103750</v>
      </c>
      <c r="O14" s="97" t="s">
        <v>25</v>
      </c>
      <c r="P14" s="110">
        <f t="shared" si="0"/>
        <v>4207500</v>
      </c>
      <c r="Q14" s="69" t="s">
        <v>26</v>
      </c>
      <c r="V14" t="s">
        <v>27</v>
      </c>
    </row>
    <row r="15" spans="1:22" ht="15" customHeight="1" x14ac:dyDescent="0.25">
      <c r="A15" s="69">
        <v>710</v>
      </c>
      <c r="B15" s="35" t="s">
        <v>61</v>
      </c>
      <c r="C15" s="69" t="s">
        <v>62</v>
      </c>
      <c r="D15" s="69" t="s">
        <v>63</v>
      </c>
      <c r="E15" s="104">
        <v>4465000</v>
      </c>
      <c r="F15" s="109"/>
      <c r="J15" s="109">
        <v>2232500</v>
      </c>
      <c r="K15" s="101" t="s">
        <v>51</v>
      </c>
      <c r="N15" s="109">
        <v>2232500</v>
      </c>
      <c r="O15" s="97" t="s">
        <v>25</v>
      </c>
      <c r="P15" s="110">
        <f t="shared" si="0"/>
        <v>0</v>
      </c>
      <c r="Q15" s="69" t="s">
        <v>26</v>
      </c>
      <c r="V15" t="s">
        <v>27</v>
      </c>
    </row>
    <row r="16" spans="1:22" ht="15" customHeight="1" x14ac:dyDescent="0.25">
      <c r="A16" s="69">
        <v>760</v>
      </c>
      <c r="B16" s="35" t="s">
        <v>64</v>
      </c>
      <c r="C16" s="69" t="s">
        <v>65</v>
      </c>
      <c r="D16" s="69" t="s">
        <v>66</v>
      </c>
      <c r="E16" s="104">
        <v>8415000</v>
      </c>
      <c r="J16" s="109">
        <v>2103750</v>
      </c>
      <c r="K16" s="96" t="s">
        <v>67</v>
      </c>
      <c r="N16" s="109">
        <v>2103750</v>
      </c>
      <c r="O16" s="97" t="s">
        <v>25</v>
      </c>
      <c r="P16" s="110">
        <f t="shared" si="0"/>
        <v>4207500</v>
      </c>
      <c r="R16" s="109">
        <v>2103750</v>
      </c>
      <c r="S16" s="99" t="s">
        <v>36</v>
      </c>
      <c r="T16" s="110">
        <f>E16-F16-J16-N16-R16</f>
        <v>2103750</v>
      </c>
      <c r="V16" t="s">
        <v>27</v>
      </c>
    </row>
    <row r="17" spans="1:22" ht="15" customHeight="1" x14ac:dyDescent="0.25">
      <c r="A17" s="69">
        <v>763</v>
      </c>
      <c r="B17" s="35" t="s">
        <v>68</v>
      </c>
      <c r="C17" s="69" t="s">
        <v>69</v>
      </c>
      <c r="D17" s="69" t="s">
        <v>70</v>
      </c>
      <c r="E17" s="104">
        <f>4465000+2600000</f>
        <v>7065000</v>
      </c>
      <c r="J17" s="109">
        <v>2232500</v>
      </c>
      <c r="K17" s="101" t="s">
        <v>51</v>
      </c>
      <c r="N17" s="109">
        <v>2232500</v>
      </c>
      <c r="O17" s="97" t="s">
        <v>25</v>
      </c>
      <c r="P17" s="110">
        <f t="shared" si="0"/>
        <v>2600000</v>
      </c>
      <c r="R17" s="109">
        <v>2600000</v>
      </c>
      <c r="S17" s="99" t="s">
        <v>36</v>
      </c>
      <c r="T17" s="110">
        <f>E17-F17-J17-H17-L17-N17-R17</f>
        <v>0</v>
      </c>
      <c r="V17" t="s">
        <v>27</v>
      </c>
    </row>
    <row r="18" spans="1:22" ht="15" customHeight="1" x14ac:dyDescent="0.25">
      <c r="A18" s="69">
        <v>800</v>
      </c>
      <c r="B18" s="35">
        <v>25805900128</v>
      </c>
      <c r="C18" s="69" t="s">
        <v>71</v>
      </c>
      <c r="D18" s="69" t="s">
        <v>72</v>
      </c>
      <c r="E18" s="104">
        <v>8415000</v>
      </c>
      <c r="J18" s="109">
        <v>2103750</v>
      </c>
      <c r="K18" s="101" t="s">
        <v>51</v>
      </c>
      <c r="N18" s="109">
        <v>2103750</v>
      </c>
      <c r="O18" s="97" t="s">
        <v>25</v>
      </c>
      <c r="P18" s="110">
        <f t="shared" si="0"/>
        <v>4207500</v>
      </c>
      <c r="V18" t="s">
        <v>27</v>
      </c>
    </row>
    <row r="19" spans="1:22" ht="15" customHeight="1" x14ac:dyDescent="0.25">
      <c r="A19" s="69">
        <v>829</v>
      </c>
      <c r="B19" s="35">
        <v>1911820446</v>
      </c>
      <c r="C19" s="69" t="s">
        <v>73</v>
      </c>
      <c r="D19" s="69" t="s">
        <v>74</v>
      </c>
      <c r="E19" s="104">
        <v>2600000</v>
      </c>
      <c r="N19" s="104">
        <v>2600000</v>
      </c>
      <c r="O19" s="97" t="s">
        <v>25</v>
      </c>
      <c r="P19" s="110">
        <f t="shared" si="0"/>
        <v>0</v>
      </c>
      <c r="V19" t="s">
        <v>27</v>
      </c>
    </row>
    <row r="20" spans="1:22" ht="15" customHeight="1" x14ac:dyDescent="0.25">
      <c r="A20" s="69">
        <v>836</v>
      </c>
      <c r="B20" s="35">
        <v>25801800094</v>
      </c>
      <c r="C20" s="69" t="s">
        <v>75</v>
      </c>
      <c r="D20" s="69" t="s">
        <v>76</v>
      </c>
      <c r="E20" s="104">
        <v>8415000</v>
      </c>
      <c r="N20" s="109">
        <v>2103750</v>
      </c>
      <c r="O20" s="97" t="s">
        <v>25</v>
      </c>
      <c r="P20" s="110">
        <f t="shared" si="0"/>
        <v>6311250</v>
      </c>
      <c r="V20" t="s">
        <v>27</v>
      </c>
    </row>
    <row r="21" spans="1:22" ht="15" customHeight="1" x14ac:dyDescent="0.25">
      <c r="A21" s="69">
        <v>223</v>
      </c>
      <c r="B21" s="35">
        <v>25806300055</v>
      </c>
      <c r="C21" s="69" t="s">
        <v>77</v>
      </c>
      <c r="D21" s="69" t="s">
        <v>78</v>
      </c>
      <c r="E21" s="104">
        <v>8415000</v>
      </c>
      <c r="F21" s="109">
        <v>2103750</v>
      </c>
      <c r="G21" s="102" t="s">
        <v>79</v>
      </c>
      <c r="N21" s="109">
        <v>2103750</v>
      </c>
      <c r="O21" s="102" t="s">
        <v>80</v>
      </c>
      <c r="P21" s="110">
        <f t="shared" si="0"/>
        <v>4207500</v>
      </c>
      <c r="V21" t="s">
        <v>27</v>
      </c>
    </row>
    <row r="22" spans="1:22" ht="15" customHeight="1" x14ac:dyDescent="0.25">
      <c r="A22" s="69">
        <v>478</v>
      </c>
      <c r="B22" s="35" t="s">
        <v>81</v>
      </c>
      <c r="C22" s="69" t="s">
        <v>82</v>
      </c>
      <c r="D22" s="69" t="s">
        <v>83</v>
      </c>
      <c r="E22" s="104">
        <v>8415000</v>
      </c>
      <c r="F22" s="109">
        <v>2103750</v>
      </c>
      <c r="G22" s="96" t="s">
        <v>84</v>
      </c>
      <c r="J22" s="109">
        <v>2103750</v>
      </c>
      <c r="K22" s="102" t="s">
        <v>85</v>
      </c>
      <c r="N22" s="109">
        <v>2103750</v>
      </c>
      <c r="O22" s="102" t="s">
        <v>80</v>
      </c>
      <c r="P22" s="110">
        <f t="shared" si="0"/>
        <v>2103750</v>
      </c>
      <c r="Q22" s="69" t="s">
        <v>26</v>
      </c>
      <c r="V22" t="s">
        <v>27</v>
      </c>
    </row>
    <row r="23" spans="1:22" ht="15" customHeight="1" x14ac:dyDescent="0.25">
      <c r="A23" s="69">
        <v>631</v>
      </c>
      <c r="B23" s="35" t="s">
        <v>86</v>
      </c>
      <c r="C23" s="69" t="s">
        <v>87</v>
      </c>
      <c r="D23" s="69" t="s">
        <v>88</v>
      </c>
      <c r="E23" s="104">
        <v>8415000</v>
      </c>
      <c r="F23" s="109"/>
      <c r="H23" s="109"/>
      <c r="I23" s="35"/>
      <c r="J23" s="109">
        <v>2103750</v>
      </c>
      <c r="K23" s="98" t="s">
        <v>35</v>
      </c>
      <c r="N23" s="109">
        <v>2103750</v>
      </c>
      <c r="O23" s="102" t="s">
        <v>80</v>
      </c>
      <c r="P23" s="110">
        <f t="shared" si="0"/>
        <v>4207500</v>
      </c>
      <c r="Q23" s="69" t="s">
        <v>26</v>
      </c>
      <c r="V23" t="s">
        <v>27</v>
      </c>
    </row>
    <row r="24" spans="1:22" ht="15" customHeight="1" x14ac:dyDescent="0.25">
      <c r="A24" s="69">
        <v>636</v>
      </c>
      <c r="B24" s="35" t="s">
        <v>89</v>
      </c>
      <c r="C24" s="69" t="s">
        <v>90</v>
      </c>
      <c r="D24" s="69" t="s">
        <v>91</v>
      </c>
      <c r="E24" s="104">
        <v>8415000</v>
      </c>
      <c r="F24" s="109"/>
      <c r="H24" s="109"/>
      <c r="I24" s="35"/>
      <c r="J24" s="109">
        <v>2103750</v>
      </c>
      <c r="K24" s="101" t="s">
        <v>51</v>
      </c>
      <c r="N24" s="109">
        <v>2103750</v>
      </c>
      <c r="O24" s="102" t="s">
        <v>80</v>
      </c>
      <c r="P24" s="110">
        <f t="shared" si="0"/>
        <v>4207500</v>
      </c>
      <c r="Q24" s="69" t="s">
        <v>26</v>
      </c>
      <c r="V24" t="s">
        <v>27</v>
      </c>
    </row>
    <row r="25" spans="1:22" ht="15" customHeight="1" x14ac:dyDescent="0.25">
      <c r="A25" s="69">
        <v>650</v>
      </c>
      <c r="B25" s="35" t="s">
        <v>92</v>
      </c>
      <c r="C25" s="69" t="s">
        <v>93</v>
      </c>
      <c r="D25" s="69" t="s">
        <v>94</v>
      </c>
      <c r="E25" s="104">
        <v>8415000</v>
      </c>
      <c r="F25" s="109"/>
      <c r="J25" s="109">
        <v>2103750</v>
      </c>
      <c r="K25" s="101" t="s">
        <v>51</v>
      </c>
      <c r="N25" s="109">
        <v>2103750</v>
      </c>
      <c r="O25" s="102" t="s">
        <v>80</v>
      </c>
      <c r="P25" s="110">
        <f t="shared" si="0"/>
        <v>4207500</v>
      </c>
      <c r="Q25" s="69" t="s">
        <v>26</v>
      </c>
      <c r="R25" s="109">
        <v>2103750</v>
      </c>
      <c r="S25" s="100" t="s">
        <v>40</v>
      </c>
      <c r="T25" s="110">
        <f>E25-J25-N25-R25</f>
        <v>2103750</v>
      </c>
      <c r="V25" t="s">
        <v>27</v>
      </c>
    </row>
    <row r="26" spans="1:22" ht="15" customHeight="1" x14ac:dyDescent="0.25">
      <c r="A26" s="69">
        <v>658</v>
      </c>
      <c r="B26" s="35" t="s">
        <v>95</v>
      </c>
      <c r="C26" s="69" t="s">
        <v>96</v>
      </c>
      <c r="D26" s="69" t="s">
        <v>97</v>
      </c>
      <c r="E26" s="104">
        <v>8415000</v>
      </c>
      <c r="F26" s="109"/>
      <c r="H26" s="109">
        <v>2103750</v>
      </c>
      <c r="I26" s="96" t="s">
        <v>98</v>
      </c>
      <c r="J26" s="109">
        <v>2103750</v>
      </c>
      <c r="K26" s="97" t="s">
        <v>35</v>
      </c>
      <c r="N26" s="109">
        <v>2103750</v>
      </c>
      <c r="O26" s="102" t="s">
        <v>80</v>
      </c>
      <c r="P26" s="110">
        <f t="shared" si="0"/>
        <v>2103750</v>
      </c>
      <c r="Q26" s="69" t="s">
        <v>26</v>
      </c>
      <c r="R26" s="109">
        <v>2103750</v>
      </c>
      <c r="S26" s="100" t="s">
        <v>40</v>
      </c>
      <c r="T26" s="110">
        <f>E26-F26-H26-J26-L26-N26-R26</f>
        <v>0</v>
      </c>
      <c r="V26" t="s">
        <v>27</v>
      </c>
    </row>
    <row r="27" spans="1:22" ht="15" customHeight="1" x14ac:dyDescent="0.25">
      <c r="A27" s="69">
        <v>663</v>
      </c>
      <c r="B27" s="35" t="s">
        <v>99</v>
      </c>
      <c r="C27" s="69" t="s">
        <v>100</v>
      </c>
      <c r="D27" s="69" t="s">
        <v>101</v>
      </c>
      <c r="E27" s="104">
        <v>8415000</v>
      </c>
      <c r="F27" s="109"/>
      <c r="J27" s="109">
        <v>2103750</v>
      </c>
      <c r="K27" s="101" t="s">
        <v>51</v>
      </c>
      <c r="N27" s="109">
        <v>2103750</v>
      </c>
      <c r="O27" s="102" t="s">
        <v>80</v>
      </c>
      <c r="P27" s="110">
        <f t="shared" si="0"/>
        <v>4207500</v>
      </c>
      <c r="Q27" s="69" t="s">
        <v>26</v>
      </c>
      <c r="R27" s="109">
        <v>2103750</v>
      </c>
      <c r="S27" s="99" t="s">
        <v>36</v>
      </c>
      <c r="T27" s="110">
        <f>E27-F27-H27-J27-L27-N27-R27</f>
        <v>2103750</v>
      </c>
      <c r="V27" t="s">
        <v>27</v>
      </c>
    </row>
    <row r="28" spans="1:22" ht="15" customHeight="1" x14ac:dyDescent="0.25">
      <c r="A28" s="69">
        <v>703</v>
      </c>
      <c r="B28" s="35" t="s">
        <v>102</v>
      </c>
      <c r="C28" s="69" t="s">
        <v>103</v>
      </c>
      <c r="D28" s="69" t="s">
        <v>104</v>
      </c>
      <c r="E28" s="104">
        <v>4465000</v>
      </c>
      <c r="F28" s="109"/>
      <c r="J28" s="109">
        <v>2232500</v>
      </c>
      <c r="K28" s="101" t="s">
        <v>51</v>
      </c>
      <c r="N28" s="109">
        <v>2232500</v>
      </c>
      <c r="O28" s="102" t="s">
        <v>80</v>
      </c>
      <c r="P28" s="110">
        <f t="shared" si="0"/>
        <v>0</v>
      </c>
      <c r="Q28" s="69" t="s">
        <v>26</v>
      </c>
      <c r="V28" t="s">
        <v>27</v>
      </c>
    </row>
    <row r="29" spans="1:22" ht="15" customHeight="1" x14ac:dyDescent="0.25">
      <c r="A29" s="69">
        <v>735</v>
      </c>
      <c r="B29" s="35" t="s">
        <v>105</v>
      </c>
      <c r="C29" s="69" t="s">
        <v>106</v>
      </c>
      <c r="D29" s="69" t="s">
        <v>107</v>
      </c>
      <c r="E29" s="104">
        <v>8415000</v>
      </c>
      <c r="J29" s="109">
        <v>2103750</v>
      </c>
      <c r="K29" s="96" t="s">
        <v>108</v>
      </c>
      <c r="N29" s="109">
        <v>2103750</v>
      </c>
      <c r="O29" s="102" t="s">
        <v>80</v>
      </c>
      <c r="P29" s="110">
        <f t="shared" si="0"/>
        <v>4207500</v>
      </c>
      <c r="V29" t="s">
        <v>27</v>
      </c>
    </row>
    <row r="30" spans="1:22" ht="15" customHeight="1" x14ac:dyDescent="0.25">
      <c r="A30" s="69">
        <v>753</v>
      </c>
      <c r="B30" s="35" t="s">
        <v>109</v>
      </c>
      <c r="C30" s="69" t="s">
        <v>110</v>
      </c>
      <c r="D30" s="69" t="s">
        <v>111</v>
      </c>
      <c r="E30" s="104">
        <v>8415000</v>
      </c>
      <c r="J30" s="109">
        <v>2103750</v>
      </c>
      <c r="K30" s="102" t="s">
        <v>112</v>
      </c>
      <c r="N30" s="109">
        <v>2103750</v>
      </c>
      <c r="O30" s="102" t="s">
        <v>80</v>
      </c>
      <c r="P30" s="110">
        <f t="shared" si="0"/>
        <v>4207500</v>
      </c>
      <c r="Q30" s="69" t="s">
        <v>26</v>
      </c>
      <c r="R30" s="109">
        <v>2103750</v>
      </c>
      <c r="S30" s="100" t="s">
        <v>113</v>
      </c>
      <c r="T30" s="110">
        <f>E30-F30-H30-J30-L30-N30-R30</f>
        <v>2103750</v>
      </c>
      <c r="V30" t="s">
        <v>27</v>
      </c>
    </row>
    <row r="31" spans="1:22" ht="15" customHeight="1" x14ac:dyDescent="0.25">
      <c r="A31" s="69">
        <v>776</v>
      </c>
      <c r="B31" s="35" t="s">
        <v>114</v>
      </c>
      <c r="C31" s="69" t="s">
        <v>115</v>
      </c>
      <c r="D31" s="69" t="s">
        <v>116</v>
      </c>
      <c r="E31" s="104">
        <v>8415000</v>
      </c>
      <c r="J31" s="109">
        <v>2103750</v>
      </c>
      <c r="K31" s="96" t="s">
        <v>117</v>
      </c>
      <c r="N31" s="109">
        <v>2103750</v>
      </c>
      <c r="O31" s="102" t="s">
        <v>80</v>
      </c>
      <c r="P31" s="110">
        <f t="shared" si="0"/>
        <v>4207500</v>
      </c>
      <c r="V31" t="s">
        <v>27</v>
      </c>
    </row>
    <row r="32" spans="1:22" ht="15" customHeight="1" x14ac:dyDescent="0.25">
      <c r="A32" s="69">
        <v>838</v>
      </c>
      <c r="B32" s="35">
        <v>25820700033</v>
      </c>
      <c r="C32" s="69" t="s">
        <v>118</v>
      </c>
      <c r="D32" s="69" t="s">
        <v>111</v>
      </c>
      <c r="E32" s="104">
        <v>2600000</v>
      </c>
      <c r="N32" s="104">
        <v>2600000</v>
      </c>
      <c r="O32" s="102" t="s">
        <v>80</v>
      </c>
      <c r="P32" s="110">
        <f t="shared" si="0"/>
        <v>0</v>
      </c>
      <c r="V32" t="s">
        <v>27</v>
      </c>
    </row>
    <row r="33" spans="1:22" ht="15" customHeight="1" x14ac:dyDescent="0.25">
      <c r="A33" s="69">
        <v>839</v>
      </c>
      <c r="B33" s="35">
        <v>25800400016</v>
      </c>
      <c r="C33" s="69" t="s">
        <v>119</v>
      </c>
      <c r="D33" s="69" t="s">
        <v>120</v>
      </c>
      <c r="E33" s="104">
        <f>2600000+2600000</f>
        <v>5200000</v>
      </c>
      <c r="N33" s="104">
        <v>2600000</v>
      </c>
      <c r="O33" s="102" t="s">
        <v>80</v>
      </c>
      <c r="P33" s="110">
        <f t="shared" si="0"/>
        <v>2600000</v>
      </c>
      <c r="R33" s="104">
        <v>2600000</v>
      </c>
      <c r="S33" s="100" t="s">
        <v>40</v>
      </c>
      <c r="T33" s="110">
        <f>E33-F33-J33-N33-R33</f>
        <v>0</v>
      </c>
      <c r="V33" t="s">
        <v>27</v>
      </c>
    </row>
    <row r="34" spans="1:22" ht="15" customHeight="1" x14ac:dyDescent="0.25">
      <c r="A34" s="69">
        <v>843</v>
      </c>
      <c r="B34" s="35">
        <v>25802500026</v>
      </c>
      <c r="C34" s="69" t="s">
        <v>121</v>
      </c>
      <c r="D34" s="69" t="s">
        <v>120</v>
      </c>
      <c r="E34" s="104">
        <v>2600000</v>
      </c>
      <c r="N34" s="104">
        <v>2600000</v>
      </c>
      <c r="O34" s="102" t="s">
        <v>80</v>
      </c>
      <c r="P34" s="110">
        <f t="shared" si="0"/>
        <v>0</v>
      </c>
      <c r="V34" t="s">
        <v>27</v>
      </c>
    </row>
    <row r="35" spans="1:22" ht="15" customHeight="1" x14ac:dyDescent="0.25">
      <c r="A35" s="69">
        <v>844</v>
      </c>
      <c r="B35" s="35">
        <v>25807800016</v>
      </c>
      <c r="C35" s="69" t="s">
        <v>122</v>
      </c>
      <c r="D35" s="69" t="s">
        <v>120</v>
      </c>
      <c r="E35" s="104">
        <v>2600000</v>
      </c>
      <c r="N35" s="104">
        <v>2600000</v>
      </c>
      <c r="O35" s="102" t="s">
        <v>80</v>
      </c>
      <c r="P35" s="110">
        <f t="shared" si="0"/>
        <v>0</v>
      </c>
      <c r="V35" t="s">
        <v>27</v>
      </c>
    </row>
    <row r="36" spans="1:22" ht="15" customHeight="1" x14ac:dyDescent="0.25">
      <c r="A36" s="69">
        <v>845</v>
      </c>
      <c r="B36" s="35">
        <v>25800600926</v>
      </c>
      <c r="C36" s="69" t="s">
        <v>123</v>
      </c>
      <c r="D36" s="69" t="s">
        <v>124</v>
      </c>
      <c r="N36" s="104">
        <v>2600000</v>
      </c>
      <c r="O36" s="102" t="s">
        <v>125</v>
      </c>
      <c r="P36" s="110">
        <f>N36-N36</f>
        <v>0</v>
      </c>
      <c r="V36" t="s">
        <v>126</v>
      </c>
    </row>
    <row r="37" spans="1:22" ht="15" customHeight="1" x14ac:dyDescent="0.25">
      <c r="A37" s="69">
        <v>848</v>
      </c>
      <c r="B37" s="35">
        <v>24806107982</v>
      </c>
      <c r="C37" s="69" t="s">
        <v>127</v>
      </c>
      <c r="D37" s="69" t="s">
        <v>128</v>
      </c>
      <c r="E37" s="104">
        <v>2600000</v>
      </c>
      <c r="N37" s="104">
        <v>2600000</v>
      </c>
      <c r="O37" s="102" t="s">
        <v>80</v>
      </c>
      <c r="P37" s="110">
        <f t="shared" ref="P37:P52" si="1">E37-F37-H37-J37-L37-N37</f>
        <v>0</v>
      </c>
      <c r="V37" t="s">
        <v>27</v>
      </c>
    </row>
    <row r="38" spans="1:22" ht="15" customHeight="1" x14ac:dyDescent="0.25">
      <c r="A38" s="69">
        <v>22</v>
      </c>
      <c r="B38" s="35" t="s">
        <v>129</v>
      </c>
      <c r="C38" s="69" t="s">
        <v>130</v>
      </c>
      <c r="D38" s="69" t="s">
        <v>131</v>
      </c>
      <c r="E38" s="104">
        <v>8415000</v>
      </c>
      <c r="F38" s="109">
        <v>2103750</v>
      </c>
      <c r="G38" s="96" t="s">
        <v>132</v>
      </c>
      <c r="J38" s="109">
        <v>2103750</v>
      </c>
      <c r="K38" s="96" t="s">
        <v>133</v>
      </c>
      <c r="N38" s="109">
        <v>1530000</v>
      </c>
      <c r="O38" s="96" t="s">
        <v>134</v>
      </c>
      <c r="P38" s="110">
        <f t="shared" si="1"/>
        <v>2677500</v>
      </c>
      <c r="Q38" s="69" t="s">
        <v>135</v>
      </c>
      <c r="V38" t="s">
        <v>27</v>
      </c>
    </row>
    <row r="39" spans="1:22" ht="15" customHeight="1" x14ac:dyDescent="0.25">
      <c r="A39" s="69">
        <v>31</v>
      </c>
      <c r="B39" s="35" t="s">
        <v>136</v>
      </c>
      <c r="C39" s="69" t="s">
        <v>137</v>
      </c>
      <c r="D39" s="69" t="s">
        <v>138</v>
      </c>
      <c r="E39" s="104">
        <v>8415000</v>
      </c>
      <c r="F39" s="109">
        <v>2103750</v>
      </c>
      <c r="G39" s="96" t="s">
        <v>132</v>
      </c>
      <c r="J39" s="109">
        <v>1530000</v>
      </c>
      <c r="K39" s="101" t="s">
        <v>139</v>
      </c>
      <c r="L39" s="109">
        <v>1530000</v>
      </c>
      <c r="M39" s="97" t="s">
        <v>140</v>
      </c>
      <c r="N39" s="109">
        <v>1530000</v>
      </c>
      <c r="O39" s="96" t="s">
        <v>134</v>
      </c>
      <c r="P39" s="110">
        <f t="shared" si="1"/>
        <v>1721250</v>
      </c>
      <c r="Q39" s="69" t="s">
        <v>141</v>
      </c>
      <c r="V39" t="s">
        <v>27</v>
      </c>
    </row>
    <row r="40" spans="1:22" ht="15" customHeight="1" x14ac:dyDescent="0.25">
      <c r="A40" s="69">
        <v>413</v>
      </c>
      <c r="B40" s="35" t="s">
        <v>142</v>
      </c>
      <c r="C40" s="69" t="s">
        <v>143</v>
      </c>
      <c r="D40" s="69" t="s">
        <v>144</v>
      </c>
      <c r="E40" s="104">
        <v>8415000</v>
      </c>
      <c r="F40" s="109">
        <v>2103750</v>
      </c>
      <c r="G40" s="96" t="s">
        <v>145</v>
      </c>
      <c r="J40" s="109">
        <v>1530000</v>
      </c>
      <c r="K40" s="103" t="s">
        <v>146</v>
      </c>
      <c r="L40" s="109">
        <v>1530000</v>
      </c>
      <c r="M40" s="102" t="s">
        <v>147</v>
      </c>
      <c r="N40" s="109">
        <v>1530000</v>
      </c>
      <c r="O40" s="96" t="s">
        <v>134</v>
      </c>
      <c r="P40" s="110">
        <f t="shared" si="1"/>
        <v>1721250</v>
      </c>
      <c r="Q40" s="69" t="s">
        <v>148</v>
      </c>
      <c r="V40" t="s">
        <v>27</v>
      </c>
    </row>
    <row r="41" spans="1:22" ht="15" customHeight="1" x14ac:dyDescent="0.25">
      <c r="A41" s="69">
        <v>588</v>
      </c>
      <c r="B41" s="35" t="s">
        <v>149</v>
      </c>
      <c r="C41" s="111" t="s">
        <v>150</v>
      </c>
      <c r="D41" s="111" t="s">
        <v>151</v>
      </c>
      <c r="E41" s="104">
        <v>11050000</v>
      </c>
      <c r="F41" s="109">
        <v>1530000</v>
      </c>
      <c r="G41" s="102" t="s">
        <v>152</v>
      </c>
      <c r="J41" s="109">
        <v>1530000</v>
      </c>
      <c r="K41" s="101" t="s">
        <v>139</v>
      </c>
      <c r="L41" s="109">
        <v>1530000</v>
      </c>
      <c r="M41" s="97" t="s">
        <v>140</v>
      </c>
      <c r="N41" s="109">
        <v>1530000</v>
      </c>
      <c r="O41" s="96" t="s">
        <v>134</v>
      </c>
      <c r="P41" s="110">
        <f t="shared" si="1"/>
        <v>4930000</v>
      </c>
      <c r="Q41" s="69" t="s">
        <v>148</v>
      </c>
      <c r="V41" t="s">
        <v>27</v>
      </c>
    </row>
    <row r="42" spans="1:22" ht="15" customHeight="1" x14ac:dyDescent="0.25">
      <c r="A42" s="69">
        <v>593</v>
      </c>
      <c r="B42" s="35" t="s">
        <v>153</v>
      </c>
      <c r="C42" s="111" t="s">
        <v>154</v>
      </c>
      <c r="D42" s="111" t="s">
        <v>116</v>
      </c>
      <c r="E42" s="104">
        <v>6120000</v>
      </c>
      <c r="F42" s="109">
        <v>1530000</v>
      </c>
      <c r="G42" s="102" t="s">
        <v>152</v>
      </c>
      <c r="J42" s="109">
        <v>1530000</v>
      </c>
      <c r="K42" s="101" t="s">
        <v>139</v>
      </c>
      <c r="L42" s="109">
        <v>1530000</v>
      </c>
      <c r="M42" s="97" t="s">
        <v>140</v>
      </c>
      <c r="N42" s="109">
        <v>1530000</v>
      </c>
      <c r="O42" s="96" t="s">
        <v>134</v>
      </c>
      <c r="P42" s="110">
        <f t="shared" si="1"/>
        <v>0</v>
      </c>
      <c r="Q42" s="69" t="s">
        <v>148</v>
      </c>
      <c r="V42" t="s">
        <v>27</v>
      </c>
    </row>
    <row r="43" spans="1:22" ht="15" customHeight="1" x14ac:dyDescent="0.25">
      <c r="A43" s="69">
        <v>595</v>
      </c>
      <c r="B43" s="35" t="s">
        <v>155</v>
      </c>
      <c r="C43" s="112" t="s">
        <v>156</v>
      </c>
      <c r="D43" s="112" t="s">
        <v>157</v>
      </c>
      <c r="E43" s="104">
        <v>6120000</v>
      </c>
      <c r="F43" s="109">
        <v>1530000</v>
      </c>
      <c r="G43" s="102" t="s">
        <v>152</v>
      </c>
      <c r="J43" s="109">
        <v>1530000</v>
      </c>
      <c r="K43" s="101" t="s">
        <v>139</v>
      </c>
      <c r="L43" s="109">
        <v>1530000</v>
      </c>
      <c r="M43" s="102" t="s">
        <v>147</v>
      </c>
      <c r="N43" s="109">
        <v>1530000</v>
      </c>
      <c r="O43" s="96" t="s">
        <v>134</v>
      </c>
      <c r="P43" s="110">
        <f t="shared" si="1"/>
        <v>0</v>
      </c>
      <c r="Q43" s="69" t="s">
        <v>148</v>
      </c>
      <c r="V43" t="s">
        <v>27</v>
      </c>
    </row>
    <row r="44" spans="1:22" ht="15" customHeight="1" x14ac:dyDescent="0.25">
      <c r="A44" s="69">
        <v>598</v>
      </c>
      <c r="B44" s="35" t="s">
        <v>158</v>
      </c>
      <c r="C44" s="112" t="s">
        <v>159</v>
      </c>
      <c r="D44" s="112" t="s">
        <v>160</v>
      </c>
      <c r="E44" s="104">
        <v>6120000</v>
      </c>
      <c r="F44" s="109">
        <v>1530000</v>
      </c>
      <c r="G44" s="102" t="s">
        <v>152</v>
      </c>
      <c r="J44" s="109">
        <v>1530000</v>
      </c>
      <c r="K44" s="103" t="s">
        <v>146</v>
      </c>
      <c r="L44" s="109">
        <v>1530000</v>
      </c>
      <c r="M44" s="97" t="s">
        <v>140</v>
      </c>
      <c r="N44" s="109">
        <v>1530000</v>
      </c>
      <c r="O44" s="96" t="s">
        <v>134</v>
      </c>
      <c r="P44" s="110">
        <f t="shared" si="1"/>
        <v>0</v>
      </c>
      <c r="Q44" s="69" t="s">
        <v>148</v>
      </c>
      <c r="V44" t="s">
        <v>27</v>
      </c>
    </row>
    <row r="45" spans="1:22" ht="15" customHeight="1" x14ac:dyDescent="0.25">
      <c r="A45" s="69">
        <v>599</v>
      </c>
      <c r="B45" s="35" t="s">
        <v>161</v>
      </c>
      <c r="C45" s="69" t="s">
        <v>162</v>
      </c>
      <c r="D45" s="69" t="s">
        <v>157</v>
      </c>
      <c r="E45" s="104">
        <v>6120000</v>
      </c>
      <c r="F45" s="109">
        <v>1530000</v>
      </c>
      <c r="G45" s="102" t="s">
        <v>152</v>
      </c>
      <c r="J45" s="109">
        <v>1530000</v>
      </c>
      <c r="K45" s="103" t="s">
        <v>146</v>
      </c>
      <c r="L45" s="109">
        <v>1530000</v>
      </c>
      <c r="M45" s="97" t="s">
        <v>140</v>
      </c>
      <c r="N45" s="109">
        <v>1530000</v>
      </c>
      <c r="O45" s="96" t="s">
        <v>134</v>
      </c>
      <c r="P45" s="110">
        <f t="shared" si="1"/>
        <v>0</v>
      </c>
      <c r="Q45" s="69" t="s">
        <v>148</v>
      </c>
      <c r="V45" t="s">
        <v>27</v>
      </c>
    </row>
    <row r="46" spans="1:22" ht="15" customHeight="1" x14ac:dyDescent="0.25">
      <c r="A46" s="69">
        <v>600</v>
      </c>
      <c r="B46" s="35" t="s">
        <v>163</v>
      </c>
      <c r="C46" s="69" t="s">
        <v>164</v>
      </c>
      <c r="D46" s="69" t="s">
        <v>57</v>
      </c>
      <c r="E46" s="104">
        <v>6120000</v>
      </c>
      <c r="F46" s="109">
        <v>1530000</v>
      </c>
      <c r="G46" s="102" t="s">
        <v>152</v>
      </c>
      <c r="J46" s="109">
        <v>1530000</v>
      </c>
      <c r="K46" s="103" t="s">
        <v>146</v>
      </c>
      <c r="L46" s="109">
        <v>1530000</v>
      </c>
      <c r="M46" s="97" t="s">
        <v>140</v>
      </c>
      <c r="N46" s="109">
        <v>1530000</v>
      </c>
      <c r="O46" s="96" t="s">
        <v>134</v>
      </c>
      <c r="P46" s="110">
        <f t="shared" si="1"/>
        <v>0</v>
      </c>
      <c r="Q46" s="69" t="s">
        <v>148</v>
      </c>
      <c r="V46" t="s">
        <v>27</v>
      </c>
    </row>
    <row r="47" spans="1:22" ht="15" customHeight="1" x14ac:dyDescent="0.25">
      <c r="A47" s="69">
        <v>601</v>
      </c>
      <c r="B47" s="35">
        <v>25807600154</v>
      </c>
      <c r="C47" s="111" t="s">
        <v>165</v>
      </c>
      <c r="D47" s="111" t="s">
        <v>166</v>
      </c>
      <c r="E47" s="104">
        <v>6120000</v>
      </c>
      <c r="F47" s="109">
        <v>1530000</v>
      </c>
      <c r="G47" s="102" t="s">
        <v>152</v>
      </c>
      <c r="J47" s="109">
        <v>1530000</v>
      </c>
      <c r="K47" s="101" t="s">
        <v>139</v>
      </c>
      <c r="L47" s="109">
        <v>1530000</v>
      </c>
      <c r="M47" s="97" t="s">
        <v>140</v>
      </c>
      <c r="N47" s="109">
        <v>1530000</v>
      </c>
      <c r="O47" s="96" t="s">
        <v>134</v>
      </c>
      <c r="P47" s="110">
        <f t="shared" si="1"/>
        <v>0</v>
      </c>
      <c r="Q47" s="69" t="s">
        <v>148</v>
      </c>
      <c r="V47" t="s">
        <v>27</v>
      </c>
    </row>
    <row r="48" spans="1:22" ht="15" customHeight="1" x14ac:dyDescent="0.25">
      <c r="A48" s="69">
        <v>606</v>
      </c>
      <c r="B48" s="35" t="s">
        <v>167</v>
      </c>
      <c r="C48" s="111" t="s">
        <v>168</v>
      </c>
      <c r="D48" s="111" t="s">
        <v>57</v>
      </c>
      <c r="E48" s="104">
        <v>6120000</v>
      </c>
      <c r="F48" s="109">
        <v>1530000</v>
      </c>
      <c r="G48" s="96" t="s">
        <v>169</v>
      </c>
      <c r="J48" s="109">
        <v>1530000</v>
      </c>
      <c r="K48" s="103" t="s">
        <v>146</v>
      </c>
      <c r="L48" s="109">
        <v>1530000</v>
      </c>
      <c r="M48" s="97" t="s">
        <v>140</v>
      </c>
      <c r="N48" s="109">
        <v>1530000</v>
      </c>
      <c r="O48" s="96" t="s">
        <v>134</v>
      </c>
      <c r="P48" s="110">
        <f t="shared" si="1"/>
        <v>0</v>
      </c>
      <c r="Q48" s="69" t="s">
        <v>148</v>
      </c>
      <c r="V48" t="s">
        <v>27</v>
      </c>
    </row>
    <row r="49" spans="1:22" ht="15" customHeight="1" x14ac:dyDescent="0.25">
      <c r="A49" s="69">
        <v>607</v>
      </c>
      <c r="B49" s="35" t="s">
        <v>170</v>
      </c>
      <c r="C49" s="111" t="s">
        <v>171</v>
      </c>
      <c r="D49" s="111" t="s">
        <v>172</v>
      </c>
      <c r="E49" s="104">
        <v>6120000</v>
      </c>
      <c r="F49" s="109">
        <v>1530000</v>
      </c>
      <c r="G49" s="96" t="s">
        <v>169</v>
      </c>
      <c r="J49" s="109">
        <v>1530000</v>
      </c>
      <c r="K49" s="101" t="s">
        <v>139</v>
      </c>
      <c r="L49" s="109">
        <v>1530000</v>
      </c>
      <c r="M49" s="97" t="s">
        <v>140</v>
      </c>
      <c r="N49" s="109">
        <v>1530000</v>
      </c>
      <c r="O49" s="96" t="s">
        <v>134</v>
      </c>
      <c r="P49" s="110">
        <f t="shared" si="1"/>
        <v>0</v>
      </c>
      <c r="Q49" s="69" t="s">
        <v>148</v>
      </c>
      <c r="V49" t="s">
        <v>27</v>
      </c>
    </row>
    <row r="50" spans="1:22" ht="15" customHeight="1" x14ac:dyDescent="0.25">
      <c r="A50" s="69">
        <v>608</v>
      </c>
      <c r="B50" s="35" t="s">
        <v>173</v>
      </c>
      <c r="C50" s="111" t="s">
        <v>174</v>
      </c>
      <c r="D50" s="111" t="s">
        <v>175</v>
      </c>
      <c r="E50" s="104">
        <v>6120000</v>
      </c>
      <c r="F50" s="109">
        <v>1530000</v>
      </c>
      <c r="G50" s="96" t="s">
        <v>169</v>
      </c>
      <c r="J50" s="109">
        <v>1530000</v>
      </c>
      <c r="K50" s="101" t="s">
        <v>139</v>
      </c>
      <c r="L50" s="109">
        <v>1530000</v>
      </c>
      <c r="M50" s="97" t="s">
        <v>140</v>
      </c>
      <c r="N50" s="109">
        <v>1530000</v>
      </c>
      <c r="O50" s="96" t="s">
        <v>134</v>
      </c>
      <c r="P50" s="110">
        <f t="shared" si="1"/>
        <v>0</v>
      </c>
      <c r="Q50" s="69" t="s">
        <v>148</v>
      </c>
      <c r="V50" t="s">
        <v>27</v>
      </c>
    </row>
    <row r="51" spans="1:22" ht="15" customHeight="1" x14ac:dyDescent="0.25">
      <c r="A51" s="69">
        <v>714</v>
      </c>
      <c r="B51" s="35" t="s">
        <v>176</v>
      </c>
      <c r="C51" s="112" t="s">
        <v>87</v>
      </c>
      <c r="D51" s="112" t="s">
        <v>131</v>
      </c>
      <c r="E51" s="104">
        <v>3800000</v>
      </c>
      <c r="L51" s="109">
        <v>1900000</v>
      </c>
      <c r="M51" s="97" t="s">
        <v>140</v>
      </c>
      <c r="N51" s="109">
        <v>1900000</v>
      </c>
      <c r="O51" s="96" t="s">
        <v>134</v>
      </c>
      <c r="P51" s="110">
        <f t="shared" si="1"/>
        <v>0</v>
      </c>
      <c r="Q51" s="69" t="s">
        <v>148</v>
      </c>
      <c r="R51" s="69" t="s">
        <v>177</v>
      </c>
      <c r="V51" t="s">
        <v>27</v>
      </c>
    </row>
    <row r="52" spans="1:22" ht="15" customHeight="1" x14ac:dyDescent="0.25">
      <c r="A52" s="69">
        <v>833</v>
      </c>
      <c r="B52" s="35" t="s">
        <v>178</v>
      </c>
      <c r="C52" s="69" t="s">
        <v>179</v>
      </c>
      <c r="D52" s="69" t="s">
        <v>180</v>
      </c>
      <c r="E52" s="104">
        <v>3600000</v>
      </c>
      <c r="N52" s="104">
        <v>2000000</v>
      </c>
      <c r="O52" s="96" t="s">
        <v>134</v>
      </c>
      <c r="P52" s="110">
        <f t="shared" si="1"/>
        <v>1600000</v>
      </c>
      <c r="Q52" s="69" t="s">
        <v>148</v>
      </c>
      <c r="V52" t="s">
        <v>27</v>
      </c>
    </row>
    <row r="53" spans="1:22" ht="15" customHeight="1" x14ac:dyDescent="0.25">
      <c r="A53" s="69">
        <v>845</v>
      </c>
      <c r="B53" s="35">
        <v>2180608872</v>
      </c>
      <c r="C53" s="69" t="s">
        <v>181</v>
      </c>
      <c r="D53" s="69" t="s">
        <v>182</v>
      </c>
      <c r="E53" s="104">
        <v>2000000</v>
      </c>
      <c r="N53" s="104">
        <v>2000000</v>
      </c>
      <c r="O53" s="96" t="s">
        <v>134</v>
      </c>
      <c r="V53" t="s">
        <v>27</v>
      </c>
    </row>
    <row r="54" spans="1:22" ht="15" customHeight="1" x14ac:dyDescent="0.25">
      <c r="A54" s="69">
        <v>422</v>
      </c>
      <c r="B54" s="35" t="s">
        <v>183</v>
      </c>
      <c r="C54" s="69" t="s">
        <v>184</v>
      </c>
      <c r="D54" s="69" t="s">
        <v>185</v>
      </c>
      <c r="E54" s="104">
        <v>8415000</v>
      </c>
      <c r="F54" s="109">
        <v>2103750</v>
      </c>
      <c r="G54" s="96" t="s">
        <v>145</v>
      </c>
      <c r="J54" s="109">
        <v>1530000</v>
      </c>
      <c r="K54" s="103" t="s">
        <v>146</v>
      </c>
      <c r="L54" s="109">
        <v>1530000</v>
      </c>
      <c r="M54" s="102" t="s">
        <v>147</v>
      </c>
      <c r="N54" s="109">
        <v>1530000</v>
      </c>
      <c r="O54" s="102" t="s">
        <v>186</v>
      </c>
      <c r="P54" s="110">
        <f t="shared" ref="P54:P117" si="2">E54-F54-H54-J54-L54-N54</f>
        <v>1721250</v>
      </c>
      <c r="Q54" s="69" t="s">
        <v>148</v>
      </c>
      <c r="V54" t="s">
        <v>27</v>
      </c>
    </row>
    <row r="55" spans="1:22" ht="15" customHeight="1" x14ac:dyDescent="0.25">
      <c r="A55" s="69">
        <v>590</v>
      </c>
      <c r="B55" s="35" t="s">
        <v>187</v>
      </c>
      <c r="C55" s="69" t="s">
        <v>188</v>
      </c>
      <c r="D55" s="69" t="s">
        <v>120</v>
      </c>
      <c r="E55" s="104">
        <v>8415000</v>
      </c>
      <c r="F55" s="109">
        <v>1530000</v>
      </c>
      <c r="G55" s="102" t="s">
        <v>152</v>
      </c>
      <c r="J55" s="109">
        <v>1530000</v>
      </c>
      <c r="K55" s="101" t="s">
        <v>139</v>
      </c>
      <c r="L55" s="109">
        <v>1530000</v>
      </c>
      <c r="M55" s="102" t="s">
        <v>147</v>
      </c>
      <c r="N55" s="109">
        <v>1530000</v>
      </c>
      <c r="O55" s="102" t="s">
        <v>186</v>
      </c>
      <c r="P55" s="110">
        <f t="shared" si="2"/>
        <v>2295000</v>
      </c>
      <c r="Q55" s="69" t="s">
        <v>148</v>
      </c>
      <c r="V55" t="s">
        <v>27</v>
      </c>
    </row>
    <row r="56" spans="1:22" ht="15" customHeight="1" x14ac:dyDescent="0.25">
      <c r="A56" s="69">
        <v>592</v>
      </c>
      <c r="B56" s="35" t="s">
        <v>189</v>
      </c>
      <c r="C56" s="112" t="s">
        <v>190</v>
      </c>
      <c r="D56" s="112" t="s">
        <v>138</v>
      </c>
      <c r="E56" s="104">
        <v>6120000</v>
      </c>
      <c r="F56" s="109">
        <v>1530000</v>
      </c>
      <c r="G56" s="102" t="s">
        <v>152</v>
      </c>
      <c r="J56" s="109">
        <v>1530000</v>
      </c>
      <c r="K56" s="103" t="s">
        <v>146</v>
      </c>
      <c r="L56" s="109">
        <v>1530000</v>
      </c>
      <c r="M56" s="102" t="s">
        <v>147</v>
      </c>
      <c r="N56" s="109">
        <v>1530000</v>
      </c>
      <c r="O56" s="102" t="s">
        <v>186</v>
      </c>
      <c r="P56" s="110">
        <f t="shared" si="2"/>
        <v>0</v>
      </c>
      <c r="Q56" s="69" t="s">
        <v>148</v>
      </c>
      <c r="V56" t="s">
        <v>27</v>
      </c>
    </row>
    <row r="57" spans="1:22" ht="15" customHeight="1" x14ac:dyDescent="0.25">
      <c r="A57" s="69">
        <v>596</v>
      </c>
      <c r="B57" s="35" t="s">
        <v>191</v>
      </c>
      <c r="C57" s="112" t="s">
        <v>192</v>
      </c>
      <c r="D57" s="112" t="s">
        <v>74</v>
      </c>
      <c r="E57" s="104">
        <v>6120000</v>
      </c>
      <c r="F57" s="109">
        <v>1530000</v>
      </c>
      <c r="G57" s="102" t="s">
        <v>152</v>
      </c>
      <c r="J57" s="109">
        <v>1530000</v>
      </c>
      <c r="K57" s="101" t="s">
        <v>139</v>
      </c>
      <c r="L57" s="109">
        <v>1530000</v>
      </c>
      <c r="M57" s="102" t="s">
        <v>147</v>
      </c>
      <c r="N57" s="109">
        <v>1530000</v>
      </c>
      <c r="O57" s="102" t="s">
        <v>186</v>
      </c>
      <c r="P57" s="110">
        <f t="shared" si="2"/>
        <v>0</v>
      </c>
      <c r="Q57" s="69" t="s">
        <v>148</v>
      </c>
      <c r="V57" t="s">
        <v>27</v>
      </c>
    </row>
    <row r="58" spans="1:22" ht="15" customHeight="1" x14ac:dyDescent="0.25">
      <c r="A58" s="69">
        <v>597</v>
      </c>
      <c r="B58" s="35" t="s">
        <v>193</v>
      </c>
      <c r="C58" s="111" t="s">
        <v>194</v>
      </c>
      <c r="D58" s="111" t="s">
        <v>195</v>
      </c>
      <c r="E58" s="104">
        <v>6120000</v>
      </c>
      <c r="F58" s="109">
        <v>1530000</v>
      </c>
      <c r="G58" s="102" t="s">
        <v>152</v>
      </c>
      <c r="J58" s="109">
        <v>1530000</v>
      </c>
      <c r="K58" s="101" t="s">
        <v>139</v>
      </c>
      <c r="L58" s="109">
        <v>1530000</v>
      </c>
      <c r="M58" s="102" t="s">
        <v>147</v>
      </c>
      <c r="N58" s="109">
        <v>1530000</v>
      </c>
      <c r="O58" s="102" t="s">
        <v>186</v>
      </c>
      <c r="P58" s="110">
        <f t="shared" si="2"/>
        <v>0</v>
      </c>
      <c r="Q58" s="69" t="s">
        <v>148</v>
      </c>
      <c r="V58" t="s">
        <v>27</v>
      </c>
    </row>
    <row r="59" spans="1:22" ht="15" customHeight="1" x14ac:dyDescent="0.25">
      <c r="A59" s="69">
        <v>603</v>
      </c>
      <c r="B59" s="35" t="s">
        <v>196</v>
      </c>
      <c r="C59" s="111" t="s">
        <v>197</v>
      </c>
      <c r="D59" s="111" t="s">
        <v>198</v>
      </c>
      <c r="E59" s="104">
        <v>11050000</v>
      </c>
      <c r="F59" s="109">
        <v>1530000</v>
      </c>
      <c r="G59" s="96" t="s">
        <v>169</v>
      </c>
      <c r="J59" s="109">
        <v>1530000</v>
      </c>
      <c r="K59" s="103" t="s">
        <v>146</v>
      </c>
      <c r="L59" s="109">
        <v>1530000</v>
      </c>
      <c r="M59" s="102" t="s">
        <v>147</v>
      </c>
      <c r="N59" s="109">
        <v>1530000</v>
      </c>
      <c r="O59" s="102" t="s">
        <v>186</v>
      </c>
      <c r="P59" s="110">
        <f t="shared" si="2"/>
        <v>4930000</v>
      </c>
      <c r="Q59" s="69" t="s">
        <v>148</v>
      </c>
      <c r="V59" t="s">
        <v>27</v>
      </c>
    </row>
    <row r="60" spans="1:22" ht="15" customHeight="1" x14ac:dyDescent="0.25">
      <c r="A60" s="69">
        <v>604</v>
      </c>
      <c r="B60" s="35" t="s">
        <v>199</v>
      </c>
      <c r="C60" s="111" t="s">
        <v>200</v>
      </c>
      <c r="D60" s="111" t="s">
        <v>22</v>
      </c>
      <c r="E60" s="104">
        <v>11050000</v>
      </c>
      <c r="F60" s="109">
        <v>1530000</v>
      </c>
      <c r="G60" s="96" t="s">
        <v>169</v>
      </c>
      <c r="J60" s="109">
        <v>1530000</v>
      </c>
      <c r="K60" s="103" t="s">
        <v>146</v>
      </c>
      <c r="L60" s="109">
        <v>1530000</v>
      </c>
      <c r="M60" s="102" t="s">
        <v>147</v>
      </c>
      <c r="N60" s="109">
        <v>1530000</v>
      </c>
      <c r="O60" s="102" t="s">
        <v>186</v>
      </c>
      <c r="P60" s="110">
        <f t="shared" si="2"/>
        <v>4930000</v>
      </c>
      <c r="Q60" s="69" t="s">
        <v>148</v>
      </c>
      <c r="R60" s="109">
        <v>2600000</v>
      </c>
      <c r="S60" s="100" t="s">
        <v>201</v>
      </c>
      <c r="T60" s="110">
        <f>E60-F60-H60-J60-L60-N60-R60</f>
        <v>2330000</v>
      </c>
      <c r="V60" t="s">
        <v>27</v>
      </c>
    </row>
    <row r="61" spans="1:22" ht="15" customHeight="1" x14ac:dyDescent="0.25">
      <c r="A61" s="69">
        <v>605</v>
      </c>
      <c r="B61" s="35" t="s">
        <v>202</v>
      </c>
      <c r="C61" s="111" t="s">
        <v>203</v>
      </c>
      <c r="D61" s="111" t="s">
        <v>204</v>
      </c>
      <c r="E61" s="104">
        <v>11050000</v>
      </c>
      <c r="F61" s="109">
        <v>1530000</v>
      </c>
      <c r="G61" s="96" t="s">
        <v>169</v>
      </c>
      <c r="J61" s="109">
        <v>1530000</v>
      </c>
      <c r="K61" s="103" t="s">
        <v>146</v>
      </c>
      <c r="L61" s="109">
        <v>1530000</v>
      </c>
      <c r="M61" s="102" t="s">
        <v>147</v>
      </c>
      <c r="N61" s="109">
        <v>1530000</v>
      </c>
      <c r="O61" s="102" t="s">
        <v>186</v>
      </c>
      <c r="P61" s="110">
        <f t="shared" si="2"/>
        <v>4930000</v>
      </c>
      <c r="Q61" s="69" t="s">
        <v>148</v>
      </c>
      <c r="V61" t="s">
        <v>27</v>
      </c>
    </row>
    <row r="62" spans="1:22" ht="15" customHeight="1" x14ac:dyDescent="0.25">
      <c r="A62" s="69">
        <v>609</v>
      </c>
      <c r="B62" s="35" t="s">
        <v>205</v>
      </c>
      <c r="C62" s="111" t="s">
        <v>206</v>
      </c>
      <c r="D62" s="111" t="s">
        <v>207</v>
      </c>
      <c r="E62" s="104">
        <v>6120000</v>
      </c>
      <c r="F62" s="109">
        <v>1530000</v>
      </c>
      <c r="G62" s="96" t="s">
        <v>169</v>
      </c>
      <c r="J62" s="109">
        <v>1530000</v>
      </c>
      <c r="K62" s="103" t="s">
        <v>146</v>
      </c>
      <c r="L62" s="109">
        <v>1530000</v>
      </c>
      <c r="M62" s="97" t="s">
        <v>140</v>
      </c>
      <c r="N62" s="109">
        <v>1530000</v>
      </c>
      <c r="O62" s="102" t="s">
        <v>186</v>
      </c>
      <c r="P62" s="110">
        <f t="shared" si="2"/>
        <v>0</v>
      </c>
      <c r="Q62" s="69" t="s">
        <v>148</v>
      </c>
      <c r="V62" t="s">
        <v>27</v>
      </c>
    </row>
    <row r="63" spans="1:22" ht="15" customHeight="1" x14ac:dyDescent="0.25">
      <c r="A63" s="69">
        <v>610</v>
      </c>
      <c r="B63" s="35" t="s">
        <v>208</v>
      </c>
      <c r="C63" s="112" t="s">
        <v>209</v>
      </c>
      <c r="D63" s="112" t="s">
        <v>54</v>
      </c>
      <c r="E63" s="104">
        <v>6120000</v>
      </c>
      <c r="F63" s="109">
        <v>1530000</v>
      </c>
      <c r="G63" s="96" t="s">
        <v>169</v>
      </c>
      <c r="J63" s="109">
        <v>1530000</v>
      </c>
      <c r="K63" s="103" t="s">
        <v>146</v>
      </c>
      <c r="L63" s="109">
        <v>1530000</v>
      </c>
      <c r="M63" s="97" t="s">
        <v>140</v>
      </c>
      <c r="N63" s="109">
        <v>1530000</v>
      </c>
      <c r="O63" s="102" t="s">
        <v>186</v>
      </c>
      <c r="P63" s="110">
        <f t="shared" si="2"/>
        <v>0</v>
      </c>
      <c r="Q63" s="69" t="s">
        <v>148</v>
      </c>
      <c r="V63" t="s">
        <v>27</v>
      </c>
    </row>
    <row r="64" spans="1:22" ht="15" customHeight="1" x14ac:dyDescent="0.25">
      <c r="A64" s="69">
        <v>611</v>
      </c>
      <c r="B64" s="35" t="s">
        <v>210</v>
      </c>
      <c r="C64" s="112" t="s">
        <v>211</v>
      </c>
      <c r="D64" s="112" t="s">
        <v>50</v>
      </c>
      <c r="E64" s="104">
        <v>6120000</v>
      </c>
      <c r="F64" s="109">
        <v>1530000</v>
      </c>
      <c r="G64" s="96" t="s">
        <v>169</v>
      </c>
      <c r="J64" s="109">
        <v>1530000</v>
      </c>
      <c r="K64" s="103" t="s">
        <v>146</v>
      </c>
      <c r="L64" s="109">
        <v>1530000</v>
      </c>
      <c r="M64" s="102" t="s">
        <v>147</v>
      </c>
      <c r="N64" s="109">
        <v>1530000</v>
      </c>
      <c r="O64" s="102" t="s">
        <v>186</v>
      </c>
      <c r="P64" s="110">
        <f t="shared" si="2"/>
        <v>0</v>
      </c>
      <c r="Q64" s="69" t="s">
        <v>148</v>
      </c>
      <c r="V64" t="s">
        <v>27</v>
      </c>
    </row>
    <row r="65" spans="1:22" ht="15" customHeight="1" x14ac:dyDescent="0.25">
      <c r="A65" s="69">
        <v>612</v>
      </c>
      <c r="B65" s="35" t="s">
        <v>212</v>
      </c>
      <c r="C65" s="112" t="s">
        <v>213</v>
      </c>
      <c r="D65" s="112" t="s">
        <v>214</v>
      </c>
      <c r="E65" s="104">
        <v>6120000</v>
      </c>
      <c r="F65" s="109">
        <v>1530000</v>
      </c>
      <c r="G65" s="96" t="s">
        <v>169</v>
      </c>
      <c r="J65" s="109">
        <v>1530000</v>
      </c>
      <c r="K65" s="103" t="s">
        <v>146</v>
      </c>
      <c r="L65" s="109">
        <v>1530000</v>
      </c>
      <c r="M65" s="102" t="s">
        <v>147</v>
      </c>
      <c r="N65" s="109">
        <v>1530000</v>
      </c>
      <c r="O65" s="102" t="s">
        <v>186</v>
      </c>
      <c r="P65" s="110">
        <f t="shared" si="2"/>
        <v>0</v>
      </c>
      <c r="Q65" s="69" t="s">
        <v>148</v>
      </c>
      <c r="V65" t="s">
        <v>27</v>
      </c>
    </row>
    <row r="66" spans="1:22" ht="15" customHeight="1" x14ac:dyDescent="0.25">
      <c r="A66" s="69">
        <v>613</v>
      </c>
      <c r="B66" s="35" t="s">
        <v>215</v>
      </c>
      <c r="C66" s="111" t="s">
        <v>216</v>
      </c>
      <c r="D66" s="111" t="s">
        <v>217</v>
      </c>
      <c r="E66" s="104">
        <v>6120000</v>
      </c>
      <c r="F66" s="109">
        <v>1530000</v>
      </c>
      <c r="G66" s="96" t="s">
        <v>169</v>
      </c>
      <c r="J66" s="109">
        <v>1530000</v>
      </c>
      <c r="K66" s="103" t="s">
        <v>146</v>
      </c>
      <c r="L66" s="109">
        <v>1530000</v>
      </c>
      <c r="M66" s="102" t="s">
        <v>147</v>
      </c>
      <c r="N66" s="109">
        <v>1530000</v>
      </c>
      <c r="O66" s="102" t="s">
        <v>186</v>
      </c>
      <c r="P66" s="110">
        <f t="shared" si="2"/>
        <v>0</v>
      </c>
      <c r="Q66" s="69" t="s">
        <v>148</v>
      </c>
      <c r="V66" t="s">
        <v>27</v>
      </c>
    </row>
    <row r="67" spans="1:22" ht="15" customHeight="1" x14ac:dyDescent="0.25">
      <c r="A67" s="69">
        <v>614</v>
      </c>
      <c r="B67" s="35" t="s">
        <v>218</v>
      </c>
      <c r="C67" s="69" t="s">
        <v>197</v>
      </c>
      <c r="D67" s="69" t="s">
        <v>160</v>
      </c>
      <c r="E67" s="104">
        <v>6120000</v>
      </c>
      <c r="F67" s="109">
        <v>1530000</v>
      </c>
      <c r="G67" s="96" t="s">
        <v>169</v>
      </c>
      <c r="J67" s="109">
        <v>1530000</v>
      </c>
      <c r="K67" s="103" t="s">
        <v>146</v>
      </c>
      <c r="L67" s="109">
        <v>1530000</v>
      </c>
      <c r="M67" s="97" t="s">
        <v>140</v>
      </c>
      <c r="N67" s="109">
        <v>1530000</v>
      </c>
      <c r="O67" s="102" t="s">
        <v>186</v>
      </c>
      <c r="P67" s="110">
        <f t="shared" si="2"/>
        <v>0</v>
      </c>
      <c r="Q67" s="69" t="s">
        <v>148</v>
      </c>
      <c r="V67" t="s">
        <v>27</v>
      </c>
    </row>
    <row r="68" spans="1:22" ht="15" customHeight="1" x14ac:dyDescent="0.25">
      <c r="A68" s="69">
        <v>615</v>
      </c>
      <c r="B68" s="35" t="s">
        <v>219</v>
      </c>
      <c r="C68" s="35" t="s">
        <v>220</v>
      </c>
      <c r="D68" s="35" t="s">
        <v>22</v>
      </c>
      <c r="E68" s="104">
        <v>7200000</v>
      </c>
      <c r="F68" s="104">
        <v>1600000</v>
      </c>
      <c r="G68" s="35" t="s">
        <v>169</v>
      </c>
      <c r="H68" s="35"/>
      <c r="I68" s="35"/>
      <c r="J68" s="104">
        <v>1600000</v>
      </c>
      <c r="K68" s="101" t="s">
        <v>139</v>
      </c>
      <c r="L68" s="109">
        <v>2000000</v>
      </c>
      <c r="M68" s="102" t="s">
        <v>147</v>
      </c>
      <c r="N68" s="109">
        <v>2000000</v>
      </c>
      <c r="O68" s="102" t="s">
        <v>186</v>
      </c>
      <c r="P68" s="110">
        <f t="shared" si="2"/>
        <v>0</v>
      </c>
      <c r="Q68" s="69" t="s">
        <v>148</v>
      </c>
      <c r="V68" t="s">
        <v>27</v>
      </c>
    </row>
    <row r="69" spans="1:22" ht="15" customHeight="1" x14ac:dyDescent="0.25">
      <c r="A69" s="69">
        <v>821</v>
      </c>
      <c r="B69" s="35" t="s">
        <v>221</v>
      </c>
      <c r="C69" s="111" t="s">
        <v>222</v>
      </c>
      <c r="D69" s="111" t="s">
        <v>223</v>
      </c>
      <c r="E69" s="104">
        <v>6120000</v>
      </c>
      <c r="F69" s="109">
        <v>1530000</v>
      </c>
      <c r="G69" s="113" t="s">
        <v>169</v>
      </c>
      <c r="J69" s="109">
        <v>1530000</v>
      </c>
      <c r="K69" s="103" t="s">
        <v>146</v>
      </c>
      <c r="L69" s="109">
        <v>1530000</v>
      </c>
      <c r="M69" s="97" t="s">
        <v>140</v>
      </c>
      <c r="N69" s="109">
        <v>1530000</v>
      </c>
      <c r="O69" s="102" t="s">
        <v>186</v>
      </c>
      <c r="P69" s="110">
        <f t="shared" si="2"/>
        <v>0</v>
      </c>
      <c r="Q69" s="69" t="s">
        <v>148</v>
      </c>
      <c r="V69" t="s">
        <v>27</v>
      </c>
    </row>
    <row r="70" spans="1:22" ht="15" customHeight="1" x14ac:dyDescent="0.25">
      <c r="A70" s="69">
        <v>1</v>
      </c>
      <c r="B70" s="35" t="s">
        <v>224</v>
      </c>
      <c r="C70" s="35" t="s">
        <v>225</v>
      </c>
      <c r="D70" s="35" t="s">
        <v>157</v>
      </c>
      <c r="E70" s="104">
        <v>8415000</v>
      </c>
      <c r="F70" s="109">
        <v>2103750</v>
      </c>
      <c r="G70" s="102" t="s">
        <v>226</v>
      </c>
      <c r="J70" s="109">
        <v>2103750</v>
      </c>
      <c r="K70" s="96" t="s">
        <v>133</v>
      </c>
      <c r="N70" s="109">
        <v>2103750</v>
      </c>
      <c r="O70" s="96" t="s">
        <v>227</v>
      </c>
      <c r="P70" s="110">
        <f t="shared" si="2"/>
        <v>2103750</v>
      </c>
      <c r="Q70" s="69" t="s">
        <v>26</v>
      </c>
      <c r="R70" s="109">
        <v>2103750</v>
      </c>
      <c r="S70" s="100" t="s">
        <v>228</v>
      </c>
      <c r="T70" s="110">
        <f>E70-F70-J70-N70-R70</f>
        <v>0</v>
      </c>
      <c r="V70" t="s">
        <v>27</v>
      </c>
    </row>
    <row r="71" spans="1:22" ht="15" customHeight="1" x14ac:dyDescent="0.25">
      <c r="A71" s="69">
        <v>3</v>
      </c>
      <c r="B71" s="35" t="s">
        <v>229</v>
      </c>
      <c r="C71" s="35" t="s">
        <v>230</v>
      </c>
      <c r="D71" s="35" t="s">
        <v>231</v>
      </c>
      <c r="E71" s="104">
        <v>8415000</v>
      </c>
      <c r="F71" s="109">
        <v>2103750</v>
      </c>
      <c r="G71" s="102" t="s">
        <v>226</v>
      </c>
      <c r="J71" s="109">
        <v>2103750</v>
      </c>
      <c r="K71" s="96" t="s">
        <v>232</v>
      </c>
      <c r="N71" s="109">
        <v>2103750</v>
      </c>
      <c r="O71" s="96" t="s">
        <v>227</v>
      </c>
      <c r="P71" s="110">
        <f t="shared" si="2"/>
        <v>2103750</v>
      </c>
      <c r="Q71" s="69" t="s">
        <v>26</v>
      </c>
      <c r="R71" s="109">
        <v>2103750</v>
      </c>
      <c r="S71" s="100" t="s">
        <v>233</v>
      </c>
      <c r="T71" s="110">
        <f>E71-F71-J71-N71-P71</f>
        <v>0</v>
      </c>
      <c r="V71" t="s">
        <v>27</v>
      </c>
    </row>
    <row r="72" spans="1:22" ht="15" customHeight="1" x14ac:dyDescent="0.25">
      <c r="A72" s="69">
        <v>6</v>
      </c>
      <c r="B72" s="35" t="s">
        <v>234</v>
      </c>
      <c r="C72" s="35" t="s">
        <v>235</v>
      </c>
      <c r="D72" s="35" t="s">
        <v>236</v>
      </c>
      <c r="E72" s="104">
        <v>8415000</v>
      </c>
      <c r="F72" s="109">
        <v>2103750</v>
      </c>
      <c r="G72" s="102" t="s">
        <v>226</v>
      </c>
      <c r="J72" s="109">
        <v>2103750</v>
      </c>
      <c r="K72" s="96" t="s">
        <v>232</v>
      </c>
      <c r="N72" s="109">
        <v>2103750</v>
      </c>
      <c r="O72" s="96" t="s">
        <v>227</v>
      </c>
      <c r="P72" s="110">
        <f t="shared" si="2"/>
        <v>2103750</v>
      </c>
      <c r="Q72" s="69" t="s">
        <v>26</v>
      </c>
      <c r="R72" s="109">
        <v>2103750</v>
      </c>
      <c r="S72" s="100" t="s">
        <v>233</v>
      </c>
      <c r="T72" s="110">
        <f>E72-F72-H72-J72-L72-N72-R72</f>
        <v>0</v>
      </c>
      <c r="V72" t="s">
        <v>27</v>
      </c>
    </row>
    <row r="73" spans="1:22" ht="15" customHeight="1" x14ac:dyDescent="0.25">
      <c r="A73" s="69">
        <v>29</v>
      </c>
      <c r="B73" s="35" t="s">
        <v>237</v>
      </c>
      <c r="C73" s="69" t="s">
        <v>238</v>
      </c>
      <c r="D73" s="69" t="s">
        <v>239</v>
      </c>
      <c r="E73" s="104">
        <v>8415000</v>
      </c>
      <c r="F73" s="109">
        <v>2103750</v>
      </c>
      <c r="G73" s="96" t="s">
        <v>132</v>
      </c>
      <c r="J73" s="109">
        <v>2103750</v>
      </c>
      <c r="K73" s="96" t="s">
        <v>133</v>
      </c>
      <c r="N73" s="109">
        <v>2103750</v>
      </c>
      <c r="O73" s="96" t="s">
        <v>227</v>
      </c>
      <c r="P73" s="110">
        <f t="shared" si="2"/>
        <v>2103750</v>
      </c>
      <c r="Q73" s="69" t="s">
        <v>26</v>
      </c>
      <c r="R73" s="109">
        <v>2103750</v>
      </c>
      <c r="S73" s="99" t="s">
        <v>240</v>
      </c>
      <c r="T73" s="110">
        <f>E73-F73-H73-J73-L73-N73-R73</f>
        <v>0</v>
      </c>
      <c r="V73" t="s">
        <v>27</v>
      </c>
    </row>
    <row r="74" spans="1:22" ht="15" customHeight="1" x14ac:dyDescent="0.25">
      <c r="A74" s="69">
        <v>33</v>
      </c>
      <c r="B74" s="35" t="s">
        <v>241</v>
      </c>
      <c r="C74" s="35" t="s">
        <v>197</v>
      </c>
      <c r="D74" s="35" t="s">
        <v>242</v>
      </c>
      <c r="E74" s="104">
        <v>8415000</v>
      </c>
      <c r="F74" s="109">
        <v>2103750</v>
      </c>
      <c r="G74" s="102" t="s">
        <v>243</v>
      </c>
      <c r="J74" s="109">
        <v>2103750</v>
      </c>
      <c r="K74" s="96" t="s">
        <v>133</v>
      </c>
      <c r="N74" s="109">
        <v>2103750</v>
      </c>
      <c r="O74" s="96" t="s">
        <v>227</v>
      </c>
      <c r="P74" s="110">
        <f t="shared" si="2"/>
        <v>2103750</v>
      </c>
      <c r="Q74" s="69" t="s">
        <v>26</v>
      </c>
      <c r="R74" s="109">
        <v>2103750</v>
      </c>
      <c r="S74" s="99" t="s">
        <v>244</v>
      </c>
      <c r="T74" s="110">
        <f>E74-F74-H74-J74-L74-N74-R74</f>
        <v>0</v>
      </c>
      <c r="V74" t="s">
        <v>27</v>
      </c>
    </row>
    <row r="75" spans="1:22" ht="15" customHeight="1" x14ac:dyDescent="0.25">
      <c r="A75" s="69">
        <v>34</v>
      </c>
      <c r="B75" s="35" t="s">
        <v>245</v>
      </c>
      <c r="C75" s="35" t="s">
        <v>246</v>
      </c>
      <c r="D75" s="35" t="s">
        <v>22</v>
      </c>
      <c r="E75" s="104">
        <v>8415000</v>
      </c>
      <c r="F75" s="109">
        <v>2103750</v>
      </c>
      <c r="G75" s="102" t="s">
        <v>243</v>
      </c>
      <c r="J75" s="109">
        <v>2103750</v>
      </c>
      <c r="K75" s="102" t="s">
        <v>247</v>
      </c>
      <c r="N75" s="109">
        <v>2103750</v>
      </c>
      <c r="O75" s="96" t="s">
        <v>227</v>
      </c>
      <c r="P75" s="110">
        <f t="shared" si="2"/>
        <v>2103750</v>
      </c>
      <c r="Q75" s="69" t="s">
        <v>26</v>
      </c>
      <c r="V75" t="s">
        <v>27</v>
      </c>
    </row>
    <row r="76" spans="1:22" ht="15" customHeight="1" x14ac:dyDescent="0.25">
      <c r="A76" s="69">
        <v>35</v>
      </c>
      <c r="B76" s="35" t="s">
        <v>248</v>
      </c>
      <c r="C76" s="35" t="s">
        <v>249</v>
      </c>
      <c r="D76" s="35" t="s">
        <v>151</v>
      </c>
      <c r="E76" s="104">
        <v>8415000</v>
      </c>
      <c r="F76" s="109">
        <v>2103750</v>
      </c>
      <c r="G76" s="102" t="s">
        <v>243</v>
      </c>
      <c r="J76" s="109">
        <v>2103750</v>
      </c>
      <c r="K76" s="102" t="s">
        <v>247</v>
      </c>
      <c r="N76" s="109">
        <v>2103750</v>
      </c>
      <c r="O76" s="96" t="s">
        <v>227</v>
      </c>
      <c r="P76" s="110">
        <f t="shared" si="2"/>
        <v>2103750</v>
      </c>
      <c r="Q76" s="69" t="s">
        <v>26</v>
      </c>
      <c r="V76" t="s">
        <v>27</v>
      </c>
    </row>
    <row r="77" spans="1:22" ht="15" customHeight="1" x14ac:dyDescent="0.25">
      <c r="A77" s="69">
        <v>52</v>
      </c>
      <c r="B77" s="35" t="s">
        <v>250</v>
      </c>
      <c r="C77" s="35" t="s">
        <v>251</v>
      </c>
      <c r="D77" s="35" t="s">
        <v>252</v>
      </c>
      <c r="E77" s="104">
        <v>8415000</v>
      </c>
      <c r="F77" s="109">
        <v>2103750</v>
      </c>
      <c r="G77" s="96" t="s">
        <v>253</v>
      </c>
      <c r="J77" s="109">
        <v>2103750</v>
      </c>
      <c r="K77" s="96" t="s">
        <v>117</v>
      </c>
      <c r="N77" s="109">
        <v>2103750</v>
      </c>
      <c r="O77" s="96" t="s">
        <v>227</v>
      </c>
      <c r="P77" s="110">
        <f t="shared" si="2"/>
        <v>2103750</v>
      </c>
      <c r="Q77" s="69" t="s">
        <v>26</v>
      </c>
      <c r="R77" s="109">
        <v>2103750</v>
      </c>
      <c r="S77" s="99" t="s">
        <v>244</v>
      </c>
      <c r="T77" s="110">
        <f>E77-F77-H77-J77-L77-N77-R77</f>
        <v>0</v>
      </c>
      <c r="V77" t="s">
        <v>27</v>
      </c>
    </row>
    <row r="78" spans="1:22" ht="15" customHeight="1" x14ac:dyDescent="0.25">
      <c r="A78" s="69">
        <v>69</v>
      </c>
      <c r="B78" s="35" t="s">
        <v>254</v>
      </c>
      <c r="C78" s="35" t="s">
        <v>255</v>
      </c>
      <c r="D78" s="35" t="s">
        <v>256</v>
      </c>
      <c r="E78" s="104">
        <v>8415000</v>
      </c>
      <c r="F78" s="109">
        <v>2103750</v>
      </c>
      <c r="G78" s="102" t="s">
        <v>257</v>
      </c>
      <c r="J78" s="109">
        <v>2103750</v>
      </c>
      <c r="K78" s="102" t="s">
        <v>258</v>
      </c>
      <c r="N78" s="109">
        <v>2103750</v>
      </c>
      <c r="O78" s="96" t="s">
        <v>227</v>
      </c>
      <c r="P78" s="110">
        <f t="shared" si="2"/>
        <v>2103750</v>
      </c>
      <c r="Q78" s="69" t="s">
        <v>26</v>
      </c>
      <c r="V78" t="s">
        <v>27</v>
      </c>
    </row>
    <row r="79" spans="1:22" ht="15" customHeight="1" x14ac:dyDescent="0.25">
      <c r="A79" s="69">
        <v>87</v>
      </c>
      <c r="B79" s="35" t="s">
        <v>259</v>
      </c>
      <c r="C79" s="35" t="s">
        <v>260</v>
      </c>
      <c r="D79" s="35" t="s">
        <v>261</v>
      </c>
      <c r="E79" s="104">
        <v>8415000</v>
      </c>
      <c r="F79" s="109">
        <v>2103750</v>
      </c>
      <c r="G79" s="96" t="s">
        <v>262</v>
      </c>
      <c r="J79" s="109">
        <v>2103750</v>
      </c>
      <c r="K79" s="102" t="s">
        <v>263</v>
      </c>
      <c r="N79" s="109">
        <v>2103750</v>
      </c>
      <c r="O79" s="96" t="s">
        <v>227</v>
      </c>
      <c r="P79" s="110">
        <f t="shared" si="2"/>
        <v>2103750</v>
      </c>
      <c r="Q79" s="69" t="s">
        <v>26</v>
      </c>
      <c r="V79" t="s">
        <v>27</v>
      </c>
    </row>
    <row r="80" spans="1:22" ht="15" customHeight="1" x14ac:dyDescent="0.25">
      <c r="A80" s="69">
        <v>115</v>
      </c>
      <c r="B80" s="35" t="s">
        <v>264</v>
      </c>
      <c r="C80" s="35" t="s">
        <v>265</v>
      </c>
      <c r="D80" s="35" t="s">
        <v>239</v>
      </c>
      <c r="E80" s="104">
        <v>8415000</v>
      </c>
      <c r="F80" s="109">
        <v>2103750</v>
      </c>
      <c r="G80" s="96" t="s">
        <v>266</v>
      </c>
      <c r="J80" s="109">
        <v>2103750</v>
      </c>
      <c r="K80" s="102" t="s">
        <v>267</v>
      </c>
      <c r="N80" s="109">
        <v>2103750</v>
      </c>
      <c r="O80" s="96" t="s">
        <v>227</v>
      </c>
      <c r="P80" s="110">
        <f t="shared" si="2"/>
        <v>2103750</v>
      </c>
      <c r="Q80" s="69" t="s">
        <v>26</v>
      </c>
      <c r="R80" s="109">
        <v>2103750</v>
      </c>
      <c r="S80" s="100" t="s">
        <v>233</v>
      </c>
      <c r="T80" s="110">
        <f>E80-F80-H80-J80-L80-N80-R80</f>
        <v>0</v>
      </c>
      <c r="V80" t="s">
        <v>27</v>
      </c>
    </row>
    <row r="81" spans="1:22" ht="15" customHeight="1" x14ac:dyDescent="0.25">
      <c r="A81" s="69">
        <v>168</v>
      </c>
      <c r="B81" s="35" t="s">
        <v>268</v>
      </c>
      <c r="C81" s="35" t="s">
        <v>269</v>
      </c>
      <c r="D81" s="35" t="s">
        <v>270</v>
      </c>
      <c r="E81" s="104">
        <v>8415000</v>
      </c>
      <c r="F81" s="109">
        <v>2103750</v>
      </c>
      <c r="G81" s="102" t="s">
        <v>271</v>
      </c>
      <c r="J81" s="109">
        <v>2103750</v>
      </c>
      <c r="K81" s="102" t="s">
        <v>272</v>
      </c>
      <c r="N81" s="109">
        <v>2103750</v>
      </c>
      <c r="O81" s="96" t="s">
        <v>227</v>
      </c>
      <c r="P81" s="110">
        <f t="shared" si="2"/>
        <v>2103750</v>
      </c>
      <c r="Q81" s="69" t="s">
        <v>26</v>
      </c>
      <c r="R81" s="109">
        <v>2103750</v>
      </c>
      <c r="S81" s="99" t="s">
        <v>244</v>
      </c>
      <c r="T81" s="110">
        <f>E81-F81-H81-J81-L81-N81-R81</f>
        <v>0</v>
      </c>
      <c r="V81" t="s">
        <v>27</v>
      </c>
    </row>
    <row r="82" spans="1:22" ht="15" customHeight="1" x14ac:dyDescent="0.25">
      <c r="A82" s="69">
        <v>192</v>
      </c>
      <c r="B82" s="35" t="s">
        <v>273</v>
      </c>
      <c r="C82" s="35" t="s">
        <v>274</v>
      </c>
      <c r="D82" s="35" t="s">
        <v>275</v>
      </c>
      <c r="E82" s="104">
        <v>8415000</v>
      </c>
      <c r="F82" s="109">
        <v>2103750</v>
      </c>
      <c r="G82" s="102" t="s">
        <v>276</v>
      </c>
      <c r="J82" s="109">
        <v>2103750</v>
      </c>
      <c r="K82" s="96" t="s">
        <v>232</v>
      </c>
      <c r="N82" s="109">
        <v>2103750</v>
      </c>
      <c r="O82" s="96" t="s">
        <v>227</v>
      </c>
      <c r="P82" s="110">
        <f t="shared" si="2"/>
        <v>2103750</v>
      </c>
      <c r="Q82" s="69" t="s">
        <v>26</v>
      </c>
      <c r="R82" s="109">
        <v>2103750</v>
      </c>
      <c r="S82" s="99" t="s">
        <v>244</v>
      </c>
      <c r="T82" s="110">
        <f>E82-F82-H82-J82-L82-N82-R82</f>
        <v>0</v>
      </c>
      <c r="V82" t="s">
        <v>27</v>
      </c>
    </row>
    <row r="83" spans="1:22" ht="15" customHeight="1" x14ac:dyDescent="0.25">
      <c r="A83" s="69">
        <v>227</v>
      </c>
      <c r="B83" s="35" t="s">
        <v>277</v>
      </c>
      <c r="C83" s="35" t="s">
        <v>278</v>
      </c>
      <c r="D83" s="35" t="s">
        <v>279</v>
      </c>
      <c r="E83" s="104">
        <v>8415000</v>
      </c>
      <c r="F83" s="109">
        <v>2103750</v>
      </c>
      <c r="G83" s="102" t="s">
        <v>79</v>
      </c>
      <c r="K83" s="69" t="s">
        <v>177</v>
      </c>
      <c r="N83" s="109">
        <v>2103750</v>
      </c>
      <c r="O83" s="96" t="s">
        <v>227</v>
      </c>
      <c r="P83" s="110">
        <f t="shared" si="2"/>
        <v>4207500</v>
      </c>
      <c r="Q83" s="69" t="s">
        <v>280</v>
      </c>
      <c r="R83" s="109">
        <v>2103750</v>
      </c>
      <c r="S83" s="100" t="s">
        <v>281</v>
      </c>
      <c r="T83" s="110">
        <f>E83-F83-H83-J83-L83-N83-R83</f>
        <v>2103750</v>
      </c>
      <c r="V83" t="s">
        <v>27</v>
      </c>
    </row>
    <row r="84" spans="1:22" ht="15" customHeight="1" x14ac:dyDescent="0.25">
      <c r="A84" s="69">
        <v>560</v>
      </c>
      <c r="B84" s="35" t="s">
        <v>282</v>
      </c>
      <c r="C84" s="35" t="s">
        <v>283</v>
      </c>
      <c r="D84" s="35" t="s">
        <v>284</v>
      </c>
      <c r="E84" s="104">
        <v>8415000</v>
      </c>
      <c r="F84" s="109">
        <v>2103750</v>
      </c>
      <c r="G84" s="102" t="s">
        <v>285</v>
      </c>
      <c r="J84" s="109">
        <v>2103750</v>
      </c>
      <c r="K84" s="96" t="s">
        <v>286</v>
      </c>
      <c r="N84" s="109">
        <v>2103750</v>
      </c>
      <c r="O84" s="96" t="s">
        <v>227</v>
      </c>
      <c r="P84" s="110">
        <f t="shared" si="2"/>
        <v>2103750</v>
      </c>
      <c r="Q84" s="69" t="s">
        <v>26</v>
      </c>
      <c r="R84" s="109">
        <v>2103750</v>
      </c>
      <c r="S84" s="99" t="s">
        <v>287</v>
      </c>
      <c r="T84" s="110">
        <f>E84-F84-H84-J84-L84-N84-R84</f>
        <v>0</v>
      </c>
      <c r="V84" t="s">
        <v>27</v>
      </c>
    </row>
    <row r="85" spans="1:22" ht="15" customHeight="1" x14ac:dyDescent="0.25">
      <c r="A85" s="69">
        <v>692</v>
      </c>
      <c r="B85" s="35" t="s">
        <v>288</v>
      </c>
      <c r="C85" s="35" t="s">
        <v>289</v>
      </c>
      <c r="D85" s="35" t="s">
        <v>290</v>
      </c>
      <c r="E85" s="104">
        <v>4940000</v>
      </c>
      <c r="K85" s="69" t="s">
        <v>177</v>
      </c>
      <c r="N85" s="110">
        <v>2470000</v>
      </c>
      <c r="O85" s="96" t="s">
        <v>227</v>
      </c>
      <c r="P85" s="110">
        <f t="shared" si="2"/>
        <v>2470000</v>
      </c>
      <c r="Q85" s="69" t="s">
        <v>26</v>
      </c>
      <c r="R85" s="110">
        <v>2470000</v>
      </c>
      <c r="S85" s="100" t="s">
        <v>291</v>
      </c>
      <c r="T85" s="110">
        <f>E85-N85-R85</f>
        <v>0</v>
      </c>
      <c r="V85" t="s">
        <v>27</v>
      </c>
    </row>
    <row r="86" spans="1:22" ht="15" customHeight="1" x14ac:dyDescent="0.25">
      <c r="A86" s="69">
        <v>221</v>
      </c>
      <c r="B86" s="35" t="s">
        <v>292</v>
      </c>
      <c r="C86" s="69" t="s">
        <v>293</v>
      </c>
      <c r="D86" s="69" t="s">
        <v>294</v>
      </c>
      <c r="E86" s="104">
        <v>9405000</v>
      </c>
      <c r="F86" s="109">
        <v>2232500</v>
      </c>
      <c r="G86" s="96" t="s">
        <v>295</v>
      </c>
      <c r="J86" s="109">
        <v>2232500</v>
      </c>
      <c r="K86" s="96" t="s">
        <v>296</v>
      </c>
      <c r="N86" s="110">
        <v>2470000</v>
      </c>
      <c r="O86" s="96" t="s">
        <v>227</v>
      </c>
      <c r="P86" s="110">
        <f t="shared" si="2"/>
        <v>2470000</v>
      </c>
      <c r="Q86" s="69" t="s">
        <v>26</v>
      </c>
      <c r="R86" s="110">
        <v>2470000</v>
      </c>
      <c r="S86" s="99" t="s">
        <v>244</v>
      </c>
      <c r="T86" s="110">
        <f>E86-F86-H86-J86-L86-N86-R86</f>
        <v>0</v>
      </c>
      <c r="V86" t="s">
        <v>27</v>
      </c>
    </row>
    <row r="87" spans="1:22" ht="15" customHeight="1" x14ac:dyDescent="0.25">
      <c r="A87" s="69">
        <v>42</v>
      </c>
      <c r="B87" s="35" t="s">
        <v>297</v>
      </c>
      <c r="C87" s="69" t="s">
        <v>298</v>
      </c>
      <c r="D87" s="69" t="s">
        <v>207</v>
      </c>
      <c r="E87" s="104">
        <v>8415000</v>
      </c>
      <c r="F87" s="109">
        <v>2103750</v>
      </c>
      <c r="G87" s="102" t="s">
        <v>243</v>
      </c>
      <c r="J87" s="109">
        <v>2103750</v>
      </c>
      <c r="K87" s="96" t="s">
        <v>133</v>
      </c>
      <c r="N87" s="109">
        <v>2103750</v>
      </c>
      <c r="O87" s="97" t="s">
        <v>299</v>
      </c>
      <c r="P87" s="110">
        <f t="shared" si="2"/>
        <v>2103750</v>
      </c>
      <c r="Q87" s="69" t="s">
        <v>26</v>
      </c>
      <c r="R87" s="109">
        <v>2103750</v>
      </c>
      <c r="S87" s="99" t="s">
        <v>244</v>
      </c>
      <c r="T87" s="110">
        <f>E87-F87-H87-J87-L87-N87-R87</f>
        <v>0</v>
      </c>
      <c r="V87" t="s">
        <v>27</v>
      </c>
    </row>
    <row r="88" spans="1:22" ht="15" customHeight="1" x14ac:dyDescent="0.25">
      <c r="A88" s="69">
        <v>48</v>
      </c>
      <c r="B88" s="35" t="s">
        <v>300</v>
      </c>
      <c r="C88" s="35" t="s">
        <v>301</v>
      </c>
      <c r="D88" s="35" t="s">
        <v>302</v>
      </c>
      <c r="E88" s="104">
        <v>8415000</v>
      </c>
      <c r="F88" s="109">
        <v>2103750</v>
      </c>
      <c r="G88" s="96" t="s">
        <v>253</v>
      </c>
      <c r="N88" s="109">
        <v>2103750</v>
      </c>
      <c r="O88" s="97" t="s">
        <v>299</v>
      </c>
      <c r="P88" s="110">
        <f t="shared" si="2"/>
        <v>4207500</v>
      </c>
      <c r="Q88" s="69" t="s">
        <v>26</v>
      </c>
      <c r="V88" t="s">
        <v>27</v>
      </c>
    </row>
    <row r="89" spans="1:22" ht="15" customHeight="1" x14ac:dyDescent="0.25">
      <c r="A89" s="69">
        <v>49</v>
      </c>
      <c r="B89" s="35" t="s">
        <v>303</v>
      </c>
      <c r="C89" s="69" t="s">
        <v>269</v>
      </c>
      <c r="D89" s="69" t="s">
        <v>175</v>
      </c>
      <c r="E89" s="104">
        <v>8415000</v>
      </c>
      <c r="F89" s="109">
        <v>2103750</v>
      </c>
      <c r="G89" s="96" t="s">
        <v>253</v>
      </c>
      <c r="J89" s="109">
        <v>2103750</v>
      </c>
      <c r="K89" s="102" t="s">
        <v>272</v>
      </c>
      <c r="N89" s="109">
        <v>2103750</v>
      </c>
      <c r="O89" s="97" t="s">
        <v>299</v>
      </c>
      <c r="P89" s="110">
        <f t="shared" si="2"/>
        <v>2103750</v>
      </c>
      <c r="Q89" s="69" t="s">
        <v>26</v>
      </c>
      <c r="R89" s="109">
        <v>2103750</v>
      </c>
      <c r="S89" s="100" t="s">
        <v>228</v>
      </c>
      <c r="T89" s="110">
        <f>E89 -F89-H89-J89-N89-P89</f>
        <v>0</v>
      </c>
      <c r="V89" t="s">
        <v>27</v>
      </c>
    </row>
    <row r="90" spans="1:22" ht="15" customHeight="1" x14ac:dyDescent="0.25">
      <c r="A90" s="69">
        <v>56</v>
      </c>
      <c r="B90" s="35" t="s">
        <v>304</v>
      </c>
      <c r="C90" s="69" t="s">
        <v>305</v>
      </c>
      <c r="D90" s="69" t="s">
        <v>166</v>
      </c>
      <c r="E90" s="104">
        <v>8415000</v>
      </c>
      <c r="F90" s="109">
        <v>2103750</v>
      </c>
      <c r="G90" s="96" t="s">
        <v>253</v>
      </c>
      <c r="J90" s="109">
        <v>2103750</v>
      </c>
      <c r="K90" s="102" t="s">
        <v>306</v>
      </c>
      <c r="N90" s="109">
        <v>2103750</v>
      </c>
      <c r="O90" s="97" t="s">
        <v>299</v>
      </c>
      <c r="P90" s="110">
        <f t="shared" si="2"/>
        <v>2103750</v>
      </c>
      <c r="Q90" s="69" t="s">
        <v>26</v>
      </c>
      <c r="V90" t="s">
        <v>27</v>
      </c>
    </row>
    <row r="91" spans="1:22" ht="15" customHeight="1" x14ac:dyDescent="0.25">
      <c r="A91" s="69">
        <v>68</v>
      </c>
      <c r="B91" s="35" t="s">
        <v>307</v>
      </c>
      <c r="C91" s="69" t="s">
        <v>308</v>
      </c>
      <c r="D91" s="69" t="s">
        <v>270</v>
      </c>
      <c r="E91" s="104">
        <v>8415000</v>
      </c>
      <c r="F91" s="109">
        <v>2103750</v>
      </c>
      <c r="G91" s="102" t="s">
        <v>257</v>
      </c>
      <c r="K91" s="69" t="s">
        <v>177</v>
      </c>
      <c r="N91" s="109">
        <v>2103750</v>
      </c>
      <c r="O91" s="97" t="s">
        <v>299</v>
      </c>
      <c r="P91" s="110">
        <f t="shared" si="2"/>
        <v>4207500</v>
      </c>
      <c r="Q91" s="69" t="s">
        <v>280</v>
      </c>
      <c r="V91" t="s">
        <v>27</v>
      </c>
    </row>
    <row r="92" spans="1:22" ht="15" customHeight="1" x14ac:dyDescent="0.25">
      <c r="A92" s="69">
        <v>71</v>
      </c>
      <c r="B92" s="35" t="s">
        <v>309</v>
      </c>
      <c r="C92" s="69" t="s">
        <v>310</v>
      </c>
      <c r="D92" s="69" t="s">
        <v>311</v>
      </c>
      <c r="E92" s="104">
        <v>8415000</v>
      </c>
      <c r="F92" s="109">
        <v>2103750</v>
      </c>
      <c r="G92" s="102" t="s">
        <v>257</v>
      </c>
      <c r="J92" s="109">
        <v>2103750</v>
      </c>
      <c r="K92" s="96" t="s">
        <v>117</v>
      </c>
      <c r="N92" s="109">
        <v>2103750</v>
      </c>
      <c r="O92" s="97" t="s">
        <v>299</v>
      </c>
      <c r="P92" s="110">
        <f t="shared" si="2"/>
        <v>2103750</v>
      </c>
      <c r="Q92" s="69" t="s">
        <v>26</v>
      </c>
      <c r="V92" t="s">
        <v>27</v>
      </c>
    </row>
    <row r="93" spans="1:22" ht="15" customHeight="1" x14ac:dyDescent="0.25">
      <c r="A93" s="69">
        <v>114</v>
      </c>
      <c r="B93" s="35" t="s">
        <v>312</v>
      </c>
      <c r="C93" s="69" t="s">
        <v>313</v>
      </c>
      <c r="D93" s="69" t="s">
        <v>74</v>
      </c>
      <c r="E93" s="104">
        <v>8415000</v>
      </c>
      <c r="F93" s="109">
        <v>2103750</v>
      </c>
      <c r="G93" s="96" t="s">
        <v>266</v>
      </c>
      <c r="J93" s="109">
        <v>2103750</v>
      </c>
      <c r="K93" s="102" t="s">
        <v>314</v>
      </c>
      <c r="N93" s="109">
        <v>2103750</v>
      </c>
      <c r="O93" s="97" t="s">
        <v>299</v>
      </c>
      <c r="P93" s="110">
        <f t="shared" si="2"/>
        <v>2103750</v>
      </c>
      <c r="Q93" s="69" t="s">
        <v>26</v>
      </c>
      <c r="V93" t="s">
        <v>27</v>
      </c>
    </row>
    <row r="94" spans="1:22" ht="15" customHeight="1" x14ac:dyDescent="0.25">
      <c r="A94" s="69">
        <v>184</v>
      </c>
      <c r="B94" s="35" t="s">
        <v>315</v>
      </c>
      <c r="C94" s="69" t="s">
        <v>316</v>
      </c>
      <c r="D94" s="69" t="s">
        <v>131</v>
      </c>
      <c r="E94" s="104">
        <v>8415000</v>
      </c>
      <c r="F94" s="109">
        <v>2103750</v>
      </c>
      <c r="G94" s="96" t="s">
        <v>31</v>
      </c>
      <c r="J94" s="109">
        <v>2103750</v>
      </c>
      <c r="K94" s="96" t="s">
        <v>232</v>
      </c>
      <c r="N94" s="109">
        <v>2103750</v>
      </c>
      <c r="O94" s="97" t="s">
        <v>299</v>
      </c>
      <c r="P94" s="110">
        <f t="shared" si="2"/>
        <v>2103750</v>
      </c>
      <c r="Q94" s="69" t="s">
        <v>26</v>
      </c>
      <c r="R94" s="109">
        <v>2103750</v>
      </c>
      <c r="S94" s="100" t="s">
        <v>233</v>
      </c>
      <c r="T94" s="110">
        <f>E94-F94-J94-N94-R94</f>
        <v>0</v>
      </c>
      <c r="V94" t="s">
        <v>27</v>
      </c>
    </row>
    <row r="95" spans="1:22" ht="15" customHeight="1" x14ac:dyDescent="0.25">
      <c r="A95" s="69">
        <v>204</v>
      </c>
      <c r="B95" s="35" t="s">
        <v>317</v>
      </c>
      <c r="C95" s="69" t="s">
        <v>318</v>
      </c>
      <c r="D95" s="69" t="s">
        <v>319</v>
      </c>
      <c r="E95" s="104">
        <v>7065000</v>
      </c>
      <c r="F95" s="109">
        <v>2232500</v>
      </c>
      <c r="G95" s="102" t="s">
        <v>276</v>
      </c>
      <c r="J95" s="109">
        <v>2232500</v>
      </c>
      <c r="K95" s="102" t="s">
        <v>306</v>
      </c>
      <c r="N95" s="104">
        <v>2600000</v>
      </c>
      <c r="O95" s="97" t="s">
        <v>299</v>
      </c>
      <c r="P95" s="110">
        <f t="shared" si="2"/>
        <v>0</v>
      </c>
      <c r="Q95" s="69" t="s">
        <v>26</v>
      </c>
      <c r="S95" s="110"/>
      <c r="V95" t="s">
        <v>27</v>
      </c>
    </row>
    <row r="96" spans="1:22" ht="15" customHeight="1" x14ac:dyDescent="0.25">
      <c r="A96" s="69">
        <v>215</v>
      </c>
      <c r="B96" s="35" t="s">
        <v>320</v>
      </c>
      <c r="C96" s="69" t="s">
        <v>321</v>
      </c>
      <c r="D96" s="69" t="s">
        <v>322</v>
      </c>
      <c r="E96" s="104">
        <v>8415000</v>
      </c>
      <c r="F96" s="109">
        <v>2103750</v>
      </c>
      <c r="G96" s="96" t="s">
        <v>295</v>
      </c>
      <c r="J96" s="109">
        <v>2103750</v>
      </c>
      <c r="K96" s="96" t="s">
        <v>117</v>
      </c>
      <c r="N96" s="109">
        <v>2103750</v>
      </c>
      <c r="O96" s="97" t="s">
        <v>299</v>
      </c>
      <c r="P96" s="110">
        <f t="shared" si="2"/>
        <v>2103750</v>
      </c>
      <c r="Q96" s="69" t="s">
        <v>26</v>
      </c>
      <c r="V96" t="s">
        <v>27</v>
      </c>
    </row>
    <row r="97" spans="1:22" ht="15" customHeight="1" x14ac:dyDescent="0.25">
      <c r="A97" s="69">
        <v>230</v>
      </c>
      <c r="B97" s="35" t="s">
        <v>323</v>
      </c>
      <c r="C97" s="35" t="s">
        <v>324</v>
      </c>
      <c r="D97" s="35" t="s">
        <v>138</v>
      </c>
      <c r="E97" s="104">
        <v>8415000</v>
      </c>
      <c r="F97" s="109">
        <v>2103750</v>
      </c>
      <c r="G97" s="102" t="s">
        <v>79</v>
      </c>
      <c r="J97" s="109">
        <v>2103750</v>
      </c>
      <c r="K97" s="97" t="s">
        <v>325</v>
      </c>
      <c r="N97" s="109">
        <v>2103750</v>
      </c>
      <c r="O97" s="97" t="s">
        <v>299</v>
      </c>
      <c r="P97" s="110">
        <f t="shared" si="2"/>
        <v>2103750</v>
      </c>
      <c r="Q97" s="69" t="s">
        <v>26</v>
      </c>
      <c r="V97" t="s">
        <v>27</v>
      </c>
    </row>
    <row r="98" spans="1:22" ht="15" customHeight="1" x14ac:dyDescent="0.25">
      <c r="A98" s="69">
        <v>376</v>
      </c>
      <c r="B98" s="35" t="s">
        <v>326</v>
      </c>
      <c r="C98" s="69" t="s">
        <v>327</v>
      </c>
      <c r="D98" s="69" t="s">
        <v>54</v>
      </c>
      <c r="E98" s="104">
        <v>8415000</v>
      </c>
      <c r="F98" s="109">
        <v>2103750</v>
      </c>
      <c r="G98" s="102" t="s">
        <v>328</v>
      </c>
      <c r="J98" s="109">
        <v>2103750</v>
      </c>
      <c r="K98" s="96" t="s">
        <v>117</v>
      </c>
      <c r="N98" s="109">
        <v>2103750</v>
      </c>
      <c r="O98" s="97" t="s">
        <v>299</v>
      </c>
      <c r="P98" s="110">
        <f t="shared" si="2"/>
        <v>2103750</v>
      </c>
      <c r="Q98" s="69" t="s">
        <v>26</v>
      </c>
      <c r="R98" s="109">
        <v>2103750</v>
      </c>
      <c r="S98" s="100" t="s">
        <v>329</v>
      </c>
      <c r="T98" s="110">
        <f>E98-F98-J98-N98-R98</f>
        <v>0</v>
      </c>
      <c r="V98" t="s">
        <v>27</v>
      </c>
    </row>
    <row r="99" spans="1:22" ht="15" customHeight="1" x14ac:dyDescent="0.25">
      <c r="A99" s="69">
        <v>526</v>
      </c>
      <c r="B99" s="35" t="s">
        <v>330</v>
      </c>
      <c r="C99" s="69" t="s">
        <v>331</v>
      </c>
      <c r="D99" s="69" t="s">
        <v>120</v>
      </c>
      <c r="E99" s="104">
        <v>8415000</v>
      </c>
      <c r="F99" s="109">
        <v>2103750</v>
      </c>
      <c r="G99" s="102" t="s">
        <v>332</v>
      </c>
      <c r="J99" s="109">
        <v>2103750</v>
      </c>
      <c r="K99" s="102" t="s">
        <v>314</v>
      </c>
      <c r="N99" s="109">
        <v>2103750</v>
      </c>
      <c r="O99" s="97" t="s">
        <v>299</v>
      </c>
      <c r="P99" s="110">
        <f t="shared" si="2"/>
        <v>2103750</v>
      </c>
      <c r="Q99" s="69" t="s">
        <v>26</v>
      </c>
      <c r="V99" t="s">
        <v>27</v>
      </c>
    </row>
    <row r="100" spans="1:22" ht="15" customHeight="1" x14ac:dyDescent="0.25">
      <c r="A100" s="69">
        <v>677</v>
      </c>
      <c r="B100" s="35" t="s">
        <v>333</v>
      </c>
      <c r="C100" s="69" t="s">
        <v>334</v>
      </c>
      <c r="D100" s="69" t="s">
        <v>335</v>
      </c>
      <c r="E100" s="104">
        <v>7540000</v>
      </c>
      <c r="J100" s="109">
        <v>2600000</v>
      </c>
      <c r="K100" s="102" t="s">
        <v>263</v>
      </c>
      <c r="N100" s="110">
        <v>2470000</v>
      </c>
      <c r="O100" s="97" t="s">
        <v>299</v>
      </c>
      <c r="P100" s="110">
        <f t="shared" si="2"/>
        <v>2470000</v>
      </c>
      <c r="Q100" s="69" t="s">
        <v>26</v>
      </c>
      <c r="R100" s="110">
        <v>2470000</v>
      </c>
      <c r="S100" s="99" t="s">
        <v>240</v>
      </c>
      <c r="T100" s="110">
        <f>E100-F100-H100-J100-L100-N100-R100</f>
        <v>0</v>
      </c>
      <c r="V100" t="s">
        <v>27</v>
      </c>
    </row>
    <row r="101" spans="1:22" ht="15" customHeight="1" x14ac:dyDescent="0.25">
      <c r="A101" s="69">
        <v>679</v>
      </c>
      <c r="B101" s="35" t="s">
        <v>336</v>
      </c>
      <c r="C101" s="69" t="s">
        <v>337</v>
      </c>
      <c r="D101" s="69" t="s">
        <v>338</v>
      </c>
      <c r="E101" s="104">
        <v>7540000</v>
      </c>
      <c r="J101" s="109">
        <v>2600000</v>
      </c>
      <c r="K101" s="102" t="s">
        <v>263</v>
      </c>
      <c r="N101" s="110">
        <v>2470000</v>
      </c>
      <c r="O101" s="97" t="s">
        <v>299</v>
      </c>
      <c r="P101" s="110">
        <f t="shared" si="2"/>
        <v>2470000</v>
      </c>
      <c r="Q101" s="69" t="s">
        <v>26</v>
      </c>
      <c r="R101" s="110">
        <v>2470000</v>
      </c>
      <c r="S101" s="100" t="s">
        <v>233</v>
      </c>
      <c r="T101" s="110">
        <f>E101-F101-H101-J101-L101-N101-R101</f>
        <v>0</v>
      </c>
      <c r="V101" t="s">
        <v>27</v>
      </c>
    </row>
    <row r="102" spans="1:22" ht="15" customHeight="1" x14ac:dyDescent="0.25">
      <c r="A102" s="69">
        <v>689</v>
      </c>
      <c r="B102" s="35" t="s">
        <v>339</v>
      </c>
      <c r="C102" s="35" t="s">
        <v>340</v>
      </c>
      <c r="D102" s="35" t="s">
        <v>341</v>
      </c>
      <c r="E102" s="104">
        <v>4940000</v>
      </c>
      <c r="K102" s="69" t="s">
        <v>177</v>
      </c>
      <c r="N102" s="110">
        <v>2470000</v>
      </c>
      <c r="O102" s="97" t="s">
        <v>299</v>
      </c>
      <c r="P102" s="110">
        <f t="shared" si="2"/>
        <v>2470000</v>
      </c>
      <c r="Q102" s="69" t="s">
        <v>26</v>
      </c>
      <c r="V102" t="s">
        <v>27</v>
      </c>
    </row>
    <row r="103" spans="1:22" ht="15" customHeight="1" x14ac:dyDescent="0.25">
      <c r="A103" s="69">
        <v>691</v>
      </c>
      <c r="B103" s="35" t="s">
        <v>342</v>
      </c>
      <c r="C103" s="69" t="s">
        <v>343</v>
      </c>
      <c r="D103" s="69" t="s">
        <v>344</v>
      </c>
      <c r="E103" s="104">
        <v>4940000</v>
      </c>
      <c r="K103" s="69" t="s">
        <v>177</v>
      </c>
      <c r="N103" s="110">
        <v>2470000</v>
      </c>
      <c r="O103" s="97" t="s">
        <v>299</v>
      </c>
      <c r="P103" s="110">
        <f t="shared" si="2"/>
        <v>2470000</v>
      </c>
      <c r="Q103" s="69" t="s">
        <v>26</v>
      </c>
      <c r="V103" t="s">
        <v>27</v>
      </c>
    </row>
    <row r="104" spans="1:22" ht="15" customHeight="1" x14ac:dyDescent="0.25">
      <c r="A104" s="69">
        <v>4</v>
      </c>
      <c r="B104" s="35" t="s">
        <v>345</v>
      </c>
      <c r="C104" s="69" t="s">
        <v>346</v>
      </c>
      <c r="D104" s="69" t="s">
        <v>347</v>
      </c>
      <c r="E104" s="104">
        <v>8415000</v>
      </c>
      <c r="F104" s="109">
        <v>2103750</v>
      </c>
      <c r="G104" s="102" t="s">
        <v>226</v>
      </c>
      <c r="J104" s="109">
        <v>2103750</v>
      </c>
      <c r="K104" s="102" t="s">
        <v>348</v>
      </c>
      <c r="N104" s="109">
        <v>2103750</v>
      </c>
      <c r="O104" s="102" t="s">
        <v>349</v>
      </c>
      <c r="P104" s="110">
        <f t="shared" si="2"/>
        <v>2103750</v>
      </c>
      <c r="Q104" s="69" t="s">
        <v>26</v>
      </c>
      <c r="V104" t="s">
        <v>27</v>
      </c>
    </row>
    <row r="105" spans="1:22" ht="15" customHeight="1" x14ac:dyDescent="0.25">
      <c r="A105" s="69">
        <v>12</v>
      </c>
      <c r="B105" s="35" t="s">
        <v>350</v>
      </c>
      <c r="C105" s="69" t="s">
        <v>351</v>
      </c>
      <c r="D105" s="69" t="s">
        <v>151</v>
      </c>
      <c r="E105" s="104">
        <v>8415000</v>
      </c>
      <c r="F105" s="109">
        <v>2103750</v>
      </c>
      <c r="G105" s="102" t="s">
        <v>226</v>
      </c>
      <c r="J105" s="109">
        <v>2103750</v>
      </c>
      <c r="K105" s="96" t="s">
        <v>117</v>
      </c>
      <c r="N105" s="109">
        <v>2103750</v>
      </c>
      <c r="O105" s="102" t="s">
        <v>349</v>
      </c>
      <c r="P105" s="110">
        <f t="shared" si="2"/>
        <v>2103750</v>
      </c>
      <c r="Q105" s="69" t="s">
        <v>26</v>
      </c>
      <c r="V105" t="s">
        <v>27</v>
      </c>
    </row>
    <row r="106" spans="1:22" ht="15" customHeight="1" x14ac:dyDescent="0.25">
      <c r="A106" s="69">
        <v>23</v>
      </c>
      <c r="B106" s="35" t="s">
        <v>352</v>
      </c>
      <c r="C106" s="69" t="s">
        <v>353</v>
      </c>
      <c r="D106" s="69" t="s">
        <v>157</v>
      </c>
      <c r="E106" s="104">
        <v>8415000</v>
      </c>
      <c r="F106" s="109">
        <v>2103750</v>
      </c>
      <c r="G106" s="96" t="s">
        <v>132</v>
      </c>
      <c r="J106" s="109">
        <v>2103750</v>
      </c>
      <c r="K106" s="102" t="s">
        <v>263</v>
      </c>
      <c r="N106" s="109">
        <v>2103750</v>
      </c>
      <c r="O106" s="102" t="s">
        <v>349</v>
      </c>
      <c r="P106" s="110">
        <f t="shared" si="2"/>
        <v>2103750</v>
      </c>
      <c r="Q106" s="69" t="s">
        <v>26</v>
      </c>
      <c r="R106" s="109">
        <v>2103750</v>
      </c>
      <c r="S106" s="99" t="s">
        <v>354</v>
      </c>
      <c r="T106" s="110">
        <f>E106-F106-J106-N106-R106</f>
        <v>0</v>
      </c>
      <c r="V106" t="s">
        <v>27</v>
      </c>
    </row>
    <row r="107" spans="1:22" ht="15" customHeight="1" x14ac:dyDescent="0.25">
      <c r="A107" s="69">
        <v>27</v>
      </c>
      <c r="B107" s="35" t="s">
        <v>355</v>
      </c>
      <c r="C107" s="69" t="s">
        <v>356</v>
      </c>
      <c r="D107" s="69" t="s">
        <v>322</v>
      </c>
      <c r="E107" s="104">
        <v>8415000</v>
      </c>
      <c r="F107" s="109">
        <v>2103750</v>
      </c>
      <c r="G107" s="96" t="s">
        <v>132</v>
      </c>
      <c r="N107" s="109">
        <v>2103750</v>
      </c>
      <c r="O107" s="102" t="s">
        <v>349</v>
      </c>
      <c r="P107" s="110">
        <f t="shared" si="2"/>
        <v>4207500</v>
      </c>
      <c r="Q107" s="69" t="s">
        <v>26</v>
      </c>
      <c r="V107" t="s">
        <v>27</v>
      </c>
    </row>
    <row r="108" spans="1:22" ht="15" customHeight="1" x14ac:dyDescent="0.25">
      <c r="A108" s="69">
        <v>28</v>
      </c>
      <c r="B108" s="35" t="s">
        <v>357</v>
      </c>
      <c r="C108" s="69" t="s">
        <v>358</v>
      </c>
      <c r="D108" s="69" t="s">
        <v>359</v>
      </c>
      <c r="E108" s="104">
        <v>8415000</v>
      </c>
      <c r="F108" s="109">
        <v>2103750</v>
      </c>
      <c r="G108" s="96" t="s">
        <v>132</v>
      </c>
      <c r="J108" s="109">
        <v>2103750</v>
      </c>
      <c r="K108" s="102" t="s">
        <v>306</v>
      </c>
      <c r="N108" s="109">
        <v>2103750</v>
      </c>
      <c r="O108" s="102" t="s">
        <v>349</v>
      </c>
      <c r="P108" s="110">
        <f t="shared" si="2"/>
        <v>2103750</v>
      </c>
      <c r="Q108" s="69" t="s">
        <v>26</v>
      </c>
      <c r="V108" t="s">
        <v>27</v>
      </c>
    </row>
    <row r="109" spans="1:22" ht="15" customHeight="1" x14ac:dyDescent="0.25">
      <c r="A109" s="69">
        <v>55</v>
      </c>
      <c r="B109" s="35" t="s">
        <v>360</v>
      </c>
      <c r="C109" s="69" t="s">
        <v>361</v>
      </c>
      <c r="D109" s="69" t="s">
        <v>362</v>
      </c>
      <c r="E109" s="104">
        <v>8415000</v>
      </c>
      <c r="F109" s="109">
        <v>2103750</v>
      </c>
      <c r="G109" s="96" t="s">
        <v>253</v>
      </c>
      <c r="J109" s="109">
        <v>2103750</v>
      </c>
      <c r="K109" s="102" t="s">
        <v>263</v>
      </c>
      <c r="N109" s="109">
        <v>2103750</v>
      </c>
      <c r="O109" s="102" t="s">
        <v>349</v>
      </c>
      <c r="P109" s="110">
        <f t="shared" si="2"/>
        <v>2103750</v>
      </c>
      <c r="Q109" s="69" t="s">
        <v>26</v>
      </c>
      <c r="R109" s="109">
        <v>2103750</v>
      </c>
      <c r="S109" s="99" t="s">
        <v>354</v>
      </c>
      <c r="T109" s="110">
        <f>E109-F109-J109-N109-R109</f>
        <v>0</v>
      </c>
      <c r="V109" t="s">
        <v>27</v>
      </c>
    </row>
    <row r="110" spans="1:22" ht="15" customHeight="1" x14ac:dyDescent="0.25">
      <c r="A110" s="69">
        <v>64</v>
      </c>
      <c r="B110" s="35" t="s">
        <v>363</v>
      </c>
      <c r="C110" s="69" t="s">
        <v>364</v>
      </c>
      <c r="D110" s="69" t="s">
        <v>57</v>
      </c>
      <c r="E110" s="104">
        <v>8415000</v>
      </c>
      <c r="F110" s="109">
        <v>2103750</v>
      </c>
      <c r="G110" s="102" t="s">
        <v>257</v>
      </c>
      <c r="J110" s="109">
        <v>2103750</v>
      </c>
      <c r="K110" s="102" t="s">
        <v>263</v>
      </c>
      <c r="N110" s="109">
        <v>2103750</v>
      </c>
      <c r="O110" s="102" t="s">
        <v>349</v>
      </c>
      <c r="P110" s="110">
        <f t="shared" si="2"/>
        <v>2103750</v>
      </c>
      <c r="Q110" s="69" t="s">
        <v>26</v>
      </c>
      <c r="R110" s="109">
        <v>2103750</v>
      </c>
      <c r="S110" s="99" t="s">
        <v>354</v>
      </c>
      <c r="T110" s="110">
        <f>E110-F110-J110-N110-R110</f>
        <v>0</v>
      </c>
      <c r="V110" t="s">
        <v>27</v>
      </c>
    </row>
    <row r="111" spans="1:22" ht="15" customHeight="1" x14ac:dyDescent="0.25">
      <c r="A111" s="69">
        <v>70</v>
      </c>
      <c r="B111" s="35" t="s">
        <v>365</v>
      </c>
      <c r="C111" s="69" t="s">
        <v>366</v>
      </c>
      <c r="D111" s="69" t="s">
        <v>367</v>
      </c>
      <c r="E111" s="104">
        <v>8415000</v>
      </c>
      <c r="F111" s="109">
        <v>2103750</v>
      </c>
      <c r="G111" s="102" t="s">
        <v>257</v>
      </c>
      <c r="J111" s="109">
        <v>2103750</v>
      </c>
      <c r="K111" s="96" t="s">
        <v>232</v>
      </c>
      <c r="N111" s="109">
        <v>2103750</v>
      </c>
      <c r="O111" s="102" t="s">
        <v>349</v>
      </c>
      <c r="P111" s="110">
        <f t="shared" si="2"/>
        <v>2103750</v>
      </c>
      <c r="Q111" s="69" t="s">
        <v>26</v>
      </c>
      <c r="S111" s="99" t="s">
        <v>36</v>
      </c>
      <c r="T111" s="110">
        <f>E111-F111-H111-J111-L111-N111-R111</f>
        <v>2103750</v>
      </c>
      <c r="U111" s="97" t="s">
        <v>368</v>
      </c>
      <c r="V111" t="s">
        <v>27</v>
      </c>
    </row>
    <row r="112" spans="1:22" ht="15" customHeight="1" x14ac:dyDescent="0.25">
      <c r="A112" s="69">
        <v>73</v>
      </c>
      <c r="B112" s="35" t="s">
        <v>369</v>
      </c>
      <c r="C112" s="69" t="s">
        <v>370</v>
      </c>
      <c r="D112" s="69" t="s">
        <v>157</v>
      </c>
      <c r="E112" s="104">
        <v>8415000</v>
      </c>
      <c r="F112" s="109">
        <v>2103750</v>
      </c>
      <c r="G112" s="102" t="s">
        <v>257</v>
      </c>
      <c r="J112" s="109">
        <v>2103750</v>
      </c>
      <c r="K112" s="96" t="s">
        <v>117</v>
      </c>
      <c r="N112" s="109">
        <v>2103750</v>
      </c>
      <c r="O112" s="102" t="s">
        <v>349</v>
      </c>
      <c r="P112" s="110">
        <f t="shared" si="2"/>
        <v>2103750</v>
      </c>
      <c r="Q112" s="69" t="s">
        <v>26</v>
      </c>
      <c r="R112" s="109">
        <v>2103750</v>
      </c>
      <c r="S112" s="99" t="s">
        <v>36</v>
      </c>
      <c r="T112" s="110">
        <f>E112-F112-J112-N112-R112</f>
        <v>0</v>
      </c>
      <c r="V112" t="s">
        <v>27</v>
      </c>
    </row>
    <row r="113" spans="1:22" ht="15" customHeight="1" x14ac:dyDescent="0.25">
      <c r="A113" s="69">
        <v>106</v>
      </c>
      <c r="B113" s="35" t="s">
        <v>371</v>
      </c>
      <c r="C113" s="69" t="s">
        <v>372</v>
      </c>
      <c r="D113" s="69" t="s">
        <v>175</v>
      </c>
      <c r="E113" s="104">
        <v>9405000</v>
      </c>
      <c r="F113" s="109">
        <v>2232500</v>
      </c>
      <c r="G113" s="102" t="s">
        <v>373</v>
      </c>
      <c r="J113" s="109">
        <v>2232500</v>
      </c>
      <c r="K113" s="97" t="s">
        <v>325</v>
      </c>
      <c r="N113" s="109">
        <v>2470000</v>
      </c>
      <c r="O113" s="102" t="s">
        <v>349</v>
      </c>
      <c r="P113" s="110">
        <f t="shared" si="2"/>
        <v>2470000</v>
      </c>
      <c r="Q113" s="69" t="s">
        <v>26</v>
      </c>
      <c r="V113" t="s">
        <v>27</v>
      </c>
    </row>
    <row r="114" spans="1:22" ht="15" customHeight="1" x14ac:dyDescent="0.25">
      <c r="A114" s="69">
        <v>183</v>
      </c>
      <c r="B114" s="35" t="s">
        <v>374</v>
      </c>
      <c r="C114" s="69" t="s">
        <v>375</v>
      </c>
      <c r="D114" s="69" t="s">
        <v>376</v>
      </c>
      <c r="E114" s="104">
        <v>8415000</v>
      </c>
      <c r="F114" s="109">
        <v>2103750</v>
      </c>
      <c r="G114" s="96" t="s">
        <v>31</v>
      </c>
      <c r="J114" s="109">
        <v>2103750</v>
      </c>
      <c r="K114" s="102" t="s">
        <v>272</v>
      </c>
      <c r="N114" s="109">
        <v>2103750</v>
      </c>
      <c r="O114" s="102" t="s">
        <v>349</v>
      </c>
      <c r="P114" s="110">
        <f t="shared" si="2"/>
        <v>2103750</v>
      </c>
      <c r="Q114" s="69" t="s">
        <v>26</v>
      </c>
      <c r="V114" t="s">
        <v>27</v>
      </c>
    </row>
    <row r="115" spans="1:22" ht="15" customHeight="1" x14ac:dyDescent="0.25">
      <c r="A115" s="69">
        <v>209</v>
      </c>
      <c r="B115" s="35" t="s">
        <v>377</v>
      </c>
      <c r="C115" s="69" t="s">
        <v>378</v>
      </c>
      <c r="D115" s="69" t="s">
        <v>70</v>
      </c>
      <c r="E115" s="104">
        <v>8415000</v>
      </c>
      <c r="F115" s="109">
        <v>2103750</v>
      </c>
      <c r="G115" s="96" t="s">
        <v>295</v>
      </c>
      <c r="J115" s="109">
        <v>2103750</v>
      </c>
      <c r="K115" s="96" t="s">
        <v>117</v>
      </c>
      <c r="N115" s="109">
        <v>2103750</v>
      </c>
      <c r="O115" s="102" t="s">
        <v>349</v>
      </c>
      <c r="P115" s="110">
        <f t="shared" si="2"/>
        <v>2103750</v>
      </c>
      <c r="Q115" s="69" t="s">
        <v>26</v>
      </c>
      <c r="R115" s="109">
        <v>2103750</v>
      </c>
      <c r="S115" s="100" t="s">
        <v>228</v>
      </c>
      <c r="T115" s="110">
        <f>E115-F115-J115-H115-L115-N115-R115</f>
        <v>0</v>
      </c>
      <c r="V115" t="s">
        <v>27</v>
      </c>
    </row>
    <row r="116" spans="1:22" ht="15" customHeight="1" x14ac:dyDescent="0.25">
      <c r="A116" s="69">
        <v>674</v>
      </c>
      <c r="B116" s="35" t="s">
        <v>379</v>
      </c>
      <c r="C116" s="35" t="s">
        <v>380</v>
      </c>
      <c r="D116" s="35" t="s">
        <v>231</v>
      </c>
      <c r="E116" s="104">
        <v>7540000</v>
      </c>
      <c r="F116" s="109"/>
      <c r="J116" s="109">
        <v>2600000</v>
      </c>
      <c r="K116" s="96" t="s">
        <v>381</v>
      </c>
      <c r="N116" s="110">
        <v>2470000</v>
      </c>
      <c r="O116" s="102" t="s">
        <v>349</v>
      </c>
      <c r="P116" s="110">
        <f t="shared" si="2"/>
        <v>2470000</v>
      </c>
      <c r="Q116" s="69" t="s">
        <v>26</v>
      </c>
      <c r="V116" t="s">
        <v>27</v>
      </c>
    </row>
    <row r="117" spans="1:22" ht="15" customHeight="1" x14ac:dyDescent="0.25">
      <c r="A117" s="69">
        <v>684</v>
      </c>
      <c r="B117" s="35" t="s">
        <v>382</v>
      </c>
      <c r="C117" s="69" t="s">
        <v>383</v>
      </c>
      <c r="D117" s="69" t="s">
        <v>384</v>
      </c>
      <c r="E117" s="104">
        <v>4940000</v>
      </c>
      <c r="K117" s="69" t="s">
        <v>177</v>
      </c>
      <c r="N117" s="110">
        <v>2470000</v>
      </c>
      <c r="O117" s="102" t="s">
        <v>349</v>
      </c>
      <c r="P117" s="110">
        <f t="shared" si="2"/>
        <v>2470000</v>
      </c>
      <c r="Q117" s="69" t="s">
        <v>26</v>
      </c>
      <c r="V117" t="s">
        <v>27</v>
      </c>
    </row>
    <row r="118" spans="1:22" ht="15" customHeight="1" x14ac:dyDescent="0.25">
      <c r="A118" s="69">
        <v>687</v>
      </c>
      <c r="B118" s="35" t="s">
        <v>385</v>
      </c>
      <c r="C118" s="69" t="s">
        <v>331</v>
      </c>
      <c r="D118" s="69" t="s">
        <v>182</v>
      </c>
      <c r="E118" s="104">
        <v>4940000</v>
      </c>
      <c r="K118" s="69" t="s">
        <v>177</v>
      </c>
      <c r="N118" s="110">
        <v>2470000</v>
      </c>
      <c r="O118" s="102" t="s">
        <v>349</v>
      </c>
      <c r="P118" s="110">
        <f t="shared" ref="P118:P181" si="3">E118-F118-H118-J118-L118-N118</f>
        <v>2470000</v>
      </c>
      <c r="Q118" s="69" t="s">
        <v>26</v>
      </c>
      <c r="R118" s="110">
        <v>2470000</v>
      </c>
      <c r="S118" s="99" t="s">
        <v>354</v>
      </c>
      <c r="T118" s="110">
        <f>E118-F118-H118-J118-L118-N118-R118</f>
        <v>0</v>
      </c>
      <c r="V118" t="s">
        <v>27</v>
      </c>
    </row>
    <row r="119" spans="1:22" ht="15" customHeight="1" x14ac:dyDescent="0.25">
      <c r="A119" s="69">
        <v>701</v>
      </c>
      <c r="B119" s="35" t="s">
        <v>386</v>
      </c>
      <c r="C119" s="69" t="s">
        <v>387</v>
      </c>
      <c r="D119" s="69" t="s">
        <v>388</v>
      </c>
      <c r="E119" s="104">
        <v>4465000</v>
      </c>
      <c r="F119" s="109"/>
      <c r="G119" s="35"/>
      <c r="I119" s="35"/>
      <c r="J119" s="109">
        <v>2232500</v>
      </c>
      <c r="K119" s="96" t="s">
        <v>389</v>
      </c>
      <c r="N119" s="109">
        <v>2232500</v>
      </c>
      <c r="O119" s="102" t="s">
        <v>349</v>
      </c>
      <c r="P119" s="110">
        <f t="shared" si="3"/>
        <v>0</v>
      </c>
      <c r="Q119" s="69" t="s">
        <v>26</v>
      </c>
      <c r="V119" t="s">
        <v>27</v>
      </c>
    </row>
    <row r="120" spans="1:22" ht="15" customHeight="1" x14ac:dyDescent="0.25">
      <c r="A120" s="69">
        <v>729</v>
      </c>
      <c r="B120" s="35" t="s">
        <v>390</v>
      </c>
      <c r="C120" s="111" t="s">
        <v>391</v>
      </c>
      <c r="D120" s="111" t="s">
        <v>392</v>
      </c>
      <c r="E120" s="104">
        <v>4200000</v>
      </c>
      <c r="J120" s="104">
        <v>1600000</v>
      </c>
      <c r="K120" s="101" t="s">
        <v>139</v>
      </c>
      <c r="N120" s="104">
        <v>2600000</v>
      </c>
      <c r="O120" s="102" t="s">
        <v>349</v>
      </c>
      <c r="P120" s="110">
        <f t="shared" si="3"/>
        <v>0</v>
      </c>
      <c r="V120" t="s">
        <v>27</v>
      </c>
    </row>
    <row r="121" spans="1:22" ht="15" customHeight="1" x14ac:dyDescent="0.25">
      <c r="A121" s="69">
        <v>826</v>
      </c>
      <c r="B121" s="35" t="s">
        <v>393</v>
      </c>
      <c r="C121" s="69" t="s">
        <v>394</v>
      </c>
      <c r="D121" s="69" t="s">
        <v>60</v>
      </c>
      <c r="E121" s="104">
        <v>8415000</v>
      </c>
      <c r="J121" s="109">
        <v>2103750</v>
      </c>
      <c r="K121" s="96" t="s">
        <v>117</v>
      </c>
      <c r="N121" s="109">
        <v>2103750</v>
      </c>
      <c r="O121" s="102" t="s">
        <v>349</v>
      </c>
      <c r="P121" s="110">
        <f t="shared" si="3"/>
        <v>4207500</v>
      </c>
      <c r="V121" t="s">
        <v>27</v>
      </c>
    </row>
    <row r="122" spans="1:22" ht="15" customHeight="1" x14ac:dyDescent="0.25">
      <c r="A122" s="69">
        <v>7</v>
      </c>
      <c r="B122" s="35" t="s">
        <v>395</v>
      </c>
      <c r="C122" s="69" t="s">
        <v>396</v>
      </c>
      <c r="D122" s="69" t="s">
        <v>397</v>
      </c>
      <c r="E122" s="104">
        <v>8415000</v>
      </c>
      <c r="F122" s="109">
        <v>2103750</v>
      </c>
      <c r="G122" s="102" t="s">
        <v>226</v>
      </c>
      <c r="J122" s="109">
        <v>2103750</v>
      </c>
      <c r="K122" s="102" t="s">
        <v>247</v>
      </c>
      <c r="N122" s="109">
        <v>2103750</v>
      </c>
      <c r="O122" s="96" t="s">
        <v>398</v>
      </c>
      <c r="P122" s="110">
        <f t="shared" si="3"/>
        <v>2103750</v>
      </c>
      <c r="Q122" s="69" t="s">
        <v>26</v>
      </c>
      <c r="V122" t="s">
        <v>27</v>
      </c>
    </row>
    <row r="123" spans="1:22" ht="15" customHeight="1" x14ac:dyDescent="0.25">
      <c r="A123" s="69">
        <v>20</v>
      </c>
      <c r="B123" s="35" t="s">
        <v>399</v>
      </c>
      <c r="C123" s="69" t="s">
        <v>400</v>
      </c>
      <c r="D123" s="69" t="s">
        <v>392</v>
      </c>
      <c r="E123" s="104">
        <v>8415000</v>
      </c>
      <c r="F123" s="109">
        <v>2103750</v>
      </c>
      <c r="G123" s="96" t="s">
        <v>132</v>
      </c>
      <c r="J123" s="109">
        <v>2103750</v>
      </c>
      <c r="K123" s="102" t="s">
        <v>247</v>
      </c>
      <c r="N123" s="109">
        <v>2103750</v>
      </c>
      <c r="O123" s="96" t="s">
        <v>398</v>
      </c>
      <c r="P123" s="110">
        <f t="shared" si="3"/>
        <v>2103750</v>
      </c>
      <c r="Q123" s="69" t="s">
        <v>26</v>
      </c>
      <c r="R123" s="109">
        <v>2103750</v>
      </c>
      <c r="S123" s="99" t="s">
        <v>240</v>
      </c>
      <c r="T123" s="110">
        <f>E123-F123-H123-J123-L123-N123-R123</f>
        <v>0</v>
      </c>
      <c r="V123" t="s">
        <v>27</v>
      </c>
    </row>
    <row r="124" spans="1:22" ht="15" customHeight="1" x14ac:dyDescent="0.25">
      <c r="A124" s="69">
        <v>72</v>
      </c>
      <c r="B124" s="35" t="s">
        <v>401</v>
      </c>
      <c r="C124" s="69" t="s">
        <v>402</v>
      </c>
      <c r="D124" s="69" t="s">
        <v>22</v>
      </c>
      <c r="E124" s="104">
        <v>8415000</v>
      </c>
      <c r="F124" s="109">
        <v>2103750</v>
      </c>
      <c r="G124" s="102" t="s">
        <v>257</v>
      </c>
      <c r="J124" s="109">
        <v>2103750</v>
      </c>
      <c r="K124" s="102" t="s">
        <v>267</v>
      </c>
      <c r="N124" s="109">
        <v>2103750</v>
      </c>
      <c r="O124" s="96" t="s">
        <v>398</v>
      </c>
      <c r="P124" s="110">
        <f t="shared" si="3"/>
        <v>2103750</v>
      </c>
      <c r="Q124" s="69" t="s">
        <v>26</v>
      </c>
      <c r="R124" s="109">
        <v>2103750</v>
      </c>
      <c r="S124" s="99" t="s">
        <v>240</v>
      </c>
      <c r="T124" s="110">
        <f>E124-F124-H124-J124-L124-N124-R124</f>
        <v>0</v>
      </c>
      <c r="V124" t="s">
        <v>27</v>
      </c>
    </row>
    <row r="125" spans="1:22" ht="15" customHeight="1" x14ac:dyDescent="0.25">
      <c r="A125" s="69">
        <v>79</v>
      </c>
      <c r="B125" s="35" t="s">
        <v>403</v>
      </c>
      <c r="C125" s="69" t="s">
        <v>404</v>
      </c>
      <c r="D125" s="69" t="s">
        <v>405</v>
      </c>
      <c r="E125" s="104">
        <v>8415000</v>
      </c>
      <c r="F125" s="109">
        <v>2103750</v>
      </c>
      <c r="G125" s="96" t="s">
        <v>262</v>
      </c>
      <c r="J125" s="109">
        <v>2103750</v>
      </c>
      <c r="K125" s="102" t="s">
        <v>263</v>
      </c>
      <c r="N125" s="109">
        <v>2103750</v>
      </c>
      <c r="O125" s="96" t="s">
        <v>398</v>
      </c>
      <c r="P125" s="110">
        <f t="shared" si="3"/>
        <v>2103750</v>
      </c>
      <c r="Q125" s="69" t="s">
        <v>26</v>
      </c>
      <c r="V125" t="s">
        <v>27</v>
      </c>
    </row>
    <row r="126" spans="1:22" ht="15" customHeight="1" x14ac:dyDescent="0.25">
      <c r="A126" s="69">
        <v>81</v>
      </c>
      <c r="B126" s="35" t="s">
        <v>406</v>
      </c>
      <c r="C126" s="69" t="s">
        <v>407</v>
      </c>
      <c r="D126" s="69" t="s">
        <v>408</v>
      </c>
      <c r="E126" s="104">
        <v>8415000</v>
      </c>
      <c r="F126" s="109">
        <v>2103750</v>
      </c>
      <c r="G126" s="96" t="s">
        <v>262</v>
      </c>
      <c r="J126" s="109">
        <v>2103750</v>
      </c>
      <c r="K126" s="102" t="s">
        <v>348</v>
      </c>
      <c r="N126" s="109">
        <v>2103750</v>
      </c>
      <c r="O126" s="96" t="s">
        <v>398</v>
      </c>
      <c r="P126" s="110">
        <f t="shared" si="3"/>
        <v>2103750</v>
      </c>
      <c r="Q126" s="69" t="s">
        <v>26</v>
      </c>
      <c r="R126" s="109">
        <v>2103750</v>
      </c>
      <c r="S126" s="100" t="s">
        <v>233</v>
      </c>
      <c r="T126" s="110">
        <f>E12-F126-J126-H126-L126-N126-R126</f>
        <v>0</v>
      </c>
      <c r="V126" t="s">
        <v>27</v>
      </c>
    </row>
    <row r="127" spans="1:22" ht="15" customHeight="1" x14ac:dyDescent="0.25">
      <c r="A127" s="69">
        <v>83</v>
      </c>
      <c r="B127" s="35" t="s">
        <v>409</v>
      </c>
      <c r="C127" s="69" t="s">
        <v>410</v>
      </c>
      <c r="D127" s="69" t="s">
        <v>311</v>
      </c>
      <c r="E127" s="104">
        <v>8415000</v>
      </c>
      <c r="F127" s="109">
        <v>2103750</v>
      </c>
      <c r="G127" s="96" t="s">
        <v>262</v>
      </c>
      <c r="J127" s="109">
        <v>2103750</v>
      </c>
      <c r="K127" s="102" t="s">
        <v>263</v>
      </c>
      <c r="N127" s="109">
        <v>2103750</v>
      </c>
      <c r="O127" s="96" t="s">
        <v>398</v>
      </c>
      <c r="P127" s="110">
        <f t="shared" si="3"/>
        <v>2103750</v>
      </c>
      <c r="Q127" s="69" t="s">
        <v>26</v>
      </c>
      <c r="V127" t="s">
        <v>27</v>
      </c>
    </row>
    <row r="128" spans="1:22" ht="15" customHeight="1" x14ac:dyDescent="0.25">
      <c r="A128" s="69">
        <v>84</v>
      </c>
      <c r="B128" s="35" t="s">
        <v>411</v>
      </c>
      <c r="C128" s="69" t="s">
        <v>412</v>
      </c>
      <c r="D128" s="69" t="s">
        <v>413</v>
      </c>
      <c r="E128" s="104">
        <v>8415000</v>
      </c>
      <c r="F128" s="109">
        <v>2103750</v>
      </c>
      <c r="G128" s="96" t="s">
        <v>262</v>
      </c>
      <c r="J128" s="109">
        <v>2103750</v>
      </c>
      <c r="K128" s="102" t="s">
        <v>348</v>
      </c>
      <c r="N128" s="109">
        <v>2103750</v>
      </c>
      <c r="O128" s="96" t="s">
        <v>398</v>
      </c>
      <c r="P128" s="110">
        <f t="shared" si="3"/>
        <v>2103750</v>
      </c>
      <c r="Q128" s="69" t="s">
        <v>26</v>
      </c>
      <c r="R128" s="109">
        <v>2103750</v>
      </c>
      <c r="S128" s="99" t="s">
        <v>244</v>
      </c>
      <c r="T128" s="110">
        <f>E128-F128-J128-N128-R128</f>
        <v>0</v>
      </c>
      <c r="V128" t="s">
        <v>27</v>
      </c>
    </row>
    <row r="129" spans="1:22" ht="15" customHeight="1" x14ac:dyDescent="0.25">
      <c r="A129" s="69">
        <v>85</v>
      </c>
      <c r="B129" s="35" t="s">
        <v>414</v>
      </c>
      <c r="C129" s="69" t="s">
        <v>415</v>
      </c>
      <c r="D129" s="69" t="s">
        <v>57</v>
      </c>
      <c r="E129" s="104">
        <v>8415000</v>
      </c>
      <c r="F129" s="109">
        <v>2103750</v>
      </c>
      <c r="G129" s="96" t="s">
        <v>262</v>
      </c>
      <c r="J129" s="109">
        <v>2103750</v>
      </c>
      <c r="K129" s="102" t="s">
        <v>348</v>
      </c>
      <c r="N129" s="109">
        <v>2103750</v>
      </c>
      <c r="O129" s="96" t="s">
        <v>398</v>
      </c>
      <c r="P129" s="110">
        <f t="shared" si="3"/>
        <v>2103750</v>
      </c>
      <c r="Q129" s="69" t="s">
        <v>26</v>
      </c>
      <c r="R129" s="109">
        <v>2103750</v>
      </c>
      <c r="S129" s="100" t="s">
        <v>416</v>
      </c>
      <c r="T129" s="110">
        <f>E129-F129-J129-N129-R129</f>
        <v>0</v>
      </c>
      <c r="V129" t="s">
        <v>27</v>
      </c>
    </row>
    <row r="130" spans="1:22" ht="15" customHeight="1" x14ac:dyDescent="0.25">
      <c r="A130" s="69">
        <v>113</v>
      </c>
      <c r="B130" s="35" t="s">
        <v>417</v>
      </c>
      <c r="C130" s="69" t="s">
        <v>418</v>
      </c>
      <c r="D130" s="69" t="s">
        <v>91</v>
      </c>
      <c r="E130" s="104">
        <v>8415000</v>
      </c>
      <c r="F130" s="109">
        <v>2103750</v>
      </c>
      <c r="G130" s="96" t="s">
        <v>266</v>
      </c>
      <c r="J130" s="109">
        <v>2103750</v>
      </c>
      <c r="K130" s="102" t="s">
        <v>267</v>
      </c>
      <c r="N130" s="109">
        <v>2103750</v>
      </c>
      <c r="O130" s="96" t="s">
        <v>398</v>
      </c>
      <c r="P130" s="110">
        <f t="shared" si="3"/>
        <v>2103750</v>
      </c>
      <c r="Q130" s="69" t="s">
        <v>26</v>
      </c>
      <c r="R130" s="109">
        <v>2103750</v>
      </c>
      <c r="S130" s="100" t="s">
        <v>416</v>
      </c>
      <c r="T130" s="110">
        <f>E130-F130-H130-J130-L130-N130-R130</f>
        <v>0</v>
      </c>
      <c r="V130" t="s">
        <v>27</v>
      </c>
    </row>
    <row r="131" spans="1:22" ht="15" customHeight="1" x14ac:dyDescent="0.25">
      <c r="A131" s="69">
        <v>116</v>
      </c>
      <c r="B131" s="35" t="s">
        <v>419</v>
      </c>
      <c r="C131" s="69" t="s">
        <v>420</v>
      </c>
      <c r="D131" s="69" t="s">
        <v>421</v>
      </c>
      <c r="E131" s="104">
        <v>8415000</v>
      </c>
      <c r="F131" s="109">
        <v>2103750</v>
      </c>
      <c r="G131" s="96" t="s">
        <v>266</v>
      </c>
      <c r="J131" s="109">
        <v>2103750</v>
      </c>
      <c r="K131" s="102" t="s">
        <v>267</v>
      </c>
      <c r="N131" s="109">
        <v>2103750</v>
      </c>
      <c r="O131" s="96" t="s">
        <v>398</v>
      </c>
      <c r="P131" s="110">
        <f t="shared" si="3"/>
        <v>2103750</v>
      </c>
      <c r="Q131" s="69" t="s">
        <v>26</v>
      </c>
      <c r="R131" s="109">
        <v>2103750</v>
      </c>
      <c r="S131" s="100" t="s">
        <v>422</v>
      </c>
      <c r="T131" s="110">
        <f>E131-F131-H131-J131-L131-N131-R131</f>
        <v>0</v>
      </c>
      <c r="V131" t="s">
        <v>27</v>
      </c>
    </row>
    <row r="132" spans="1:22" ht="15" customHeight="1" x14ac:dyDescent="0.25">
      <c r="A132" s="69">
        <v>130</v>
      </c>
      <c r="B132" s="35" t="s">
        <v>423</v>
      </c>
      <c r="C132" s="69" t="s">
        <v>316</v>
      </c>
      <c r="D132" s="69" t="s">
        <v>341</v>
      </c>
      <c r="E132" s="104">
        <v>8415000</v>
      </c>
      <c r="F132" s="109">
        <v>2103750</v>
      </c>
      <c r="G132" s="102" t="s">
        <v>424</v>
      </c>
      <c r="J132" s="109">
        <v>2103750</v>
      </c>
      <c r="K132" s="96" t="s">
        <v>117</v>
      </c>
      <c r="N132" s="109">
        <v>2103750</v>
      </c>
      <c r="O132" s="96" t="s">
        <v>398</v>
      </c>
      <c r="P132" s="110">
        <f t="shared" si="3"/>
        <v>2103750</v>
      </c>
      <c r="Q132" s="69" t="s">
        <v>26</v>
      </c>
      <c r="V132" t="s">
        <v>27</v>
      </c>
    </row>
    <row r="133" spans="1:22" ht="15" customHeight="1" x14ac:dyDescent="0.25">
      <c r="A133" s="69">
        <v>178</v>
      </c>
      <c r="B133" s="35" t="s">
        <v>425</v>
      </c>
      <c r="C133" s="69" t="s">
        <v>426</v>
      </c>
      <c r="D133" s="69" t="s">
        <v>427</v>
      </c>
      <c r="E133" s="104">
        <v>8415000</v>
      </c>
      <c r="F133" s="109">
        <v>2103750</v>
      </c>
      <c r="G133" s="96" t="s">
        <v>31</v>
      </c>
      <c r="J133" s="109">
        <v>2103750</v>
      </c>
      <c r="K133" s="96" t="s">
        <v>296</v>
      </c>
      <c r="N133" s="109">
        <v>2103750</v>
      </c>
      <c r="O133" s="96" t="s">
        <v>398</v>
      </c>
      <c r="P133" s="110">
        <f t="shared" si="3"/>
        <v>2103750</v>
      </c>
      <c r="Q133" s="69" t="s">
        <v>26</v>
      </c>
      <c r="R133" s="109">
        <v>2103750</v>
      </c>
      <c r="S133" s="100" t="s">
        <v>233</v>
      </c>
      <c r="T133" s="110">
        <f>E133-F133-J133-N133-R133</f>
        <v>0</v>
      </c>
      <c r="V133" t="s">
        <v>27</v>
      </c>
    </row>
    <row r="134" spans="1:22" ht="15" customHeight="1" x14ac:dyDescent="0.25">
      <c r="A134" s="69">
        <v>180</v>
      </c>
      <c r="B134" s="35" t="s">
        <v>428</v>
      </c>
      <c r="C134" s="69" t="s">
        <v>429</v>
      </c>
      <c r="D134" s="69" t="s">
        <v>60</v>
      </c>
      <c r="E134" s="104">
        <v>8415000</v>
      </c>
      <c r="F134" s="109">
        <v>2103750</v>
      </c>
      <c r="G134" s="96" t="s">
        <v>31</v>
      </c>
      <c r="N134" s="109">
        <v>2103750</v>
      </c>
      <c r="O134" s="96" t="s">
        <v>398</v>
      </c>
      <c r="P134" s="110">
        <f t="shared" si="3"/>
        <v>4207500</v>
      </c>
      <c r="Q134" s="69" t="s">
        <v>26</v>
      </c>
      <c r="V134" t="s">
        <v>27</v>
      </c>
    </row>
    <row r="135" spans="1:22" ht="15" customHeight="1" x14ac:dyDescent="0.25">
      <c r="A135" s="69">
        <v>226</v>
      </c>
      <c r="B135" s="35" t="s">
        <v>430</v>
      </c>
      <c r="C135" s="69" t="s">
        <v>431</v>
      </c>
      <c r="D135" s="69" t="s">
        <v>432</v>
      </c>
      <c r="E135" s="104">
        <v>8415000</v>
      </c>
      <c r="F135" s="109">
        <v>2103750</v>
      </c>
      <c r="G135" s="102" t="s">
        <v>79</v>
      </c>
      <c r="J135" s="109">
        <v>2103750</v>
      </c>
      <c r="K135" s="96" t="s">
        <v>296</v>
      </c>
      <c r="N135" s="109">
        <v>2103750</v>
      </c>
      <c r="O135" s="96" t="s">
        <v>398</v>
      </c>
      <c r="P135" s="110">
        <f t="shared" si="3"/>
        <v>2103750</v>
      </c>
      <c r="Q135" s="69" t="s">
        <v>26</v>
      </c>
      <c r="R135" s="109">
        <v>2103750</v>
      </c>
      <c r="S135" s="100" t="s">
        <v>228</v>
      </c>
      <c r="T135" s="110">
        <f>E135-F135-H135-J135-L135-N135-R135</f>
        <v>0</v>
      </c>
      <c r="V135" t="s">
        <v>27</v>
      </c>
    </row>
    <row r="136" spans="1:22" ht="15" customHeight="1" x14ac:dyDescent="0.25">
      <c r="A136" s="69">
        <v>262</v>
      </c>
      <c r="B136" s="35" t="s">
        <v>433</v>
      </c>
      <c r="C136" s="69" t="s">
        <v>434</v>
      </c>
      <c r="D136" s="69" t="s">
        <v>435</v>
      </c>
      <c r="E136" s="104">
        <v>8415000</v>
      </c>
      <c r="F136" s="109">
        <v>2103750</v>
      </c>
      <c r="G136" s="102" t="s">
        <v>436</v>
      </c>
      <c r="J136" s="109">
        <v>2103750</v>
      </c>
      <c r="K136" s="96" t="s">
        <v>296</v>
      </c>
      <c r="N136" s="109">
        <v>2103750</v>
      </c>
      <c r="O136" s="96" t="s">
        <v>398</v>
      </c>
      <c r="P136" s="110">
        <f t="shared" si="3"/>
        <v>2103750</v>
      </c>
      <c r="Q136" s="69" t="s">
        <v>26</v>
      </c>
      <c r="R136" s="109">
        <v>2103750</v>
      </c>
      <c r="S136" s="100" t="s">
        <v>416</v>
      </c>
      <c r="T136" s="110">
        <f>E136-F136-H136-J136-L136-N136-R136</f>
        <v>0</v>
      </c>
      <c r="V136" t="s">
        <v>27</v>
      </c>
    </row>
    <row r="137" spans="1:22" ht="15" customHeight="1" x14ac:dyDescent="0.25">
      <c r="A137" s="69">
        <v>671</v>
      </c>
      <c r="B137" s="35" t="s">
        <v>437</v>
      </c>
      <c r="C137" s="69" t="s">
        <v>438</v>
      </c>
      <c r="D137" s="69" t="s">
        <v>439</v>
      </c>
      <c r="E137" s="104">
        <v>8415000</v>
      </c>
      <c r="F137" s="109"/>
      <c r="N137" s="109">
        <v>2103750</v>
      </c>
      <c r="O137" s="96" t="s">
        <v>398</v>
      </c>
      <c r="P137" s="110">
        <f t="shared" si="3"/>
        <v>6311250</v>
      </c>
      <c r="Q137" s="69" t="s">
        <v>26</v>
      </c>
      <c r="R137" s="109"/>
      <c r="V137" t="s">
        <v>27</v>
      </c>
    </row>
    <row r="138" spans="1:22" ht="15" customHeight="1" x14ac:dyDescent="0.25">
      <c r="A138" s="69">
        <v>832</v>
      </c>
      <c r="B138" s="35" t="s">
        <v>440</v>
      </c>
      <c r="C138" s="69" t="s">
        <v>441</v>
      </c>
      <c r="D138" s="69" t="s">
        <v>442</v>
      </c>
      <c r="E138" s="104">
        <v>7540000</v>
      </c>
      <c r="J138" s="104">
        <v>2600000</v>
      </c>
      <c r="K138" s="102" t="s">
        <v>306</v>
      </c>
      <c r="N138" s="110">
        <v>2470000</v>
      </c>
      <c r="O138" s="96" t="s">
        <v>398</v>
      </c>
      <c r="P138" s="110">
        <f t="shared" si="3"/>
        <v>2470000</v>
      </c>
      <c r="Q138" s="69" t="s">
        <v>26</v>
      </c>
      <c r="R138" s="109">
        <v>2470000</v>
      </c>
      <c r="S138" s="99" t="s">
        <v>443</v>
      </c>
      <c r="T138" s="110">
        <f>E138-J138-N138-R138</f>
        <v>0</v>
      </c>
      <c r="V138" t="s">
        <v>27</v>
      </c>
    </row>
    <row r="139" spans="1:22" ht="15" customHeight="1" x14ac:dyDescent="0.25">
      <c r="A139" s="69">
        <v>98</v>
      </c>
      <c r="B139" s="35" t="s">
        <v>444</v>
      </c>
      <c r="C139" s="69" t="s">
        <v>445</v>
      </c>
      <c r="D139" s="69" t="s">
        <v>294</v>
      </c>
      <c r="E139" s="104">
        <v>8415000</v>
      </c>
      <c r="F139" s="109">
        <v>2103750</v>
      </c>
      <c r="G139" s="102" t="s">
        <v>373</v>
      </c>
      <c r="J139" s="109">
        <v>2103750</v>
      </c>
      <c r="K139" s="97" t="s">
        <v>325</v>
      </c>
      <c r="N139" s="109">
        <v>2103750</v>
      </c>
      <c r="O139" s="102" t="s">
        <v>446</v>
      </c>
      <c r="P139" s="110">
        <f t="shared" si="3"/>
        <v>2103750</v>
      </c>
      <c r="Q139" s="69" t="s">
        <v>26</v>
      </c>
      <c r="R139" s="109">
        <v>2103750</v>
      </c>
      <c r="S139" s="99" t="s">
        <v>443</v>
      </c>
      <c r="T139" s="110">
        <f>E139-F139-H139-J139-L139-N139-R139</f>
        <v>0</v>
      </c>
      <c r="V139" t="s">
        <v>27</v>
      </c>
    </row>
    <row r="140" spans="1:22" ht="15" customHeight="1" x14ac:dyDescent="0.25">
      <c r="A140" s="69">
        <v>112</v>
      </c>
      <c r="B140" s="35" t="s">
        <v>447</v>
      </c>
      <c r="C140" s="69" t="s">
        <v>181</v>
      </c>
      <c r="D140" s="69" t="s">
        <v>60</v>
      </c>
      <c r="E140" s="104">
        <v>8415000</v>
      </c>
      <c r="F140" s="109">
        <v>2103750</v>
      </c>
      <c r="G140" s="96" t="s">
        <v>266</v>
      </c>
      <c r="J140" s="109">
        <v>2103750</v>
      </c>
      <c r="K140" s="102" t="s">
        <v>267</v>
      </c>
      <c r="N140" s="109">
        <v>2103750</v>
      </c>
      <c r="O140" s="102" t="s">
        <v>446</v>
      </c>
      <c r="P140" s="110">
        <f t="shared" si="3"/>
        <v>2103750</v>
      </c>
      <c r="Q140" s="69" t="s">
        <v>26</v>
      </c>
      <c r="R140" s="109">
        <v>2103750</v>
      </c>
      <c r="S140" s="100" t="s">
        <v>416</v>
      </c>
      <c r="T140" s="110">
        <f>E140-F140-H140-J140-L140-N140-R140</f>
        <v>0</v>
      </c>
      <c r="V140" t="s">
        <v>27</v>
      </c>
    </row>
    <row r="141" spans="1:22" ht="15" customHeight="1" x14ac:dyDescent="0.25">
      <c r="A141" s="69">
        <v>118</v>
      </c>
      <c r="B141" s="35" t="s">
        <v>448</v>
      </c>
      <c r="C141" s="69" t="s">
        <v>449</v>
      </c>
      <c r="D141" s="69" t="s">
        <v>450</v>
      </c>
      <c r="E141" s="104">
        <v>8415000</v>
      </c>
      <c r="F141" s="109">
        <v>2103750</v>
      </c>
      <c r="G141" s="96" t="s">
        <v>266</v>
      </c>
      <c r="J141" s="109">
        <v>2103750</v>
      </c>
      <c r="K141" s="102" t="s">
        <v>348</v>
      </c>
      <c r="N141" s="109">
        <v>2103750</v>
      </c>
      <c r="O141" s="102" t="s">
        <v>446</v>
      </c>
      <c r="P141" s="110">
        <f t="shared" si="3"/>
        <v>2103750</v>
      </c>
      <c r="Q141" s="69" t="s">
        <v>26</v>
      </c>
      <c r="R141" s="109"/>
      <c r="V141" t="s">
        <v>27</v>
      </c>
    </row>
    <row r="142" spans="1:22" ht="15" customHeight="1" x14ac:dyDescent="0.25">
      <c r="A142" s="69">
        <v>122</v>
      </c>
      <c r="B142" s="35" t="s">
        <v>451</v>
      </c>
      <c r="C142" s="69" t="s">
        <v>452</v>
      </c>
      <c r="D142" s="69" t="s">
        <v>239</v>
      </c>
      <c r="E142" s="104">
        <v>8415000</v>
      </c>
      <c r="F142" s="109">
        <v>2103750</v>
      </c>
      <c r="G142" s="96" t="s">
        <v>266</v>
      </c>
      <c r="J142" s="109">
        <v>2103750</v>
      </c>
      <c r="K142" s="102" t="s">
        <v>267</v>
      </c>
      <c r="N142" s="109">
        <v>2103750</v>
      </c>
      <c r="O142" s="102" t="s">
        <v>446</v>
      </c>
      <c r="P142" s="110">
        <f t="shared" si="3"/>
        <v>2103750</v>
      </c>
      <c r="Q142" s="69" t="s">
        <v>26</v>
      </c>
      <c r="R142" s="109">
        <v>2103750</v>
      </c>
      <c r="S142" s="99" t="s">
        <v>244</v>
      </c>
      <c r="T142" s="110">
        <f>E142-F142-H142-J142-L142-N142-R142</f>
        <v>0</v>
      </c>
      <c r="V142" t="s">
        <v>27</v>
      </c>
    </row>
    <row r="143" spans="1:22" ht="15" customHeight="1" x14ac:dyDescent="0.25">
      <c r="A143" s="69">
        <v>128</v>
      </c>
      <c r="B143" s="35" t="s">
        <v>453</v>
      </c>
      <c r="C143" s="69" t="s">
        <v>454</v>
      </c>
      <c r="D143" s="69" t="s">
        <v>120</v>
      </c>
      <c r="E143" s="104">
        <v>8415000</v>
      </c>
      <c r="F143" s="109">
        <v>2103750</v>
      </c>
      <c r="G143" s="102" t="s">
        <v>424</v>
      </c>
      <c r="J143" s="109">
        <v>2103750</v>
      </c>
      <c r="K143" s="96" t="s">
        <v>24</v>
      </c>
      <c r="N143" s="109">
        <v>2103750</v>
      </c>
      <c r="O143" s="102" t="s">
        <v>446</v>
      </c>
      <c r="P143" s="110">
        <f t="shared" si="3"/>
        <v>2103750</v>
      </c>
      <c r="Q143" s="69" t="s">
        <v>26</v>
      </c>
      <c r="R143" s="109">
        <v>2103750</v>
      </c>
      <c r="S143" s="99" t="s">
        <v>36</v>
      </c>
      <c r="T143" s="110">
        <f>E143-F143-J143-N143-R143</f>
        <v>0</v>
      </c>
      <c r="V143" t="s">
        <v>27</v>
      </c>
    </row>
    <row r="144" spans="1:22" ht="15" customHeight="1" x14ac:dyDescent="0.25">
      <c r="A144" s="69">
        <v>146</v>
      </c>
      <c r="B144" s="35" t="s">
        <v>455</v>
      </c>
      <c r="C144" s="69" t="s">
        <v>456</v>
      </c>
      <c r="D144" s="69" t="s">
        <v>120</v>
      </c>
      <c r="E144" s="104">
        <v>8415000</v>
      </c>
      <c r="F144" s="109">
        <v>2103750</v>
      </c>
      <c r="G144" s="96" t="s">
        <v>23</v>
      </c>
      <c r="J144" s="109">
        <v>2103750</v>
      </c>
      <c r="K144" s="102" t="s">
        <v>267</v>
      </c>
      <c r="N144" s="109">
        <v>2103750</v>
      </c>
      <c r="O144" s="102" t="s">
        <v>446</v>
      </c>
      <c r="P144" s="110">
        <f t="shared" si="3"/>
        <v>2103750</v>
      </c>
      <c r="Q144" s="69" t="s">
        <v>26</v>
      </c>
      <c r="R144" s="109">
        <v>2103750</v>
      </c>
      <c r="S144" s="100" t="s">
        <v>416</v>
      </c>
      <c r="T144" s="110">
        <f>E144-F144-J144-N144-R144</f>
        <v>0</v>
      </c>
      <c r="V144" t="s">
        <v>27</v>
      </c>
    </row>
    <row r="145" spans="1:22" ht="15" customHeight="1" x14ac:dyDescent="0.25">
      <c r="A145" s="69">
        <v>170</v>
      </c>
      <c r="B145" s="35" t="s">
        <v>457</v>
      </c>
      <c r="C145" s="69" t="s">
        <v>458</v>
      </c>
      <c r="D145" s="69" t="s">
        <v>459</v>
      </c>
      <c r="E145" s="104">
        <v>8415000</v>
      </c>
      <c r="F145" s="109">
        <v>2103750</v>
      </c>
      <c r="G145" s="102" t="s">
        <v>271</v>
      </c>
      <c r="N145" s="109">
        <v>2103750</v>
      </c>
      <c r="O145" s="102" t="s">
        <v>446</v>
      </c>
      <c r="P145" s="110">
        <f t="shared" si="3"/>
        <v>4207500</v>
      </c>
      <c r="Q145" s="69" t="s">
        <v>26</v>
      </c>
      <c r="R145" s="109"/>
      <c r="V145" t="s">
        <v>27</v>
      </c>
    </row>
    <row r="146" spans="1:22" ht="15" customHeight="1" x14ac:dyDescent="0.25">
      <c r="A146" s="69">
        <v>193</v>
      </c>
      <c r="B146" s="35" t="s">
        <v>460</v>
      </c>
      <c r="C146" s="69" t="s">
        <v>461</v>
      </c>
      <c r="D146" s="69" t="s">
        <v>157</v>
      </c>
      <c r="E146" s="104">
        <v>8415000</v>
      </c>
      <c r="F146" s="109">
        <v>2103750</v>
      </c>
      <c r="G146" s="102" t="s">
        <v>276</v>
      </c>
      <c r="J146" s="109">
        <v>2103750</v>
      </c>
      <c r="K146" s="102" t="s">
        <v>348</v>
      </c>
      <c r="N146" s="109">
        <v>2103750</v>
      </c>
      <c r="O146" s="102" t="s">
        <v>446</v>
      </c>
      <c r="P146" s="110">
        <f t="shared" si="3"/>
        <v>2103750</v>
      </c>
      <c r="Q146" s="69" t="s">
        <v>26</v>
      </c>
      <c r="R146" s="109">
        <v>2103750</v>
      </c>
      <c r="S146" s="99" t="s">
        <v>240</v>
      </c>
      <c r="T146" s="110">
        <f>E146-F146-J146-N146-R146</f>
        <v>0</v>
      </c>
      <c r="V146" t="s">
        <v>27</v>
      </c>
    </row>
    <row r="147" spans="1:22" ht="15" customHeight="1" x14ac:dyDescent="0.25">
      <c r="A147" s="69">
        <v>242</v>
      </c>
      <c r="B147" s="35" t="s">
        <v>462</v>
      </c>
      <c r="C147" s="69" t="s">
        <v>463</v>
      </c>
      <c r="D147" s="69" t="s">
        <v>261</v>
      </c>
      <c r="E147" s="104">
        <v>8415000</v>
      </c>
      <c r="F147" s="109">
        <v>2103750</v>
      </c>
      <c r="G147" s="96" t="s">
        <v>464</v>
      </c>
      <c r="J147" s="109">
        <v>2103750</v>
      </c>
      <c r="K147" s="102" t="s">
        <v>306</v>
      </c>
      <c r="N147" s="109">
        <v>2103750</v>
      </c>
      <c r="O147" s="102" t="s">
        <v>446</v>
      </c>
      <c r="P147" s="110">
        <f t="shared" si="3"/>
        <v>2103750</v>
      </c>
      <c r="Q147" s="69" t="s">
        <v>26</v>
      </c>
      <c r="R147" s="109">
        <v>2103750</v>
      </c>
      <c r="S147" s="99" t="s">
        <v>443</v>
      </c>
      <c r="T147" s="110">
        <f>E147-F147-H147-J147-L147-N147-R147</f>
        <v>0</v>
      </c>
      <c r="V147" t="s">
        <v>27</v>
      </c>
    </row>
    <row r="148" spans="1:22" ht="15" customHeight="1" x14ac:dyDescent="0.25">
      <c r="A148" s="69">
        <v>244</v>
      </c>
      <c r="B148" s="35" t="s">
        <v>465</v>
      </c>
      <c r="C148" s="69" t="s">
        <v>466</v>
      </c>
      <c r="D148" s="69" t="s">
        <v>338</v>
      </c>
      <c r="E148" s="104">
        <v>8415000</v>
      </c>
      <c r="F148" s="109">
        <v>2103750</v>
      </c>
      <c r="G148" s="96" t="s">
        <v>464</v>
      </c>
      <c r="J148" s="109">
        <v>2103750</v>
      </c>
      <c r="K148" s="102" t="s">
        <v>306</v>
      </c>
      <c r="N148" s="109">
        <v>2103750</v>
      </c>
      <c r="O148" s="102" t="s">
        <v>446</v>
      </c>
      <c r="P148" s="110">
        <f t="shared" si="3"/>
        <v>2103750</v>
      </c>
      <c r="Q148" s="69" t="s">
        <v>26</v>
      </c>
      <c r="R148" s="109">
        <v>2103750</v>
      </c>
      <c r="S148" s="99" t="s">
        <v>443</v>
      </c>
      <c r="T148" s="110">
        <f>E148-F148-H148-J148-L148-N148-R148</f>
        <v>0</v>
      </c>
      <c r="V148" t="s">
        <v>27</v>
      </c>
    </row>
    <row r="149" spans="1:22" ht="15" customHeight="1" x14ac:dyDescent="0.25">
      <c r="A149" s="69">
        <v>255</v>
      </c>
      <c r="B149" s="35" t="s">
        <v>467</v>
      </c>
      <c r="C149" s="69" t="s">
        <v>46</v>
      </c>
      <c r="D149" s="69" t="s">
        <v>204</v>
      </c>
      <c r="E149" s="104">
        <v>8415000</v>
      </c>
      <c r="F149" s="109">
        <v>2103750</v>
      </c>
      <c r="G149" s="102" t="s">
        <v>436</v>
      </c>
      <c r="J149" s="109">
        <v>2103750</v>
      </c>
      <c r="K149" s="96" t="s">
        <v>381</v>
      </c>
      <c r="N149" s="109">
        <v>2103750</v>
      </c>
      <c r="O149" s="102" t="s">
        <v>446</v>
      </c>
      <c r="P149" s="110">
        <f t="shared" si="3"/>
        <v>2103750</v>
      </c>
      <c r="Q149" s="69" t="s">
        <v>26</v>
      </c>
      <c r="R149" s="109">
        <v>2103750</v>
      </c>
      <c r="S149" s="100" t="s">
        <v>416</v>
      </c>
      <c r="T149" s="110">
        <f>E149-F149-H149-J149-L149-N149-R149</f>
        <v>0</v>
      </c>
      <c r="V149" t="s">
        <v>27</v>
      </c>
    </row>
    <row r="150" spans="1:22" ht="15" customHeight="1" x14ac:dyDescent="0.25">
      <c r="A150" s="69">
        <v>282</v>
      </c>
      <c r="B150" s="35" t="s">
        <v>468</v>
      </c>
      <c r="C150" s="69" t="s">
        <v>469</v>
      </c>
      <c r="D150" s="69" t="s">
        <v>470</v>
      </c>
      <c r="E150" s="104">
        <v>8415000</v>
      </c>
      <c r="F150" s="109">
        <v>2103750</v>
      </c>
      <c r="G150" s="96" t="s">
        <v>471</v>
      </c>
      <c r="J150" s="109">
        <v>2103750</v>
      </c>
      <c r="K150" s="102" t="s">
        <v>267</v>
      </c>
      <c r="N150" s="109">
        <v>2103750</v>
      </c>
      <c r="O150" s="102" t="s">
        <v>446</v>
      </c>
      <c r="P150" s="110">
        <f t="shared" si="3"/>
        <v>2103750</v>
      </c>
      <c r="Q150" s="69" t="s">
        <v>26</v>
      </c>
      <c r="R150" s="109"/>
      <c r="V150" t="s">
        <v>27</v>
      </c>
    </row>
    <row r="151" spans="1:22" ht="15" customHeight="1" x14ac:dyDescent="0.25">
      <c r="A151" s="69">
        <v>397</v>
      </c>
      <c r="B151" s="35" t="s">
        <v>472</v>
      </c>
      <c r="C151" s="69" t="s">
        <v>473</v>
      </c>
      <c r="D151" s="69" t="s">
        <v>474</v>
      </c>
      <c r="E151" s="104">
        <v>8415000</v>
      </c>
      <c r="F151" s="109">
        <v>2103750</v>
      </c>
      <c r="G151" s="102" t="s">
        <v>475</v>
      </c>
      <c r="J151" s="109">
        <v>2103750</v>
      </c>
      <c r="K151" s="96" t="s">
        <v>389</v>
      </c>
      <c r="N151" s="109">
        <v>2103750</v>
      </c>
      <c r="O151" s="102" t="s">
        <v>446</v>
      </c>
      <c r="P151" s="110">
        <f t="shared" si="3"/>
        <v>2103750</v>
      </c>
      <c r="Q151" s="69" t="s">
        <v>26</v>
      </c>
      <c r="R151" s="109">
        <v>2103750</v>
      </c>
      <c r="S151" s="100" t="s">
        <v>416</v>
      </c>
      <c r="T151" s="110">
        <f>E151-F151-J151-N151-R151</f>
        <v>0</v>
      </c>
      <c r="V151" t="s">
        <v>27</v>
      </c>
    </row>
    <row r="152" spans="1:22" ht="15" customHeight="1" x14ac:dyDescent="0.25">
      <c r="A152" s="69">
        <v>438</v>
      </c>
      <c r="B152" s="35" t="s">
        <v>476</v>
      </c>
      <c r="C152" s="69" t="s">
        <v>477</v>
      </c>
      <c r="D152" s="69" t="s">
        <v>478</v>
      </c>
      <c r="E152" s="104">
        <v>8415000</v>
      </c>
      <c r="F152" s="109">
        <v>2103750</v>
      </c>
      <c r="G152" s="102" t="s">
        <v>479</v>
      </c>
      <c r="J152" s="109">
        <v>2103750</v>
      </c>
      <c r="K152" s="96" t="s">
        <v>389</v>
      </c>
      <c r="N152" s="109">
        <v>2103750</v>
      </c>
      <c r="O152" s="102" t="s">
        <v>446</v>
      </c>
      <c r="P152" s="110">
        <f t="shared" si="3"/>
        <v>2103750</v>
      </c>
      <c r="Q152" s="69" t="s">
        <v>26</v>
      </c>
      <c r="R152" s="109">
        <v>2103750</v>
      </c>
      <c r="S152" s="100" t="s">
        <v>416</v>
      </c>
      <c r="T152" s="110">
        <f>E152-F152-J152-N152-R152</f>
        <v>0</v>
      </c>
      <c r="V152" t="s">
        <v>27</v>
      </c>
    </row>
    <row r="153" spans="1:22" ht="15" customHeight="1" x14ac:dyDescent="0.25">
      <c r="A153" s="69">
        <v>548</v>
      </c>
      <c r="B153" s="35" t="s">
        <v>480</v>
      </c>
      <c r="C153" s="69" t="s">
        <v>481</v>
      </c>
      <c r="D153" s="69" t="s">
        <v>157</v>
      </c>
      <c r="E153" s="104">
        <v>8415000</v>
      </c>
      <c r="F153" s="109">
        <v>2103750</v>
      </c>
      <c r="G153" s="96" t="s">
        <v>482</v>
      </c>
      <c r="J153" s="109">
        <v>2103750</v>
      </c>
      <c r="K153" s="97" t="s">
        <v>325</v>
      </c>
      <c r="N153" s="109">
        <v>2103750</v>
      </c>
      <c r="O153" s="102" t="s">
        <v>446</v>
      </c>
      <c r="P153" s="110">
        <f t="shared" si="3"/>
        <v>2103750</v>
      </c>
      <c r="Q153" s="69" t="s">
        <v>26</v>
      </c>
      <c r="R153" s="109">
        <v>2103750</v>
      </c>
      <c r="S153" s="100" t="s">
        <v>113</v>
      </c>
      <c r="T153" s="110">
        <f>E153-F153-J153-N153-R153</f>
        <v>0</v>
      </c>
      <c r="V153" t="s">
        <v>27</v>
      </c>
    </row>
    <row r="154" spans="1:22" ht="15" customHeight="1" x14ac:dyDescent="0.25">
      <c r="A154" s="69">
        <v>553</v>
      </c>
      <c r="B154" s="35">
        <v>25808700053</v>
      </c>
      <c r="C154" s="69" t="s">
        <v>483</v>
      </c>
      <c r="D154" s="69" t="s">
        <v>484</v>
      </c>
      <c r="E154" s="104">
        <v>4465000</v>
      </c>
      <c r="F154" s="109">
        <v>2232500</v>
      </c>
      <c r="G154" s="96" t="s">
        <v>482</v>
      </c>
      <c r="J154" s="110"/>
      <c r="N154" s="109">
        <v>2232500</v>
      </c>
      <c r="O154" s="102" t="s">
        <v>446</v>
      </c>
      <c r="P154" s="110">
        <f t="shared" si="3"/>
        <v>0</v>
      </c>
      <c r="Q154" s="69" t="s">
        <v>26</v>
      </c>
      <c r="R154" s="109"/>
      <c r="V154" t="s">
        <v>27</v>
      </c>
    </row>
    <row r="155" spans="1:22" ht="15" customHeight="1" x14ac:dyDescent="0.25">
      <c r="A155" s="69">
        <v>568</v>
      </c>
      <c r="B155" s="35">
        <v>25808200090</v>
      </c>
      <c r="C155" s="69" t="s">
        <v>485</v>
      </c>
      <c r="D155" s="69" t="s">
        <v>435</v>
      </c>
      <c r="E155" s="104">
        <v>4465000</v>
      </c>
      <c r="F155" s="109">
        <v>2232500</v>
      </c>
      <c r="G155" s="102" t="s">
        <v>285</v>
      </c>
      <c r="J155" s="110"/>
      <c r="N155" s="109">
        <v>2232500</v>
      </c>
      <c r="O155" s="102" t="s">
        <v>446</v>
      </c>
      <c r="P155" s="110">
        <f t="shared" si="3"/>
        <v>0</v>
      </c>
      <c r="Q155" s="69" t="s">
        <v>26</v>
      </c>
      <c r="R155" s="109"/>
      <c r="V155" t="s">
        <v>27</v>
      </c>
    </row>
    <row r="156" spans="1:22" ht="15" customHeight="1" x14ac:dyDescent="0.25">
      <c r="A156" s="69">
        <v>623</v>
      </c>
      <c r="B156" s="35">
        <v>25802800205</v>
      </c>
      <c r="C156" s="69" t="s">
        <v>486</v>
      </c>
      <c r="D156" s="69" t="s">
        <v>88</v>
      </c>
      <c r="E156" s="104">
        <v>8415000</v>
      </c>
      <c r="F156" s="109"/>
      <c r="H156" s="109">
        <v>2103750</v>
      </c>
      <c r="I156" s="102" t="s">
        <v>487</v>
      </c>
      <c r="N156" s="109">
        <v>2103750</v>
      </c>
      <c r="O156" s="102" t="s">
        <v>446</v>
      </c>
      <c r="P156" s="110">
        <f t="shared" si="3"/>
        <v>4207500</v>
      </c>
      <c r="Q156" s="69" t="s">
        <v>26</v>
      </c>
      <c r="R156" s="109"/>
      <c r="V156" t="s">
        <v>27</v>
      </c>
    </row>
    <row r="157" spans="1:22" ht="15" customHeight="1" x14ac:dyDescent="0.25">
      <c r="A157" s="69">
        <v>37</v>
      </c>
      <c r="B157" s="35" t="s">
        <v>488</v>
      </c>
      <c r="C157" s="69" t="s">
        <v>489</v>
      </c>
      <c r="D157" s="69" t="s">
        <v>490</v>
      </c>
      <c r="E157" s="104">
        <v>8415000</v>
      </c>
      <c r="F157" s="109">
        <v>2103750</v>
      </c>
      <c r="G157" s="102" t="s">
        <v>243</v>
      </c>
      <c r="J157" s="109">
        <v>2103750</v>
      </c>
      <c r="K157" s="102" t="s">
        <v>272</v>
      </c>
      <c r="N157" s="109">
        <v>2103750</v>
      </c>
      <c r="O157" s="96" t="s">
        <v>491</v>
      </c>
      <c r="P157" s="110">
        <f t="shared" si="3"/>
        <v>2103750</v>
      </c>
      <c r="Q157" s="69" t="s">
        <v>26</v>
      </c>
      <c r="R157" s="109"/>
      <c r="V157" t="s">
        <v>27</v>
      </c>
    </row>
    <row r="158" spans="1:22" ht="15" customHeight="1" x14ac:dyDescent="0.25">
      <c r="A158" s="69">
        <v>40</v>
      </c>
      <c r="B158" s="35" t="s">
        <v>492</v>
      </c>
      <c r="C158" s="69" t="s">
        <v>493</v>
      </c>
      <c r="D158" s="69" t="s">
        <v>494</v>
      </c>
      <c r="E158" s="104">
        <v>8415000</v>
      </c>
      <c r="F158" s="109">
        <v>2103750</v>
      </c>
      <c r="G158" s="102" t="s">
        <v>243</v>
      </c>
      <c r="J158" s="109">
        <v>2103750</v>
      </c>
      <c r="K158" s="102" t="s">
        <v>306</v>
      </c>
      <c r="N158" s="109">
        <v>2103750</v>
      </c>
      <c r="O158" s="96" t="s">
        <v>491</v>
      </c>
      <c r="P158" s="110">
        <f t="shared" si="3"/>
        <v>2103750</v>
      </c>
      <c r="Q158" s="69" t="s">
        <v>26</v>
      </c>
      <c r="R158" s="109">
        <v>2103750</v>
      </c>
      <c r="S158" s="100" t="s">
        <v>416</v>
      </c>
      <c r="T158" s="110">
        <f>E158-J158-N158-P158-R158</f>
        <v>0</v>
      </c>
      <c r="V158" t="s">
        <v>27</v>
      </c>
    </row>
    <row r="159" spans="1:22" ht="15" customHeight="1" x14ac:dyDescent="0.25">
      <c r="A159" s="69">
        <v>60</v>
      </c>
      <c r="B159" s="35">
        <v>25806800008</v>
      </c>
      <c r="C159" s="69" t="s">
        <v>495</v>
      </c>
      <c r="D159" s="69" t="s">
        <v>120</v>
      </c>
      <c r="E159" s="104">
        <v>9405000</v>
      </c>
      <c r="F159" s="109">
        <v>2232500</v>
      </c>
      <c r="G159" s="96" t="s">
        <v>253</v>
      </c>
      <c r="J159" s="109">
        <v>2232500</v>
      </c>
      <c r="K159" s="96" t="s">
        <v>381</v>
      </c>
      <c r="N159" s="104">
        <v>2470000</v>
      </c>
      <c r="O159" s="96" t="s">
        <v>491</v>
      </c>
      <c r="P159" s="110">
        <f t="shared" si="3"/>
        <v>2470000</v>
      </c>
      <c r="Q159" s="69" t="s">
        <v>26</v>
      </c>
      <c r="R159" s="109">
        <v>2470000</v>
      </c>
      <c r="S159" s="100" t="s">
        <v>416</v>
      </c>
      <c r="T159" s="110">
        <f>E159-F159-J159-N159-R159</f>
        <v>0</v>
      </c>
      <c r="V159" t="s">
        <v>27</v>
      </c>
    </row>
    <row r="160" spans="1:22" ht="15" customHeight="1" x14ac:dyDescent="0.25">
      <c r="A160" s="69">
        <v>80</v>
      </c>
      <c r="B160" s="35" t="s">
        <v>496</v>
      </c>
      <c r="C160" s="69" t="s">
        <v>497</v>
      </c>
      <c r="D160" s="69" t="s">
        <v>160</v>
      </c>
      <c r="E160" s="104">
        <v>8415000</v>
      </c>
      <c r="F160" s="109">
        <v>2103750</v>
      </c>
      <c r="G160" s="96" t="s">
        <v>262</v>
      </c>
      <c r="J160" s="109">
        <v>2103750</v>
      </c>
      <c r="K160" s="102" t="s">
        <v>306</v>
      </c>
      <c r="N160" s="109">
        <v>2103750</v>
      </c>
      <c r="O160" s="96" t="s">
        <v>491</v>
      </c>
      <c r="P160" s="110">
        <f t="shared" si="3"/>
        <v>2103750</v>
      </c>
      <c r="Q160" s="69" t="s">
        <v>26</v>
      </c>
      <c r="R160" s="109"/>
      <c r="T160" s="110"/>
      <c r="V160" t="s">
        <v>27</v>
      </c>
    </row>
    <row r="161" spans="1:22" ht="15" customHeight="1" x14ac:dyDescent="0.25">
      <c r="A161" s="69">
        <v>86</v>
      </c>
      <c r="B161" s="35" t="s">
        <v>498</v>
      </c>
      <c r="C161" s="69" t="s">
        <v>499</v>
      </c>
      <c r="D161" s="69" t="s">
        <v>500</v>
      </c>
      <c r="E161" s="104">
        <v>8415000</v>
      </c>
      <c r="F161" s="109">
        <v>2103750</v>
      </c>
      <c r="G161" s="96" t="s">
        <v>262</v>
      </c>
      <c r="J161" s="109">
        <v>2103750</v>
      </c>
      <c r="K161" s="102" t="s">
        <v>267</v>
      </c>
      <c r="N161" s="109">
        <v>2103750</v>
      </c>
      <c r="O161" s="96" t="s">
        <v>491</v>
      </c>
      <c r="P161" s="110">
        <f t="shared" si="3"/>
        <v>2103750</v>
      </c>
      <c r="Q161" s="69" t="s">
        <v>26</v>
      </c>
      <c r="R161" s="109"/>
      <c r="V161" t="s">
        <v>27</v>
      </c>
    </row>
    <row r="162" spans="1:22" ht="15" customHeight="1" x14ac:dyDescent="0.25">
      <c r="A162" s="69">
        <v>111</v>
      </c>
      <c r="B162" s="35" t="s">
        <v>501</v>
      </c>
      <c r="C162" s="69" t="s">
        <v>502</v>
      </c>
      <c r="D162" s="69" t="s">
        <v>376</v>
      </c>
      <c r="E162" s="104">
        <v>8415000</v>
      </c>
      <c r="F162" s="109">
        <v>2103750</v>
      </c>
      <c r="G162" s="96" t="s">
        <v>266</v>
      </c>
      <c r="J162" s="109">
        <v>2103750</v>
      </c>
      <c r="K162" s="102" t="s">
        <v>267</v>
      </c>
      <c r="N162" s="109">
        <v>2103750</v>
      </c>
      <c r="O162" s="96" t="s">
        <v>491</v>
      </c>
      <c r="P162" s="110">
        <f t="shared" si="3"/>
        <v>2103750</v>
      </c>
      <c r="Q162" s="69" t="s">
        <v>26</v>
      </c>
      <c r="R162" s="109"/>
      <c r="V162" t="s">
        <v>27</v>
      </c>
    </row>
    <row r="163" spans="1:22" ht="15" customHeight="1" x14ac:dyDescent="0.25">
      <c r="A163" s="69">
        <v>123</v>
      </c>
      <c r="B163" s="35" t="s">
        <v>503</v>
      </c>
      <c r="C163" s="69" t="s">
        <v>504</v>
      </c>
      <c r="D163" s="69" t="s">
        <v>392</v>
      </c>
      <c r="E163" s="104">
        <v>8415000</v>
      </c>
      <c r="F163" s="109">
        <v>2103750</v>
      </c>
      <c r="G163" s="96" t="s">
        <v>266</v>
      </c>
      <c r="J163" s="109">
        <v>2103750</v>
      </c>
      <c r="K163" s="96" t="s">
        <v>296</v>
      </c>
      <c r="N163" s="109">
        <v>2103750</v>
      </c>
      <c r="O163" s="96" t="s">
        <v>491</v>
      </c>
      <c r="P163" s="110">
        <f t="shared" si="3"/>
        <v>2103750</v>
      </c>
      <c r="Q163" s="69" t="s">
        <v>26</v>
      </c>
      <c r="R163" s="109"/>
      <c r="V163" t="s">
        <v>27</v>
      </c>
    </row>
    <row r="164" spans="1:22" ht="15" customHeight="1" x14ac:dyDescent="0.25">
      <c r="A164" s="69">
        <v>124</v>
      </c>
      <c r="B164" s="35" t="s">
        <v>505</v>
      </c>
      <c r="C164" s="69" t="s">
        <v>506</v>
      </c>
      <c r="D164" s="69" t="s">
        <v>392</v>
      </c>
      <c r="E164" s="104">
        <v>8415000</v>
      </c>
      <c r="F164" s="109">
        <v>2103750</v>
      </c>
      <c r="G164" s="96" t="s">
        <v>266</v>
      </c>
      <c r="J164" s="109">
        <v>2103750</v>
      </c>
      <c r="K164" s="102" t="s">
        <v>267</v>
      </c>
      <c r="N164" s="109">
        <v>2103750</v>
      </c>
      <c r="O164" s="96" t="s">
        <v>491</v>
      </c>
      <c r="P164" s="110">
        <f t="shared" si="3"/>
        <v>2103750</v>
      </c>
      <c r="Q164" s="69" t="s">
        <v>26</v>
      </c>
      <c r="R164" s="109">
        <v>2103750</v>
      </c>
      <c r="S164" s="100" t="s">
        <v>416</v>
      </c>
      <c r="T164" s="110">
        <f>E164-F164-H164-J164-L164-N164-R164</f>
        <v>0</v>
      </c>
      <c r="V164" t="s">
        <v>27</v>
      </c>
    </row>
    <row r="165" spans="1:22" ht="15" customHeight="1" x14ac:dyDescent="0.25">
      <c r="A165" s="69">
        <v>132</v>
      </c>
      <c r="B165" s="35" t="s">
        <v>507</v>
      </c>
      <c r="C165" s="69" t="s">
        <v>508</v>
      </c>
      <c r="D165" s="69" t="s">
        <v>275</v>
      </c>
      <c r="E165" s="104">
        <v>8415000</v>
      </c>
      <c r="F165" s="109">
        <v>2103750</v>
      </c>
      <c r="G165" s="102" t="s">
        <v>424</v>
      </c>
      <c r="J165" s="109">
        <v>2103750</v>
      </c>
      <c r="K165" s="102" t="s">
        <v>348</v>
      </c>
      <c r="N165" s="109">
        <v>2103750</v>
      </c>
      <c r="O165" s="96" t="s">
        <v>491</v>
      </c>
      <c r="P165" s="110">
        <f t="shared" si="3"/>
        <v>2103750</v>
      </c>
      <c r="Q165" s="69" t="s">
        <v>26</v>
      </c>
      <c r="R165" s="109"/>
      <c r="V165" t="s">
        <v>27</v>
      </c>
    </row>
    <row r="166" spans="1:22" ht="15" customHeight="1" x14ac:dyDescent="0.25">
      <c r="A166" s="69">
        <v>138</v>
      </c>
      <c r="B166" s="35" t="s">
        <v>509</v>
      </c>
      <c r="C166" s="69" t="s">
        <v>510</v>
      </c>
      <c r="D166" s="69" t="s">
        <v>450</v>
      </c>
      <c r="E166" s="104">
        <v>8415000</v>
      </c>
      <c r="F166" s="109">
        <v>2103750</v>
      </c>
      <c r="G166" s="102" t="s">
        <v>424</v>
      </c>
      <c r="J166" s="109">
        <v>2103750</v>
      </c>
      <c r="K166" s="102" t="s">
        <v>267</v>
      </c>
      <c r="N166" s="109">
        <v>2103750</v>
      </c>
      <c r="O166" s="96" t="s">
        <v>491</v>
      </c>
      <c r="P166" s="110">
        <f t="shared" si="3"/>
        <v>2103750</v>
      </c>
      <c r="Q166" s="69" t="s">
        <v>26</v>
      </c>
      <c r="R166" s="109"/>
      <c r="V166" t="s">
        <v>27</v>
      </c>
    </row>
    <row r="167" spans="1:22" ht="15" customHeight="1" x14ac:dyDescent="0.25">
      <c r="A167" s="69">
        <v>149</v>
      </c>
      <c r="B167" s="35" t="s">
        <v>511</v>
      </c>
      <c r="C167" s="69" t="s">
        <v>512</v>
      </c>
      <c r="D167" s="69" t="s">
        <v>359</v>
      </c>
      <c r="E167" s="104">
        <v>8415000</v>
      </c>
      <c r="F167" s="109">
        <v>2103750</v>
      </c>
      <c r="G167" s="96" t="s">
        <v>23</v>
      </c>
      <c r="J167" s="109">
        <v>2103750</v>
      </c>
      <c r="K167" s="102" t="s">
        <v>267</v>
      </c>
      <c r="N167" s="109">
        <v>2103750</v>
      </c>
      <c r="O167" s="96" t="s">
        <v>491</v>
      </c>
      <c r="P167" s="110">
        <f t="shared" si="3"/>
        <v>2103750</v>
      </c>
      <c r="Q167" s="69" t="s">
        <v>26</v>
      </c>
      <c r="R167" s="109"/>
      <c r="V167" t="s">
        <v>27</v>
      </c>
    </row>
    <row r="168" spans="1:22" ht="15" customHeight="1" x14ac:dyDescent="0.25">
      <c r="A168" s="69">
        <v>258</v>
      </c>
      <c r="B168" s="35" t="s">
        <v>513</v>
      </c>
      <c r="C168" s="69" t="s">
        <v>514</v>
      </c>
      <c r="D168" s="69" t="s">
        <v>515</v>
      </c>
      <c r="E168" s="104">
        <v>8415000</v>
      </c>
      <c r="F168" s="109">
        <v>2103750</v>
      </c>
      <c r="G168" s="102" t="s">
        <v>436</v>
      </c>
      <c r="J168" s="109">
        <v>2103750</v>
      </c>
      <c r="K168" s="96" t="s">
        <v>381</v>
      </c>
      <c r="N168" s="109">
        <v>2103750</v>
      </c>
      <c r="O168" s="96" t="s">
        <v>491</v>
      </c>
      <c r="P168" s="110">
        <f t="shared" si="3"/>
        <v>2103750</v>
      </c>
      <c r="Q168" s="69" t="s">
        <v>26</v>
      </c>
      <c r="R168" s="109">
        <v>2103750</v>
      </c>
      <c r="S168" s="100" t="s">
        <v>416</v>
      </c>
      <c r="T168" s="110">
        <f>E168-F168-H168-J168-L168-N168-R168</f>
        <v>0</v>
      </c>
      <c r="V168" t="s">
        <v>27</v>
      </c>
    </row>
    <row r="169" spans="1:22" ht="15" customHeight="1" x14ac:dyDescent="0.25">
      <c r="A169" s="69">
        <v>625</v>
      </c>
      <c r="B169" s="35" t="s">
        <v>516</v>
      </c>
      <c r="C169" s="69" t="s">
        <v>499</v>
      </c>
      <c r="D169" s="69" t="s">
        <v>517</v>
      </c>
      <c r="E169" s="104">
        <v>8415000</v>
      </c>
      <c r="F169" s="109"/>
      <c r="H169" s="109">
        <v>2103750</v>
      </c>
      <c r="I169" s="102" t="s">
        <v>487</v>
      </c>
      <c r="J169" s="109">
        <v>2103750</v>
      </c>
      <c r="K169" s="96" t="s">
        <v>381</v>
      </c>
      <c r="N169" s="109">
        <v>2103750</v>
      </c>
      <c r="O169" s="96" t="s">
        <v>491</v>
      </c>
      <c r="P169" s="110">
        <f t="shared" si="3"/>
        <v>2103750</v>
      </c>
      <c r="Q169" s="69" t="s">
        <v>26</v>
      </c>
      <c r="R169" s="109">
        <v>2103750</v>
      </c>
      <c r="S169" s="100" t="s">
        <v>416</v>
      </c>
      <c r="T169" s="110">
        <f>E169-H169-J169-N169-R169</f>
        <v>0</v>
      </c>
      <c r="V169" t="s">
        <v>27</v>
      </c>
    </row>
    <row r="170" spans="1:22" ht="15" customHeight="1" x14ac:dyDescent="0.25">
      <c r="A170" s="69">
        <v>697</v>
      </c>
      <c r="B170" s="35" t="s">
        <v>518</v>
      </c>
      <c r="C170" s="69" t="s">
        <v>512</v>
      </c>
      <c r="D170" s="69" t="s">
        <v>359</v>
      </c>
      <c r="E170" s="104">
        <v>4465000</v>
      </c>
      <c r="H170" s="109"/>
      <c r="I170" s="35"/>
      <c r="J170" s="110"/>
      <c r="N170" s="109">
        <v>2232500</v>
      </c>
      <c r="O170" s="96" t="s">
        <v>491</v>
      </c>
      <c r="P170" s="110">
        <f t="shared" si="3"/>
        <v>2232500</v>
      </c>
      <c r="Q170" s="69" t="s">
        <v>26</v>
      </c>
      <c r="R170" s="109"/>
      <c r="V170" t="s">
        <v>27</v>
      </c>
    </row>
    <row r="171" spans="1:22" ht="15" customHeight="1" x14ac:dyDescent="0.25">
      <c r="A171" s="69">
        <v>706</v>
      </c>
      <c r="B171" s="35" t="s">
        <v>519</v>
      </c>
      <c r="C171" s="69" t="s">
        <v>520</v>
      </c>
      <c r="D171" s="69" t="s">
        <v>521</v>
      </c>
      <c r="E171" s="104">
        <v>4465000</v>
      </c>
      <c r="F171" s="109"/>
      <c r="J171" s="109">
        <v>2232500</v>
      </c>
      <c r="K171" s="98" t="s">
        <v>35</v>
      </c>
      <c r="N171" s="109">
        <v>2232500</v>
      </c>
      <c r="O171" s="96" t="s">
        <v>491</v>
      </c>
      <c r="P171" s="110">
        <f t="shared" si="3"/>
        <v>0</v>
      </c>
      <c r="Q171" s="69" t="s">
        <v>26</v>
      </c>
      <c r="R171" s="109"/>
      <c r="V171" t="s">
        <v>27</v>
      </c>
    </row>
    <row r="172" spans="1:22" ht="15" customHeight="1" x14ac:dyDescent="0.25">
      <c r="A172" s="69">
        <v>717</v>
      </c>
      <c r="B172" s="35" t="s">
        <v>522</v>
      </c>
      <c r="C172" s="69" t="s">
        <v>523</v>
      </c>
      <c r="D172" s="69" t="s">
        <v>175</v>
      </c>
      <c r="E172" s="104">
        <f>4700000 + 2600000</f>
        <v>7300000</v>
      </c>
      <c r="H172" s="109">
        <v>2100000</v>
      </c>
      <c r="I172" s="102" t="s">
        <v>487</v>
      </c>
      <c r="N172" s="104">
        <v>2600000</v>
      </c>
      <c r="O172" s="96" t="s">
        <v>491</v>
      </c>
      <c r="P172" s="110">
        <f t="shared" si="3"/>
        <v>2600000</v>
      </c>
      <c r="Q172" s="69" t="s">
        <v>26</v>
      </c>
      <c r="R172" s="109">
        <v>2600000</v>
      </c>
      <c r="S172" s="99" t="s">
        <v>240</v>
      </c>
      <c r="T172" s="110">
        <f>E172 -F172-H172-J172-N172-P172</f>
        <v>0</v>
      </c>
      <c r="U172" s="97" t="s">
        <v>524</v>
      </c>
      <c r="V172" t="s">
        <v>27</v>
      </c>
    </row>
    <row r="173" spans="1:22" ht="15" customHeight="1" x14ac:dyDescent="0.25">
      <c r="A173" s="69">
        <v>792</v>
      </c>
      <c r="B173" s="35" t="s">
        <v>525</v>
      </c>
      <c r="C173" s="69" t="s">
        <v>526</v>
      </c>
      <c r="D173" s="69" t="s">
        <v>515</v>
      </c>
      <c r="E173" s="104">
        <v>8415000</v>
      </c>
      <c r="J173" s="109">
        <v>2103750</v>
      </c>
      <c r="K173" s="96" t="s">
        <v>108</v>
      </c>
      <c r="N173" s="109">
        <v>2103750</v>
      </c>
      <c r="O173" s="96" t="s">
        <v>491</v>
      </c>
      <c r="P173" s="110">
        <f t="shared" si="3"/>
        <v>4207500</v>
      </c>
      <c r="R173" s="109"/>
      <c r="V173" t="s">
        <v>27</v>
      </c>
    </row>
    <row r="174" spans="1:22" ht="15" customHeight="1" x14ac:dyDescent="0.25">
      <c r="A174" s="69">
        <v>5</v>
      </c>
      <c r="B174" s="35" t="s">
        <v>527</v>
      </c>
      <c r="C174" s="69" t="s">
        <v>528</v>
      </c>
      <c r="D174" s="69" t="s">
        <v>175</v>
      </c>
      <c r="E174" s="104">
        <v>8415000</v>
      </c>
      <c r="F174" s="109">
        <v>2103750</v>
      </c>
      <c r="G174" s="102" t="s">
        <v>226</v>
      </c>
      <c r="J174" s="109">
        <v>2103750</v>
      </c>
      <c r="K174" s="96" t="s">
        <v>133</v>
      </c>
      <c r="N174" s="109">
        <v>2103750</v>
      </c>
      <c r="O174" s="102" t="s">
        <v>529</v>
      </c>
      <c r="P174" s="110">
        <f t="shared" si="3"/>
        <v>2103750</v>
      </c>
      <c r="Q174" s="69" t="s">
        <v>26</v>
      </c>
      <c r="R174" s="109"/>
      <c r="V174" t="s">
        <v>27</v>
      </c>
    </row>
    <row r="175" spans="1:22" ht="15" customHeight="1" x14ac:dyDescent="0.25">
      <c r="A175" s="69">
        <v>38</v>
      </c>
      <c r="B175" s="35" t="s">
        <v>530</v>
      </c>
      <c r="C175" s="69" t="s">
        <v>370</v>
      </c>
      <c r="D175" s="69" t="s">
        <v>185</v>
      </c>
      <c r="E175" s="104">
        <v>8415000</v>
      </c>
      <c r="F175" s="109">
        <v>2103750</v>
      </c>
      <c r="G175" s="102" t="s">
        <v>243</v>
      </c>
      <c r="J175" s="109">
        <v>2103750</v>
      </c>
      <c r="K175" s="97" t="s">
        <v>325</v>
      </c>
      <c r="N175" s="109">
        <v>2103750</v>
      </c>
      <c r="O175" s="102" t="s">
        <v>529</v>
      </c>
      <c r="P175" s="110">
        <f t="shared" si="3"/>
        <v>2103750</v>
      </c>
      <c r="Q175" s="69" t="s">
        <v>26</v>
      </c>
      <c r="R175" s="109"/>
      <c r="V175" t="s">
        <v>27</v>
      </c>
    </row>
    <row r="176" spans="1:22" ht="15" customHeight="1" x14ac:dyDescent="0.25">
      <c r="A176" s="69">
        <v>65</v>
      </c>
      <c r="B176" s="35" t="s">
        <v>531</v>
      </c>
      <c r="C176" s="69" t="s">
        <v>532</v>
      </c>
      <c r="D176" s="69" t="s">
        <v>484</v>
      </c>
      <c r="E176" s="104">
        <v>8415000</v>
      </c>
      <c r="F176" s="109">
        <v>2103750</v>
      </c>
      <c r="G176" s="102" t="s">
        <v>257</v>
      </c>
      <c r="J176" s="109">
        <v>2103750</v>
      </c>
      <c r="K176" s="102" t="s">
        <v>258</v>
      </c>
      <c r="N176" s="109">
        <v>2103750</v>
      </c>
      <c r="O176" s="102" t="s">
        <v>529</v>
      </c>
      <c r="P176" s="110">
        <f t="shared" si="3"/>
        <v>2103750</v>
      </c>
      <c r="Q176" s="69" t="s">
        <v>26</v>
      </c>
      <c r="R176" s="109">
        <v>2103750</v>
      </c>
      <c r="S176" s="99" t="s">
        <v>244</v>
      </c>
      <c r="T176" s="110">
        <f>E176-F176-H176-J176-L176-N176-R176</f>
        <v>0</v>
      </c>
      <c r="V176" t="s">
        <v>27</v>
      </c>
    </row>
    <row r="177" spans="1:22" ht="15" customHeight="1" x14ac:dyDescent="0.25">
      <c r="A177" s="69">
        <v>100</v>
      </c>
      <c r="B177" s="35" t="s">
        <v>533</v>
      </c>
      <c r="C177" s="69" t="s">
        <v>534</v>
      </c>
      <c r="D177" s="69" t="s">
        <v>535</v>
      </c>
      <c r="E177" s="104">
        <v>8415000</v>
      </c>
      <c r="F177" s="109">
        <v>2103750</v>
      </c>
      <c r="G177" s="102" t="s">
        <v>373</v>
      </c>
      <c r="J177" s="109">
        <v>2103750</v>
      </c>
      <c r="K177" s="102" t="s">
        <v>348</v>
      </c>
      <c r="N177" s="109">
        <v>2103750</v>
      </c>
      <c r="O177" s="102" t="s">
        <v>529</v>
      </c>
      <c r="P177" s="110">
        <f t="shared" si="3"/>
        <v>2103750</v>
      </c>
      <c r="Q177" s="69" t="s">
        <v>26</v>
      </c>
      <c r="R177" s="109">
        <v>2103750</v>
      </c>
      <c r="S177" s="99" t="s">
        <v>443</v>
      </c>
      <c r="T177" s="110">
        <f>E177-F177-H177-J177-L177-N177-R177</f>
        <v>0</v>
      </c>
      <c r="V177" t="s">
        <v>27</v>
      </c>
    </row>
    <row r="178" spans="1:22" ht="15" customHeight="1" x14ac:dyDescent="0.25">
      <c r="A178" s="69">
        <v>129</v>
      </c>
      <c r="B178" s="35" t="s">
        <v>536</v>
      </c>
      <c r="C178" s="69" t="s">
        <v>537</v>
      </c>
      <c r="D178" s="69" t="s">
        <v>538</v>
      </c>
      <c r="E178" s="104">
        <v>8415000</v>
      </c>
      <c r="F178" s="109">
        <v>2103750</v>
      </c>
      <c r="G178" s="102" t="s">
        <v>424</v>
      </c>
      <c r="J178" s="109">
        <v>2103750</v>
      </c>
      <c r="K178" s="102" t="s">
        <v>267</v>
      </c>
      <c r="N178" s="109">
        <v>2103750</v>
      </c>
      <c r="O178" s="102" t="s">
        <v>529</v>
      </c>
      <c r="P178" s="110">
        <f t="shared" si="3"/>
        <v>2103750</v>
      </c>
      <c r="Q178" s="69" t="s">
        <v>26</v>
      </c>
      <c r="R178" s="109"/>
      <c r="V178" t="s">
        <v>27</v>
      </c>
    </row>
    <row r="179" spans="1:22" ht="15" customHeight="1" x14ac:dyDescent="0.25">
      <c r="A179" s="69">
        <v>134</v>
      </c>
      <c r="B179" s="35" t="s">
        <v>539</v>
      </c>
      <c r="C179" s="69" t="s">
        <v>130</v>
      </c>
      <c r="D179" s="69" t="s">
        <v>494</v>
      </c>
      <c r="E179" s="104">
        <v>8415000</v>
      </c>
      <c r="F179" s="109">
        <v>2103750</v>
      </c>
      <c r="G179" s="102" t="s">
        <v>424</v>
      </c>
      <c r="J179" s="109">
        <v>2103750</v>
      </c>
      <c r="K179" s="102" t="s">
        <v>267</v>
      </c>
      <c r="N179" s="109">
        <v>2103750</v>
      </c>
      <c r="O179" s="102" t="s">
        <v>529</v>
      </c>
      <c r="P179" s="110">
        <f t="shared" si="3"/>
        <v>2103750</v>
      </c>
      <c r="Q179" s="69" t="s">
        <v>26</v>
      </c>
      <c r="R179" s="109"/>
      <c r="T179" s="110">
        <f>E179-J179-N179-P179-R179</f>
        <v>2103750</v>
      </c>
      <c r="V179" t="s">
        <v>27</v>
      </c>
    </row>
    <row r="180" spans="1:22" ht="15" customHeight="1" x14ac:dyDescent="0.25">
      <c r="A180" s="69">
        <v>136</v>
      </c>
      <c r="B180" s="35" t="s">
        <v>540</v>
      </c>
      <c r="C180" s="69" t="s">
        <v>541</v>
      </c>
      <c r="D180" s="69" t="s">
        <v>515</v>
      </c>
      <c r="E180" s="104">
        <v>8415000</v>
      </c>
      <c r="F180" s="109">
        <v>2103750</v>
      </c>
      <c r="G180" s="102" t="s">
        <v>424</v>
      </c>
      <c r="J180" s="109">
        <v>2103750</v>
      </c>
      <c r="K180" s="102" t="s">
        <v>267</v>
      </c>
      <c r="N180" s="109">
        <v>2103750</v>
      </c>
      <c r="O180" s="102" t="s">
        <v>529</v>
      </c>
      <c r="P180" s="110">
        <f t="shared" si="3"/>
        <v>2103750</v>
      </c>
      <c r="Q180" s="69" t="s">
        <v>26</v>
      </c>
      <c r="R180" s="109"/>
      <c r="V180" t="s">
        <v>27</v>
      </c>
    </row>
    <row r="181" spans="1:22" ht="15" customHeight="1" x14ac:dyDescent="0.25">
      <c r="A181" s="69">
        <v>137</v>
      </c>
      <c r="B181" s="35" t="s">
        <v>542</v>
      </c>
      <c r="C181" s="69" t="s">
        <v>543</v>
      </c>
      <c r="D181" s="69" t="s">
        <v>544</v>
      </c>
      <c r="E181" s="104">
        <v>8415000</v>
      </c>
      <c r="F181" s="109">
        <v>2103750</v>
      </c>
      <c r="G181" s="102" t="s">
        <v>424</v>
      </c>
      <c r="J181" s="109">
        <v>2103750</v>
      </c>
      <c r="K181" s="96" t="s">
        <v>24</v>
      </c>
      <c r="N181" s="109">
        <v>2103750</v>
      </c>
      <c r="O181" s="102" t="s">
        <v>529</v>
      </c>
      <c r="P181" s="110">
        <f t="shared" si="3"/>
        <v>2103750</v>
      </c>
      <c r="Q181" s="69" t="s">
        <v>26</v>
      </c>
      <c r="R181" s="109">
        <v>2103750</v>
      </c>
      <c r="S181" s="99" t="s">
        <v>443</v>
      </c>
      <c r="T181" s="110">
        <f>E181-F181-H181-J181-L181-N181-R181</f>
        <v>0</v>
      </c>
      <c r="V181" t="s">
        <v>27</v>
      </c>
    </row>
    <row r="182" spans="1:22" ht="15" customHeight="1" x14ac:dyDescent="0.25">
      <c r="A182" s="69">
        <v>139</v>
      </c>
      <c r="B182" s="35" t="s">
        <v>545</v>
      </c>
      <c r="C182" s="69" t="s">
        <v>546</v>
      </c>
      <c r="D182" s="69" t="s">
        <v>392</v>
      </c>
      <c r="E182" s="104">
        <v>8415000</v>
      </c>
      <c r="F182" s="109">
        <v>2103750</v>
      </c>
      <c r="G182" s="102" t="s">
        <v>424</v>
      </c>
      <c r="J182" s="109">
        <v>2103750</v>
      </c>
      <c r="K182" s="96" t="s">
        <v>24</v>
      </c>
      <c r="N182" s="109">
        <v>2103750</v>
      </c>
      <c r="O182" s="102" t="s">
        <v>529</v>
      </c>
      <c r="P182" s="110">
        <f t="shared" ref="P182:P245" si="4">E182-F182-H182-J182-L182-N182</f>
        <v>2103750</v>
      </c>
      <c r="Q182" s="69" t="s">
        <v>26</v>
      </c>
      <c r="R182" s="109">
        <v>2103750</v>
      </c>
      <c r="S182" s="99" t="s">
        <v>443</v>
      </c>
      <c r="T182" s="110">
        <f>E182-F182-H182-J182-L182-N182-R182</f>
        <v>0</v>
      </c>
      <c r="V182" t="s">
        <v>27</v>
      </c>
    </row>
    <row r="183" spans="1:22" ht="15" customHeight="1" x14ac:dyDescent="0.25">
      <c r="A183" s="69">
        <v>167</v>
      </c>
      <c r="B183" s="35" t="s">
        <v>547</v>
      </c>
      <c r="C183" s="69" t="s">
        <v>548</v>
      </c>
      <c r="D183" s="69" t="s">
        <v>549</v>
      </c>
      <c r="E183" s="104">
        <v>8415000</v>
      </c>
      <c r="F183" s="109">
        <v>2103750</v>
      </c>
      <c r="G183" s="102" t="s">
        <v>271</v>
      </c>
      <c r="J183" s="109">
        <v>2103750</v>
      </c>
      <c r="K183" s="102" t="s">
        <v>348</v>
      </c>
      <c r="N183" s="109">
        <v>2103750</v>
      </c>
      <c r="O183" s="102" t="s">
        <v>529</v>
      </c>
      <c r="P183" s="110">
        <f t="shared" si="4"/>
        <v>2103750</v>
      </c>
      <c r="Q183" s="69" t="s">
        <v>26</v>
      </c>
      <c r="R183" s="109"/>
      <c r="V183" t="s">
        <v>27</v>
      </c>
    </row>
    <row r="184" spans="1:22" ht="15" customHeight="1" x14ac:dyDescent="0.25">
      <c r="A184" s="69">
        <v>191</v>
      </c>
      <c r="B184" s="35" t="s">
        <v>550</v>
      </c>
      <c r="C184" s="69" t="s">
        <v>551</v>
      </c>
      <c r="D184" s="69" t="s">
        <v>294</v>
      </c>
      <c r="E184" s="104">
        <v>8415000</v>
      </c>
      <c r="F184" s="109">
        <v>2103750</v>
      </c>
      <c r="G184" s="102" t="s">
        <v>276</v>
      </c>
      <c r="J184" s="109">
        <v>2103750</v>
      </c>
      <c r="K184" s="102" t="s">
        <v>348</v>
      </c>
      <c r="N184" s="109">
        <v>2103750</v>
      </c>
      <c r="O184" s="102" t="s">
        <v>529</v>
      </c>
      <c r="P184" s="110">
        <f t="shared" si="4"/>
        <v>2103750</v>
      </c>
      <c r="Q184" s="69" t="s">
        <v>26</v>
      </c>
      <c r="R184" s="109">
        <v>2103750</v>
      </c>
      <c r="S184" s="100" t="s">
        <v>416</v>
      </c>
      <c r="T184" s="110">
        <f>E184-F184-H184-J184-L184-N184-R184</f>
        <v>0</v>
      </c>
      <c r="V184" t="s">
        <v>27</v>
      </c>
    </row>
    <row r="185" spans="1:22" ht="15" customHeight="1" x14ac:dyDescent="0.25">
      <c r="A185" s="69">
        <v>243</v>
      </c>
      <c r="B185" s="35" t="s">
        <v>552</v>
      </c>
      <c r="C185" s="69" t="s">
        <v>553</v>
      </c>
      <c r="D185" s="69" t="s">
        <v>392</v>
      </c>
      <c r="E185" s="104">
        <v>8415000</v>
      </c>
      <c r="F185" s="109">
        <v>2103750</v>
      </c>
      <c r="G185" s="96" t="s">
        <v>464</v>
      </c>
      <c r="J185" s="109">
        <v>2103750</v>
      </c>
      <c r="K185" s="102" t="s">
        <v>348</v>
      </c>
      <c r="N185" s="109">
        <v>2103750</v>
      </c>
      <c r="O185" s="102" t="s">
        <v>529</v>
      </c>
      <c r="P185" s="110">
        <f t="shared" si="4"/>
        <v>2103750</v>
      </c>
      <c r="Q185" s="69" t="s">
        <v>26</v>
      </c>
      <c r="R185" s="109"/>
      <c r="V185" t="s">
        <v>27</v>
      </c>
    </row>
    <row r="186" spans="1:22" ht="15" customHeight="1" x14ac:dyDescent="0.25">
      <c r="A186" s="69">
        <v>246</v>
      </c>
      <c r="B186" s="35" t="s">
        <v>554</v>
      </c>
      <c r="C186" s="69" t="s">
        <v>555</v>
      </c>
      <c r="D186" s="69" t="s">
        <v>517</v>
      </c>
      <c r="E186" s="104">
        <v>8415000</v>
      </c>
      <c r="F186" s="109">
        <v>2103750</v>
      </c>
      <c r="G186" s="96" t="s">
        <v>464</v>
      </c>
      <c r="J186" s="109">
        <v>2103750</v>
      </c>
      <c r="K186" s="97" t="s">
        <v>325</v>
      </c>
      <c r="N186" s="109">
        <v>2103750</v>
      </c>
      <c r="O186" s="102" t="s">
        <v>529</v>
      </c>
      <c r="P186" s="110">
        <f t="shared" si="4"/>
        <v>2103750</v>
      </c>
      <c r="Q186" s="69" t="s">
        <v>26</v>
      </c>
      <c r="R186" s="109"/>
      <c r="V186" t="s">
        <v>27</v>
      </c>
    </row>
    <row r="187" spans="1:22" ht="15" customHeight="1" x14ac:dyDescent="0.25">
      <c r="A187" s="69">
        <v>259</v>
      </c>
      <c r="B187" s="35" t="s">
        <v>556</v>
      </c>
      <c r="C187" s="69" t="s">
        <v>557</v>
      </c>
      <c r="D187" s="69" t="s">
        <v>66</v>
      </c>
      <c r="E187" s="104">
        <v>8415000</v>
      </c>
      <c r="F187" s="109">
        <v>2103750</v>
      </c>
      <c r="G187" s="102" t="s">
        <v>436</v>
      </c>
      <c r="J187" s="109">
        <v>2103750</v>
      </c>
      <c r="K187" s="102" t="s">
        <v>348</v>
      </c>
      <c r="N187" s="109">
        <v>2103750</v>
      </c>
      <c r="O187" s="102" t="s">
        <v>529</v>
      </c>
      <c r="P187" s="110">
        <f t="shared" si="4"/>
        <v>2103750</v>
      </c>
      <c r="Q187" s="69" t="s">
        <v>26</v>
      </c>
      <c r="R187" s="109">
        <v>2103750</v>
      </c>
      <c r="S187" s="99" t="s">
        <v>558</v>
      </c>
      <c r="T187" s="110">
        <f>E187-F187-J187-N187-R187</f>
        <v>0</v>
      </c>
      <c r="V187" t="s">
        <v>27</v>
      </c>
    </row>
    <row r="188" spans="1:22" ht="15" customHeight="1" x14ac:dyDescent="0.25">
      <c r="A188" s="69">
        <v>269</v>
      </c>
      <c r="B188" s="35" t="s">
        <v>559</v>
      </c>
      <c r="C188" s="69" t="s">
        <v>560</v>
      </c>
      <c r="D188" s="69" t="s">
        <v>376</v>
      </c>
      <c r="E188" s="104">
        <v>4700000</v>
      </c>
      <c r="F188" s="109">
        <v>2100000</v>
      </c>
      <c r="G188" s="102" t="s">
        <v>436</v>
      </c>
      <c r="K188" s="35"/>
      <c r="N188" s="109">
        <v>2600000</v>
      </c>
      <c r="O188" s="102" t="s">
        <v>529</v>
      </c>
      <c r="P188" s="110">
        <f t="shared" si="4"/>
        <v>0</v>
      </c>
      <c r="Q188" s="69" t="s">
        <v>26</v>
      </c>
      <c r="R188" s="109"/>
      <c r="V188" t="s">
        <v>27</v>
      </c>
    </row>
    <row r="189" spans="1:22" ht="15" customHeight="1" x14ac:dyDescent="0.25">
      <c r="A189" s="69">
        <v>338</v>
      </c>
      <c r="B189" s="35" t="s">
        <v>561</v>
      </c>
      <c r="C189" s="69" t="s">
        <v>562</v>
      </c>
      <c r="D189" s="69" t="s">
        <v>563</v>
      </c>
      <c r="E189" s="104">
        <v>8415000</v>
      </c>
      <c r="F189" s="109">
        <v>2103750</v>
      </c>
      <c r="G189" s="102" t="s">
        <v>564</v>
      </c>
      <c r="J189" s="109">
        <v>2103750</v>
      </c>
      <c r="K189" s="102" t="s">
        <v>348</v>
      </c>
      <c r="N189" s="109">
        <v>2103750</v>
      </c>
      <c r="O189" s="102" t="s">
        <v>529</v>
      </c>
      <c r="P189" s="110">
        <f t="shared" si="4"/>
        <v>2103750</v>
      </c>
      <c r="Q189" s="69" t="s">
        <v>26</v>
      </c>
      <c r="R189" s="109"/>
      <c r="V189" t="s">
        <v>27</v>
      </c>
    </row>
    <row r="190" spans="1:22" ht="15" customHeight="1" x14ac:dyDescent="0.25">
      <c r="A190" s="69">
        <v>619</v>
      </c>
      <c r="B190" s="35" t="s">
        <v>565</v>
      </c>
      <c r="C190" s="69" t="s">
        <v>566</v>
      </c>
      <c r="D190" s="69" t="s">
        <v>521</v>
      </c>
      <c r="E190" s="104">
        <v>8415000</v>
      </c>
      <c r="F190" s="109"/>
      <c r="H190" s="109">
        <v>2103750</v>
      </c>
      <c r="I190" s="102" t="s">
        <v>487</v>
      </c>
      <c r="J190" s="109">
        <v>2103750</v>
      </c>
      <c r="K190" s="97" t="s">
        <v>325</v>
      </c>
      <c r="N190" s="109">
        <v>2103750</v>
      </c>
      <c r="O190" s="102" t="s">
        <v>529</v>
      </c>
      <c r="P190" s="110">
        <f t="shared" si="4"/>
        <v>2103750</v>
      </c>
      <c r="Q190" s="69" t="s">
        <v>26</v>
      </c>
      <c r="R190" s="109">
        <v>2103750</v>
      </c>
      <c r="S190" s="99" t="s">
        <v>240</v>
      </c>
      <c r="T190" s="110">
        <f>E190-F190-H190-J190-L190-N190-R190</f>
        <v>0</v>
      </c>
      <c r="V190" t="s">
        <v>27</v>
      </c>
    </row>
    <row r="191" spans="1:22" ht="15" customHeight="1" x14ac:dyDescent="0.25">
      <c r="A191" s="69">
        <v>39</v>
      </c>
      <c r="B191" s="35" t="s">
        <v>567</v>
      </c>
      <c r="C191" s="69" t="s">
        <v>568</v>
      </c>
      <c r="D191" s="69" t="s">
        <v>376</v>
      </c>
      <c r="E191" s="104">
        <v>8415000</v>
      </c>
      <c r="F191" s="109">
        <v>2103750</v>
      </c>
      <c r="G191" s="102" t="s">
        <v>243</v>
      </c>
      <c r="J191" s="109">
        <v>2103750</v>
      </c>
      <c r="K191" s="102" t="s">
        <v>272</v>
      </c>
      <c r="N191" s="109">
        <v>2103750</v>
      </c>
      <c r="O191" s="96" t="s">
        <v>569</v>
      </c>
      <c r="P191" s="110">
        <f t="shared" si="4"/>
        <v>2103750</v>
      </c>
      <c r="Q191" s="69" t="s">
        <v>26</v>
      </c>
      <c r="R191" s="109"/>
      <c r="V191" t="s">
        <v>27</v>
      </c>
    </row>
    <row r="192" spans="1:22" ht="15" customHeight="1" x14ac:dyDescent="0.25">
      <c r="A192" s="69">
        <v>131</v>
      </c>
      <c r="B192" s="35" t="s">
        <v>570</v>
      </c>
      <c r="C192" s="69" t="s">
        <v>571</v>
      </c>
      <c r="D192" s="69" t="s">
        <v>78</v>
      </c>
      <c r="E192" s="104">
        <v>8415000</v>
      </c>
      <c r="F192" s="109">
        <v>2103750</v>
      </c>
      <c r="G192" s="102" t="s">
        <v>424</v>
      </c>
      <c r="J192" s="109">
        <v>2103750</v>
      </c>
      <c r="K192" s="102" t="s">
        <v>267</v>
      </c>
      <c r="N192" s="109">
        <v>2103750</v>
      </c>
      <c r="O192" s="96" t="s">
        <v>569</v>
      </c>
      <c r="P192" s="110">
        <f t="shared" si="4"/>
        <v>2103750</v>
      </c>
      <c r="Q192" s="69" t="s">
        <v>26</v>
      </c>
      <c r="R192" s="109"/>
      <c r="V192" t="s">
        <v>27</v>
      </c>
    </row>
    <row r="193" spans="1:22" ht="15" customHeight="1" x14ac:dyDescent="0.25">
      <c r="A193" s="69">
        <v>145</v>
      </c>
      <c r="B193" s="35" t="s">
        <v>572</v>
      </c>
      <c r="C193" s="69" t="s">
        <v>573</v>
      </c>
      <c r="D193" s="69" t="s">
        <v>388</v>
      </c>
      <c r="E193" s="104">
        <v>8415000</v>
      </c>
      <c r="F193" s="109">
        <v>2103750</v>
      </c>
      <c r="G193" s="96" t="s">
        <v>23</v>
      </c>
      <c r="N193" s="109">
        <v>2103750</v>
      </c>
      <c r="O193" s="96" t="s">
        <v>569</v>
      </c>
      <c r="P193" s="110">
        <f t="shared" si="4"/>
        <v>4207500</v>
      </c>
      <c r="Q193" s="69" t="s">
        <v>26</v>
      </c>
      <c r="R193" s="109"/>
      <c r="V193" t="s">
        <v>27</v>
      </c>
    </row>
    <row r="194" spans="1:22" ht="15" customHeight="1" x14ac:dyDescent="0.25">
      <c r="A194" s="69">
        <v>147</v>
      </c>
      <c r="B194" s="35" t="s">
        <v>574</v>
      </c>
      <c r="C194" s="69" t="s">
        <v>575</v>
      </c>
      <c r="D194" s="69" t="s">
        <v>341</v>
      </c>
      <c r="E194" s="104">
        <v>8415000</v>
      </c>
      <c r="F194" s="109">
        <v>2103750</v>
      </c>
      <c r="G194" s="96" t="s">
        <v>23</v>
      </c>
      <c r="J194" s="109">
        <v>2103750</v>
      </c>
      <c r="K194" s="96" t="s">
        <v>67</v>
      </c>
      <c r="N194" s="109">
        <v>2103750</v>
      </c>
      <c r="O194" s="96" t="s">
        <v>569</v>
      </c>
      <c r="P194" s="110">
        <f t="shared" si="4"/>
        <v>2103750</v>
      </c>
      <c r="Q194" s="69" t="s">
        <v>26</v>
      </c>
      <c r="R194" s="109"/>
      <c r="V194" t="s">
        <v>27</v>
      </c>
    </row>
    <row r="195" spans="1:22" ht="15" customHeight="1" x14ac:dyDescent="0.25">
      <c r="A195" s="69">
        <v>150</v>
      </c>
      <c r="B195" s="35" t="s">
        <v>576</v>
      </c>
      <c r="C195" s="69" t="s">
        <v>577</v>
      </c>
      <c r="D195" s="69" t="s">
        <v>578</v>
      </c>
      <c r="E195" s="104">
        <v>8415000</v>
      </c>
      <c r="F195" s="109">
        <v>2103750</v>
      </c>
      <c r="G195" s="96" t="s">
        <v>23</v>
      </c>
      <c r="J195" s="109">
        <v>2103750</v>
      </c>
      <c r="K195" s="96" t="s">
        <v>67</v>
      </c>
      <c r="N195" s="109">
        <v>2103750</v>
      </c>
      <c r="O195" s="96" t="s">
        <v>569</v>
      </c>
      <c r="P195" s="110">
        <f t="shared" si="4"/>
        <v>2103750</v>
      </c>
      <c r="Q195" s="69" t="s">
        <v>26</v>
      </c>
      <c r="R195" s="109">
        <v>2103750</v>
      </c>
      <c r="S195" s="99" t="s">
        <v>579</v>
      </c>
      <c r="T195" s="110">
        <f>E195-F195-J195-N195-L195-H195-R195</f>
        <v>0</v>
      </c>
      <c r="V195" t="s">
        <v>27</v>
      </c>
    </row>
    <row r="196" spans="1:22" ht="15" customHeight="1" x14ac:dyDescent="0.25">
      <c r="A196" s="69">
        <v>152</v>
      </c>
      <c r="B196" s="35" t="s">
        <v>580</v>
      </c>
      <c r="C196" s="69" t="s">
        <v>581</v>
      </c>
      <c r="D196" s="69" t="s">
        <v>138</v>
      </c>
      <c r="E196" s="104">
        <v>8415000</v>
      </c>
      <c r="F196" s="109">
        <v>2103750</v>
      </c>
      <c r="G196" s="96" t="s">
        <v>23</v>
      </c>
      <c r="J196" s="109">
        <v>2103750</v>
      </c>
      <c r="K196" s="96" t="s">
        <v>67</v>
      </c>
      <c r="N196" s="109">
        <v>2103750</v>
      </c>
      <c r="O196" s="96" t="s">
        <v>569</v>
      </c>
      <c r="P196" s="110">
        <f t="shared" si="4"/>
        <v>2103750</v>
      </c>
      <c r="Q196" s="69" t="s">
        <v>26</v>
      </c>
      <c r="R196" s="109">
        <v>2103750</v>
      </c>
      <c r="S196" s="99" t="s">
        <v>579</v>
      </c>
      <c r="T196" s="110">
        <f>E196-F196-H196-J196-L196-N196-R196</f>
        <v>0</v>
      </c>
      <c r="V196" t="s">
        <v>27</v>
      </c>
    </row>
    <row r="197" spans="1:22" ht="15" customHeight="1" x14ac:dyDescent="0.25">
      <c r="A197" s="69">
        <v>154</v>
      </c>
      <c r="B197" s="35" t="s">
        <v>582</v>
      </c>
      <c r="C197" s="69" t="s">
        <v>583</v>
      </c>
      <c r="D197" s="69" t="s">
        <v>450</v>
      </c>
      <c r="E197" s="104">
        <v>8415000</v>
      </c>
      <c r="F197" s="109">
        <v>2103750</v>
      </c>
      <c r="G197" s="96" t="s">
        <v>23</v>
      </c>
      <c r="J197" s="109">
        <v>2103750</v>
      </c>
      <c r="K197" s="96" t="s">
        <v>67</v>
      </c>
      <c r="N197" s="109">
        <v>2103750</v>
      </c>
      <c r="O197" s="96" t="s">
        <v>569</v>
      </c>
      <c r="P197" s="110">
        <f t="shared" si="4"/>
        <v>2103750</v>
      </c>
      <c r="Q197" s="69" t="s">
        <v>26</v>
      </c>
      <c r="R197" s="109"/>
      <c r="V197" t="s">
        <v>27</v>
      </c>
    </row>
    <row r="198" spans="1:22" ht="15" customHeight="1" x14ac:dyDescent="0.25">
      <c r="A198" s="69">
        <v>160</v>
      </c>
      <c r="B198" s="35" t="s">
        <v>584</v>
      </c>
      <c r="C198" s="69" t="s">
        <v>585</v>
      </c>
      <c r="D198" s="69" t="s">
        <v>157</v>
      </c>
      <c r="E198" s="104">
        <v>8415000</v>
      </c>
      <c r="F198" s="109">
        <v>2103750</v>
      </c>
      <c r="G198" s="102" t="s">
        <v>271</v>
      </c>
      <c r="J198" s="109">
        <v>2103750</v>
      </c>
      <c r="K198" s="96" t="s">
        <v>67</v>
      </c>
      <c r="N198" s="109">
        <v>2103750</v>
      </c>
      <c r="O198" s="96" t="s">
        <v>569</v>
      </c>
      <c r="P198" s="110">
        <f t="shared" si="4"/>
        <v>2103750</v>
      </c>
      <c r="Q198" s="69" t="s">
        <v>26</v>
      </c>
      <c r="R198" s="109">
        <v>2103750</v>
      </c>
      <c r="S198" s="99" t="s">
        <v>579</v>
      </c>
      <c r="T198" s="110">
        <f>E198-F198-J198-N198-R198</f>
        <v>0</v>
      </c>
      <c r="V198" t="s">
        <v>27</v>
      </c>
    </row>
    <row r="199" spans="1:22" ht="15" customHeight="1" x14ac:dyDescent="0.25">
      <c r="A199" s="69">
        <v>161</v>
      </c>
      <c r="B199" s="35" t="s">
        <v>586</v>
      </c>
      <c r="C199" s="69" t="s">
        <v>587</v>
      </c>
      <c r="D199" s="69" t="s">
        <v>30</v>
      </c>
      <c r="E199" s="104">
        <v>8415000</v>
      </c>
      <c r="F199" s="109">
        <v>2103750</v>
      </c>
      <c r="G199" s="102" t="s">
        <v>271</v>
      </c>
      <c r="J199" s="109">
        <v>2103750</v>
      </c>
      <c r="K199" s="96" t="s">
        <v>67</v>
      </c>
      <c r="N199" s="109">
        <v>2103750</v>
      </c>
      <c r="O199" s="96" t="s">
        <v>569</v>
      </c>
      <c r="P199" s="110">
        <f t="shared" si="4"/>
        <v>2103750</v>
      </c>
      <c r="Q199" s="69" t="s">
        <v>26</v>
      </c>
      <c r="R199" s="109">
        <v>2103750</v>
      </c>
      <c r="S199" s="99" t="s">
        <v>579</v>
      </c>
      <c r="T199" s="110">
        <f>E199-F199-H199-J199-L199-N199-R199</f>
        <v>0</v>
      </c>
      <c r="V199" t="s">
        <v>27</v>
      </c>
    </row>
    <row r="200" spans="1:22" ht="15" customHeight="1" x14ac:dyDescent="0.25">
      <c r="A200" s="69">
        <v>163</v>
      </c>
      <c r="B200" s="35" t="s">
        <v>588</v>
      </c>
      <c r="C200" s="69" t="s">
        <v>589</v>
      </c>
      <c r="D200" s="69" t="s">
        <v>590</v>
      </c>
      <c r="E200" s="104">
        <v>8415000</v>
      </c>
      <c r="F200" s="109">
        <v>2103750</v>
      </c>
      <c r="G200" s="102" t="s">
        <v>271</v>
      </c>
      <c r="J200" s="109">
        <v>2103750</v>
      </c>
      <c r="K200" s="96" t="s">
        <v>67</v>
      </c>
      <c r="N200" s="109">
        <v>2103750</v>
      </c>
      <c r="O200" s="96" t="s">
        <v>569</v>
      </c>
      <c r="P200" s="110">
        <f t="shared" si="4"/>
        <v>2103750</v>
      </c>
      <c r="Q200" s="69" t="s">
        <v>26</v>
      </c>
      <c r="R200" s="109"/>
      <c r="V200" t="s">
        <v>27</v>
      </c>
    </row>
    <row r="201" spans="1:22" ht="15" customHeight="1" x14ac:dyDescent="0.25">
      <c r="A201" s="69">
        <v>164</v>
      </c>
      <c r="B201" s="35" t="s">
        <v>591</v>
      </c>
      <c r="C201" s="69" t="s">
        <v>592</v>
      </c>
      <c r="D201" s="69" t="s">
        <v>427</v>
      </c>
      <c r="E201" s="104">
        <v>8415000</v>
      </c>
      <c r="F201" s="109">
        <v>2103750</v>
      </c>
      <c r="G201" s="102" t="s">
        <v>271</v>
      </c>
      <c r="J201" s="109">
        <v>2103750</v>
      </c>
      <c r="K201" s="96" t="s">
        <v>67</v>
      </c>
      <c r="N201" s="109">
        <v>2103750</v>
      </c>
      <c r="O201" s="96" t="s">
        <v>569</v>
      </c>
      <c r="P201" s="110">
        <f t="shared" si="4"/>
        <v>2103750</v>
      </c>
      <c r="Q201" s="69" t="s">
        <v>26</v>
      </c>
      <c r="R201" s="109">
        <v>2103750</v>
      </c>
      <c r="S201" s="99" t="s">
        <v>579</v>
      </c>
      <c r="T201" s="110">
        <f>E201-F201-J201-N201-R201</f>
        <v>0</v>
      </c>
      <c r="V201" t="s">
        <v>27</v>
      </c>
    </row>
    <row r="202" spans="1:22" ht="15" customHeight="1" x14ac:dyDescent="0.25">
      <c r="A202" s="69">
        <v>174</v>
      </c>
      <c r="B202" s="35" t="s">
        <v>593</v>
      </c>
      <c r="C202" s="69" t="s">
        <v>594</v>
      </c>
      <c r="D202" s="69" t="s">
        <v>595</v>
      </c>
      <c r="E202" s="104">
        <f>7065000+2600000</f>
        <v>9665000</v>
      </c>
      <c r="F202" s="109">
        <v>2232500</v>
      </c>
      <c r="G202" s="102" t="s">
        <v>271</v>
      </c>
      <c r="J202" s="109">
        <v>2232500</v>
      </c>
      <c r="K202" s="102" t="s">
        <v>348</v>
      </c>
      <c r="N202" s="104">
        <v>2600000</v>
      </c>
      <c r="O202" s="96" t="s">
        <v>569</v>
      </c>
      <c r="P202" s="110">
        <f t="shared" si="4"/>
        <v>2600000</v>
      </c>
      <c r="Q202" s="69" t="s">
        <v>26</v>
      </c>
      <c r="R202" s="109">
        <v>2600000</v>
      </c>
      <c r="S202" s="99" t="s">
        <v>579</v>
      </c>
      <c r="T202" s="110">
        <f>E202-F202-J202-N202-R202</f>
        <v>0</v>
      </c>
      <c r="V202" t="s">
        <v>27</v>
      </c>
    </row>
    <row r="203" spans="1:22" ht="15" customHeight="1" x14ac:dyDescent="0.25">
      <c r="A203" s="69">
        <v>229</v>
      </c>
      <c r="B203" s="35" t="s">
        <v>596</v>
      </c>
      <c r="C203" s="69" t="s">
        <v>154</v>
      </c>
      <c r="D203" s="69" t="s">
        <v>22</v>
      </c>
      <c r="E203" s="104">
        <v>8415000</v>
      </c>
      <c r="F203" s="109">
        <v>2103750</v>
      </c>
      <c r="G203" s="102" t="s">
        <v>79</v>
      </c>
      <c r="J203" s="109">
        <v>2103750</v>
      </c>
      <c r="K203" s="96" t="s">
        <v>67</v>
      </c>
      <c r="N203" s="109">
        <v>2103750</v>
      </c>
      <c r="O203" s="96" t="s">
        <v>569</v>
      </c>
      <c r="P203" s="110">
        <f t="shared" si="4"/>
        <v>2103750</v>
      </c>
      <c r="Q203" s="69" t="s">
        <v>26</v>
      </c>
      <c r="R203" s="109"/>
      <c r="V203" t="s">
        <v>27</v>
      </c>
    </row>
    <row r="204" spans="1:22" ht="15" customHeight="1" x14ac:dyDescent="0.25">
      <c r="A204" s="69">
        <v>240</v>
      </c>
      <c r="B204" s="35" t="s">
        <v>597</v>
      </c>
      <c r="C204" s="69" t="s">
        <v>523</v>
      </c>
      <c r="D204" s="69" t="s">
        <v>294</v>
      </c>
      <c r="E204" s="104">
        <v>8415000</v>
      </c>
      <c r="F204" s="109">
        <v>2103750</v>
      </c>
      <c r="G204" s="96" t="s">
        <v>464</v>
      </c>
      <c r="J204" s="109">
        <v>2103750</v>
      </c>
      <c r="K204" s="96" t="s">
        <v>67</v>
      </c>
      <c r="N204" s="109">
        <v>2103750</v>
      </c>
      <c r="O204" s="96" t="s">
        <v>569</v>
      </c>
      <c r="P204" s="110">
        <f t="shared" si="4"/>
        <v>2103750</v>
      </c>
      <c r="Q204" s="69" t="s">
        <v>26</v>
      </c>
      <c r="R204" s="109">
        <v>2103750</v>
      </c>
      <c r="S204" s="99" t="s">
        <v>579</v>
      </c>
      <c r="T204" s="110">
        <f>E204-F204-H204-J204-L204-N204-R204</f>
        <v>0</v>
      </c>
      <c r="V204" t="s">
        <v>27</v>
      </c>
    </row>
    <row r="205" spans="1:22" ht="15" customHeight="1" x14ac:dyDescent="0.25">
      <c r="A205" s="69">
        <v>416</v>
      </c>
      <c r="B205" s="35" t="s">
        <v>598</v>
      </c>
      <c r="C205" s="69" t="s">
        <v>599</v>
      </c>
      <c r="D205" s="69" t="s">
        <v>600</v>
      </c>
      <c r="E205" s="104">
        <v>8415000</v>
      </c>
      <c r="F205" s="109">
        <v>2103750</v>
      </c>
      <c r="G205" s="96" t="s">
        <v>145</v>
      </c>
      <c r="J205" s="109">
        <v>2103750</v>
      </c>
      <c r="K205" s="102" t="s">
        <v>601</v>
      </c>
      <c r="N205" s="109">
        <v>2103750</v>
      </c>
      <c r="O205" s="96" t="s">
        <v>569</v>
      </c>
      <c r="P205" s="110">
        <f t="shared" si="4"/>
        <v>2103750</v>
      </c>
      <c r="Q205" s="69" t="s">
        <v>26</v>
      </c>
      <c r="R205" s="109"/>
      <c r="V205" t="s">
        <v>27</v>
      </c>
    </row>
    <row r="206" spans="1:22" ht="15" customHeight="1" x14ac:dyDescent="0.25">
      <c r="A206" s="69">
        <v>419</v>
      </c>
      <c r="B206" s="35" t="s">
        <v>602</v>
      </c>
      <c r="C206" s="69" t="s">
        <v>603</v>
      </c>
      <c r="D206" s="69" t="s">
        <v>57</v>
      </c>
      <c r="E206" s="104">
        <v>8415000</v>
      </c>
      <c r="F206" s="109">
        <v>2103750</v>
      </c>
      <c r="G206" s="96" t="s">
        <v>145</v>
      </c>
      <c r="J206" s="109">
        <v>2103750</v>
      </c>
      <c r="K206" s="102" t="s">
        <v>601</v>
      </c>
      <c r="N206" s="109">
        <v>2103750</v>
      </c>
      <c r="O206" s="96" t="s">
        <v>569</v>
      </c>
      <c r="P206" s="110">
        <f t="shared" si="4"/>
        <v>2103750</v>
      </c>
      <c r="Q206" s="69" t="s">
        <v>26</v>
      </c>
      <c r="R206" s="109">
        <v>2103750</v>
      </c>
      <c r="S206" s="100" t="s">
        <v>604</v>
      </c>
      <c r="T206" s="110">
        <f>E206-F206-J206-N206-R206</f>
        <v>0</v>
      </c>
      <c r="V206" t="s">
        <v>27</v>
      </c>
    </row>
    <row r="207" spans="1:22" ht="15" customHeight="1" x14ac:dyDescent="0.25">
      <c r="A207" s="69">
        <v>655</v>
      </c>
      <c r="B207" s="35" t="s">
        <v>605</v>
      </c>
      <c r="C207" s="69" t="s">
        <v>606</v>
      </c>
      <c r="D207" s="69" t="s">
        <v>22</v>
      </c>
      <c r="E207" s="104">
        <v>8415000</v>
      </c>
      <c r="F207" s="109"/>
      <c r="I207" s="35"/>
      <c r="J207" s="109">
        <v>2103750</v>
      </c>
      <c r="K207" s="102" t="s">
        <v>267</v>
      </c>
      <c r="N207" s="109">
        <v>2103750</v>
      </c>
      <c r="O207" s="96" t="s">
        <v>569</v>
      </c>
      <c r="P207" s="110">
        <f t="shared" si="4"/>
        <v>4207500</v>
      </c>
      <c r="Q207" s="69" t="s">
        <v>26</v>
      </c>
      <c r="R207" s="109"/>
      <c r="V207" t="s">
        <v>27</v>
      </c>
    </row>
    <row r="208" spans="1:22" ht="15" customHeight="1" x14ac:dyDescent="0.25">
      <c r="A208" s="69">
        <v>657</v>
      </c>
      <c r="B208" s="35" t="s">
        <v>607</v>
      </c>
      <c r="C208" s="69" t="s">
        <v>608</v>
      </c>
      <c r="D208" s="69" t="s">
        <v>111</v>
      </c>
      <c r="E208" s="104">
        <v>8415000</v>
      </c>
      <c r="F208" s="109"/>
      <c r="H208" s="109">
        <v>2103750</v>
      </c>
      <c r="I208" s="102" t="s">
        <v>487</v>
      </c>
      <c r="J208" s="109">
        <v>2103750</v>
      </c>
      <c r="K208" s="96" t="s">
        <v>24</v>
      </c>
      <c r="N208" s="109">
        <v>2103750</v>
      </c>
      <c r="O208" s="96" t="s">
        <v>569</v>
      </c>
      <c r="P208" s="110">
        <f t="shared" si="4"/>
        <v>2103750</v>
      </c>
      <c r="Q208" s="69" t="s">
        <v>26</v>
      </c>
      <c r="R208" s="109">
        <v>2103750</v>
      </c>
      <c r="S208" s="99" t="s">
        <v>579</v>
      </c>
      <c r="T208" s="110">
        <f>E208-F208-H208-J208-L208-N208-R208</f>
        <v>0</v>
      </c>
      <c r="V208" t="s">
        <v>27</v>
      </c>
    </row>
    <row r="209" spans="1:22" ht="15" customHeight="1" x14ac:dyDescent="0.25">
      <c r="A209" s="69">
        <v>2</v>
      </c>
      <c r="B209" s="35" t="s">
        <v>609</v>
      </c>
      <c r="C209" s="69" t="s">
        <v>610</v>
      </c>
      <c r="D209" s="69" t="s">
        <v>611</v>
      </c>
      <c r="E209" s="104">
        <v>8415000</v>
      </c>
      <c r="F209" s="109">
        <v>2103750</v>
      </c>
      <c r="G209" s="102" t="s">
        <v>226</v>
      </c>
      <c r="J209" s="109">
        <v>2103750</v>
      </c>
      <c r="K209" s="96" t="s">
        <v>133</v>
      </c>
      <c r="N209" s="109">
        <v>2103750</v>
      </c>
      <c r="O209" s="102" t="s">
        <v>612</v>
      </c>
      <c r="P209" s="110">
        <f t="shared" si="4"/>
        <v>2103750</v>
      </c>
      <c r="Q209" s="69" t="s">
        <v>26</v>
      </c>
      <c r="R209" s="109"/>
      <c r="V209" t="s">
        <v>27</v>
      </c>
    </row>
    <row r="210" spans="1:22" ht="15" customHeight="1" x14ac:dyDescent="0.25">
      <c r="A210" s="69">
        <v>8</v>
      </c>
      <c r="B210" s="35" t="s">
        <v>613</v>
      </c>
      <c r="C210" s="69" t="s">
        <v>614</v>
      </c>
      <c r="D210" s="69" t="s">
        <v>615</v>
      </c>
      <c r="E210" s="104">
        <v>8415000</v>
      </c>
      <c r="F210" s="109">
        <v>2103750</v>
      </c>
      <c r="G210" s="102" t="s">
        <v>226</v>
      </c>
      <c r="J210" s="109">
        <v>2103750</v>
      </c>
      <c r="K210" s="102" t="s">
        <v>272</v>
      </c>
      <c r="N210" s="109">
        <v>2103750</v>
      </c>
      <c r="O210" s="102" t="s">
        <v>612</v>
      </c>
      <c r="P210" s="110">
        <f t="shared" si="4"/>
        <v>2103750</v>
      </c>
      <c r="Q210" s="69" t="s">
        <v>26</v>
      </c>
      <c r="R210" s="109">
        <v>2103750</v>
      </c>
      <c r="S210" s="100" t="s">
        <v>422</v>
      </c>
      <c r="T210" s="110">
        <f>E210-F210-H210-J210-L210-N210-R210</f>
        <v>0</v>
      </c>
      <c r="V210" t="s">
        <v>27</v>
      </c>
    </row>
    <row r="211" spans="1:22" ht="15" customHeight="1" x14ac:dyDescent="0.25">
      <c r="A211" s="69">
        <v>41</v>
      </c>
      <c r="B211" s="35" t="s">
        <v>616</v>
      </c>
      <c r="C211" s="69" t="s">
        <v>617</v>
      </c>
      <c r="D211" s="69" t="s">
        <v>160</v>
      </c>
      <c r="E211" s="104">
        <v>8415000</v>
      </c>
      <c r="F211" s="109">
        <v>2103750</v>
      </c>
      <c r="G211" s="102" t="s">
        <v>243</v>
      </c>
      <c r="J211" s="109">
        <v>2103750</v>
      </c>
      <c r="K211" s="102" t="s">
        <v>272</v>
      </c>
      <c r="N211" s="109">
        <v>2103750</v>
      </c>
      <c r="O211" s="102" t="s">
        <v>612</v>
      </c>
      <c r="P211" s="110">
        <f t="shared" si="4"/>
        <v>2103750</v>
      </c>
      <c r="Q211" s="69" t="s">
        <v>26</v>
      </c>
      <c r="R211" s="109">
        <v>2103750</v>
      </c>
      <c r="S211" s="99" t="s">
        <v>354</v>
      </c>
      <c r="T211" s="110">
        <f>E211-F211-J211-N211-R211</f>
        <v>0</v>
      </c>
      <c r="V211" t="s">
        <v>27</v>
      </c>
    </row>
    <row r="212" spans="1:22" ht="15" customHeight="1" x14ac:dyDescent="0.25">
      <c r="A212" s="69">
        <v>43</v>
      </c>
      <c r="B212" s="35" t="s">
        <v>618</v>
      </c>
      <c r="C212" s="69" t="s">
        <v>619</v>
      </c>
      <c r="D212" s="69" t="s">
        <v>338</v>
      </c>
      <c r="E212" s="104">
        <v>8415000</v>
      </c>
      <c r="F212" s="109">
        <v>2103750</v>
      </c>
      <c r="G212" s="102" t="s">
        <v>243</v>
      </c>
      <c r="J212" s="109">
        <v>2103750</v>
      </c>
      <c r="K212" s="102" t="s">
        <v>247</v>
      </c>
      <c r="N212" s="109">
        <v>2103750</v>
      </c>
      <c r="O212" s="102" t="s">
        <v>612</v>
      </c>
      <c r="P212" s="110">
        <f t="shared" si="4"/>
        <v>2103750</v>
      </c>
      <c r="Q212" s="69" t="s">
        <v>26</v>
      </c>
      <c r="R212" s="109"/>
      <c r="V212" t="s">
        <v>27</v>
      </c>
    </row>
    <row r="213" spans="1:22" ht="15" customHeight="1" x14ac:dyDescent="0.25">
      <c r="A213" s="69">
        <v>44</v>
      </c>
      <c r="B213" s="35" t="s">
        <v>620</v>
      </c>
      <c r="C213" s="69" t="s">
        <v>621</v>
      </c>
      <c r="D213" s="69" t="s">
        <v>252</v>
      </c>
      <c r="E213" s="104">
        <v>8415000</v>
      </c>
      <c r="F213" s="109">
        <v>2103750</v>
      </c>
      <c r="G213" s="102" t="s">
        <v>243</v>
      </c>
      <c r="J213" s="109">
        <v>2103750</v>
      </c>
      <c r="K213" s="102" t="s">
        <v>247</v>
      </c>
      <c r="N213" s="109">
        <v>2103750</v>
      </c>
      <c r="O213" s="102" t="s">
        <v>612</v>
      </c>
      <c r="P213" s="110">
        <f t="shared" si="4"/>
        <v>2103750</v>
      </c>
      <c r="Q213" s="69" t="s">
        <v>26</v>
      </c>
      <c r="R213" s="109"/>
      <c r="V213" t="s">
        <v>27</v>
      </c>
    </row>
    <row r="214" spans="1:22" ht="15" customHeight="1" x14ac:dyDescent="0.25">
      <c r="A214" s="69">
        <v>45</v>
      </c>
      <c r="B214" s="35" t="s">
        <v>622</v>
      </c>
      <c r="C214" s="69" t="s">
        <v>623</v>
      </c>
      <c r="D214" s="69" t="s">
        <v>239</v>
      </c>
      <c r="E214" s="104">
        <v>8415000</v>
      </c>
      <c r="F214" s="109">
        <v>2103750</v>
      </c>
      <c r="G214" s="102" t="s">
        <v>243</v>
      </c>
      <c r="J214" s="109">
        <v>2103750</v>
      </c>
      <c r="K214" s="102" t="s">
        <v>247</v>
      </c>
      <c r="N214" s="109">
        <v>2103750</v>
      </c>
      <c r="O214" s="102" t="s">
        <v>612</v>
      </c>
      <c r="P214" s="110">
        <f t="shared" si="4"/>
        <v>2103750</v>
      </c>
      <c r="Q214" s="69" t="s">
        <v>26</v>
      </c>
      <c r="R214" s="109"/>
      <c r="V214" t="s">
        <v>27</v>
      </c>
    </row>
    <row r="215" spans="1:22" ht="15" customHeight="1" x14ac:dyDescent="0.25">
      <c r="A215" s="69">
        <v>53</v>
      </c>
      <c r="B215" s="35" t="s">
        <v>624</v>
      </c>
      <c r="C215" s="69" t="s">
        <v>625</v>
      </c>
      <c r="D215" s="69" t="s">
        <v>231</v>
      </c>
      <c r="E215" s="104">
        <v>8415000</v>
      </c>
      <c r="F215" s="109">
        <v>2103750</v>
      </c>
      <c r="G215" s="96" t="s">
        <v>253</v>
      </c>
      <c r="J215" s="109">
        <v>2103750</v>
      </c>
      <c r="K215" s="102" t="s">
        <v>258</v>
      </c>
      <c r="N215" s="109">
        <v>2103750</v>
      </c>
      <c r="O215" s="102" t="s">
        <v>612</v>
      </c>
      <c r="P215" s="110">
        <f t="shared" si="4"/>
        <v>2103750</v>
      </c>
      <c r="Q215" s="69" t="s">
        <v>26</v>
      </c>
      <c r="R215" s="109">
        <v>2103750</v>
      </c>
      <c r="S215" s="99" t="s">
        <v>244</v>
      </c>
      <c r="T215" s="110">
        <f>E215-F215-J215-N215-P215</f>
        <v>0</v>
      </c>
      <c r="V215" t="s">
        <v>27</v>
      </c>
    </row>
    <row r="216" spans="1:22" ht="15" customHeight="1" x14ac:dyDescent="0.25">
      <c r="A216" s="69">
        <v>54</v>
      </c>
      <c r="B216" s="35" t="s">
        <v>626</v>
      </c>
      <c r="C216" s="69" t="s">
        <v>627</v>
      </c>
      <c r="D216" s="69" t="s">
        <v>294</v>
      </c>
      <c r="E216" s="104">
        <v>8415000</v>
      </c>
      <c r="F216" s="109">
        <v>2103750</v>
      </c>
      <c r="G216" s="96" t="s">
        <v>253</v>
      </c>
      <c r="J216" s="109">
        <v>2103750</v>
      </c>
      <c r="K216" s="96" t="s">
        <v>133</v>
      </c>
      <c r="N216" s="109">
        <v>2103750</v>
      </c>
      <c r="O216" s="102" t="s">
        <v>612</v>
      </c>
      <c r="P216" s="110">
        <f t="shared" si="4"/>
        <v>2103750</v>
      </c>
      <c r="Q216" s="69" t="s">
        <v>26</v>
      </c>
      <c r="R216" s="109">
        <v>2103750</v>
      </c>
      <c r="S216" s="99" t="s">
        <v>244</v>
      </c>
      <c r="T216" s="110">
        <f>E216-F216-H216-J216-L216-N216-R216</f>
        <v>0</v>
      </c>
      <c r="V216" t="s">
        <v>27</v>
      </c>
    </row>
    <row r="217" spans="1:22" ht="15" customHeight="1" x14ac:dyDescent="0.25">
      <c r="A217" s="69">
        <v>58</v>
      </c>
      <c r="B217" s="35" t="s">
        <v>628</v>
      </c>
      <c r="C217" s="69" t="s">
        <v>629</v>
      </c>
      <c r="D217" s="69" t="s">
        <v>57</v>
      </c>
      <c r="E217" s="104">
        <v>8415000</v>
      </c>
      <c r="F217" s="109">
        <v>2103750</v>
      </c>
      <c r="G217" s="96" t="s">
        <v>253</v>
      </c>
      <c r="J217" s="109">
        <v>2103750</v>
      </c>
      <c r="K217" s="102" t="s">
        <v>247</v>
      </c>
      <c r="N217" s="109">
        <v>2103750</v>
      </c>
      <c r="O217" s="102" t="s">
        <v>612</v>
      </c>
      <c r="P217" s="110">
        <f t="shared" si="4"/>
        <v>2103750</v>
      </c>
      <c r="Q217" s="69" t="s">
        <v>26</v>
      </c>
      <c r="R217" s="109">
        <v>2103750</v>
      </c>
      <c r="S217" s="99" t="s">
        <v>244</v>
      </c>
      <c r="T217" s="110">
        <f>E217-F217-J217-N217-R217</f>
        <v>0</v>
      </c>
      <c r="V217" t="s">
        <v>27</v>
      </c>
    </row>
    <row r="218" spans="1:22" ht="15" customHeight="1" x14ac:dyDescent="0.25">
      <c r="A218" s="69">
        <v>59</v>
      </c>
      <c r="B218" s="35" t="s">
        <v>630</v>
      </c>
      <c r="C218" s="69" t="s">
        <v>631</v>
      </c>
      <c r="D218" s="69" t="s">
        <v>435</v>
      </c>
      <c r="E218" s="104">
        <v>9365000</v>
      </c>
      <c r="F218" s="109">
        <v>2232500</v>
      </c>
      <c r="G218" s="96" t="s">
        <v>253</v>
      </c>
      <c r="J218" s="109">
        <v>2103750</v>
      </c>
      <c r="K218" s="96" t="s">
        <v>133</v>
      </c>
      <c r="N218" s="109">
        <v>2470000</v>
      </c>
      <c r="O218" s="102" t="s">
        <v>612</v>
      </c>
      <c r="P218" s="110">
        <f t="shared" si="4"/>
        <v>2558750</v>
      </c>
      <c r="Q218" s="69" t="s">
        <v>26</v>
      </c>
      <c r="R218" s="109"/>
      <c r="V218" t="s">
        <v>27</v>
      </c>
    </row>
    <row r="219" spans="1:22" ht="15" customHeight="1" x14ac:dyDescent="0.25">
      <c r="A219" s="69">
        <v>66</v>
      </c>
      <c r="B219" s="35" t="s">
        <v>632</v>
      </c>
      <c r="C219" s="69" t="s">
        <v>633</v>
      </c>
      <c r="D219" s="69" t="s">
        <v>261</v>
      </c>
      <c r="E219" s="104">
        <v>8415000</v>
      </c>
      <c r="F219" s="109">
        <v>2103750</v>
      </c>
      <c r="G219" s="102" t="s">
        <v>257</v>
      </c>
      <c r="J219" s="109">
        <v>2103750</v>
      </c>
      <c r="K219" s="102" t="s">
        <v>258</v>
      </c>
      <c r="N219" s="109">
        <v>2103750</v>
      </c>
      <c r="O219" s="102" t="s">
        <v>612</v>
      </c>
      <c r="P219" s="110">
        <f t="shared" si="4"/>
        <v>2103750</v>
      </c>
      <c r="Q219" s="69" t="s">
        <v>26</v>
      </c>
      <c r="R219" s="109"/>
      <c r="V219" t="s">
        <v>27</v>
      </c>
    </row>
    <row r="220" spans="1:22" ht="15" customHeight="1" x14ac:dyDescent="0.25">
      <c r="A220" s="69">
        <v>165</v>
      </c>
      <c r="B220" s="35" t="s">
        <v>634</v>
      </c>
      <c r="C220" s="69" t="s">
        <v>635</v>
      </c>
      <c r="D220" s="69" t="s">
        <v>636</v>
      </c>
      <c r="E220" s="104">
        <v>8415000</v>
      </c>
      <c r="F220" s="109">
        <v>2103750</v>
      </c>
      <c r="G220" s="102" t="s">
        <v>271</v>
      </c>
      <c r="J220" s="109">
        <v>2103750</v>
      </c>
      <c r="K220" s="102" t="s">
        <v>247</v>
      </c>
      <c r="N220" s="109">
        <v>2103750</v>
      </c>
      <c r="O220" s="102" t="s">
        <v>612</v>
      </c>
      <c r="P220" s="110">
        <f t="shared" si="4"/>
        <v>2103750</v>
      </c>
      <c r="Q220" s="69" t="s">
        <v>26</v>
      </c>
      <c r="R220" s="109"/>
      <c r="V220" t="s">
        <v>27</v>
      </c>
    </row>
    <row r="221" spans="1:22" ht="15" customHeight="1" x14ac:dyDescent="0.25">
      <c r="A221" s="69">
        <v>171</v>
      </c>
      <c r="B221" s="35" t="s">
        <v>637</v>
      </c>
      <c r="C221" s="69" t="s">
        <v>537</v>
      </c>
      <c r="D221" s="69" t="s">
        <v>638</v>
      </c>
      <c r="E221" s="104">
        <v>8415000</v>
      </c>
      <c r="F221" s="109">
        <v>2103750</v>
      </c>
      <c r="G221" s="102" t="s">
        <v>271</v>
      </c>
      <c r="J221" s="109">
        <v>2103750</v>
      </c>
      <c r="K221" s="102" t="s">
        <v>258</v>
      </c>
      <c r="N221" s="109">
        <v>2103750</v>
      </c>
      <c r="O221" s="102" t="s">
        <v>612</v>
      </c>
      <c r="P221" s="110">
        <f t="shared" si="4"/>
        <v>2103750</v>
      </c>
      <c r="Q221" s="69" t="s">
        <v>26</v>
      </c>
      <c r="R221" s="109">
        <v>2103750</v>
      </c>
      <c r="S221" s="100" t="s">
        <v>233</v>
      </c>
      <c r="T221" s="110">
        <f>E221-F221-H221-J221-L221-N221-R221</f>
        <v>0</v>
      </c>
      <c r="V221" t="s">
        <v>27</v>
      </c>
    </row>
    <row r="222" spans="1:22" ht="15" customHeight="1" x14ac:dyDescent="0.25">
      <c r="A222" s="69">
        <v>199</v>
      </c>
      <c r="B222" s="35" t="s">
        <v>639</v>
      </c>
      <c r="C222" s="69" t="s">
        <v>640</v>
      </c>
      <c r="D222" s="69" t="s">
        <v>641</v>
      </c>
      <c r="E222" s="104">
        <v>8415000</v>
      </c>
      <c r="F222" s="109">
        <v>2103750</v>
      </c>
      <c r="G222" s="102" t="s">
        <v>276</v>
      </c>
      <c r="J222" s="109">
        <v>2103750</v>
      </c>
      <c r="K222" s="97" t="s">
        <v>325</v>
      </c>
      <c r="N222" s="109">
        <v>2103750</v>
      </c>
      <c r="O222" s="102" t="s">
        <v>612</v>
      </c>
      <c r="P222" s="110">
        <f t="shared" si="4"/>
        <v>2103750</v>
      </c>
      <c r="Q222" s="69" t="s">
        <v>26</v>
      </c>
      <c r="R222" s="109">
        <v>2103750</v>
      </c>
      <c r="S222" s="99" t="s">
        <v>244</v>
      </c>
      <c r="T222" s="110">
        <f>E222-F222-J222-N222-R222</f>
        <v>0</v>
      </c>
      <c r="V222" t="s">
        <v>27</v>
      </c>
    </row>
    <row r="223" spans="1:22" ht="15" customHeight="1" x14ac:dyDescent="0.25">
      <c r="A223" s="69">
        <v>450</v>
      </c>
      <c r="B223" s="35" t="s">
        <v>642</v>
      </c>
      <c r="C223" s="69" t="s">
        <v>418</v>
      </c>
      <c r="D223" s="69" t="s">
        <v>611</v>
      </c>
      <c r="E223" s="104">
        <v>8415000</v>
      </c>
      <c r="F223" s="109">
        <v>2103750</v>
      </c>
      <c r="G223" s="96" t="s">
        <v>643</v>
      </c>
      <c r="J223" s="109">
        <v>2103750</v>
      </c>
      <c r="K223" s="102" t="s">
        <v>644</v>
      </c>
      <c r="N223" s="109">
        <v>2103750</v>
      </c>
      <c r="O223" s="102" t="s">
        <v>612</v>
      </c>
      <c r="P223" s="110">
        <f t="shared" si="4"/>
        <v>2103750</v>
      </c>
      <c r="Q223" s="69" t="s">
        <v>26</v>
      </c>
      <c r="R223" s="109"/>
      <c r="V223" t="s">
        <v>27</v>
      </c>
    </row>
    <row r="224" spans="1:22" ht="15" customHeight="1" x14ac:dyDescent="0.25">
      <c r="A224" s="69">
        <v>533</v>
      </c>
      <c r="B224" s="35" t="s">
        <v>645</v>
      </c>
      <c r="C224" s="69" t="s">
        <v>646</v>
      </c>
      <c r="D224" s="69" t="s">
        <v>647</v>
      </c>
      <c r="E224" s="104">
        <v>8415000</v>
      </c>
      <c r="F224" s="109">
        <v>2103750</v>
      </c>
      <c r="G224" s="102" t="s">
        <v>332</v>
      </c>
      <c r="J224" s="109">
        <v>2103750</v>
      </c>
      <c r="K224" s="102" t="s">
        <v>648</v>
      </c>
      <c r="N224" s="109">
        <v>2103750</v>
      </c>
      <c r="O224" s="102" t="s">
        <v>612</v>
      </c>
      <c r="P224" s="110">
        <f t="shared" si="4"/>
        <v>2103750</v>
      </c>
      <c r="Q224" s="69" t="s">
        <v>26</v>
      </c>
      <c r="R224" s="109"/>
      <c r="V224" t="s">
        <v>27</v>
      </c>
    </row>
    <row r="225" spans="1:22" ht="15" customHeight="1" x14ac:dyDescent="0.25">
      <c r="A225" s="69">
        <v>626</v>
      </c>
      <c r="B225" s="35" t="s">
        <v>649</v>
      </c>
      <c r="C225" s="69" t="s">
        <v>650</v>
      </c>
      <c r="D225" s="69" t="s">
        <v>651</v>
      </c>
      <c r="E225" s="104">
        <v>8415000</v>
      </c>
      <c r="F225" s="109"/>
      <c r="H225" s="109">
        <v>2103750</v>
      </c>
      <c r="I225" s="102" t="s">
        <v>487</v>
      </c>
      <c r="J225" s="109">
        <v>2103750</v>
      </c>
      <c r="K225" s="102" t="s">
        <v>272</v>
      </c>
      <c r="N225" s="109">
        <v>2103750</v>
      </c>
      <c r="O225" s="102" t="s">
        <v>612</v>
      </c>
      <c r="P225" s="110">
        <f t="shared" si="4"/>
        <v>2103750</v>
      </c>
      <c r="Q225" s="69" t="s">
        <v>26</v>
      </c>
      <c r="R225" s="109">
        <v>2103750</v>
      </c>
      <c r="S225" s="100" t="s">
        <v>422</v>
      </c>
      <c r="T225" s="110">
        <f>E225-H225-J225-N225-R225</f>
        <v>0</v>
      </c>
      <c r="V225" t="s">
        <v>27</v>
      </c>
    </row>
    <row r="226" spans="1:22" ht="15" customHeight="1" x14ac:dyDescent="0.25">
      <c r="A226" s="69">
        <v>51</v>
      </c>
      <c r="B226" s="35" t="s">
        <v>652</v>
      </c>
      <c r="C226" s="69" t="s">
        <v>653</v>
      </c>
      <c r="D226" s="69" t="s">
        <v>74</v>
      </c>
      <c r="E226" s="104">
        <v>8415000</v>
      </c>
      <c r="F226" s="109">
        <v>2103750</v>
      </c>
      <c r="G226" s="96" t="s">
        <v>253</v>
      </c>
      <c r="J226" s="109">
        <v>2103750</v>
      </c>
      <c r="K226" s="102" t="s">
        <v>258</v>
      </c>
      <c r="N226" s="109">
        <v>2103750</v>
      </c>
      <c r="O226" s="96" t="s">
        <v>654</v>
      </c>
      <c r="P226" s="110">
        <f t="shared" si="4"/>
        <v>2103750</v>
      </c>
      <c r="Q226" s="69" t="s">
        <v>26</v>
      </c>
      <c r="R226" s="109">
        <v>2103750</v>
      </c>
      <c r="S226" s="99" t="s">
        <v>354</v>
      </c>
      <c r="T226" s="110">
        <f>E226-F226-H226-J226-L226-N226-R226</f>
        <v>0</v>
      </c>
      <c r="V226" t="s">
        <v>27</v>
      </c>
    </row>
    <row r="227" spans="1:22" ht="15" customHeight="1" x14ac:dyDescent="0.25">
      <c r="A227" s="69">
        <v>99</v>
      </c>
      <c r="B227" s="35" t="s">
        <v>655</v>
      </c>
      <c r="C227" s="69" t="s">
        <v>656</v>
      </c>
      <c r="D227" s="69" t="s">
        <v>408</v>
      </c>
      <c r="E227" s="104">
        <v>8415000</v>
      </c>
      <c r="F227" s="109">
        <v>2103750</v>
      </c>
      <c r="G227" s="102" t="s">
        <v>373</v>
      </c>
      <c r="J227" s="109">
        <v>2103750</v>
      </c>
      <c r="K227" s="96" t="s">
        <v>232</v>
      </c>
      <c r="N227" s="109">
        <v>2103750</v>
      </c>
      <c r="O227" s="96" t="s">
        <v>654</v>
      </c>
      <c r="P227" s="110">
        <f t="shared" si="4"/>
        <v>2103750</v>
      </c>
      <c r="Q227" s="69" t="s">
        <v>26</v>
      </c>
      <c r="R227" s="109">
        <v>2103750</v>
      </c>
      <c r="S227" s="100" t="s">
        <v>228</v>
      </c>
      <c r="T227" s="110">
        <f>E227-F227-H227-J227-L227-N227-R227</f>
        <v>0</v>
      </c>
      <c r="V227" t="s">
        <v>27</v>
      </c>
    </row>
    <row r="228" spans="1:22" ht="15" customHeight="1" x14ac:dyDescent="0.25">
      <c r="A228" s="69">
        <v>127</v>
      </c>
      <c r="B228" s="35" t="s">
        <v>657</v>
      </c>
      <c r="C228" s="69" t="s">
        <v>534</v>
      </c>
      <c r="D228" s="69" t="s">
        <v>658</v>
      </c>
      <c r="E228" s="104">
        <v>8415000</v>
      </c>
      <c r="F228" s="109">
        <v>2103750</v>
      </c>
      <c r="G228" s="102" t="s">
        <v>424</v>
      </c>
      <c r="J228" s="109">
        <v>2103750</v>
      </c>
      <c r="K228" s="102" t="s">
        <v>258</v>
      </c>
      <c r="N228" s="109">
        <v>2103750</v>
      </c>
      <c r="O228" s="96" t="s">
        <v>654</v>
      </c>
      <c r="P228" s="110">
        <f t="shared" si="4"/>
        <v>2103750</v>
      </c>
      <c r="Q228" s="69" t="s">
        <v>26</v>
      </c>
      <c r="R228" s="109">
        <v>2103750</v>
      </c>
      <c r="S228" s="99" t="s">
        <v>354</v>
      </c>
      <c r="T228" s="110">
        <f>E228-F228-H228-J228-L228-N228-R228</f>
        <v>0</v>
      </c>
      <c r="V228" t="s">
        <v>27</v>
      </c>
    </row>
    <row r="229" spans="1:22" ht="15" customHeight="1" x14ac:dyDescent="0.25">
      <c r="A229" s="69">
        <v>169</v>
      </c>
      <c r="B229" s="35" t="s">
        <v>659</v>
      </c>
      <c r="C229" s="69" t="s">
        <v>660</v>
      </c>
      <c r="D229" s="69" t="s">
        <v>204</v>
      </c>
      <c r="E229" s="104">
        <v>8415000</v>
      </c>
      <c r="F229" s="109">
        <v>2103750</v>
      </c>
      <c r="G229" s="102" t="s">
        <v>271</v>
      </c>
      <c r="K229" s="69" t="s">
        <v>177</v>
      </c>
      <c r="N229" s="109">
        <v>2103750</v>
      </c>
      <c r="O229" s="96" t="s">
        <v>654</v>
      </c>
      <c r="P229" s="110">
        <f t="shared" si="4"/>
        <v>4207500</v>
      </c>
      <c r="Q229" s="69" t="s">
        <v>280</v>
      </c>
      <c r="R229" s="109">
        <v>2103750</v>
      </c>
      <c r="S229" s="99" t="s">
        <v>240</v>
      </c>
      <c r="T229" s="110">
        <f>E229-F229-H229-J229-L229-N229-R229</f>
        <v>2103750</v>
      </c>
      <c r="V229" t="s">
        <v>27</v>
      </c>
    </row>
    <row r="230" spans="1:22" ht="15" customHeight="1" x14ac:dyDescent="0.25">
      <c r="A230" s="69">
        <v>179</v>
      </c>
      <c r="B230" s="35" t="s">
        <v>661</v>
      </c>
      <c r="C230" s="69" t="s">
        <v>662</v>
      </c>
      <c r="D230" s="69" t="s">
        <v>384</v>
      </c>
      <c r="E230" s="104">
        <v>8415000</v>
      </c>
      <c r="F230" s="109">
        <v>2103750</v>
      </c>
      <c r="G230" s="96" t="s">
        <v>31</v>
      </c>
      <c r="J230" s="109">
        <v>2103750</v>
      </c>
      <c r="K230" s="96" t="s">
        <v>232</v>
      </c>
      <c r="N230" s="109">
        <v>2103750</v>
      </c>
      <c r="O230" s="96" t="s">
        <v>654</v>
      </c>
      <c r="P230" s="110">
        <f t="shared" si="4"/>
        <v>2103750</v>
      </c>
      <c r="Q230" s="69" t="s">
        <v>26</v>
      </c>
      <c r="R230" s="109">
        <v>2103750</v>
      </c>
      <c r="S230" s="100" t="s">
        <v>228</v>
      </c>
      <c r="T230" s="110">
        <f>E230-F230-J230-N230-R230</f>
        <v>0</v>
      </c>
      <c r="V230" t="s">
        <v>27</v>
      </c>
    </row>
    <row r="231" spans="1:22" ht="15" customHeight="1" x14ac:dyDescent="0.25">
      <c r="A231" s="69">
        <v>181</v>
      </c>
      <c r="B231" s="35" t="s">
        <v>663</v>
      </c>
      <c r="C231" s="69" t="s">
        <v>664</v>
      </c>
      <c r="D231" s="69" t="s">
        <v>376</v>
      </c>
      <c r="E231" s="104">
        <v>8415000</v>
      </c>
      <c r="F231" s="109">
        <v>2103750</v>
      </c>
      <c r="G231" s="96" t="s">
        <v>31</v>
      </c>
      <c r="J231" s="109">
        <v>2103750</v>
      </c>
      <c r="K231" s="96" t="s">
        <v>232</v>
      </c>
      <c r="N231" s="109">
        <v>2103750</v>
      </c>
      <c r="O231" s="96" t="s">
        <v>654</v>
      </c>
      <c r="P231" s="110">
        <f t="shared" si="4"/>
        <v>2103750</v>
      </c>
      <c r="Q231" s="69" t="s">
        <v>26</v>
      </c>
      <c r="R231" s="109"/>
      <c r="V231" t="s">
        <v>27</v>
      </c>
    </row>
    <row r="232" spans="1:22" ht="15" customHeight="1" x14ac:dyDescent="0.25">
      <c r="A232" s="69">
        <v>188</v>
      </c>
      <c r="B232" s="35" t="s">
        <v>665</v>
      </c>
      <c r="C232" s="69" t="s">
        <v>666</v>
      </c>
      <c r="D232" s="69" t="s">
        <v>124</v>
      </c>
      <c r="E232" s="104">
        <v>4465000</v>
      </c>
      <c r="F232" s="109">
        <v>2232500</v>
      </c>
      <c r="G232" s="96" t="s">
        <v>31</v>
      </c>
      <c r="K232" s="69" t="s">
        <v>667</v>
      </c>
      <c r="N232" s="109">
        <v>2232500</v>
      </c>
      <c r="O232" s="96" t="s">
        <v>654</v>
      </c>
      <c r="P232" s="110">
        <f t="shared" si="4"/>
        <v>0</v>
      </c>
      <c r="Q232" s="69" t="s">
        <v>26</v>
      </c>
      <c r="R232" s="109"/>
      <c r="V232" t="s">
        <v>27</v>
      </c>
    </row>
    <row r="233" spans="1:22" ht="15" customHeight="1" x14ac:dyDescent="0.25">
      <c r="A233" s="69">
        <v>198</v>
      </c>
      <c r="B233" s="35" t="s">
        <v>668</v>
      </c>
      <c r="C233" s="69" t="s">
        <v>669</v>
      </c>
      <c r="D233" s="69" t="s">
        <v>341</v>
      </c>
      <c r="E233" s="104">
        <v>8415000</v>
      </c>
      <c r="F233" s="109">
        <v>2103750</v>
      </c>
      <c r="G233" s="102" t="s">
        <v>276</v>
      </c>
      <c r="J233" s="109">
        <v>2103750</v>
      </c>
      <c r="K233" s="96" t="s">
        <v>232</v>
      </c>
      <c r="N233" s="109">
        <v>2103750</v>
      </c>
      <c r="O233" s="96" t="s">
        <v>654</v>
      </c>
      <c r="P233" s="110">
        <f t="shared" si="4"/>
        <v>2103750</v>
      </c>
      <c r="Q233" s="69" t="s">
        <v>26</v>
      </c>
      <c r="R233" s="109"/>
      <c r="V233" t="s">
        <v>27</v>
      </c>
    </row>
    <row r="234" spans="1:22" ht="15" customHeight="1" x14ac:dyDescent="0.25">
      <c r="A234" s="69">
        <v>200</v>
      </c>
      <c r="B234" s="35" t="s">
        <v>670</v>
      </c>
      <c r="C234" s="69" t="s">
        <v>671</v>
      </c>
      <c r="D234" s="69" t="s">
        <v>91</v>
      </c>
      <c r="E234" s="104">
        <v>8415000</v>
      </c>
      <c r="F234" s="109">
        <v>2103750</v>
      </c>
      <c r="G234" s="102" t="s">
        <v>276</v>
      </c>
      <c r="J234" s="109">
        <v>2103750</v>
      </c>
      <c r="K234" s="96" t="s">
        <v>133</v>
      </c>
      <c r="N234" s="109">
        <v>2103750</v>
      </c>
      <c r="O234" s="96" t="s">
        <v>654</v>
      </c>
      <c r="P234" s="110">
        <f t="shared" si="4"/>
        <v>2103750</v>
      </c>
      <c r="Q234" s="69" t="s">
        <v>26</v>
      </c>
      <c r="R234" s="109">
        <v>2103750</v>
      </c>
      <c r="S234" s="99" t="s">
        <v>240</v>
      </c>
      <c r="T234" s="110">
        <f>E234-F234-H234-J234-L234-N234-R234</f>
        <v>0</v>
      </c>
      <c r="V234" t="s">
        <v>27</v>
      </c>
    </row>
    <row r="235" spans="1:22" ht="15" customHeight="1" x14ac:dyDescent="0.25">
      <c r="A235" s="69">
        <v>217</v>
      </c>
      <c r="B235" s="35" t="s">
        <v>672</v>
      </c>
      <c r="C235" s="69" t="s">
        <v>673</v>
      </c>
      <c r="D235" s="69" t="s">
        <v>160</v>
      </c>
      <c r="E235" s="104">
        <v>8415000</v>
      </c>
      <c r="F235" s="109">
        <v>2103750</v>
      </c>
      <c r="G235" s="96" t="s">
        <v>295</v>
      </c>
      <c r="J235" s="109">
        <v>2103750</v>
      </c>
      <c r="K235" s="96" t="s">
        <v>232</v>
      </c>
      <c r="N235" s="109">
        <v>2103750</v>
      </c>
      <c r="O235" s="96" t="s">
        <v>654</v>
      </c>
      <c r="P235" s="110">
        <f t="shared" si="4"/>
        <v>2103750</v>
      </c>
      <c r="Q235" s="69" t="s">
        <v>26</v>
      </c>
      <c r="R235" s="109">
        <v>2103750</v>
      </c>
      <c r="S235" s="100" t="s">
        <v>422</v>
      </c>
      <c r="T235" s="110">
        <f>E235-F235-J235-N235-R235</f>
        <v>0</v>
      </c>
      <c r="V235" t="s">
        <v>27</v>
      </c>
    </row>
    <row r="236" spans="1:22" ht="15" customHeight="1" x14ac:dyDescent="0.25">
      <c r="A236" s="69">
        <v>279</v>
      </c>
      <c r="B236" s="35" t="s">
        <v>674</v>
      </c>
      <c r="C236" s="69" t="s">
        <v>675</v>
      </c>
      <c r="D236" s="69" t="s">
        <v>676</v>
      </c>
      <c r="E236" s="104">
        <v>8415000</v>
      </c>
      <c r="F236" s="109">
        <v>2103750</v>
      </c>
      <c r="G236" s="96" t="s">
        <v>471</v>
      </c>
      <c r="J236" s="109">
        <v>2103750</v>
      </c>
      <c r="K236" s="96" t="s">
        <v>232</v>
      </c>
      <c r="N236" s="109">
        <v>2103750</v>
      </c>
      <c r="O236" s="96" t="s">
        <v>654</v>
      </c>
      <c r="P236" s="110">
        <f t="shared" si="4"/>
        <v>2103750</v>
      </c>
      <c r="Q236" s="69" t="s">
        <v>26</v>
      </c>
      <c r="R236" s="109">
        <v>2103750</v>
      </c>
      <c r="T236" s="110">
        <f>E236-J236-N236-P236-R236</f>
        <v>0</v>
      </c>
      <c r="V236" t="s">
        <v>27</v>
      </c>
    </row>
    <row r="237" spans="1:22" ht="15.75" customHeight="1" x14ac:dyDescent="0.25">
      <c r="A237" s="69">
        <v>336</v>
      </c>
      <c r="B237" s="35" t="s">
        <v>677</v>
      </c>
      <c r="C237" s="69" t="s">
        <v>678</v>
      </c>
      <c r="D237" s="69" t="s">
        <v>207</v>
      </c>
      <c r="E237" s="104">
        <v>8415000</v>
      </c>
      <c r="F237" s="109">
        <v>2103750</v>
      </c>
      <c r="G237" s="102" t="s">
        <v>564</v>
      </c>
      <c r="J237" s="109">
        <v>2103750</v>
      </c>
      <c r="K237" s="102" t="s">
        <v>258</v>
      </c>
      <c r="N237" s="109">
        <v>2103750</v>
      </c>
      <c r="O237" s="96" t="s">
        <v>654</v>
      </c>
      <c r="P237" s="110">
        <f t="shared" si="4"/>
        <v>2103750</v>
      </c>
      <c r="Q237" s="69" t="s">
        <v>26</v>
      </c>
      <c r="R237" s="109">
        <v>2103750</v>
      </c>
      <c r="S237" s="99" t="s">
        <v>244</v>
      </c>
      <c r="T237" s="110">
        <f>E237-F237-H237-J237-L237-N237-R237</f>
        <v>0</v>
      </c>
      <c r="V237" t="s">
        <v>27</v>
      </c>
    </row>
    <row r="238" spans="1:22" ht="15" customHeight="1" x14ac:dyDescent="0.25">
      <c r="A238" s="69">
        <v>337</v>
      </c>
      <c r="B238" s="35" t="s">
        <v>679</v>
      </c>
      <c r="C238" s="35" t="s">
        <v>680</v>
      </c>
      <c r="D238" s="35" t="s">
        <v>681</v>
      </c>
      <c r="E238" s="104">
        <v>8415000</v>
      </c>
      <c r="F238" s="109">
        <v>2103750</v>
      </c>
      <c r="G238" s="102" t="s">
        <v>564</v>
      </c>
      <c r="J238" s="109">
        <v>2103750</v>
      </c>
      <c r="K238" s="102" t="s">
        <v>258</v>
      </c>
      <c r="N238" s="109">
        <v>2103750</v>
      </c>
      <c r="O238" s="96" t="s">
        <v>654</v>
      </c>
      <c r="P238" s="110">
        <f t="shared" si="4"/>
        <v>2103750</v>
      </c>
      <c r="Q238" s="69" t="s">
        <v>26</v>
      </c>
      <c r="R238" s="109">
        <v>2103750</v>
      </c>
      <c r="S238" s="99" t="s">
        <v>354</v>
      </c>
      <c r="T238" s="110">
        <f>E238-F238-H238-J238-L238-N238-R238</f>
        <v>0</v>
      </c>
      <c r="V238" t="s">
        <v>27</v>
      </c>
    </row>
    <row r="239" spans="1:22" ht="15" customHeight="1" x14ac:dyDescent="0.25">
      <c r="A239" s="69">
        <v>621</v>
      </c>
      <c r="B239" s="35" t="s">
        <v>682</v>
      </c>
      <c r="C239" s="35" t="s">
        <v>683</v>
      </c>
      <c r="D239" s="35" t="s">
        <v>638</v>
      </c>
      <c r="E239" s="104">
        <v>8415000</v>
      </c>
      <c r="F239" s="109"/>
      <c r="H239" s="109">
        <v>2103750</v>
      </c>
      <c r="I239" s="102" t="s">
        <v>487</v>
      </c>
      <c r="K239" s="69" t="s">
        <v>177</v>
      </c>
      <c r="N239" s="109">
        <v>2103750</v>
      </c>
      <c r="O239" s="96" t="s">
        <v>654</v>
      </c>
      <c r="P239" s="110">
        <f t="shared" si="4"/>
        <v>4207500</v>
      </c>
      <c r="Q239" s="69" t="s">
        <v>280</v>
      </c>
      <c r="R239" s="109">
        <v>2103750</v>
      </c>
      <c r="S239" s="100" t="s">
        <v>422</v>
      </c>
      <c r="T239" s="110">
        <f>E239-F239-H239-J239-L239-N239-R239</f>
        <v>2103750</v>
      </c>
      <c r="V239" t="s">
        <v>27</v>
      </c>
    </row>
    <row r="240" spans="1:22" ht="15" customHeight="1" x14ac:dyDescent="0.25">
      <c r="A240" s="69">
        <v>680</v>
      </c>
      <c r="B240" s="35" t="s">
        <v>684</v>
      </c>
      <c r="C240" s="35" t="s">
        <v>685</v>
      </c>
      <c r="D240" s="35" t="s">
        <v>157</v>
      </c>
      <c r="E240" s="104">
        <v>7415000</v>
      </c>
      <c r="F240" s="109"/>
      <c r="J240" s="109">
        <v>2600000</v>
      </c>
      <c r="K240" s="102" t="s">
        <v>85</v>
      </c>
      <c r="N240" s="110">
        <v>2470000</v>
      </c>
      <c r="O240" s="96" t="s">
        <v>654</v>
      </c>
      <c r="P240" s="110">
        <f t="shared" si="4"/>
        <v>2345000</v>
      </c>
      <c r="Q240" s="69" t="s">
        <v>26</v>
      </c>
      <c r="R240" s="109"/>
      <c r="V240" t="s">
        <v>27</v>
      </c>
    </row>
    <row r="241" spans="1:22" ht="15" customHeight="1" x14ac:dyDescent="0.25">
      <c r="A241" s="69">
        <v>790</v>
      </c>
      <c r="B241" s="35" t="s">
        <v>686</v>
      </c>
      <c r="C241" s="35" t="s">
        <v>687</v>
      </c>
      <c r="D241" s="35" t="s">
        <v>88</v>
      </c>
      <c r="E241" s="104">
        <v>8415000</v>
      </c>
      <c r="J241" s="109">
        <v>2103750</v>
      </c>
      <c r="K241" s="102" t="s">
        <v>601</v>
      </c>
      <c r="N241" s="109">
        <v>2103750</v>
      </c>
      <c r="O241" s="96" t="s">
        <v>654</v>
      </c>
      <c r="P241" s="110">
        <f t="shared" si="4"/>
        <v>4207500</v>
      </c>
      <c r="R241" s="109"/>
      <c r="V241" t="s">
        <v>27</v>
      </c>
    </row>
    <row r="242" spans="1:22" ht="15" customHeight="1" x14ac:dyDescent="0.25">
      <c r="A242" s="69">
        <v>10</v>
      </c>
      <c r="B242" s="35" t="s">
        <v>688</v>
      </c>
      <c r="C242" s="35" t="s">
        <v>689</v>
      </c>
      <c r="D242" s="35" t="s">
        <v>384</v>
      </c>
      <c r="E242" s="104">
        <v>8415000</v>
      </c>
      <c r="F242" s="109">
        <v>2103750</v>
      </c>
      <c r="G242" s="102" t="s">
        <v>226</v>
      </c>
      <c r="J242" s="109">
        <v>2103750</v>
      </c>
      <c r="K242" s="102" t="s">
        <v>272</v>
      </c>
      <c r="N242" s="109">
        <v>2103750</v>
      </c>
      <c r="O242" s="102" t="s">
        <v>690</v>
      </c>
      <c r="P242" s="110">
        <f t="shared" si="4"/>
        <v>2103750</v>
      </c>
      <c r="Q242" s="69" t="s">
        <v>26</v>
      </c>
      <c r="R242" s="109"/>
      <c r="V242" t="s">
        <v>27</v>
      </c>
    </row>
    <row r="243" spans="1:22" ht="15" customHeight="1" x14ac:dyDescent="0.25">
      <c r="A243" s="69">
        <v>11</v>
      </c>
      <c r="B243" s="35" t="s">
        <v>691</v>
      </c>
      <c r="C243" s="69" t="s">
        <v>692</v>
      </c>
      <c r="D243" s="69" t="s">
        <v>636</v>
      </c>
      <c r="E243" s="104">
        <v>8415000</v>
      </c>
      <c r="F243" s="109">
        <v>2103750</v>
      </c>
      <c r="G243" s="102" t="s">
        <v>226</v>
      </c>
      <c r="J243" s="109">
        <v>2103750</v>
      </c>
      <c r="K243" s="102" t="s">
        <v>272</v>
      </c>
      <c r="N243" s="109">
        <v>2103750</v>
      </c>
      <c r="O243" s="102" t="s">
        <v>690</v>
      </c>
      <c r="P243" s="110">
        <f t="shared" si="4"/>
        <v>2103750</v>
      </c>
      <c r="Q243" s="69" t="s">
        <v>26</v>
      </c>
      <c r="R243" s="109"/>
      <c r="V243" t="s">
        <v>27</v>
      </c>
    </row>
    <row r="244" spans="1:22" ht="15" customHeight="1" x14ac:dyDescent="0.25">
      <c r="A244" s="69">
        <v>30</v>
      </c>
      <c r="B244" s="35" t="s">
        <v>693</v>
      </c>
      <c r="C244" s="69" t="s">
        <v>694</v>
      </c>
      <c r="D244" s="69" t="s">
        <v>490</v>
      </c>
      <c r="E244" s="104">
        <v>8415000</v>
      </c>
      <c r="F244" s="109">
        <v>2103750</v>
      </c>
      <c r="G244" s="96" t="s">
        <v>132</v>
      </c>
      <c r="J244" s="109">
        <v>2103750</v>
      </c>
      <c r="K244" s="96" t="s">
        <v>24</v>
      </c>
      <c r="N244" s="109">
        <v>2103750</v>
      </c>
      <c r="O244" s="102" t="s">
        <v>690</v>
      </c>
      <c r="P244" s="110">
        <f t="shared" si="4"/>
        <v>2103750</v>
      </c>
      <c r="Q244" s="69" t="s">
        <v>26</v>
      </c>
      <c r="R244" s="109">
        <v>2103750</v>
      </c>
      <c r="S244" s="100" t="s">
        <v>422</v>
      </c>
      <c r="T244" s="110">
        <f>E244-F244-J244-N244-R244</f>
        <v>0</v>
      </c>
      <c r="V244" t="s">
        <v>27</v>
      </c>
    </row>
    <row r="245" spans="1:22" ht="15" customHeight="1" x14ac:dyDescent="0.25">
      <c r="A245" s="69">
        <v>46</v>
      </c>
      <c r="B245" s="35" t="s">
        <v>695</v>
      </c>
      <c r="C245" s="69" t="s">
        <v>696</v>
      </c>
      <c r="D245" s="69" t="s">
        <v>91</v>
      </c>
      <c r="E245" s="104">
        <v>8415000</v>
      </c>
      <c r="F245" s="109">
        <v>2103750</v>
      </c>
      <c r="G245" s="102" t="s">
        <v>243</v>
      </c>
      <c r="J245" s="109">
        <v>2103750</v>
      </c>
      <c r="K245" s="96" t="s">
        <v>24</v>
      </c>
      <c r="N245" s="109">
        <v>2103750</v>
      </c>
      <c r="O245" s="102" t="s">
        <v>690</v>
      </c>
      <c r="P245" s="110">
        <f t="shared" si="4"/>
        <v>2103750</v>
      </c>
      <c r="Q245" s="69" t="s">
        <v>26</v>
      </c>
      <c r="R245" s="109">
        <v>2103750</v>
      </c>
      <c r="S245" s="100" t="s">
        <v>422</v>
      </c>
      <c r="T245" s="110">
        <f>E245-F245-H245-J245-L245-N245-R245</f>
        <v>0</v>
      </c>
      <c r="V245" t="s">
        <v>27</v>
      </c>
    </row>
    <row r="246" spans="1:22" ht="15" customHeight="1" x14ac:dyDescent="0.25">
      <c r="A246" s="69">
        <v>96</v>
      </c>
      <c r="B246" s="35" t="s">
        <v>697</v>
      </c>
      <c r="C246" s="69" t="s">
        <v>698</v>
      </c>
      <c r="D246" s="69" t="s">
        <v>66</v>
      </c>
      <c r="E246" s="104">
        <v>8415000</v>
      </c>
      <c r="F246" s="109">
        <v>2103750</v>
      </c>
      <c r="G246" s="102" t="s">
        <v>373</v>
      </c>
      <c r="J246" s="109">
        <v>2103750</v>
      </c>
      <c r="K246" s="102" t="s">
        <v>258</v>
      </c>
      <c r="N246" s="109">
        <v>2103750</v>
      </c>
      <c r="O246" s="102" t="s">
        <v>690</v>
      </c>
      <c r="P246" s="110">
        <f t="shared" ref="P246:P274" si="5">E246-F246-H246-J246-L246-N246</f>
        <v>2103750</v>
      </c>
      <c r="Q246" s="69" t="s">
        <v>26</v>
      </c>
      <c r="R246" s="109"/>
      <c r="V246" t="s">
        <v>27</v>
      </c>
    </row>
    <row r="247" spans="1:22" ht="15" customHeight="1" x14ac:dyDescent="0.25">
      <c r="A247" s="69">
        <v>135</v>
      </c>
      <c r="B247" s="35" t="s">
        <v>699</v>
      </c>
      <c r="C247" s="69" t="s">
        <v>700</v>
      </c>
      <c r="D247" s="69" t="s">
        <v>160</v>
      </c>
      <c r="E247" s="104">
        <v>8415000</v>
      </c>
      <c r="F247" s="109">
        <v>2103750</v>
      </c>
      <c r="G247" s="102" t="s">
        <v>424</v>
      </c>
      <c r="J247" s="109">
        <v>2103750</v>
      </c>
      <c r="K247" s="102" t="s">
        <v>247</v>
      </c>
      <c r="N247" s="109">
        <v>2103750</v>
      </c>
      <c r="O247" s="102" t="s">
        <v>690</v>
      </c>
      <c r="P247" s="110">
        <f t="shared" si="5"/>
        <v>2103750</v>
      </c>
      <c r="Q247" s="69" t="s">
        <v>26</v>
      </c>
      <c r="R247" s="109">
        <v>2103750</v>
      </c>
      <c r="S247" s="100" t="s">
        <v>422</v>
      </c>
      <c r="T247" s="110">
        <f>E247-F247-J247-N247-R247</f>
        <v>0</v>
      </c>
      <c r="V247" t="s">
        <v>27</v>
      </c>
    </row>
    <row r="248" spans="1:22" ht="15" customHeight="1" x14ac:dyDescent="0.25">
      <c r="A248" s="69" t="s">
        <v>701</v>
      </c>
      <c r="B248" s="35" t="s">
        <v>702</v>
      </c>
      <c r="C248" s="69" t="s">
        <v>703</v>
      </c>
      <c r="D248" s="69" t="s">
        <v>231</v>
      </c>
      <c r="E248" s="104">
        <v>8415000</v>
      </c>
      <c r="F248" s="109">
        <v>2103750</v>
      </c>
      <c r="G248" s="96" t="s">
        <v>23</v>
      </c>
      <c r="J248" s="109">
        <v>2103750</v>
      </c>
      <c r="K248" s="96" t="s">
        <v>67</v>
      </c>
      <c r="N248" s="109">
        <v>2103750</v>
      </c>
      <c r="O248" s="102" t="s">
        <v>690</v>
      </c>
      <c r="P248" s="110">
        <f t="shared" si="5"/>
        <v>2103750</v>
      </c>
      <c r="Q248" s="69" t="s">
        <v>26</v>
      </c>
      <c r="R248" s="109">
        <v>2103750</v>
      </c>
      <c r="S248" s="99" t="s">
        <v>36</v>
      </c>
      <c r="T248" s="110">
        <f>E248-F248-J248-N248-P248</f>
        <v>0</v>
      </c>
      <c r="V248" t="s">
        <v>27</v>
      </c>
    </row>
    <row r="249" spans="1:22" ht="15" customHeight="1" x14ac:dyDescent="0.25">
      <c r="A249" s="69">
        <v>196</v>
      </c>
      <c r="B249" s="35" t="s">
        <v>704</v>
      </c>
      <c r="C249" s="69" t="s">
        <v>705</v>
      </c>
      <c r="D249" s="69" t="s">
        <v>311</v>
      </c>
      <c r="E249" s="104">
        <v>8415000</v>
      </c>
      <c r="F249" s="109">
        <v>2103750</v>
      </c>
      <c r="G249" s="102" t="s">
        <v>276</v>
      </c>
      <c r="J249" s="109">
        <v>2103750</v>
      </c>
      <c r="K249" s="102" t="s">
        <v>306</v>
      </c>
      <c r="N249" s="109">
        <v>2103750</v>
      </c>
      <c r="O249" s="102" t="s">
        <v>690</v>
      </c>
      <c r="P249" s="110">
        <f t="shared" si="5"/>
        <v>2103750</v>
      </c>
      <c r="Q249" s="69" t="s">
        <v>26</v>
      </c>
      <c r="R249" s="109"/>
      <c r="V249" t="s">
        <v>27</v>
      </c>
    </row>
    <row r="250" spans="1:22" ht="15" customHeight="1" x14ac:dyDescent="0.25">
      <c r="A250" s="69">
        <v>197</v>
      </c>
      <c r="B250" s="35" t="s">
        <v>706</v>
      </c>
      <c r="C250" s="69" t="s">
        <v>707</v>
      </c>
      <c r="D250" s="69" t="s">
        <v>708</v>
      </c>
      <c r="E250" s="104">
        <v>8415000</v>
      </c>
      <c r="F250" s="109">
        <v>2103750</v>
      </c>
      <c r="G250" s="102" t="s">
        <v>276</v>
      </c>
      <c r="J250" s="109">
        <v>2103750</v>
      </c>
      <c r="K250" s="102" t="s">
        <v>648</v>
      </c>
      <c r="N250" s="109">
        <v>2103750</v>
      </c>
      <c r="O250" s="102" t="s">
        <v>690</v>
      </c>
      <c r="P250" s="110">
        <f t="shared" si="5"/>
        <v>2103750</v>
      </c>
      <c r="Q250" s="69" t="s">
        <v>26</v>
      </c>
      <c r="R250" s="109"/>
      <c r="V250" t="s">
        <v>27</v>
      </c>
    </row>
    <row r="251" spans="1:22" ht="15" customHeight="1" x14ac:dyDescent="0.25">
      <c r="A251" s="69">
        <v>201</v>
      </c>
      <c r="B251" s="35" t="s">
        <v>709</v>
      </c>
      <c r="C251" s="69" t="s">
        <v>562</v>
      </c>
      <c r="D251" s="69" t="s">
        <v>275</v>
      </c>
      <c r="E251" s="104">
        <v>8415000</v>
      </c>
      <c r="F251" s="109">
        <v>2103750</v>
      </c>
      <c r="G251" s="102" t="s">
        <v>276</v>
      </c>
      <c r="J251" s="109">
        <v>2103750</v>
      </c>
      <c r="K251" s="102" t="s">
        <v>247</v>
      </c>
      <c r="N251" s="109">
        <v>2103750</v>
      </c>
      <c r="O251" s="102" t="s">
        <v>690</v>
      </c>
      <c r="P251" s="110">
        <f t="shared" si="5"/>
        <v>2103750</v>
      </c>
      <c r="Q251" s="69" t="s">
        <v>26</v>
      </c>
      <c r="R251" s="109">
        <v>2103750</v>
      </c>
      <c r="S251" s="99" t="s">
        <v>240</v>
      </c>
      <c r="T251" s="110">
        <f>E251-F251-H251-J251-L251-N251-R251</f>
        <v>0</v>
      </c>
      <c r="V251" t="s">
        <v>27</v>
      </c>
    </row>
    <row r="252" spans="1:22" ht="15" customHeight="1" x14ac:dyDescent="0.25">
      <c r="A252" s="69">
        <v>210</v>
      </c>
      <c r="B252" s="35" t="s">
        <v>710</v>
      </c>
      <c r="C252" s="69" t="s">
        <v>711</v>
      </c>
      <c r="D252" s="69" t="s">
        <v>712</v>
      </c>
      <c r="E252" s="104">
        <v>8415000</v>
      </c>
      <c r="F252" s="109">
        <v>2103750</v>
      </c>
      <c r="G252" s="96" t="s">
        <v>295</v>
      </c>
      <c r="J252" s="109">
        <v>2103750</v>
      </c>
      <c r="K252" s="102" t="s">
        <v>247</v>
      </c>
      <c r="N252" s="109">
        <v>2103750</v>
      </c>
      <c r="O252" s="102" t="s">
        <v>690</v>
      </c>
      <c r="P252" s="110">
        <f t="shared" si="5"/>
        <v>2103750</v>
      </c>
      <c r="Q252" s="69" t="s">
        <v>26</v>
      </c>
      <c r="R252" s="109">
        <v>2103750</v>
      </c>
      <c r="S252" s="100" t="s">
        <v>228</v>
      </c>
      <c r="T252" s="110">
        <f>E252-F252-H252-J252-L252-N252-R252</f>
        <v>0</v>
      </c>
      <c r="V252" t="s">
        <v>27</v>
      </c>
    </row>
    <row r="253" spans="1:22" ht="15" customHeight="1" x14ac:dyDescent="0.25">
      <c r="A253" s="69">
        <v>212</v>
      </c>
      <c r="B253" s="35" t="s">
        <v>713</v>
      </c>
      <c r="C253" s="69" t="s">
        <v>383</v>
      </c>
      <c r="D253" s="69" t="s">
        <v>484</v>
      </c>
      <c r="E253" s="104">
        <v>8415000</v>
      </c>
      <c r="F253" s="109">
        <v>2103750</v>
      </c>
      <c r="G253" s="96" t="s">
        <v>295</v>
      </c>
      <c r="J253" s="109">
        <v>2103750</v>
      </c>
      <c r="K253" s="97" t="s">
        <v>325</v>
      </c>
      <c r="N253" s="109">
        <v>2103750</v>
      </c>
      <c r="O253" s="102" t="s">
        <v>690</v>
      </c>
      <c r="P253" s="110">
        <f t="shared" si="5"/>
        <v>2103750</v>
      </c>
      <c r="Q253" s="69" t="s">
        <v>26</v>
      </c>
      <c r="R253" s="109"/>
      <c r="V253" t="s">
        <v>27</v>
      </c>
    </row>
    <row r="254" spans="1:22" ht="15" customHeight="1" x14ac:dyDescent="0.25">
      <c r="A254" s="69">
        <v>334</v>
      </c>
      <c r="B254" s="35" t="s">
        <v>714</v>
      </c>
      <c r="C254" s="69" t="s">
        <v>418</v>
      </c>
      <c r="D254" s="69" t="s">
        <v>715</v>
      </c>
      <c r="E254" s="104">
        <v>8415000</v>
      </c>
      <c r="F254" s="109">
        <v>2103750</v>
      </c>
      <c r="G254" s="102" t="s">
        <v>564</v>
      </c>
      <c r="J254" s="109">
        <v>2103750</v>
      </c>
      <c r="K254" s="102" t="s">
        <v>258</v>
      </c>
      <c r="N254" s="109">
        <v>2103750</v>
      </c>
      <c r="O254" s="102" t="s">
        <v>690</v>
      </c>
      <c r="P254" s="110">
        <f t="shared" si="5"/>
        <v>2103750</v>
      </c>
      <c r="Q254" s="69" t="s">
        <v>26</v>
      </c>
      <c r="R254" s="109"/>
      <c r="V254" t="s">
        <v>27</v>
      </c>
    </row>
    <row r="255" spans="1:22" ht="15" customHeight="1" x14ac:dyDescent="0.25">
      <c r="A255" s="69">
        <v>339</v>
      </c>
      <c r="B255" s="35" t="s">
        <v>716</v>
      </c>
      <c r="C255" s="69" t="s">
        <v>717</v>
      </c>
      <c r="D255" s="69" t="s">
        <v>78</v>
      </c>
      <c r="E255" s="104">
        <v>8415000</v>
      </c>
      <c r="F255" s="109">
        <v>2103750</v>
      </c>
      <c r="G255" s="102" t="s">
        <v>564</v>
      </c>
      <c r="J255" s="109">
        <v>2103750</v>
      </c>
      <c r="K255" s="102" t="s">
        <v>258</v>
      </c>
      <c r="N255" s="109">
        <v>2103750</v>
      </c>
      <c r="O255" s="102" t="s">
        <v>690</v>
      </c>
      <c r="P255" s="110">
        <f t="shared" si="5"/>
        <v>2103750</v>
      </c>
      <c r="Q255" s="69" t="s">
        <v>26</v>
      </c>
      <c r="R255" s="109"/>
      <c r="V255" t="s">
        <v>27</v>
      </c>
    </row>
    <row r="256" spans="1:22" ht="15" customHeight="1" x14ac:dyDescent="0.25">
      <c r="A256" s="69">
        <v>362</v>
      </c>
      <c r="B256" s="35" t="s">
        <v>718</v>
      </c>
      <c r="C256" s="69" t="s">
        <v>719</v>
      </c>
      <c r="D256" s="69" t="s">
        <v>720</v>
      </c>
      <c r="E256" s="104">
        <v>9405000</v>
      </c>
      <c r="F256" s="109">
        <v>2232500</v>
      </c>
      <c r="G256" s="96" t="s">
        <v>721</v>
      </c>
      <c r="J256" s="109">
        <v>2232500</v>
      </c>
      <c r="K256" s="96" t="s">
        <v>232</v>
      </c>
      <c r="N256" s="104">
        <v>2470000</v>
      </c>
      <c r="O256" s="102" t="s">
        <v>690</v>
      </c>
      <c r="P256" s="110">
        <f t="shared" si="5"/>
        <v>2470000</v>
      </c>
      <c r="Q256" s="69" t="s">
        <v>26</v>
      </c>
      <c r="R256" s="109">
        <v>2470000</v>
      </c>
      <c r="S256" s="100" t="s">
        <v>228</v>
      </c>
      <c r="T256" s="110">
        <f>E256-F256-J256-N256-R256</f>
        <v>0</v>
      </c>
      <c r="V256" t="s">
        <v>27</v>
      </c>
    </row>
    <row r="257" spans="1:22" ht="15" customHeight="1" x14ac:dyDescent="0.25">
      <c r="A257" s="69">
        <v>372</v>
      </c>
      <c r="B257" s="35" t="s">
        <v>722</v>
      </c>
      <c r="C257" s="69" t="s">
        <v>723</v>
      </c>
      <c r="D257" s="69" t="s">
        <v>294</v>
      </c>
      <c r="E257" s="104">
        <v>8415000</v>
      </c>
      <c r="F257" s="109">
        <v>2103750</v>
      </c>
      <c r="G257" s="102" t="s">
        <v>328</v>
      </c>
      <c r="J257" s="109">
        <v>2103750</v>
      </c>
      <c r="K257" s="96" t="s">
        <v>117</v>
      </c>
      <c r="N257" s="109">
        <v>2103750</v>
      </c>
      <c r="O257" s="102" t="s">
        <v>690</v>
      </c>
      <c r="P257" s="110">
        <f t="shared" si="5"/>
        <v>2103750</v>
      </c>
      <c r="Q257" s="69" t="s">
        <v>26</v>
      </c>
      <c r="R257" s="109">
        <v>2103750</v>
      </c>
      <c r="S257" s="99" t="s">
        <v>240</v>
      </c>
      <c r="T257" s="110">
        <f>E257-F257-H257-J257-L257-N257-R257</f>
        <v>0</v>
      </c>
      <c r="V257" t="s">
        <v>27</v>
      </c>
    </row>
    <row r="258" spans="1:22" ht="15" customHeight="1" x14ac:dyDescent="0.25">
      <c r="A258" s="69">
        <v>688</v>
      </c>
      <c r="B258" s="35" t="s">
        <v>724</v>
      </c>
      <c r="C258" s="69" t="s">
        <v>725</v>
      </c>
      <c r="D258" s="69" t="s">
        <v>185</v>
      </c>
      <c r="E258" s="104">
        <v>4940000</v>
      </c>
      <c r="K258" s="69" t="s">
        <v>177</v>
      </c>
      <c r="N258" s="110">
        <v>2470000</v>
      </c>
      <c r="O258" s="102" t="s">
        <v>690</v>
      </c>
      <c r="P258" s="110">
        <f t="shared" si="5"/>
        <v>2470000</v>
      </c>
      <c r="Q258" s="69" t="s">
        <v>26</v>
      </c>
      <c r="R258" s="109">
        <v>2470000</v>
      </c>
      <c r="S258" s="100" t="s">
        <v>228</v>
      </c>
      <c r="T258" s="110">
        <f>E258-N258-R258</f>
        <v>0</v>
      </c>
      <c r="V258" t="s">
        <v>27</v>
      </c>
    </row>
    <row r="259" spans="1:22" ht="15" customHeight="1" x14ac:dyDescent="0.25">
      <c r="A259" s="69">
        <v>696</v>
      </c>
      <c r="B259" s="35" t="s">
        <v>726</v>
      </c>
      <c r="C259" s="69" t="s">
        <v>727</v>
      </c>
      <c r="D259" s="69" t="s">
        <v>450</v>
      </c>
      <c r="E259" s="104">
        <v>7065000</v>
      </c>
      <c r="H259" s="109">
        <v>2232500</v>
      </c>
      <c r="I259" s="102" t="s">
        <v>487</v>
      </c>
      <c r="J259" s="110">
        <v>2232500</v>
      </c>
      <c r="K259" s="102" t="s">
        <v>348</v>
      </c>
      <c r="N259" s="104">
        <v>2600000</v>
      </c>
      <c r="O259" s="96" t="s">
        <v>728</v>
      </c>
      <c r="P259" s="110">
        <f t="shared" si="5"/>
        <v>0</v>
      </c>
      <c r="Q259" s="69" t="s">
        <v>26</v>
      </c>
      <c r="R259" s="109"/>
      <c r="V259" t="s">
        <v>27</v>
      </c>
    </row>
    <row r="260" spans="1:22" ht="15" customHeight="1" x14ac:dyDescent="0.25">
      <c r="A260" s="69">
        <v>18</v>
      </c>
      <c r="B260" s="35" t="s">
        <v>729</v>
      </c>
      <c r="C260" s="35" t="s">
        <v>730</v>
      </c>
      <c r="D260" s="35" t="s">
        <v>484</v>
      </c>
      <c r="E260" s="104">
        <v>8415000</v>
      </c>
      <c r="F260" s="109">
        <v>2103750</v>
      </c>
      <c r="G260" s="96" t="s">
        <v>132</v>
      </c>
      <c r="J260" s="109">
        <v>2103750</v>
      </c>
      <c r="K260" s="96" t="s">
        <v>24</v>
      </c>
      <c r="N260" s="109">
        <v>2103750</v>
      </c>
      <c r="O260" s="96" t="s">
        <v>728</v>
      </c>
      <c r="P260" s="110">
        <f t="shared" si="5"/>
        <v>2103750</v>
      </c>
      <c r="Q260" s="69" t="s">
        <v>26</v>
      </c>
      <c r="R260" s="109">
        <v>2103750</v>
      </c>
      <c r="S260" s="100" t="s">
        <v>416</v>
      </c>
      <c r="T260" s="110">
        <f>E260-F260-H260-J260-L260-N260-R260</f>
        <v>0</v>
      </c>
      <c r="V260" t="s">
        <v>27</v>
      </c>
    </row>
    <row r="261" spans="1:22" ht="15" customHeight="1" x14ac:dyDescent="0.25">
      <c r="A261" s="69">
        <v>36</v>
      </c>
      <c r="B261" s="35" t="s">
        <v>731</v>
      </c>
      <c r="C261" s="69" t="s">
        <v>318</v>
      </c>
      <c r="D261" s="69" t="s">
        <v>676</v>
      </c>
      <c r="E261" s="104">
        <v>8415000</v>
      </c>
      <c r="F261" s="109">
        <v>2103750</v>
      </c>
      <c r="G261" s="102" t="s">
        <v>243</v>
      </c>
      <c r="J261" s="109">
        <v>2103750</v>
      </c>
      <c r="K261" s="102" t="s">
        <v>247</v>
      </c>
      <c r="N261" s="109">
        <v>2103750</v>
      </c>
      <c r="O261" s="96" t="s">
        <v>728</v>
      </c>
      <c r="P261" s="110">
        <f t="shared" si="5"/>
        <v>2103750</v>
      </c>
      <c r="Q261" s="69" t="s">
        <v>26</v>
      </c>
      <c r="R261" s="109">
        <v>2103750</v>
      </c>
      <c r="T261" s="110">
        <f>E261-J261-N261-P261-R261</f>
        <v>0</v>
      </c>
      <c r="V261" t="s">
        <v>27</v>
      </c>
    </row>
    <row r="262" spans="1:22" ht="15" customHeight="1" x14ac:dyDescent="0.25">
      <c r="A262" s="69">
        <v>88</v>
      </c>
      <c r="B262" s="35" t="s">
        <v>732</v>
      </c>
      <c r="C262" s="69" t="s">
        <v>733</v>
      </c>
      <c r="D262" s="69" t="s">
        <v>144</v>
      </c>
      <c r="E262" s="104">
        <v>8415000</v>
      </c>
      <c r="F262" s="109">
        <v>2103750</v>
      </c>
      <c r="G262" s="96" t="s">
        <v>262</v>
      </c>
      <c r="K262" s="69" t="s">
        <v>177</v>
      </c>
      <c r="N262" s="109">
        <v>2103750</v>
      </c>
      <c r="O262" s="96" t="s">
        <v>728</v>
      </c>
      <c r="P262" s="110">
        <f t="shared" si="5"/>
        <v>4207500</v>
      </c>
      <c r="Q262" s="69" t="s">
        <v>280</v>
      </c>
      <c r="R262" s="109"/>
      <c r="V262" t="s">
        <v>27</v>
      </c>
    </row>
    <row r="263" spans="1:22" ht="15" customHeight="1" x14ac:dyDescent="0.25">
      <c r="A263" s="69">
        <v>133</v>
      </c>
      <c r="B263" s="35" t="s">
        <v>734</v>
      </c>
      <c r="C263" s="69" t="s">
        <v>735</v>
      </c>
      <c r="D263" s="69" t="s">
        <v>376</v>
      </c>
      <c r="E263" s="104">
        <v>8415000</v>
      </c>
      <c r="F263" s="109">
        <v>2103750</v>
      </c>
      <c r="G263" s="102" t="s">
        <v>424</v>
      </c>
      <c r="J263" s="109">
        <v>2103750</v>
      </c>
      <c r="K263" s="96" t="s">
        <v>296</v>
      </c>
      <c r="N263" s="109">
        <v>2103750</v>
      </c>
      <c r="O263" s="96" t="s">
        <v>728</v>
      </c>
      <c r="P263" s="110">
        <f t="shared" si="5"/>
        <v>2103750</v>
      </c>
      <c r="Q263" s="69" t="s">
        <v>26</v>
      </c>
      <c r="R263" s="109"/>
      <c r="V263" t="s">
        <v>27</v>
      </c>
    </row>
    <row r="264" spans="1:22" ht="15" customHeight="1" x14ac:dyDescent="0.25">
      <c r="A264" s="69">
        <v>140</v>
      </c>
      <c r="B264" s="35" t="s">
        <v>736</v>
      </c>
      <c r="C264" s="69" t="s">
        <v>737</v>
      </c>
      <c r="D264" s="69" t="s">
        <v>151</v>
      </c>
      <c r="E264" s="104">
        <v>8415000</v>
      </c>
      <c r="F264" s="109">
        <v>2103750</v>
      </c>
      <c r="G264" s="102" t="s">
        <v>424</v>
      </c>
      <c r="J264" s="109">
        <v>2103750</v>
      </c>
      <c r="K264" s="102" t="s">
        <v>272</v>
      </c>
      <c r="N264" s="109">
        <v>2103750</v>
      </c>
      <c r="O264" s="96" t="s">
        <v>728</v>
      </c>
      <c r="P264" s="110">
        <f t="shared" si="5"/>
        <v>2103750</v>
      </c>
      <c r="Q264" s="69" t="s">
        <v>26</v>
      </c>
      <c r="R264" s="109">
        <v>2103750</v>
      </c>
      <c r="S264" s="100" t="s">
        <v>422</v>
      </c>
      <c r="T264" s="110">
        <f>E264-F264-H264-J264-L264-N264-R264</f>
        <v>0</v>
      </c>
      <c r="V264" t="s">
        <v>27</v>
      </c>
    </row>
    <row r="265" spans="1:22" ht="15" customHeight="1" x14ac:dyDescent="0.25">
      <c r="A265" s="69">
        <v>172</v>
      </c>
      <c r="B265" s="35" t="s">
        <v>738</v>
      </c>
      <c r="C265" s="69" t="s">
        <v>130</v>
      </c>
      <c r="D265" s="69" t="s">
        <v>116</v>
      </c>
      <c r="E265" s="104">
        <v>8415000</v>
      </c>
      <c r="F265" s="109">
        <v>2103750</v>
      </c>
      <c r="G265" s="102" t="s">
        <v>271</v>
      </c>
      <c r="K265" s="69" t="s">
        <v>177</v>
      </c>
      <c r="N265" s="109">
        <v>2103750</v>
      </c>
      <c r="O265" s="96" t="s">
        <v>728</v>
      </c>
      <c r="P265" s="110">
        <f t="shared" si="5"/>
        <v>4207500</v>
      </c>
      <c r="Q265" s="69" t="s">
        <v>280</v>
      </c>
      <c r="R265" s="109">
        <v>2103750</v>
      </c>
      <c r="S265" s="100" t="s">
        <v>422</v>
      </c>
      <c r="T265" s="110">
        <f>E265-F265-N265-R265</f>
        <v>2103750</v>
      </c>
      <c r="V265" t="s">
        <v>27</v>
      </c>
    </row>
    <row r="266" spans="1:22" ht="15" customHeight="1" x14ac:dyDescent="0.25">
      <c r="A266" s="69">
        <v>202</v>
      </c>
      <c r="B266" s="35" t="s">
        <v>739</v>
      </c>
      <c r="C266" s="69" t="s">
        <v>740</v>
      </c>
      <c r="D266" s="69" t="s">
        <v>741</v>
      </c>
      <c r="E266" s="104">
        <v>8415000</v>
      </c>
      <c r="F266" s="109">
        <v>2103750</v>
      </c>
      <c r="G266" s="102" t="s">
        <v>276</v>
      </c>
      <c r="J266" s="109">
        <v>2103750</v>
      </c>
      <c r="K266" s="97" t="s">
        <v>325</v>
      </c>
      <c r="N266" s="109">
        <v>2103750</v>
      </c>
      <c r="O266" s="96" t="s">
        <v>728</v>
      </c>
      <c r="P266" s="110">
        <f t="shared" si="5"/>
        <v>2103750</v>
      </c>
      <c r="Q266" s="69" t="s">
        <v>26</v>
      </c>
      <c r="R266" s="109"/>
      <c r="V266" t="s">
        <v>27</v>
      </c>
    </row>
    <row r="267" spans="1:22" ht="15" customHeight="1" x14ac:dyDescent="0.25">
      <c r="A267" s="69">
        <v>216</v>
      </c>
      <c r="B267" s="35" t="s">
        <v>742</v>
      </c>
      <c r="C267" s="69" t="s">
        <v>743</v>
      </c>
      <c r="D267" s="69" t="s">
        <v>151</v>
      </c>
      <c r="E267" s="104">
        <v>8415000</v>
      </c>
      <c r="F267" s="109">
        <v>2103750</v>
      </c>
      <c r="G267" s="96" t="s">
        <v>295</v>
      </c>
      <c r="J267" s="109">
        <v>2103750</v>
      </c>
      <c r="K267" s="97" t="s">
        <v>325</v>
      </c>
      <c r="N267" s="109">
        <v>2103750</v>
      </c>
      <c r="O267" s="96" t="s">
        <v>728</v>
      </c>
      <c r="P267" s="110">
        <f t="shared" si="5"/>
        <v>2103750</v>
      </c>
      <c r="Q267" s="69" t="s">
        <v>26</v>
      </c>
      <c r="R267" s="109"/>
      <c r="V267" t="s">
        <v>27</v>
      </c>
    </row>
    <row r="268" spans="1:22" ht="15" customHeight="1" x14ac:dyDescent="0.25">
      <c r="A268" s="69">
        <v>224</v>
      </c>
      <c r="B268" s="35" t="s">
        <v>744</v>
      </c>
      <c r="C268" s="69" t="s">
        <v>745</v>
      </c>
      <c r="D268" s="69" t="s">
        <v>157</v>
      </c>
      <c r="E268" s="104">
        <v>8415000</v>
      </c>
      <c r="F268" s="109">
        <v>2103750</v>
      </c>
      <c r="G268" s="102" t="s">
        <v>79</v>
      </c>
      <c r="J268" s="109">
        <v>2103750</v>
      </c>
      <c r="K268" s="96" t="s">
        <v>296</v>
      </c>
      <c r="N268" s="109">
        <v>2103750</v>
      </c>
      <c r="O268" s="96" t="s">
        <v>728</v>
      </c>
      <c r="P268" s="110">
        <f t="shared" si="5"/>
        <v>2103750</v>
      </c>
      <c r="Q268" s="69" t="s">
        <v>26</v>
      </c>
      <c r="R268" s="109"/>
      <c r="V268" t="s">
        <v>27</v>
      </c>
    </row>
    <row r="269" spans="1:22" ht="15" customHeight="1" x14ac:dyDescent="0.25">
      <c r="A269" s="69">
        <v>402</v>
      </c>
      <c r="B269" s="35" t="s">
        <v>746</v>
      </c>
      <c r="C269" s="69" t="s">
        <v>747</v>
      </c>
      <c r="D269" s="69" t="s">
        <v>392</v>
      </c>
      <c r="E269" s="104">
        <v>8415000</v>
      </c>
      <c r="F269" s="109">
        <v>2103750</v>
      </c>
      <c r="G269" s="102" t="s">
        <v>475</v>
      </c>
      <c r="J269" s="109">
        <v>2103750</v>
      </c>
      <c r="K269" s="96" t="s">
        <v>296</v>
      </c>
      <c r="N269" s="109">
        <v>2103750</v>
      </c>
      <c r="O269" s="96" t="s">
        <v>728</v>
      </c>
      <c r="P269" s="110">
        <f t="shared" si="5"/>
        <v>2103750</v>
      </c>
      <c r="Q269" s="69" t="s">
        <v>26</v>
      </c>
      <c r="R269" s="109">
        <v>2103750</v>
      </c>
      <c r="S269" s="99" t="s">
        <v>748</v>
      </c>
      <c r="T269" s="110">
        <f>E269-F269-H269-J269-L269-N269-R269</f>
        <v>0</v>
      </c>
      <c r="V269" t="s">
        <v>27</v>
      </c>
    </row>
    <row r="270" spans="1:22" ht="15" customHeight="1" x14ac:dyDescent="0.25">
      <c r="A270" s="69">
        <v>418</v>
      </c>
      <c r="B270" s="35" t="s">
        <v>749</v>
      </c>
      <c r="C270" s="35" t="s">
        <v>750</v>
      </c>
      <c r="D270" s="35" t="s">
        <v>157</v>
      </c>
      <c r="E270" s="104">
        <v>8415000</v>
      </c>
      <c r="F270" s="109">
        <v>2103750</v>
      </c>
      <c r="G270" s="96" t="s">
        <v>145</v>
      </c>
      <c r="J270" s="109">
        <v>2103750</v>
      </c>
      <c r="K270" s="102" t="s">
        <v>601</v>
      </c>
      <c r="N270" s="109">
        <v>2103750</v>
      </c>
      <c r="O270" s="96" t="s">
        <v>728</v>
      </c>
      <c r="P270" s="110">
        <f t="shared" si="5"/>
        <v>2103750</v>
      </c>
      <c r="Q270" s="69" t="s">
        <v>26</v>
      </c>
      <c r="R270" s="109">
        <v>2103750</v>
      </c>
      <c r="S270" s="99" t="s">
        <v>748</v>
      </c>
      <c r="T270" s="110">
        <f>E268-F268-J268-N268-R270</f>
        <v>0</v>
      </c>
      <c r="V270" t="s">
        <v>27</v>
      </c>
    </row>
    <row r="271" spans="1:22" ht="15" customHeight="1" x14ac:dyDescent="0.25">
      <c r="A271" s="69">
        <v>530</v>
      </c>
      <c r="B271" s="35" t="s">
        <v>751</v>
      </c>
      <c r="C271" s="35" t="s">
        <v>752</v>
      </c>
      <c r="D271" s="35" t="s">
        <v>30</v>
      </c>
      <c r="E271" s="104">
        <v>8415000</v>
      </c>
      <c r="F271" s="109">
        <v>2103750</v>
      </c>
      <c r="G271" s="102" t="s">
        <v>332</v>
      </c>
      <c r="J271" s="109">
        <v>2103750</v>
      </c>
      <c r="K271" s="102" t="s">
        <v>314</v>
      </c>
      <c r="N271" s="109">
        <v>2103750</v>
      </c>
      <c r="O271" s="96" t="s">
        <v>728</v>
      </c>
      <c r="P271" s="110">
        <f t="shared" si="5"/>
        <v>2103750</v>
      </c>
      <c r="Q271" s="69" t="s">
        <v>26</v>
      </c>
      <c r="R271" s="109"/>
      <c r="V271" t="s">
        <v>27</v>
      </c>
    </row>
    <row r="272" spans="1:22" ht="15" customHeight="1" x14ac:dyDescent="0.25">
      <c r="A272" s="69">
        <v>637</v>
      </c>
      <c r="B272" s="35" t="s">
        <v>753</v>
      </c>
      <c r="C272" s="35" t="s">
        <v>197</v>
      </c>
      <c r="D272" s="35" t="s">
        <v>252</v>
      </c>
      <c r="E272" s="104">
        <v>8415000</v>
      </c>
      <c r="F272" s="109"/>
      <c r="H272" s="109">
        <v>2103750</v>
      </c>
      <c r="I272" s="96" t="s">
        <v>98</v>
      </c>
      <c r="J272" s="109">
        <v>2103750</v>
      </c>
      <c r="K272" s="96" t="s">
        <v>286</v>
      </c>
      <c r="N272" s="109">
        <v>2103750</v>
      </c>
      <c r="O272" s="96" t="s">
        <v>728</v>
      </c>
      <c r="P272" s="110">
        <f t="shared" si="5"/>
        <v>2103750</v>
      </c>
      <c r="Q272" s="69" t="s">
        <v>26</v>
      </c>
      <c r="R272" s="109"/>
      <c r="V272" t="s">
        <v>27</v>
      </c>
    </row>
    <row r="273" spans="1:22" ht="15" customHeight="1" x14ac:dyDescent="0.25">
      <c r="A273" s="69">
        <v>685</v>
      </c>
      <c r="B273" s="35" t="s">
        <v>754</v>
      </c>
      <c r="C273" s="35" t="s">
        <v>502</v>
      </c>
      <c r="D273" s="35" t="s">
        <v>392</v>
      </c>
      <c r="E273" s="104">
        <v>4940000</v>
      </c>
      <c r="K273" s="69" t="s">
        <v>177</v>
      </c>
      <c r="N273" s="110">
        <v>2470000</v>
      </c>
      <c r="O273" s="96" t="s">
        <v>728</v>
      </c>
      <c r="P273" s="110">
        <f t="shared" si="5"/>
        <v>2470000</v>
      </c>
      <c r="Q273" s="69" t="s">
        <v>26</v>
      </c>
      <c r="R273" s="109"/>
      <c r="V273" t="s">
        <v>27</v>
      </c>
    </row>
    <row r="274" spans="1:22" ht="15" customHeight="1" x14ac:dyDescent="0.25">
      <c r="A274" s="69">
        <v>686</v>
      </c>
      <c r="B274" s="35" t="s">
        <v>755</v>
      </c>
      <c r="C274" s="35" t="s">
        <v>756</v>
      </c>
      <c r="D274" s="35" t="s">
        <v>484</v>
      </c>
      <c r="E274" s="104">
        <v>4940000</v>
      </c>
      <c r="K274" s="69" t="s">
        <v>177</v>
      </c>
      <c r="N274" s="110">
        <v>2470000</v>
      </c>
      <c r="O274" s="96" t="s">
        <v>728</v>
      </c>
      <c r="P274" s="110">
        <f t="shared" si="5"/>
        <v>2470000</v>
      </c>
      <c r="Q274" s="69" t="s">
        <v>26</v>
      </c>
      <c r="R274" s="109"/>
      <c r="V274" t="s">
        <v>27</v>
      </c>
    </row>
    <row r="275" spans="1:22" ht="15" customHeight="1" x14ac:dyDescent="0.25">
      <c r="A275" s="69">
        <v>842</v>
      </c>
      <c r="B275" s="35" t="s">
        <v>757</v>
      </c>
      <c r="C275" s="35" t="s">
        <v>758</v>
      </c>
      <c r="D275" s="35" t="s">
        <v>34</v>
      </c>
      <c r="E275" s="104">
        <v>2600000</v>
      </c>
      <c r="N275" s="104">
        <v>2600000</v>
      </c>
      <c r="O275" s="96" t="s">
        <v>728</v>
      </c>
      <c r="R275" s="109"/>
      <c r="V275" t="s">
        <v>27</v>
      </c>
    </row>
    <row r="276" spans="1:22" ht="15" customHeight="1" x14ac:dyDescent="0.25">
      <c r="A276" s="69">
        <v>67</v>
      </c>
      <c r="B276" s="35" t="s">
        <v>759</v>
      </c>
      <c r="C276" s="35" t="s">
        <v>426</v>
      </c>
      <c r="D276" s="35" t="s">
        <v>157</v>
      </c>
      <c r="E276" s="104">
        <v>8415000</v>
      </c>
      <c r="F276" s="109">
        <v>2103750</v>
      </c>
      <c r="G276" s="102" t="s">
        <v>257</v>
      </c>
      <c r="J276" s="109">
        <v>2103750</v>
      </c>
      <c r="K276" s="102" t="s">
        <v>272</v>
      </c>
      <c r="N276" s="109">
        <v>2103750</v>
      </c>
      <c r="O276" s="97" t="s">
        <v>760</v>
      </c>
      <c r="P276" s="110">
        <f t="shared" ref="P276:P307" si="6">E276-F276-H276-J276-L276-N276</f>
        <v>2103750</v>
      </c>
      <c r="Q276" s="69" t="s">
        <v>26</v>
      </c>
      <c r="R276" s="109">
        <v>2103750</v>
      </c>
      <c r="S276" s="100" t="s">
        <v>329</v>
      </c>
      <c r="T276" s="110">
        <f>E276-F276-J276-N276-R276</f>
        <v>0</v>
      </c>
      <c r="V276" t="s">
        <v>27</v>
      </c>
    </row>
    <row r="277" spans="1:22" ht="15" customHeight="1" x14ac:dyDescent="0.25">
      <c r="A277" s="69">
        <v>101</v>
      </c>
      <c r="B277" s="35" t="s">
        <v>761</v>
      </c>
      <c r="C277" s="35" t="s">
        <v>762</v>
      </c>
      <c r="D277" s="35" t="s">
        <v>638</v>
      </c>
      <c r="E277" s="104">
        <v>8415000</v>
      </c>
      <c r="F277" s="109">
        <v>2103750</v>
      </c>
      <c r="G277" s="102" t="s">
        <v>373</v>
      </c>
      <c r="J277" s="109">
        <v>2103750</v>
      </c>
      <c r="K277" s="96" t="s">
        <v>24</v>
      </c>
      <c r="N277" s="109">
        <v>2103750</v>
      </c>
      <c r="O277" s="97" t="s">
        <v>760</v>
      </c>
      <c r="P277" s="110">
        <f t="shared" si="6"/>
        <v>2103750</v>
      </c>
      <c r="Q277" s="69" t="s">
        <v>26</v>
      </c>
      <c r="R277" s="109">
        <v>2103750</v>
      </c>
      <c r="S277" s="100" t="s">
        <v>329</v>
      </c>
      <c r="T277" s="110">
        <f>E277-F277-H277-J277-L277-N277-R277</f>
        <v>0</v>
      </c>
      <c r="V277" t="s">
        <v>27</v>
      </c>
    </row>
    <row r="278" spans="1:22" ht="15" customHeight="1" x14ac:dyDescent="0.25">
      <c r="A278" s="69">
        <v>117</v>
      </c>
      <c r="B278" s="35" t="s">
        <v>763</v>
      </c>
      <c r="C278" s="69" t="s">
        <v>764</v>
      </c>
      <c r="D278" s="69" t="s">
        <v>384</v>
      </c>
      <c r="E278" s="104">
        <v>8415000</v>
      </c>
      <c r="F278" s="109">
        <v>2103750</v>
      </c>
      <c r="G278" s="96" t="s">
        <v>266</v>
      </c>
      <c r="J278" s="109">
        <v>2103750</v>
      </c>
      <c r="K278" s="102" t="s">
        <v>267</v>
      </c>
      <c r="N278" s="109">
        <v>2103750</v>
      </c>
      <c r="O278" s="97" t="s">
        <v>760</v>
      </c>
      <c r="P278" s="110">
        <f t="shared" si="6"/>
        <v>2103750</v>
      </c>
      <c r="Q278" s="69" t="s">
        <v>26</v>
      </c>
      <c r="R278" s="109">
        <v>2103750</v>
      </c>
      <c r="S278" s="100" t="s">
        <v>329</v>
      </c>
      <c r="T278" s="110">
        <f>E278-F278-J278-N278-R278</f>
        <v>0</v>
      </c>
      <c r="V278" t="s">
        <v>27</v>
      </c>
    </row>
    <row r="279" spans="1:22" ht="15" customHeight="1" x14ac:dyDescent="0.25">
      <c r="A279" s="69">
        <v>119</v>
      </c>
      <c r="B279" s="35" t="s">
        <v>765</v>
      </c>
      <c r="C279" s="69" t="s">
        <v>766</v>
      </c>
      <c r="D279" s="69" t="s">
        <v>767</v>
      </c>
      <c r="E279" s="104">
        <v>8415000</v>
      </c>
      <c r="F279" s="109">
        <v>2103750</v>
      </c>
      <c r="G279" s="96" t="s">
        <v>266</v>
      </c>
      <c r="J279" s="109">
        <v>2103750</v>
      </c>
      <c r="K279" s="102" t="s">
        <v>348</v>
      </c>
      <c r="N279" s="109">
        <v>2103750</v>
      </c>
      <c r="O279" s="97" t="s">
        <v>760</v>
      </c>
      <c r="P279" s="110">
        <f t="shared" si="6"/>
        <v>2103750</v>
      </c>
      <c r="Q279" s="69" t="s">
        <v>26</v>
      </c>
      <c r="R279" s="109">
        <v>2103750</v>
      </c>
      <c r="S279" s="99" t="s">
        <v>443</v>
      </c>
      <c r="T279" s="110">
        <f>E279-F279-H279-J279-L279-N279-R279</f>
        <v>0</v>
      </c>
      <c r="V279" t="s">
        <v>27</v>
      </c>
    </row>
    <row r="280" spans="1:22" ht="15" customHeight="1" x14ac:dyDescent="0.25">
      <c r="A280" s="69">
        <v>125</v>
      </c>
      <c r="B280" s="35" t="s">
        <v>768</v>
      </c>
      <c r="C280" s="69" t="s">
        <v>769</v>
      </c>
      <c r="D280" s="69" t="s">
        <v>88</v>
      </c>
      <c r="E280" s="104">
        <v>4700000</v>
      </c>
      <c r="F280" s="109">
        <v>2100000</v>
      </c>
      <c r="G280" s="96" t="s">
        <v>266</v>
      </c>
      <c r="K280" s="35"/>
      <c r="N280" s="104">
        <v>2600000</v>
      </c>
      <c r="O280" s="97" t="s">
        <v>760</v>
      </c>
      <c r="P280" s="110">
        <f t="shared" si="6"/>
        <v>0</v>
      </c>
      <c r="Q280" s="69" t="s">
        <v>26</v>
      </c>
      <c r="R280" s="109"/>
      <c r="V280" t="s">
        <v>27</v>
      </c>
    </row>
    <row r="281" spans="1:22" ht="15" customHeight="1" x14ac:dyDescent="0.25">
      <c r="A281" s="69">
        <v>153</v>
      </c>
      <c r="B281" s="35" t="s">
        <v>770</v>
      </c>
      <c r="C281" s="69" t="s">
        <v>771</v>
      </c>
      <c r="D281" s="69" t="s">
        <v>311</v>
      </c>
      <c r="E281" s="104">
        <v>8415000</v>
      </c>
      <c r="F281" s="109">
        <v>2103750</v>
      </c>
      <c r="G281" s="96" t="s">
        <v>23</v>
      </c>
      <c r="J281" s="109">
        <v>2103750</v>
      </c>
      <c r="K281" s="96" t="s">
        <v>381</v>
      </c>
      <c r="N281" s="109">
        <v>2103750</v>
      </c>
      <c r="O281" s="97" t="s">
        <v>760</v>
      </c>
      <c r="P281" s="110">
        <f t="shared" si="6"/>
        <v>2103750</v>
      </c>
      <c r="Q281" s="69" t="s">
        <v>26</v>
      </c>
      <c r="R281" s="109"/>
      <c r="V281" t="s">
        <v>27</v>
      </c>
    </row>
    <row r="282" spans="1:22" ht="15" customHeight="1" x14ac:dyDescent="0.25">
      <c r="A282" s="69">
        <v>159</v>
      </c>
      <c r="B282" s="35" t="s">
        <v>772</v>
      </c>
      <c r="C282" s="69" t="s">
        <v>750</v>
      </c>
      <c r="D282" s="69" t="s">
        <v>408</v>
      </c>
      <c r="E282" s="104">
        <v>8415000</v>
      </c>
      <c r="F282" s="109">
        <v>2103750</v>
      </c>
      <c r="G282" s="102" t="s">
        <v>271</v>
      </c>
      <c r="J282" s="109">
        <v>2103750</v>
      </c>
      <c r="K282" s="96" t="s">
        <v>381</v>
      </c>
      <c r="N282" s="109">
        <v>2103750</v>
      </c>
      <c r="O282" s="97" t="s">
        <v>760</v>
      </c>
      <c r="P282" s="110">
        <f t="shared" si="6"/>
        <v>2103750</v>
      </c>
      <c r="Q282" s="69" t="s">
        <v>26</v>
      </c>
      <c r="R282" s="109">
        <v>2103750</v>
      </c>
      <c r="S282" s="100" t="s">
        <v>329</v>
      </c>
      <c r="T282" s="110">
        <f>E168-F282-J282-H282-L282-N282-R282</f>
        <v>0</v>
      </c>
      <c r="V282" t="s">
        <v>27</v>
      </c>
    </row>
    <row r="283" spans="1:22" ht="15" customHeight="1" x14ac:dyDescent="0.25">
      <c r="A283" s="69">
        <v>173</v>
      </c>
      <c r="B283" s="35" t="s">
        <v>773</v>
      </c>
      <c r="C283" s="69" t="s">
        <v>774</v>
      </c>
      <c r="D283" s="69" t="s">
        <v>22</v>
      </c>
      <c r="E283" s="104">
        <v>9405000</v>
      </c>
      <c r="F283" s="109">
        <v>2232500</v>
      </c>
      <c r="G283" s="102" t="s">
        <v>271</v>
      </c>
      <c r="J283" s="109">
        <v>2232500</v>
      </c>
      <c r="K283" s="96" t="s">
        <v>381</v>
      </c>
      <c r="N283" s="104">
        <v>2470000</v>
      </c>
      <c r="O283" s="97" t="s">
        <v>760</v>
      </c>
      <c r="P283" s="110">
        <f t="shared" si="6"/>
        <v>2470000</v>
      </c>
      <c r="Q283" s="69" t="s">
        <v>26</v>
      </c>
      <c r="R283" s="109">
        <v>2470000</v>
      </c>
      <c r="S283" s="100" t="s">
        <v>329</v>
      </c>
      <c r="T283" s="110">
        <f>E283-F283-H283-J283-L283-N283-R283</f>
        <v>0</v>
      </c>
      <c r="V283" t="s">
        <v>27</v>
      </c>
    </row>
    <row r="284" spans="1:22" ht="15" customHeight="1" x14ac:dyDescent="0.25">
      <c r="A284" s="69">
        <v>175</v>
      </c>
      <c r="B284" s="35" t="s">
        <v>775</v>
      </c>
      <c r="C284" s="69" t="s">
        <v>154</v>
      </c>
      <c r="D284" s="69" t="s">
        <v>22</v>
      </c>
      <c r="E284" s="104">
        <v>8415000</v>
      </c>
      <c r="F284" s="109">
        <v>2103750</v>
      </c>
      <c r="G284" s="96" t="s">
        <v>31</v>
      </c>
      <c r="N284" s="109">
        <v>2103750</v>
      </c>
      <c r="O284" s="97" t="s">
        <v>760</v>
      </c>
      <c r="P284" s="110">
        <f t="shared" si="6"/>
        <v>4207500</v>
      </c>
      <c r="Q284" s="69" t="s">
        <v>26</v>
      </c>
      <c r="R284" s="109">
        <v>2103750</v>
      </c>
      <c r="S284" s="100" t="s">
        <v>329</v>
      </c>
      <c r="T284" s="110">
        <f>E284-F284-H284-J284-L284-N284-R284</f>
        <v>2103750</v>
      </c>
      <c r="V284" t="s">
        <v>27</v>
      </c>
    </row>
    <row r="285" spans="1:22" ht="15" customHeight="1" x14ac:dyDescent="0.25">
      <c r="A285" s="69">
        <v>222</v>
      </c>
      <c r="B285" s="35" t="s">
        <v>776</v>
      </c>
      <c r="C285" s="69" t="s">
        <v>777</v>
      </c>
      <c r="D285" s="69" t="s">
        <v>236</v>
      </c>
      <c r="E285" s="104">
        <v>7040000</v>
      </c>
      <c r="F285" s="109">
        <v>2100000</v>
      </c>
      <c r="G285" s="96" t="s">
        <v>295</v>
      </c>
      <c r="K285" s="35"/>
      <c r="N285" s="110">
        <v>2470000</v>
      </c>
      <c r="O285" s="97" t="s">
        <v>760</v>
      </c>
      <c r="P285" s="110">
        <f t="shared" si="6"/>
        <v>2470000</v>
      </c>
      <c r="Q285" s="69" t="s">
        <v>26</v>
      </c>
      <c r="R285" s="109">
        <v>2470000</v>
      </c>
      <c r="S285" s="100" t="s">
        <v>329</v>
      </c>
      <c r="T285" s="110">
        <f>E285-F285-H285-J285-L285-N285-R285</f>
        <v>0</v>
      </c>
      <c r="V285" t="s">
        <v>27</v>
      </c>
    </row>
    <row r="286" spans="1:22" ht="15" customHeight="1" x14ac:dyDescent="0.25">
      <c r="A286" s="69">
        <v>239</v>
      </c>
      <c r="B286" s="35" t="s">
        <v>778</v>
      </c>
      <c r="C286" s="69" t="s">
        <v>779</v>
      </c>
      <c r="D286" s="69" t="s">
        <v>120</v>
      </c>
      <c r="E286" s="104">
        <v>8415000</v>
      </c>
      <c r="F286" s="109">
        <v>2103750</v>
      </c>
      <c r="G286" s="96" t="s">
        <v>464</v>
      </c>
      <c r="J286" s="109">
        <v>2103750</v>
      </c>
      <c r="K286" s="96" t="s">
        <v>24</v>
      </c>
      <c r="N286" s="109">
        <v>2103750</v>
      </c>
      <c r="O286" s="97" t="s">
        <v>760</v>
      </c>
      <c r="P286" s="110">
        <f t="shared" si="6"/>
        <v>2103750</v>
      </c>
      <c r="Q286" s="69" t="s">
        <v>26</v>
      </c>
      <c r="R286" s="109">
        <v>2103750</v>
      </c>
      <c r="S286" s="99" t="s">
        <v>354</v>
      </c>
      <c r="T286" s="110">
        <f>E286-F286-J286-N286-R286</f>
        <v>0</v>
      </c>
      <c r="V286" t="s">
        <v>27</v>
      </c>
    </row>
    <row r="287" spans="1:22" ht="15" customHeight="1" x14ac:dyDescent="0.25">
      <c r="A287" s="69">
        <v>249</v>
      </c>
      <c r="B287" s="35" t="s">
        <v>780</v>
      </c>
      <c r="C287" s="69" t="s">
        <v>781</v>
      </c>
      <c r="D287" s="69" t="s">
        <v>494</v>
      </c>
      <c r="E287" s="104">
        <v>8415000</v>
      </c>
      <c r="F287" s="109">
        <v>2103750</v>
      </c>
      <c r="G287" s="96" t="s">
        <v>464</v>
      </c>
      <c r="J287" s="109">
        <v>2103750</v>
      </c>
      <c r="K287" s="102" t="s">
        <v>306</v>
      </c>
      <c r="N287" s="109">
        <v>2103750</v>
      </c>
      <c r="O287" s="97" t="s">
        <v>760</v>
      </c>
      <c r="P287" s="110">
        <f t="shared" si="6"/>
        <v>2103750</v>
      </c>
      <c r="Q287" s="69" t="s">
        <v>26</v>
      </c>
      <c r="R287" s="109">
        <v>2103750</v>
      </c>
      <c r="S287" s="109"/>
      <c r="T287" s="110">
        <f>E287-J287-N287-P287-R287</f>
        <v>0</v>
      </c>
      <c r="V287" t="s">
        <v>27</v>
      </c>
    </row>
    <row r="288" spans="1:22" ht="15" customHeight="1" x14ac:dyDescent="0.25">
      <c r="A288" s="69">
        <v>256</v>
      </c>
      <c r="B288" s="35" t="s">
        <v>782</v>
      </c>
      <c r="C288" s="69" t="s">
        <v>783</v>
      </c>
      <c r="D288" s="69" t="s">
        <v>157</v>
      </c>
      <c r="E288" s="104">
        <v>8415000</v>
      </c>
      <c r="F288" s="109">
        <v>2103750</v>
      </c>
      <c r="G288" s="102" t="s">
        <v>436</v>
      </c>
      <c r="J288" s="109">
        <v>2103750</v>
      </c>
      <c r="K288" s="102" t="s">
        <v>306</v>
      </c>
      <c r="N288" s="109">
        <v>2103750</v>
      </c>
      <c r="O288" s="97" t="s">
        <v>760</v>
      </c>
      <c r="P288" s="110">
        <f t="shared" si="6"/>
        <v>2103750</v>
      </c>
      <c r="Q288" s="69" t="s">
        <v>26</v>
      </c>
      <c r="R288" s="109">
        <v>2103750</v>
      </c>
      <c r="S288" s="100" t="s">
        <v>329</v>
      </c>
      <c r="T288" s="110">
        <f>E288-F288-J288-N288-R288</f>
        <v>0</v>
      </c>
      <c r="V288" t="s">
        <v>27</v>
      </c>
    </row>
    <row r="289" spans="1:22" ht="15" customHeight="1" x14ac:dyDescent="0.25">
      <c r="A289" s="69">
        <v>261</v>
      </c>
      <c r="B289" s="35" t="s">
        <v>784</v>
      </c>
      <c r="C289" s="69" t="s">
        <v>785</v>
      </c>
      <c r="D289" s="69" t="s">
        <v>275</v>
      </c>
      <c r="E289" s="104">
        <v>8415000</v>
      </c>
      <c r="F289" s="109">
        <v>2103750</v>
      </c>
      <c r="G289" s="102" t="s">
        <v>436</v>
      </c>
      <c r="J289" s="109">
        <v>2103750</v>
      </c>
      <c r="K289" s="96" t="s">
        <v>786</v>
      </c>
      <c r="N289" s="109">
        <v>2103750</v>
      </c>
      <c r="O289" s="97" t="s">
        <v>760</v>
      </c>
      <c r="P289" s="110">
        <f t="shared" si="6"/>
        <v>2103750</v>
      </c>
      <c r="Q289" s="69" t="s">
        <v>26</v>
      </c>
      <c r="R289" s="109">
        <v>2103750</v>
      </c>
      <c r="S289" s="100" t="s">
        <v>329</v>
      </c>
      <c r="T289" s="110">
        <f>E289-F289-H289-J289-L289-N289-R289</f>
        <v>0</v>
      </c>
      <c r="V289" t="s">
        <v>27</v>
      </c>
    </row>
    <row r="290" spans="1:22" ht="15" customHeight="1" x14ac:dyDescent="0.25">
      <c r="A290" s="69">
        <v>367</v>
      </c>
      <c r="B290" s="35" t="s">
        <v>787</v>
      </c>
      <c r="C290" s="69" t="s">
        <v>49</v>
      </c>
      <c r="D290" s="69" t="s">
        <v>175</v>
      </c>
      <c r="E290" s="104">
        <v>8415000</v>
      </c>
      <c r="F290" s="109">
        <v>2103750</v>
      </c>
      <c r="G290" s="102" t="s">
        <v>328</v>
      </c>
      <c r="J290" s="109">
        <v>2103750</v>
      </c>
      <c r="K290" s="102" t="s">
        <v>247</v>
      </c>
      <c r="N290" s="109">
        <v>2103750</v>
      </c>
      <c r="O290" s="97" t="s">
        <v>760</v>
      </c>
      <c r="P290" s="110">
        <f t="shared" si="6"/>
        <v>2103750</v>
      </c>
      <c r="Q290" s="69" t="s">
        <v>26</v>
      </c>
      <c r="R290" s="109">
        <v>2103750</v>
      </c>
      <c r="S290" s="100" t="s">
        <v>233</v>
      </c>
      <c r="T290" s="110">
        <f>E290-F290-J290-N290-R290</f>
        <v>0</v>
      </c>
      <c r="V290" t="s">
        <v>27</v>
      </c>
    </row>
    <row r="291" spans="1:22" ht="15" customHeight="1" x14ac:dyDescent="0.25">
      <c r="A291" s="69">
        <v>676</v>
      </c>
      <c r="B291" s="35" t="s">
        <v>788</v>
      </c>
      <c r="C291" s="114" t="s">
        <v>789</v>
      </c>
      <c r="D291" s="114" t="s">
        <v>120</v>
      </c>
      <c r="E291" s="104">
        <v>7540000</v>
      </c>
      <c r="J291" s="109">
        <v>2600000</v>
      </c>
      <c r="K291" s="102" t="s">
        <v>348</v>
      </c>
      <c r="N291" s="110">
        <v>2470000</v>
      </c>
      <c r="O291" s="97" t="s">
        <v>760</v>
      </c>
      <c r="P291" s="110">
        <f t="shared" si="6"/>
        <v>2470000</v>
      </c>
      <c r="Q291" s="69" t="s">
        <v>26</v>
      </c>
      <c r="R291" s="109" t="s">
        <v>790</v>
      </c>
      <c r="V291" t="s">
        <v>27</v>
      </c>
    </row>
    <row r="292" spans="1:22" ht="15" customHeight="1" x14ac:dyDescent="0.25">
      <c r="A292" s="69">
        <v>678</v>
      </c>
      <c r="B292" s="35" t="s">
        <v>791</v>
      </c>
      <c r="C292" s="69" t="s">
        <v>792</v>
      </c>
      <c r="D292" s="69" t="s">
        <v>182</v>
      </c>
      <c r="E292" s="104">
        <v>7540000</v>
      </c>
      <c r="J292" s="109">
        <v>2600000</v>
      </c>
      <c r="K292" s="96" t="s">
        <v>793</v>
      </c>
      <c r="N292" s="110">
        <v>2470000</v>
      </c>
      <c r="O292" s="97" t="s">
        <v>760</v>
      </c>
      <c r="P292" s="110">
        <f t="shared" si="6"/>
        <v>2470000</v>
      </c>
      <c r="Q292" s="69" t="s">
        <v>26</v>
      </c>
      <c r="R292" s="109"/>
      <c r="V292" t="s">
        <v>27</v>
      </c>
    </row>
    <row r="293" spans="1:22" ht="15" customHeight="1" x14ac:dyDescent="0.25">
      <c r="A293" s="69">
        <v>695</v>
      </c>
      <c r="B293" s="35" t="s">
        <v>794</v>
      </c>
      <c r="C293" s="69" t="s">
        <v>795</v>
      </c>
      <c r="D293" s="69" t="s">
        <v>166</v>
      </c>
      <c r="E293" s="104">
        <v>4940000</v>
      </c>
      <c r="K293" s="69" t="s">
        <v>177</v>
      </c>
      <c r="N293" s="110">
        <v>2470000</v>
      </c>
      <c r="O293" s="97" t="s">
        <v>760</v>
      </c>
      <c r="P293" s="110">
        <f t="shared" si="6"/>
        <v>2470000</v>
      </c>
      <c r="Q293" s="69" t="s">
        <v>26</v>
      </c>
      <c r="R293" s="109">
        <v>2470000</v>
      </c>
      <c r="S293" s="100" t="s">
        <v>329</v>
      </c>
      <c r="T293" s="110">
        <f>E293-N293-R293</f>
        <v>0</v>
      </c>
      <c r="V293" t="s">
        <v>27</v>
      </c>
    </row>
    <row r="294" spans="1:22" ht="15" customHeight="1" x14ac:dyDescent="0.25">
      <c r="A294" s="69">
        <v>9</v>
      </c>
      <c r="B294" s="35" t="s">
        <v>796</v>
      </c>
      <c r="C294" s="69" t="s">
        <v>797</v>
      </c>
      <c r="D294" s="69" t="s">
        <v>515</v>
      </c>
      <c r="E294" s="104">
        <v>8415000</v>
      </c>
      <c r="F294" s="109">
        <v>2103750</v>
      </c>
      <c r="G294" s="102" t="s">
        <v>226</v>
      </c>
      <c r="J294" s="109">
        <v>2103750</v>
      </c>
      <c r="K294" s="102" t="s">
        <v>85</v>
      </c>
      <c r="N294" s="109">
        <v>2103750</v>
      </c>
      <c r="O294" s="96" t="s">
        <v>798</v>
      </c>
      <c r="P294" s="110">
        <f t="shared" si="6"/>
        <v>2103750</v>
      </c>
      <c r="Q294" s="69" t="s">
        <v>26</v>
      </c>
      <c r="R294" s="109">
        <v>2103750</v>
      </c>
      <c r="S294" s="99" t="s">
        <v>558</v>
      </c>
      <c r="T294" s="110">
        <f>E294-F294-H294-J294-L294-N294-R294</f>
        <v>0</v>
      </c>
      <c r="V294" t="s">
        <v>27</v>
      </c>
    </row>
    <row r="295" spans="1:22" ht="15" customHeight="1" x14ac:dyDescent="0.25">
      <c r="A295" s="69">
        <v>50</v>
      </c>
      <c r="B295" s="35" t="s">
        <v>799</v>
      </c>
      <c r="C295" s="69" t="s">
        <v>689</v>
      </c>
      <c r="D295" s="69" t="s">
        <v>160</v>
      </c>
      <c r="E295" s="104">
        <v>8415000</v>
      </c>
      <c r="F295" s="109">
        <v>2103750</v>
      </c>
      <c r="G295" s="96" t="s">
        <v>253</v>
      </c>
      <c r="N295" s="109">
        <v>2103750</v>
      </c>
      <c r="O295" s="96" t="s">
        <v>798</v>
      </c>
      <c r="P295" s="110">
        <f t="shared" si="6"/>
        <v>4207500</v>
      </c>
      <c r="Q295" s="69" t="s">
        <v>26</v>
      </c>
      <c r="R295" s="109"/>
      <c r="V295" t="s">
        <v>27</v>
      </c>
    </row>
    <row r="296" spans="1:22" ht="15" customHeight="1" x14ac:dyDescent="0.25">
      <c r="A296" s="69">
        <v>274</v>
      </c>
      <c r="B296" s="35" t="s">
        <v>800</v>
      </c>
      <c r="C296" s="69" t="s">
        <v>801</v>
      </c>
      <c r="D296" s="69" t="s">
        <v>647</v>
      </c>
      <c r="E296" s="104">
        <v>8415000</v>
      </c>
      <c r="F296" s="109">
        <v>2103750</v>
      </c>
      <c r="G296" s="96" t="s">
        <v>471</v>
      </c>
      <c r="J296" s="109">
        <v>2103750</v>
      </c>
      <c r="K296" s="96" t="s">
        <v>381</v>
      </c>
      <c r="N296" s="109">
        <v>2103750</v>
      </c>
      <c r="O296" s="96" t="s">
        <v>798</v>
      </c>
      <c r="P296" s="110">
        <f t="shared" si="6"/>
        <v>2103750</v>
      </c>
      <c r="Q296" s="69" t="s">
        <v>26</v>
      </c>
      <c r="R296" s="109"/>
      <c r="V296" t="s">
        <v>27</v>
      </c>
    </row>
    <row r="297" spans="1:22" ht="15" customHeight="1" x14ac:dyDescent="0.25">
      <c r="A297" s="69">
        <v>276</v>
      </c>
      <c r="B297" s="35" t="s">
        <v>802</v>
      </c>
      <c r="C297" s="69" t="s">
        <v>130</v>
      </c>
      <c r="D297" s="69" t="s">
        <v>803</v>
      </c>
      <c r="E297" s="104">
        <v>8415000</v>
      </c>
      <c r="F297" s="109">
        <v>2103750</v>
      </c>
      <c r="G297" s="96" t="s">
        <v>471</v>
      </c>
      <c r="J297" s="109">
        <v>2103750</v>
      </c>
      <c r="K297" s="96" t="s">
        <v>381</v>
      </c>
      <c r="N297" s="109">
        <v>2103750</v>
      </c>
      <c r="O297" s="96" t="s">
        <v>798</v>
      </c>
      <c r="P297" s="110">
        <f t="shared" si="6"/>
        <v>2103750</v>
      </c>
      <c r="Q297" s="69" t="s">
        <v>26</v>
      </c>
      <c r="R297" s="109"/>
      <c r="V297" t="s">
        <v>27</v>
      </c>
    </row>
    <row r="298" spans="1:22" ht="15" customHeight="1" x14ac:dyDescent="0.25">
      <c r="A298" s="69">
        <v>303</v>
      </c>
      <c r="B298" s="35" t="s">
        <v>804</v>
      </c>
      <c r="C298" s="69" t="s">
        <v>805</v>
      </c>
      <c r="D298" s="69" t="s">
        <v>138</v>
      </c>
      <c r="E298" s="104">
        <v>8415000</v>
      </c>
      <c r="F298" s="109">
        <v>2103750</v>
      </c>
      <c r="G298" s="96" t="s">
        <v>806</v>
      </c>
      <c r="J298" s="109">
        <v>2103750</v>
      </c>
      <c r="K298" s="96" t="s">
        <v>389</v>
      </c>
      <c r="N298" s="109">
        <v>2103750</v>
      </c>
      <c r="O298" s="96" t="s">
        <v>798</v>
      </c>
      <c r="P298" s="110">
        <f t="shared" si="6"/>
        <v>2103750</v>
      </c>
      <c r="Q298" s="69" t="s">
        <v>26</v>
      </c>
      <c r="R298" s="109"/>
      <c r="V298" t="s">
        <v>27</v>
      </c>
    </row>
    <row r="299" spans="1:22" ht="15" customHeight="1" x14ac:dyDescent="0.25">
      <c r="A299" s="69">
        <v>331</v>
      </c>
      <c r="B299" s="35" t="s">
        <v>807</v>
      </c>
      <c r="C299" s="69" t="s">
        <v>69</v>
      </c>
      <c r="D299" s="69" t="s">
        <v>104</v>
      </c>
      <c r="E299" s="104">
        <v>8415000</v>
      </c>
      <c r="F299" s="109">
        <v>2103750</v>
      </c>
      <c r="G299" s="102" t="s">
        <v>564</v>
      </c>
      <c r="J299" s="109">
        <v>2103750</v>
      </c>
      <c r="K299" s="96" t="s">
        <v>793</v>
      </c>
      <c r="N299" s="109">
        <v>2103750</v>
      </c>
      <c r="O299" s="96" t="s">
        <v>798</v>
      </c>
      <c r="P299" s="110">
        <f t="shared" si="6"/>
        <v>2103750</v>
      </c>
      <c r="Q299" s="69" t="s">
        <v>26</v>
      </c>
      <c r="R299" s="109">
        <v>2103750</v>
      </c>
      <c r="S299" s="99" t="s">
        <v>558</v>
      </c>
      <c r="T299" s="110">
        <f>E299-F299-H299-J299-L299-N299-R299</f>
        <v>0</v>
      </c>
      <c r="V299" t="s">
        <v>27</v>
      </c>
    </row>
    <row r="300" spans="1:22" ht="15" customHeight="1" x14ac:dyDescent="0.25">
      <c r="A300" s="69">
        <v>343</v>
      </c>
      <c r="B300" s="35" t="s">
        <v>808</v>
      </c>
      <c r="C300" s="69" t="s">
        <v>809</v>
      </c>
      <c r="D300" s="69" t="s">
        <v>57</v>
      </c>
      <c r="E300" s="104">
        <v>8415000</v>
      </c>
      <c r="F300" s="109">
        <v>2103750</v>
      </c>
      <c r="G300" s="96" t="s">
        <v>721</v>
      </c>
      <c r="J300" s="109">
        <v>2103750</v>
      </c>
      <c r="K300" s="96" t="s">
        <v>389</v>
      </c>
      <c r="N300" s="109">
        <v>2103750</v>
      </c>
      <c r="O300" s="96" t="s">
        <v>798</v>
      </c>
      <c r="P300" s="110">
        <f t="shared" si="6"/>
        <v>2103750</v>
      </c>
      <c r="Q300" s="69" t="s">
        <v>26</v>
      </c>
      <c r="R300" s="109">
        <v>2103750</v>
      </c>
      <c r="S300" s="99" t="s">
        <v>748</v>
      </c>
      <c r="T300" s="110">
        <f>E300-F300-J300-N300-R300</f>
        <v>0</v>
      </c>
      <c r="V300" t="s">
        <v>27</v>
      </c>
    </row>
    <row r="301" spans="1:22" ht="15" customHeight="1" x14ac:dyDescent="0.25">
      <c r="A301" s="69">
        <v>401</v>
      </c>
      <c r="B301" s="35" t="s">
        <v>810</v>
      </c>
      <c r="C301" s="69" t="s">
        <v>811</v>
      </c>
      <c r="D301" s="69" t="s">
        <v>812</v>
      </c>
      <c r="E301" s="104">
        <v>8415000</v>
      </c>
      <c r="F301" s="109">
        <v>2103750</v>
      </c>
      <c r="G301" s="102" t="s">
        <v>475</v>
      </c>
      <c r="J301" s="109">
        <v>2103750</v>
      </c>
      <c r="K301" s="102" t="s">
        <v>813</v>
      </c>
      <c r="N301" s="109">
        <v>2103750</v>
      </c>
      <c r="O301" s="96" t="s">
        <v>798</v>
      </c>
      <c r="P301" s="110">
        <f t="shared" si="6"/>
        <v>2103750</v>
      </c>
      <c r="Q301" s="69" t="s">
        <v>26</v>
      </c>
      <c r="R301" s="109">
        <v>2103750</v>
      </c>
      <c r="S301" s="99" t="s">
        <v>558</v>
      </c>
      <c r="T301" s="110">
        <f>E301-F301-H301-J301-L301-N301-R301</f>
        <v>0</v>
      </c>
      <c r="V301" t="s">
        <v>27</v>
      </c>
    </row>
    <row r="302" spans="1:22" ht="15" customHeight="1" x14ac:dyDescent="0.25">
      <c r="A302" s="69">
        <v>411</v>
      </c>
      <c r="B302" s="35" t="s">
        <v>814</v>
      </c>
      <c r="C302" s="69" t="s">
        <v>537</v>
      </c>
      <c r="D302" s="69" t="s">
        <v>450</v>
      </c>
      <c r="E302" s="104">
        <v>9405000</v>
      </c>
      <c r="F302" s="109">
        <v>2232500</v>
      </c>
      <c r="G302" s="102" t="s">
        <v>475</v>
      </c>
      <c r="J302" s="109">
        <v>2232500</v>
      </c>
      <c r="K302" s="96" t="s">
        <v>793</v>
      </c>
      <c r="N302" s="110">
        <v>2470000</v>
      </c>
      <c r="O302" s="96" t="s">
        <v>798</v>
      </c>
      <c r="P302" s="110">
        <f t="shared" si="6"/>
        <v>2470000</v>
      </c>
      <c r="Q302" s="69" t="s">
        <v>26</v>
      </c>
      <c r="R302" s="109"/>
      <c r="V302" t="s">
        <v>27</v>
      </c>
    </row>
    <row r="303" spans="1:22" ht="15" customHeight="1" x14ac:dyDescent="0.25">
      <c r="A303" s="69">
        <v>429</v>
      </c>
      <c r="B303" s="35" t="s">
        <v>815</v>
      </c>
      <c r="C303" s="69" t="s">
        <v>816</v>
      </c>
      <c r="D303" s="69" t="s">
        <v>435</v>
      </c>
      <c r="E303" s="104">
        <v>8415000</v>
      </c>
      <c r="F303" s="109">
        <v>2103750</v>
      </c>
      <c r="G303" s="102" t="s">
        <v>479</v>
      </c>
      <c r="J303" s="109">
        <v>2103750</v>
      </c>
      <c r="K303" s="96" t="s">
        <v>389</v>
      </c>
      <c r="N303" s="109">
        <v>2103750</v>
      </c>
      <c r="O303" s="96" t="s">
        <v>798</v>
      </c>
      <c r="P303" s="110">
        <f t="shared" si="6"/>
        <v>2103750</v>
      </c>
      <c r="Q303" s="69" t="s">
        <v>26</v>
      </c>
      <c r="R303" s="109">
        <v>2103750</v>
      </c>
      <c r="S303" s="100" t="s">
        <v>604</v>
      </c>
      <c r="T303" s="110">
        <f>E303-F303-H303-J303-L303-N303-R303</f>
        <v>0</v>
      </c>
      <c r="V303" t="s">
        <v>27</v>
      </c>
    </row>
    <row r="304" spans="1:22" ht="15" customHeight="1" x14ac:dyDescent="0.25">
      <c r="A304" s="69">
        <v>453</v>
      </c>
      <c r="B304" s="35" t="s">
        <v>817</v>
      </c>
      <c r="C304" s="69" t="s">
        <v>818</v>
      </c>
      <c r="D304" s="69" t="s">
        <v>104</v>
      </c>
      <c r="E304" s="104">
        <v>8415000</v>
      </c>
      <c r="F304" s="109">
        <v>2103750</v>
      </c>
      <c r="G304" s="96" t="s">
        <v>643</v>
      </c>
      <c r="J304" s="109">
        <v>2103750</v>
      </c>
      <c r="K304" s="96" t="s">
        <v>389</v>
      </c>
      <c r="N304" s="109">
        <v>2103750</v>
      </c>
      <c r="O304" s="96" t="s">
        <v>798</v>
      </c>
      <c r="P304" s="110">
        <f t="shared" si="6"/>
        <v>2103750</v>
      </c>
      <c r="Q304" s="69" t="s">
        <v>26</v>
      </c>
      <c r="R304" s="109"/>
      <c r="V304" t="s">
        <v>27</v>
      </c>
    </row>
    <row r="305" spans="1:22" ht="15" customHeight="1" x14ac:dyDescent="0.25">
      <c r="A305" s="69">
        <v>473</v>
      </c>
      <c r="B305" s="35" t="s">
        <v>819</v>
      </c>
      <c r="C305" s="69" t="s">
        <v>820</v>
      </c>
      <c r="D305" s="69" t="s">
        <v>821</v>
      </c>
      <c r="E305" s="104">
        <v>8415000</v>
      </c>
      <c r="F305" s="109">
        <v>2103750</v>
      </c>
      <c r="G305" s="102" t="s">
        <v>822</v>
      </c>
      <c r="J305" s="109">
        <v>2103750</v>
      </c>
      <c r="K305" s="102" t="s">
        <v>823</v>
      </c>
      <c r="N305" s="109">
        <v>2103750</v>
      </c>
      <c r="O305" s="96" t="s">
        <v>798</v>
      </c>
      <c r="P305" s="110">
        <f t="shared" si="6"/>
        <v>2103750</v>
      </c>
      <c r="Q305" s="69" t="s">
        <v>26</v>
      </c>
      <c r="R305" s="109">
        <v>2103750</v>
      </c>
      <c r="S305" s="99" t="s">
        <v>558</v>
      </c>
      <c r="T305" s="110">
        <f>E305-F305-J305-N305-R305</f>
        <v>0</v>
      </c>
      <c r="V305" t="s">
        <v>27</v>
      </c>
    </row>
    <row r="306" spans="1:22" ht="15" customHeight="1" x14ac:dyDescent="0.25">
      <c r="A306" s="69">
        <v>479</v>
      </c>
      <c r="B306" s="35">
        <v>25800500149</v>
      </c>
      <c r="C306" s="69" t="s">
        <v>824</v>
      </c>
      <c r="D306" s="69" t="s">
        <v>60</v>
      </c>
      <c r="E306" s="104">
        <v>8415000</v>
      </c>
      <c r="F306" s="109">
        <v>2103750</v>
      </c>
      <c r="G306" s="96" t="s">
        <v>84</v>
      </c>
      <c r="J306" s="109">
        <v>2103750</v>
      </c>
      <c r="K306" s="96" t="s">
        <v>786</v>
      </c>
      <c r="N306" s="109">
        <v>2103750</v>
      </c>
      <c r="O306" s="96" t="s">
        <v>798</v>
      </c>
      <c r="P306" s="110">
        <f t="shared" si="6"/>
        <v>2103750</v>
      </c>
      <c r="Q306" s="69" t="s">
        <v>26</v>
      </c>
      <c r="R306" s="109">
        <v>2103750</v>
      </c>
      <c r="S306" s="99" t="s">
        <v>287</v>
      </c>
      <c r="T306" s="110">
        <f>E306-F306-H306-J306-L306-N306-R306</f>
        <v>0</v>
      </c>
      <c r="V306" t="s">
        <v>27</v>
      </c>
    </row>
    <row r="307" spans="1:22" ht="15" customHeight="1" x14ac:dyDescent="0.25">
      <c r="A307" s="69">
        <v>483</v>
      </c>
      <c r="B307" s="35" t="s">
        <v>825</v>
      </c>
      <c r="C307" s="69" t="s">
        <v>571</v>
      </c>
      <c r="D307" s="69" t="s">
        <v>826</v>
      </c>
      <c r="E307" s="104">
        <v>8415000</v>
      </c>
      <c r="F307" s="109">
        <v>2103750</v>
      </c>
      <c r="G307" s="96" t="s">
        <v>84</v>
      </c>
      <c r="J307" s="109">
        <v>2103750</v>
      </c>
      <c r="K307" s="102" t="s">
        <v>823</v>
      </c>
      <c r="N307" s="109">
        <v>2103750</v>
      </c>
      <c r="O307" s="96" t="s">
        <v>798</v>
      </c>
      <c r="P307" s="110">
        <f t="shared" si="6"/>
        <v>2103750</v>
      </c>
      <c r="Q307" s="69" t="s">
        <v>26</v>
      </c>
      <c r="R307" s="109"/>
      <c r="V307" t="s">
        <v>27</v>
      </c>
    </row>
    <row r="308" spans="1:22" ht="15" customHeight="1" x14ac:dyDescent="0.25">
      <c r="A308" s="69">
        <v>485</v>
      </c>
      <c r="B308" s="35" t="s">
        <v>827</v>
      </c>
      <c r="C308" s="69" t="s">
        <v>797</v>
      </c>
      <c r="D308" s="69" t="s">
        <v>242</v>
      </c>
      <c r="E308" s="104">
        <v>8415000</v>
      </c>
      <c r="F308" s="109">
        <v>2103750</v>
      </c>
      <c r="G308" s="96" t="s">
        <v>84</v>
      </c>
      <c r="J308" s="109">
        <v>2103750</v>
      </c>
      <c r="K308" s="96" t="s">
        <v>389</v>
      </c>
      <c r="N308" s="109">
        <v>2103750</v>
      </c>
      <c r="O308" s="96" t="s">
        <v>798</v>
      </c>
      <c r="P308" s="110">
        <f t="shared" ref="P308:P339" si="7">E308-F308-H308-J308-L308-N308</f>
        <v>2103750</v>
      </c>
      <c r="Q308" s="69" t="s">
        <v>26</v>
      </c>
      <c r="R308" s="109">
        <v>2103750</v>
      </c>
      <c r="S308" s="100" t="s">
        <v>281</v>
      </c>
      <c r="T308" s="110">
        <f>E308-F308-H308-J308-L308-N308-R308</f>
        <v>0</v>
      </c>
      <c r="V308" t="s">
        <v>27</v>
      </c>
    </row>
    <row r="309" spans="1:22" ht="15" customHeight="1" x14ac:dyDescent="0.25">
      <c r="A309" s="69">
        <v>486</v>
      </c>
      <c r="B309" s="35" t="s">
        <v>828</v>
      </c>
      <c r="C309" s="69" t="s">
        <v>809</v>
      </c>
      <c r="D309" s="69" t="s">
        <v>175</v>
      </c>
      <c r="E309" s="104">
        <v>8415000</v>
      </c>
      <c r="F309" s="109">
        <v>2103750</v>
      </c>
      <c r="G309" s="96" t="s">
        <v>84</v>
      </c>
      <c r="J309" s="109">
        <v>2103750</v>
      </c>
      <c r="K309" s="96" t="s">
        <v>389</v>
      </c>
      <c r="N309" s="109">
        <v>2103750</v>
      </c>
      <c r="O309" s="96" t="s">
        <v>798</v>
      </c>
      <c r="P309" s="110">
        <f t="shared" si="7"/>
        <v>2103750</v>
      </c>
      <c r="Q309" s="69" t="s">
        <v>26</v>
      </c>
      <c r="R309" s="109"/>
      <c r="V309" t="s">
        <v>27</v>
      </c>
    </row>
    <row r="310" spans="1:22" ht="15" customHeight="1" x14ac:dyDescent="0.25">
      <c r="A310" s="69">
        <v>489</v>
      </c>
      <c r="B310" s="35" t="s">
        <v>829</v>
      </c>
      <c r="C310" s="69" t="s">
        <v>830</v>
      </c>
      <c r="D310" s="69" t="s">
        <v>821</v>
      </c>
      <c r="E310" s="104">
        <v>8415000</v>
      </c>
      <c r="F310" s="109">
        <v>2103750</v>
      </c>
      <c r="G310" s="96" t="s">
        <v>84</v>
      </c>
      <c r="J310" s="109">
        <v>2103750</v>
      </c>
      <c r="K310" s="102" t="s">
        <v>823</v>
      </c>
      <c r="N310" s="109">
        <v>2103750</v>
      </c>
      <c r="O310" s="96" t="s">
        <v>798</v>
      </c>
      <c r="P310" s="110">
        <f t="shared" si="7"/>
        <v>2103750</v>
      </c>
      <c r="Q310" s="69" t="s">
        <v>26</v>
      </c>
      <c r="R310" s="109">
        <v>2103750</v>
      </c>
      <c r="S310" s="99" t="s">
        <v>558</v>
      </c>
      <c r="T310" s="110">
        <f>E310-F310-J310-N310-R310</f>
        <v>0</v>
      </c>
      <c r="V310" t="s">
        <v>27</v>
      </c>
    </row>
    <row r="311" spans="1:22" ht="15" customHeight="1" x14ac:dyDescent="0.25">
      <c r="A311" s="69">
        <v>495</v>
      </c>
      <c r="B311" s="35" t="s">
        <v>831</v>
      </c>
      <c r="C311" s="69" t="s">
        <v>832</v>
      </c>
      <c r="D311" s="69" t="s">
        <v>151</v>
      </c>
      <c r="E311" s="104">
        <v>8415000</v>
      </c>
      <c r="F311" s="109">
        <v>2103750</v>
      </c>
      <c r="G311" s="102" t="s">
        <v>833</v>
      </c>
      <c r="J311" s="109">
        <v>2103750</v>
      </c>
      <c r="K311" s="102" t="s">
        <v>823</v>
      </c>
      <c r="N311" s="109">
        <v>2103750</v>
      </c>
      <c r="O311" s="96" t="s">
        <v>798</v>
      </c>
      <c r="P311" s="110">
        <f t="shared" si="7"/>
        <v>2103750</v>
      </c>
      <c r="Q311" s="69" t="s">
        <v>26</v>
      </c>
      <c r="R311" s="109">
        <v>2103750</v>
      </c>
      <c r="S311" s="99" t="s">
        <v>558</v>
      </c>
      <c r="T311" s="110">
        <f>E311-F311-H311-J311-L311-N311-R311</f>
        <v>0</v>
      </c>
      <c r="V311" t="s">
        <v>27</v>
      </c>
    </row>
    <row r="312" spans="1:22" ht="15" customHeight="1" x14ac:dyDescent="0.25">
      <c r="A312" s="69">
        <v>496</v>
      </c>
      <c r="B312" s="35" t="s">
        <v>834</v>
      </c>
      <c r="C312" s="69" t="s">
        <v>835</v>
      </c>
      <c r="D312" s="69" t="s">
        <v>111</v>
      </c>
      <c r="E312" s="104">
        <v>8415000</v>
      </c>
      <c r="F312" s="109">
        <v>2103750</v>
      </c>
      <c r="G312" s="102" t="s">
        <v>833</v>
      </c>
      <c r="J312" s="109">
        <v>2103750</v>
      </c>
      <c r="K312" s="96" t="s">
        <v>836</v>
      </c>
      <c r="N312" s="109">
        <v>2103750</v>
      </c>
      <c r="O312" s="96" t="s">
        <v>798</v>
      </c>
      <c r="P312" s="110">
        <f t="shared" si="7"/>
        <v>2103750</v>
      </c>
      <c r="Q312" s="69" t="s">
        <v>26</v>
      </c>
      <c r="R312" s="109">
        <v>2103750</v>
      </c>
      <c r="S312" s="100" t="s">
        <v>416</v>
      </c>
      <c r="T312" s="110">
        <f>E312-F312-H312-J312-L312-N312-R312</f>
        <v>0</v>
      </c>
      <c r="V312" t="s">
        <v>27</v>
      </c>
    </row>
    <row r="313" spans="1:22" ht="15" customHeight="1" x14ac:dyDescent="0.25">
      <c r="A313" s="69">
        <v>499</v>
      </c>
      <c r="B313" s="35" t="s">
        <v>837</v>
      </c>
      <c r="C313" s="69" t="s">
        <v>383</v>
      </c>
      <c r="D313" s="69" t="s">
        <v>120</v>
      </c>
      <c r="E313" s="104">
        <v>8415000</v>
      </c>
      <c r="F313" s="109">
        <v>2103750</v>
      </c>
      <c r="G313" s="102" t="s">
        <v>833</v>
      </c>
      <c r="J313" s="109">
        <v>2103750</v>
      </c>
      <c r="K313" s="96" t="s">
        <v>793</v>
      </c>
      <c r="N313" s="109">
        <v>2103750</v>
      </c>
      <c r="O313" s="96" t="s">
        <v>798</v>
      </c>
      <c r="P313" s="110">
        <f t="shared" si="7"/>
        <v>2103750</v>
      </c>
      <c r="Q313" s="69" t="s">
        <v>26</v>
      </c>
      <c r="R313" s="109">
        <v>2103750</v>
      </c>
      <c r="S313" s="100" t="s">
        <v>113</v>
      </c>
      <c r="T313" s="110">
        <f>E313-F313-J313-N313-R313</f>
        <v>0</v>
      </c>
      <c r="V313" t="s">
        <v>27</v>
      </c>
    </row>
    <row r="314" spans="1:22" ht="15" customHeight="1" x14ac:dyDescent="0.25">
      <c r="A314" s="69">
        <v>500</v>
      </c>
      <c r="B314" s="35" t="s">
        <v>838</v>
      </c>
      <c r="C314" s="69" t="s">
        <v>839</v>
      </c>
      <c r="D314" s="69" t="s">
        <v>840</v>
      </c>
      <c r="E314" s="104">
        <v>8415000</v>
      </c>
      <c r="F314" s="109">
        <v>2103750</v>
      </c>
      <c r="G314" s="102" t="s">
        <v>833</v>
      </c>
      <c r="J314" s="109">
        <v>2103750</v>
      </c>
      <c r="K314" s="96" t="s">
        <v>793</v>
      </c>
      <c r="N314" s="109">
        <v>2103750</v>
      </c>
      <c r="O314" s="96" t="s">
        <v>798</v>
      </c>
      <c r="P314" s="110">
        <f t="shared" si="7"/>
        <v>2103750</v>
      </c>
      <c r="Q314" s="69" t="s">
        <v>26</v>
      </c>
      <c r="R314" s="109">
        <v>2103750</v>
      </c>
      <c r="S314" s="100" t="s">
        <v>281</v>
      </c>
      <c r="T314" s="110">
        <f>E314-F314-H314-J314-L314-N314-R314</f>
        <v>0</v>
      </c>
      <c r="V314" t="s">
        <v>27</v>
      </c>
    </row>
    <row r="315" spans="1:22" ht="15" customHeight="1" x14ac:dyDescent="0.25">
      <c r="A315" s="69">
        <v>506</v>
      </c>
      <c r="B315" s="35" t="s">
        <v>841</v>
      </c>
      <c r="C315" s="35" t="s">
        <v>418</v>
      </c>
      <c r="D315" s="35" t="s">
        <v>842</v>
      </c>
      <c r="E315" s="104">
        <v>9405000</v>
      </c>
      <c r="F315" s="109">
        <v>2232500</v>
      </c>
      <c r="G315" s="102" t="s">
        <v>833</v>
      </c>
      <c r="J315" s="109">
        <v>2232500</v>
      </c>
      <c r="K315" s="96" t="s">
        <v>793</v>
      </c>
      <c r="N315" s="104">
        <v>2470000</v>
      </c>
      <c r="O315" s="96" t="s">
        <v>798</v>
      </c>
      <c r="P315" s="110">
        <f t="shared" si="7"/>
        <v>2470000</v>
      </c>
      <c r="Q315" s="69" t="s">
        <v>26</v>
      </c>
      <c r="R315" s="109">
        <v>2470000</v>
      </c>
      <c r="S315" s="100" t="s">
        <v>281</v>
      </c>
      <c r="T315" s="110">
        <f>E315-F315-H315-J315-L315-N315-R315</f>
        <v>0</v>
      </c>
      <c r="V315" t="s">
        <v>27</v>
      </c>
    </row>
    <row r="316" spans="1:22" ht="15" customHeight="1" x14ac:dyDescent="0.25">
      <c r="A316" s="69">
        <v>527</v>
      </c>
      <c r="B316" s="35" t="s">
        <v>843</v>
      </c>
      <c r="C316" s="35" t="s">
        <v>844</v>
      </c>
      <c r="D316" s="35" t="s">
        <v>270</v>
      </c>
      <c r="E316" s="104">
        <v>8415000</v>
      </c>
      <c r="F316" s="109">
        <v>2103750</v>
      </c>
      <c r="G316" s="102" t="s">
        <v>332</v>
      </c>
      <c r="J316" s="109">
        <v>2103750</v>
      </c>
      <c r="K316" s="96" t="s">
        <v>836</v>
      </c>
      <c r="N316" s="109">
        <v>2103750</v>
      </c>
      <c r="O316" s="96" t="s">
        <v>798</v>
      </c>
      <c r="P316" s="110">
        <f t="shared" si="7"/>
        <v>2103750</v>
      </c>
      <c r="Q316" s="69" t="s">
        <v>26</v>
      </c>
      <c r="R316" s="109">
        <v>2103750</v>
      </c>
      <c r="S316" s="100" t="s">
        <v>113</v>
      </c>
      <c r="T316" s="110">
        <f>E316-F316-H316-J316-L316-N316-R316</f>
        <v>0</v>
      </c>
      <c r="V316" t="s">
        <v>27</v>
      </c>
    </row>
    <row r="317" spans="1:22" ht="15" customHeight="1" x14ac:dyDescent="0.25">
      <c r="A317" s="69">
        <v>17</v>
      </c>
      <c r="B317" s="35" t="s">
        <v>845</v>
      </c>
      <c r="C317" s="35" t="s">
        <v>846</v>
      </c>
      <c r="D317" s="35" t="s">
        <v>478</v>
      </c>
      <c r="E317" s="104">
        <v>8415000</v>
      </c>
      <c r="F317" s="109">
        <v>2103750</v>
      </c>
      <c r="G317" s="96" t="s">
        <v>132</v>
      </c>
      <c r="J317" s="109">
        <v>2103750</v>
      </c>
      <c r="K317" s="102" t="s">
        <v>823</v>
      </c>
      <c r="N317" s="109">
        <v>2103750</v>
      </c>
      <c r="O317" s="102" t="s">
        <v>847</v>
      </c>
      <c r="P317" s="110">
        <f t="shared" si="7"/>
        <v>2103750</v>
      </c>
      <c r="Q317" s="69" t="s">
        <v>26</v>
      </c>
      <c r="R317" s="109"/>
      <c r="V317" t="s">
        <v>27</v>
      </c>
    </row>
    <row r="318" spans="1:22" ht="15" customHeight="1" x14ac:dyDescent="0.25">
      <c r="A318" s="69">
        <v>104</v>
      </c>
      <c r="B318" s="35" t="s">
        <v>848</v>
      </c>
      <c r="C318" s="35" t="s">
        <v>849</v>
      </c>
      <c r="D318" s="35" t="s">
        <v>850</v>
      </c>
      <c r="E318" s="104">
        <v>8415000</v>
      </c>
      <c r="F318" s="109">
        <v>2103750</v>
      </c>
      <c r="G318" s="102" t="s">
        <v>373</v>
      </c>
      <c r="J318" s="109">
        <v>2103750</v>
      </c>
      <c r="K318" s="97" t="s">
        <v>325</v>
      </c>
      <c r="N318" s="109">
        <v>2103750</v>
      </c>
      <c r="O318" s="102" t="s">
        <v>847</v>
      </c>
      <c r="P318" s="110">
        <f t="shared" si="7"/>
        <v>2103750</v>
      </c>
      <c r="Q318" s="69" t="s">
        <v>26</v>
      </c>
      <c r="R318" s="109"/>
      <c r="V318" t="s">
        <v>27</v>
      </c>
    </row>
    <row r="319" spans="1:22" ht="15" customHeight="1" x14ac:dyDescent="0.25">
      <c r="A319" s="69">
        <v>289</v>
      </c>
      <c r="B319" s="35" t="s">
        <v>851</v>
      </c>
      <c r="C319" s="69" t="s">
        <v>852</v>
      </c>
      <c r="D319" s="69" t="s">
        <v>803</v>
      </c>
      <c r="E319" s="104">
        <v>8415000</v>
      </c>
      <c r="F319" s="109">
        <v>2103750</v>
      </c>
      <c r="G319" s="102" t="s">
        <v>853</v>
      </c>
      <c r="J319" s="109">
        <v>2103750</v>
      </c>
      <c r="K319" s="102" t="s">
        <v>813</v>
      </c>
      <c r="N319" s="109">
        <v>2103750</v>
      </c>
      <c r="O319" s="102" t="s">
        <v>847</v>
      </c>
      <c r="P319" s="110">
        <f t="shared" si="7"/>
        <v>2103750</v>
      </c>
      <c r="Q319" s="69" t="s">
        <v>26</v>
      </c>
      <c r="R319" s="109"/>
      <c r="V319" t="s">
        <v>27</v>
      </c>
    </row>
    <row r="320" spans="1:22" ht="15" customHeight="1" x14ac:dyDescent="0.25">
      <c r="A320" s="69">
        <v>291</v>
      </c>
      <c r="B320" s="35" t="s">
        <v>854</v>
      </c>
      <c r="C320" s="69" t="s">
        <v>855</v>
      </c>
      <c r="D320" s="69" t="s">
        <v>172</v>
      </c>
      <c r="E320" s="104">
        <v>8415000</v>
      </c>
      <c r="F320" s="109">
        <v>2103750</v>
      </c>
      <c r="G320" s="102" t="s">
        <v>853</v>
      </c>
      <c r="J320" s="109">
        <v>2103750</v>
      </c>
      <c r="K320" s="102" t="s">
        <v>648</v>
      </c>
      <c r="N320" s="109">
        <v>2103750</v>
      </c>
      <c r="O320" s="102" t="s">
        <v>847</v>
      </c>
      <c r="P320" s="110">
        <f t="shared" si="7"/>
        <v>2103750</v>
      </c>
      <c r="Q320" s="69" t="s">
        <v>26</v>
      </c>
      <c r="R320" s="109"/>
      <c r="V320" t="s">
        <v>27</v>
      </c>
    </row>
    <row r="321" spans="1:22" ht="15" customHeight="1" x14ac:dyDescent="0.25">
      <c r="A321" s="69">
        <v>293</v>
      </c>
      <c r="B321" s="35" t="s">
        <v>856</v>
      </c>
      <c r="C321" s="69" t="s">
        <v>857</v>
      </c>
      <c r="D321" s="69" t="s">
        <v>494</v>
      </c>
      <c r="E321" s="104">
        <v>8415000</v>
      </c>
      <c r="F321" s="109">
        <v>2103750</v>
      </c>
      <c r="G321" s="102" t="s">
        <v>853</v>
      </c>
      <c r="J321" s="109">
        <v>2103750</v>
      </c>
      <c r="K321" s="102" t="s">
        <v>823</v>
      </c>
      <c r="N321" s="109">
        <v>2103750</v>
      </c>
      <c r="O321" s="102" t="s">
        <v>847</v>
      </c>
      <c r="P321" s="110">
        <f t="shared" si="7"/>
        <v>2103750</v>
      </c>
      <c r="Q321" s="69" t="s">
        <v>26</v>
      </c>
      <c r="R321" s="109">
        <v>2103750</v>
      </c>
      <c r="T321" s="110">
        <f>E321-J321-N321-P321-R321</f>
        <v>0</v>
      </c>
      <c r="V321" t="s">
        <v>27</v>
      </c>
    </row>
    <row r="322" spans="1:22" ht="15" customHeight="1" x14ac:dyDescent="0.25">
      <c r="A322" s="69">
        <v>308</v>
      </c>
      <c r="B322" s="35" t="s">
        <v>858</v>
      </c>
      <c r="C322" s="69" t="s">
        <v>859</v>
      </c>
      <c r="D322" s="69" t="s">
        <v>207</v>
      </c>
      <c r="E322" s="104">
        <v>8415000</v>
      </c>
      <c r="F322" s="109">
        <v>2103750</v>
      </c>
      <c r="G322" s="96" t="s">
        <v>806</v>
      </c>
      <c r="J322" s="109">
        <v>2103750</v>
      </c>
      <c r="K322" s="102" t="s">
        <v>314</v>
      </c>
      <c r="N322" s="109">
        <v>2103750</v>
      </c>
      <c r="O322" s="102" t="s">
        <v>847</v>
      </c>
      <c r="P322" s="110">
        <f t="shared" si="7"/>
        <v>2103750</v>
      </c>
      <c r="Q322" s="69" t="s">
        <v>26</v>
      </c>
      <c r="R322" s="109"/>
      <c r="V322" t="s">
        <v>27</v>
      </c>
    </row>
    <row r="323" spans="1:22" ht="15" customHeight="1" x14ac:dyDescent="0.25">
      <c r="A323" s="69">
        <v>310</v>
      </c>
      <c r="B323" s="35" t="s">
        <v>860</v>
      </c>
      <c r="C323" s="69" t="s">
        <v>861</v>
      </c>
      <c r="D323" s="69" t="s">
        <v>862</v>
      </c>
      <c r="E323" s="104">
        <v>8415000</v>
      </c>
      <c r="F323" s="109">
        <v>2103750</v>
      </c>
      <c r="G323" s="96" t="s">
        <v>806</v>
      </c>
      <c r="J323" s="109">
        <v>2103750</v>
      </c>
      <c r="K323" s="102" t="s">
        <v>648</v>
      </c>
      <c r="N323" s="109">
        <v>2103750</v>
      </c>
      <c r="O323" s="102" t="s">
        <v>847</v>
      </c>
      <c r="P323" s="110">
        <f t="shared" si="7"/>
        <v>2103750</v>
      </c>
      <c r="Q323" s="69" t="s">
        <v>26</v>
      </c>
      <c r="R323" s="109"/>
      <c r="V323" t="s">
        <v>27</v>
      </c>
    </row>
    <row r="324" spans="1:22" ht="15" customHeight="1" x14ac:dyDescent="0.25">
      <c r="A324" s="69">
        <v>311</v>
      </c>
      <c r="B324" s="35" t="s">
        <v>863</v>
      </c>
      <c r="C324" s="69" t="s">
        <v>864</v>
      </c>
      <c r="D324" s="69" t="s">
        <v>182</v>
      </c>
      <c r="E324" s="104">
        <v>8415000</v>
      </c>
      <c r="F324" s="109">
        <v>2103750</v>
      </c>
      <c r="G324" s="96" t="s">
        <v>806</v>
      </c>
      <c r="J324" s="109">
        <v>2103750</v>
      </c>
      <c r="K324" s="102" t="s">
        <v>648</v>
      </c>
      <c r="N324" s="109">
        <v>2103750</v>
      </c>
      <c r="O324" s="102" t="s">
        <v>847</v>
      </c>
      <c r="P324" s="110">
        <f t="shared" si="7"/>
        <v>2103750</v>
      </c>
      <c r="Q324" s="69" t="s">
        <v>26</v>
      </c>
      <c r="R324" s="109"/>
      <c r="V324" t="s">
        <v>27</v>
      </c>
    </row>
    <row r="325" spans="1:22" ht="15" customHeight="1" x14ac:dyDescent="0.25">
      <c r="A325" s="69">
        <v>313</v>
      </c>
      <c r="B325" s="35" t="s">
        <v>865</v>
      </c>
      <c r="C325" s="69" t="s">
        <v>866</v>
      </c>
      <c r="D325" s="69" t="s">
        <v>867</v>
      </c>
      <c r="E325" s="104">
        <v>8415000</v>
      </c>
      <c r="F325" s="109">
        <v>2103750</v>
      </c>
      <c r="G325" s="96" t="s">
        <v>806</v>
      </c>
      <c r="J325" s="109">
        <v>2103750</v>
      </c>
      <c r="K325" s="96" t="s">
        <v>868</v>
      </c>
      <c r="N325" s="109">
        <v>2103750</v>
      </c>
      <c r="O325" s="102" t="s">
        <v>847</v>
      </c>
      <c r="P325" s="110">
        <f t="shared" si="7"/>
        <v>2103750</v>
      </c>
      <c r="Q325" s="69" t="s">
        <v>26</v>
      </c>
      <c r="R325" s="109"/>
      <c r="V325" t="s">
        <v>27</v>
      </c>
    </row>
    <row r="326" spans="1:22" ht="15" customHeight="1" x14ac:dyDescent="0.25">
      <c r="A326" s="69">
        <v>347</v>
      </c>
      <c r="B326" s="35" t="s">
        <v>869</v>
      </c>
      <c r="C326" s="69" t="s">
        <v>870</v>
      </c>
      <c r="D326" s="69" t="s">
        <v>284</v>
      </c>
      <c r="E326" s="104">
        <v>8415000</v>
      </c>
      <c r="F326" s="109">
        <v>2103750</v>
      </c>
      <c r="G326" s="96" t="s">
        <v>721</v>
      </c>
      <c r="J326" s="109">
        <v>2103750</v>
      </c>
      <c r="K326" s="102" t="s">
        <v>813</v>
      </c>
      <c r="N326" s="109">
        <v>2103750</v>
      </c>
      <c r="O326" s="102" t="s">
        <v>847</v>
      </c>
      <c r="P326" s="110">
        <f t="shared" si="7"/>
        <v>2103750</v>
      </c>
      <c r="Q326" s="69" t="s">
        <v>26</v>
      </c>
      <c r="R326" s="109">
        <v>2103750</v>
      </c>
      <c r="S326" s="100" t="s">
        <v>281</v>
      </c>
      <c r="T326" s="110">
        <f>E326-F326-H326-J326-L326-N326-R326</f>
        <v>0</v>
      </c>
      <c r="V326" t="s">
        <v>27</v>
      </c>
    </row>
    <row r="327" spans="1:22" ht="15" customHeight="1" x14ac:dyDescent="0.25">
      <c r="A327" s="69">
        <v>365</v>
      </c>
      <c r="B327" s="35" t="s">
        <v>871</v>
      </c>
      <c r="C327" s="69" t="s">
        <v>872</v>
      </c>
      <c r="D327" s="69" t="s">
        <v>812</v>
      </c>
      <c r="E327" s="104">
        <v>8415000</v>
      </c>
      <c r="F327" s="109">
        <v>2103750</v>
      </c>
      <c r="G327" s="102" t="s">
        <v>328</v>
      </c>
      <c r="J327" s="109">
        <v>2103750</v>
      </c>
      <c r="K327" s="96" t="s">
        <v>873</v>
      </c>
      <c r="N327" s="109">
        <v>2103750</v>
      </c>
      <c r="O327" s="102" t="s">
        <v>847</v>
      </c>
      <c r="P327" s="110">
        <f t="shared" si="7"/>
        <v>2103750</v>
      </c>
      <c r="Q327" s="69" t="s">
        <v>26</v>
      </c>
      <c r="R327" s="109">
        <v>2103750</v>
      </c>
      <c r="S327" s="100" t="s">
        <v>604</v>
      </c>
      <c r="T327" s="110">
        <f>E327-F327-H327-J327-L327-N327-R327</f>
        <v>0</v>
      </c>
      <c r="V327" t="s">
        <v>27</v>
      </c>
    </row>
    <row r="328" spans="1:22" ht="15" customHeight="1" x14ac:dyDescent="0.25">
      <c r="A328" s="69">
        <v>379</v>
      </c>
      <c r="B328" s="35" t="s">
        <v>874</v>
      </c>
      <c r="C328" s="69" t="s">
        <v>875</v>
      </c>
      <c r="D328" s="69" t="s">
        <v>22</v>
      </c>
      <c r="E328" s="104">
        <v>9405000</v>
      </c>
      <c r="F328" s="109">
        <v>2232500</v>
      </c>
      <c r="G328" s="102" t="s">
        <v>328</v>
      </c>
      <c r="J328" s="109">
        <v>2232500</v>
      </c>
      <c r="K328" s="102" t="s">
        <v>648</v>
      </c>
      <c r="N328" s="110">
        <v>2470000</v>
      </c>
      <c r="O328" s="102" t="s">
        <v>847</v>
      </c>
      <c r="P328" s="110">
        <f t="shared" si="7"/>
        <v>2470000</v>
      </c>
      <c r="Q328" s="69" t="s">
        <v>26</v>
      </c>
      <c r="R328" s="109">
        <v>2470000</v>
      </c>
      <c r="S328" s="99" t="s">
        <v>558</v>
      </c>
      <c r="T328" s="110">
        <f>E328-F328-H328-J328-L328-N328-R328</f>
        <v>0</v>
      </c>
      <c r="V328" t="s">
        <v>27</v>
      </c>
    </row>
    <row r="329" spans="1:22" ht="15" customHeight="1" x14ac:dyDescent="0.25">
      <c r="A329" s="69">
        <v>409</v>
      </c>
      <c r="B329" s="35" t="s">
        <v>876</v>
      </c>
      <c r="C329" s="69" t="s">
        <v>877</v>
      </c>
      <c r="D329" s="69" t="s">
        <v>484</v>
      </c>
      <c r="E329" s="104">
        <v>8415000</v>
      </c>
      <c r="F329" s="109">
        <v>2103750</v>
      </c>
      <c r="G329" s="102" t="s">
        <v>475</v>
      </c>
      <c r="J329" s="109">
        <v>2103750</v>
      </c>
      <c r="K329" s="96" t="s">
        <v>868</v>
      </c>
      <c r="N329" s="109">
        <v>2103750</v>
      </c>
      <c r="O329" s="102" t="s">
        <v>847</v>
      </c>
      <c r="P329" s="110">
        <f t="shared" si="7"/>
        <v>2103750</v>
      </c>
      <c r="Q329" s="69" t="s">
        <v>26</v>
      </c>
      <c r="R329" s="109">
        <v>2103750</v>
      </c>
      <c r="S329" s="99" t="s">
        <v>287</v>
      </c>
      <c r="T329" s="110">
        <f>E329-F329-H329-J329-L329-N329-R329</f>
        <v>0</v>
      </c>
      <c r="V329" t="s">
        <v>27</v>
      </c>
    </row>
    <row r="330" spans="1:22" ht="15" customHeight="1" x14ac:dyDescent="0.25">
      <c r="A330" s="69">
        <v>421</v>
      </c>
      <c r="B330" s="35" t="s">
        <v>878</v>
      </c>
      <c r="C330" s="69" t="s">
        <v>879</v>
      </c>
      <c r="D330" s="69" t="s">
        <v>120</v>
      </c>
      <c r="E330" s="104">
        <v>8415000</v>
      </c>
      <c r="F330" s="109">
        <v>2103750</v>
      </c>
      <c r="G330" s="96" t="s">
        <v>145</v>
      </c>
      <c r="J330" s="109">
        <v>2103750</v>
      </c>
      <c r="K330" s="102" t="s">
        <v>813</v>
      </c>
      <c r="N330" s="109">
        <v>2103750</v>
      </c>
      <c r="O330" s="102" t="s">
        <v>847</v>
      </c>
      <c r="P330" s="110">
        <f t="shared" si="7"/>
        <v>2103750</v>
      </c>
      <c r="Q330" s="69" t="s">
        <v>26</v>
      </c>
      <c r="R330" s="109">
        <v>2103750</v>
      </c>
      <c r="S330" s="100" t="s">
        <v>113</v>
      </c>
      <c r="T330" s="110">
        <f>E330-F330-J330-N330-R330</f>
        <v>0</v>
      </c>
      <c r="V330" t="s">
        <v>27</v>
      </c>
    </row>
    <row r="331" spans="1:22" ht="15" customHeight="1" x14ac:dyDescent="0.25">
      <c r="A331" s="69">
        <v>535</v>
      </c>
      <c r="B331" s="35" t="s">
        <v>880</v>
      </c>
      <c r="C331" s="69" t="s">
        <v>154</v>
      </c>
      <c r="D331" s="69" t="s">
        <v>88</v>
      </c>
      <c r="E331" s="104">
        <v>8415000</v>
      </c>
      <c r="F331" s="109">
        <v>2103750</v>
      </c>
      <c r="G331" s="102" t="s">
        <v>332</v>
      </c>
      <c r="J331" s="109">
        <v>2103750</v>
      </c>
      <c r="K331" s="102" t="s">
        <v>314</v>
      </c>
      <c r="N331" s="109">
        <v>2103750</v>
      </c>
      <c r="O331" s="102" t="s">
        <v>847</v>
      </c>
      <c r="P331" s="110">
        <f t="shared" si="7"/>
        <v>2103750</v>
      </c>
      <c r="Q331" s="69" t="s">
        <v>26</v>
      </c>
      <c r="R331" s="109">
        <v>2103750</v>
      </c>
      <c r="S331" s="99" t="s">
        <v>558</v>
      </c>
      <c r="T331" s="110">
        <f>E331-F331-H331-J331-L331-N331-R331</f>
        <v>0</v>
      </c>
      <c r="V331" t="s">
        <v>27</v>
      </c>
    </row>
    <row r="332" spans="1:22" ht="15" customHeight="1" x14ac:dyDescent="0.25">
      <c r="A332" s="69">
        <v>551</v>
      </c>
      <c r="B332" s="35" t="s">
        <v>881</v>
      </c>
      <c r="C332" s="69" t="s">
        <v>882</v>
      </c>
      <c r="D332" s="69" t="s">
        <v>151</v>
      </c>
      <c r="E332" s="104">
        <v>8415000</v>
      </c>
      <c r="F332" s="109">
        <v>2103750</v>
      </c>
      <c r="G332" s="96" t="s">
        <v>482</v>
      </c>
      <c r="J332" s="109">
        <v>2103750</v>
      </c>
      <c r="K332" s="97" t="s">
        <v>325</v>
      </c>
      <c r="N332" s="109">
        <v>2103750</v>
      </c>
      <c r="O332" s="102" t="s">
        <v>847</v>
      </c>
      <c r="P332" s="110">
        <f t="shared" si="7"/>
        <v>2103750</v>
      </c>
      <c r="Q332" s="69" t="s">
        <v>26</v>
      </c>
      <c r="R332" s="109">
        <v>2103750</v>
      </c>
      <c r="S332" s="99" t="s">
        <v>558</v>
      </c>
      <c r="T332" s="110">
        <f>E332-F332-H332-J332-L332-N332-R332</f>
        <v>0</v>
      </c>
      <c r="V332" t="s">
        <v>27</v>
      </c>
    </row>
    <row r="333" spans="1:22" ht="15" customHeight="1" x14ac:dyDescent="0.25">
      <c r="A333" s="69">
        <v>682</v>
      </c>
      <c r="B333" s="35" t="s">
        <v>883</v>
      </c>
      <c r="C333" s="35" t="s">
        <v>884</v>
      </c>
      <c r="D333" s="35" t="s">
        <v>54</v>
      </c>
      <c r="E333" s="104">
        <v>4940000</v>
      </c>
      <c r="K333" s="69" t="s">
        <v>177</v>
      </c>
      <c r="N333" s="104">
        <v>2470000</v>
      </c>
      <c r="O333" s="102" t="s">
        <v>847</v>
      </c>
      <c r="P333" s="110">
        <f t="shared" si="7"/>
        <v>2470000</v>
      </c>
      <c r="Q333" s="69" t="s">
        <v>26</v>
      </c>
      <c r="R333" s="109">
        <v>2470000</v>
      </c>
      <c r="S333" s="100" t="s">
        <v>604</v>
      </c>
      <c r="T333" s="110">
        <f>E333-F333-J333-N333-R333</f>
        <v>0</v>
      </c>
      <c r="V333" t="s">
        <v>27</v>
      </c>
    </row>
    <row r="334" spans="1:22" ht="15" customHeight="1" x14ac:dyDescent="0.25">
      <c r="A334" s="69">
        <v>103</v>
      </c>
      <c r="B334" s="35" t="s">
        <v>885</v>
      </c>
      <c r="C334" s="69" t="s">
        <v>886</v>
      </c>
      <c r="D334" s="69" t="s">
        <v>887</v>
      </c>
      <c r="E334" s="104">
        <v>8415000</v>
      </c>
      <c r="F334" s="109">
        <v>2103750</v>
      </c>
      <c r="G334" s="102" t="s">
        <v>373</v>
      </c>
      <c r="J334" s="109">
        <v>2103750</v>
      </c>
      <c r="K334" s="97" t="s">
        <v>325</v>
      </c>
      <c r="N334" s="109">
        <v>2103750</v>
      </c>
      <c r="O334" s="96" t="s">
        <v>888</v>
      </c>
      <c r="P334" s="110">
        <f t="shared" si="7"/>
        <v>2103750</v>
      </c>
      <c r="Q334" s="69" t="s">
        <v>26</v>
      </c>
      <c r="R334" s="109">
        <v>2103750</v>
      </c>
      <c r="S334" s="100" t="s">
        <v>113</v>
      </c>
      <c r="T334" s="110">
        <f>E334-F334-J334-N334-R334</f>
        <v>0</v>
      </c>
      <c r="V334" t="s">
        <v>27</v>
      </c>
    </row>
    <row r="335" spans="1:22" ht="15" customHeight="1" x14ac:dyDescent="0.25">
      <c r="A335" s="69">
        <v>121</v>
      </c>
      <c r="B335" s="35" t="s">
        <v>889</v>
      </c>
      <c r="C335" s="69" t="s">
        <v>358</v>
      </c>
      <c r="D335" s="69" t="s">
        <v>384</v>
      </c>
      <c r="E335" s="104">
        <v>8415000</v>
      </c>
      <c r="F335" s="109">
        <v>2103750</v>
      </c>
      <c r="G335" s="96" t="s">
        <v>266</v>
      </c>
      <c r="J335" s="109">
        <v>2103750</v>
      </c>
      <c r="K335" s="102" t="s">
        <v>267</v>
      </c>
      <c r="N335" s="109">
        <v>2103750</v>
      </c>
      <c r="O335" s="96" t="s">
        <v>888</v>
      </c>
      <c r="P335" s="110">
        <f t="shared" si="7"/>
        <v>2103750</v>
      </c>
      <c r="Q335" s="69" t="s">
        <v>26</v>
      </c>
      <c r="R335" s="109"/>
      <c r="V335" t="s">
        <v>27</v>
      </c>
    </row>
    <row r="336" spans="1:22" ht="15" customHeight="1" x14ac:dyDescent="0.25">
      <c r="A336" s="69">
        <v>287</v>
      </c>
      <c r="B336" s="35" t="s">
        <v>890</v>
      </c>
      <c r="C336" s="69" t="s">
        <v>852</v>
      </c>
      <c r="D336" s="69" t="s">
        <v>294</v>
      </c>
      <c r="E336" s="104">
        <v>8415000</v>
      </c>
      <c r="F336" s="109">
        <v>2103750</v>
      </c>
      <c r="G336" s="102" t="s">
        <v>853</v>
      </c>
      <c r="J336" s="109">
        <v>2103750</v>
      </c>
      <c r="K336" s="96" t="s">
        <v>868</v>
      </c>
      <c r="N336" s="109">
        <v>2103750</v>
      </c>
      <c r="O336" s="96" t="s">
        <v>888</v>
      </c>
      <c r="P336" s="110">
        <f t="shared" si="7"/>
        <v>2103750</v>
      </c>
      <c r="Q336" s="69" t="s">
        <v>26</v>
      </c>
      <c r="R336" s="109">
        <v>2103750</v>
      </c>
      <c r="S336" s="99" t="s">
        <v>558</v>
      </c>
      <c r="T336" s="110">
        <f>E336-F336-H336-J336-L336-N336-R336</f>
        <v>0</v>
      </c>
      <c r="V336" t="s">
        <v>27</v>
      </c>
    </row>
    <row r="337" spans="1:22" ht="15" customHeight="1" x14ac:dyDescent="0.25">
      <c r="A337" s="69">
        <v>296</v>
      </c>
      <c r="B337" s="35" t="s">
        <v>891</v>
      </c>
      <c r="C337" s="69" t="s">
        <v>892</v>
      </c>
      <c r="D337" s="69" t="s">
        <v>311</v>
      </c>
      <c r="E337" s="104">
        <v>8415000</v>
      </c>
      <c r="F337" s="109">
        <v>2103750</v>
      </c>
      <c r="G337" s="102" t="s">
        <v>853</v>
      </c>
      <c r="J337" s="109">
        <v>2103750</v>
      </c>
      <c r="K337" s="96" t="s">
        <v>868</v>
      </c>
      <c r="N337" s="109">
        <v>2103750</v>
      </c>
      <c r="O337" s="96" t="s">
        <v>888</v>
      </c>
      <c r="P337" s="110">
        <f t="shared" si="7"/>
        <v>2103750</v>
      </c>
      <c r="Q337" s="69" t="s">
        <v>26</v>
      </c>
      <c r="R337" s="109"/>
      <c r="V337" t="s">
        <v>27</v>
      </c>
    </row>
    <row r="338" spans="1:22" ht="15" customHeight="1" x14ac:dyDescent="0.25">
      <c r="A338" s="69">
        <v>297</v>
      </c>
      <c r="B338" s="35" t="s">
        <v>893</v>
      </c>
      <c r="C338" s="69" t="s">
        <v>894</v>
      </c>
      <c r="D338" s="69" t="s">
        <v>182</v>
      </c>
      <c r="E338" s="104">
        <v>8415000</v>
      </c>
      <c r="F338" s="109">
        <v>2103750</v>
      </c>
      <c r="G338" s="102" t="s">
        <v>853</v>
      </c>
      <c r="J338" s="109">
        <v>2103750</v>
      </c>
      <c r="K338" s="96" t="s">
        <v>873</v>
      </c>
      <c r="N338" s="109">
        <v>2103750</v>
      </c>
      <c r="O338" s="96" t="s">
        <v>888</v>
      </c>
      <c r="P338" s="110">
        <f t="shared" si="7"/>
        <v>2103750</v>
      </c>
      <c r="Q338" s="69" t="s">
        <v>26</v>
      </c>
      <c r="R338" s="109">
        <v>2103750</v>
      </c>
      <c r="S338" s="99" t="s">
        <v>748</v>
      </c>
      <c r="T338" s="110">
        <f>E338-F338-H338-J338-L338-N338-R338</f>
        <v>0</v>
      </c>
      <c r="V338" t="s">
        <v>27</v>
      </c>
    </row>
    <row r="339" spans="1:22" ht="15" customHeight="1" x14ac:dyDescent="0.25">
      <c r="A339" s="69">
        <v>312</v>
      </c>
      <c r="B339" s="35" t="s">
        <v>895</v>
      </c>
      <c r="C339" s="69" t="s">
        <v>896</v>
      </c>
      <c r="D339" s="69" t="s">
        <v>897</v>
      </c>
      <c r="E339" s="104">
        <v>8415000</v>
      </c>
      <c r="F339" s="109">
        <v>2103750</v>
      </c>
      <c r="G339" s="96" t="s">
        <v>806</v>
      </c>
      <c r="J339" s="109">
        <v>2103750</v>
      </c>
      <c r="K339" s="96" t="s">
        <v>868</v>
      </c>
      <c r="N339" s="109">
        <v>2103750</v>
      </c>
      <c r="O339" s="96" t="s">
        <v>888</v>
      </c>
      <c r="P339" s="110">
        <f t="shared" si="7"/>
        <v>2103750</v>
      </c>
      <c r="Q339" s="69" t="s">
        <v>26</v>
      </c>
      <c r="R339" s="109">
        <v>2103750</v>
      </c>
      <c r="S339" s="100" t="s">
        <v>113</v>
      </c>
      <c r="T339" s="110">
        <f>E339-F339-H339-J339-L339-N339-R339</f>
        <v>0</v>
      </c>
      <c r="V339" t="s">
        <v>27</v>
      </c>
    </row>
    <row r="340" spans="1:22" ht="15" customHeight="1" x14ac:dyDescent="0.25">
      <c r="A340" s="69">
        <v>314</v>
      </c>
      <c r="B340" s="35" t="s">
        <v>898</v>
      </c>
      <c r="C340" s="69" t="s">
        <v>899</v>
      </c>
      <c r="D340" s="69" t="s">
        <v>294</v>
      </c>
      <c r="E340" s="104">
        <v>8415000</v>
      </c>
      <c r="F340" s="109">
        <v>2103750</v>
      </c>
      <c r="G340" s="96" t="s">
        <v>806</v>
      </c>
      <c r="J340" s="109">
        <v>2103750</v>
      </c>
      <c r="K340" s="96" t="s">
        <v>868</v>
      </c>
      <c r="N340" s="109">
        <v>2103750</v>
      </c>
      <c r="O340" s="96" t="s">
        <v>888</v>
      </c>
      <c r="P340" s="110">
        <f t="shared" ref="P340:P365" si="8">E340-F340-H340-J340-L340-N340</f>
        <v>2103750</v>
      </c>
      <c r="Q340" s="69" t="s">
        <v>26</v>
      </c>
      <c r="R340" s="109"/>
      <c r="V340" t="s">
        <v>27</v>
      </c>
    </row>
    <row r="341" spans="1:22" ht="15" customHeight="1" x14ac:dyDescent="0.25">
      <c r="A341" s="69">
        <v>346</v>
      </c>
      <c r="B341" s="35" t="s">
        <v>900</v>
      </c>
      <c r="C341" s="69" t="s">
        <v>901</v>
      </c>
      <c r="D341" s="69" t="s">
        <v>902</v>
      </c>
      <c r="E341" s="104">
        <v>8415000</v>
      </c>
      <c r="F341" s="109">
        <v>2103750</v>
      </c>
      <c r="G341" s="96" t="s">
        <v>721</v>
      </c>
      <c r="J341" s="109">
        <v>2103750</v>
      </c>
      <c r="K341" s="102" t="s">
        <v>648</v>
      </c>
      <c r="N341" s="109">
        <v>2103750</v>
      </c>
      <c r="O341" s="96" t="s">
        <v>888</v>
      </c>
      <c r="P341" s="110">
        <f t="shared" si="8"/>
        <v>2103750</v>
      </c>
      <c r="Q341" s="69" t="s">
        <v>26</v>
      </c>
      <c r="R341" s="109">
        <v>2103750</v>
      </c>
      <c r="S341" s="100" t="s">
        <v>604</v>
      </c>
      <c r="T341" s="110">
        <f>E341-F341-H341-J341-L341-N341-R341</f>
        <v>0</v>
      </c>
      <c r="V341" t="s">
        <v>27</v>
      </c>
    </row>
    <row r="342" spans="1:22" ht="15" customHeight="1" x14ac:dyDescent="0.25">
      <c r="A342" s="69">
        <v>352</v>
      </c>
      <c r="B342" s="35" t="s">
        <v>903</v>
      </c>
      <c r="C342" s="69" t="s">
        <v>904</v>
      </c>
      <c r="D342" s="69" t="s">
        <v>470</v>
      </c>
      <c r="E342" s="104">
        <v>8415000</v>
      </c>
      <c r="F342" s="109">
        <v>2103750</v>
      </c>
      <c r="G342" s="96" t="s">
        <v>721</v>
      </c>
      <c r="J342" s="109">
        <v>2103750</v>
      </c>
      <c r="K342" s="96" t="s">
        <v>873</v>
      </c>
      <c r="N342" s="109">
        <v>2103750</v>
      </c>
      <c r="O342" s="96" t="s">
        <v>888</v>
      </c>
      <c r="P342" s="110">
        <f t="shared" si="8"/>
        <v>2103750</v>
      </c>
      <c r="Q342" s="69" t="s">
        <v>26</v>
      </c>
      <c r="R342" s="109">
        <v>2103750</v>
      </c>
      <c r="S342" s="100" t="s">
        <v>604</v>
      </c>
      <c r="T342" s="110">
        <f>E342-F342-H342-J342-L342-N342-R342</f>
        <v>0</v>
      </c>
      <c r="V342" t="s">
        <v>27</v>
      </c>
    </row>
    <row r="343" spans="1:22" ht="15" customHeight="1" x14ac:dyDescent="0.25">
      <c r="A343" s="69">
        <v>366</v>
      </c>
      <c r="B343" s="35" t="s">
        <v>905</v>
      </c>
      <c r="C343" s="69" t="s">
        <v>906</v>
      </c>
      <c r="D343" s="69" t="s">
        <v>907</v>
      </c>
      <c r="E343" s="104">
        <v>8415000</v>
      </c>
      <c r="F343" s="109">
        <v>2103750</v>
      </c>
      <c r="G343" s="102" t="s">
        <v>328</v>
      </c>
      <c r="J343" s="109">
        <v>2103750</v>
      </c>
      <c r="K343" s="102" t="s">
        <v>813</v>
      </c>
      <c r="N343" s="109">
        <v>2103750</v>
      </c>
      <c r="O343" s="96" t="s">
        <v>888</v>
      </c>
      <c r="P343" s="110">
        <f t="shared" si="8"/>
        <v>2103750</v>
      </c>
      <c r="Q343" s="69" t="s">
        <v>26</v>
      </c>
      <c r="R343" s="109"/>
      <c r="V343" t="s">
        <v>27</v>
      </c>
    </row>
    <row r="344" spans="1:22" ht="15" customHeight="1" x14ac:dyDescent="0.25">
      <c r="A344" s="69">
        <v>501</v>
      </c>
      <c r="B344" s="35" t="s">
        <v>908</v>
      </c>
      <c r="C344" s="69" t="s">
        <v>909</v>
      </c>
      <c r="D344" s="69" t="s">
        <v>421</v>
      </c>
      <c r="E344" s="104">
        <v>8415000</v>
      </c>
      <c r="F344" s="109">
        <v>2103750</v>
      </c>
      <c r="G344" s="102" t="s">
        <v>833</v>
      </c>
      <c r="J344" s="109">
        <v>2103750</v>
      </c>
      <c r="K344" s="102" t="s">
        <v>85</v>
      </c>
      <c r="N344" s="109">
        <v>2103750</v>
      </c>
      <c r="O344" s="96" t="s">
        <v>888</v>
      </c>
      <c r="P344" s="110">
        <f t="shared" si="8"/>
        <v>2103750</v>
      </c>
      <c r="Q344" s="69" t="s">
        <v>26</v>
      </c>
      <c r="R344" s="109"/>
      <c r="V344" t="s">
        <v>27</v>
      </c>
    </row>
    <row r="345" spans="1:22" ht="15" customHeight="1" x14ac:dyDescent="0.25">
      <c r="A345" s="69">
        <v>528</v>
      </c>
      <c r="B345" s="35" t="s">
        <v>910</v>
      </c>
      <c r="C345" s="69" t="s">
        <v>911</v>
      </c>
      <c r="D345" s="69" t="s">
        <v>78</v>
      </c>
      <c r="E345" s="104">
        <v>8415000</v>
      </c>
      <c r="F345" s="109">
        <v>2103750</v>
      </c>
      <c r="G345" s="102" t="s">
        <v>332</v>
      </c>
      <c r="J345" s="109">
        <v>2103750</v>
      </c>
      <c r="K345" s="102" t="s">
        <v>314</v>
      </c>
      <c r="N345" s="109">
        <v>2103750</v>
      </c>
      <c r="O345" s="96" t="s">
        <v>888</v>
      </c>
      <c r="P345" s="110">
        <f t="shared" si="8"/>
        <v>2103750</v>
      </c>
      <c r="Q345" s="69" t="s">
        <v>26</v>
      </c>
      <c r="R345" s="109"/>
      <c r="V345" t="s">
        <v>27</v>
      </c>
    </row>
    <row r="346" spans="1:22" ht="15" customHeight="1" x14ac:dyDescent="0.25">
      <c r="A346" s="69">
        <v>531</v>
      </c>
      <c r="B346" s="35" t="s">
        <v>912</v>
      </c>
      <c r="C346" s="69" t="s">
        <v>913</v>
      </c>
      <c r="D346" s="69" t="s">
        <v>914</v>
      </c>
      <c r="E346" s="104">
        <v>8415000</v>
      </c>
      <c r="F346" s="109">
        <v>2103750</v>
      </c>
      <c r="G346" s="102" t="s">
        <v>332</v>
      </c>
      <c r="J346" s="109">
        <v>2103750</v>
      </c>
      <c r="K346" s="102" t="s">
        <v>314</v>
      </c>
      <c r="N346" s="109">
        <v>2103750</v>
      </c>
      <c r="O346" s="96" t="s">
        <v>888</v>
      </c>
      <c r="P346" s="110">
        <f t="shared" si="8"/>
        <v>2103750</v>
      </c>
      <c r="Q346" s="69" t="s">
        <v>26</v>
      </c>
      <c r="R346" s="109"/>
      <c r="V346" t="s">
        <v>27</v>
      </c>
    </row>
    <row r="347" spans="1:22" ht="15" customHeight="1" x14ac:dyDescent="0.25">
      <c r="A347" s="69">
        <v>545</v>
      </c>
      <c r="B347" s="35" t="s">
        <v>915</v>
      </c>
      <c r="C347" s="69" t="s">
        <v>916</v>
      </c>
      <c r="D347" s="69" t="s">
        <v>157</v>
      </c>
      <c r="E347" s="104">
        <v>8415000</v>
      </c>
      <c r="F347" s="109">
        <v>2103750</v>
      </c>
      <c r="G347" s="96" t="s">
        <v>482</v>
      </c>
      <c r="J347" s="109">
        <v>2103750</v>
      </c>
      <c r="K347" s="97" t="s">
        <v>325</v>
      </c>
      <c r="N347" s="109">
        <v>2103750</v>
      </c>
      <c r="O347" s="96" t="s">
        <v>888</v>
      </c>
      <c r="P347" s="110">
        <f t="shared" si="8"/>
        <v>2103750</v>
      </c>
      <c r="Q347" s="69" t="s">
        <v>26</v>
      </c>
      <c r="R347" s="109">
        <v>2103750</v>
      </c>
      <c r="S347" s="99" t="s">
        <v>44</v>
      </c>
      <c r="T347" s="110">
        <f>E347-F347-J347-N347-R347</f>
        <v>0</v>
      </c>
      <c r="V347" t="s">
        <v>27</v>
      </c>
    </row>
    <row r="348" spans="1:22" ht="15" customHeight="1" x14ac:dyDescent="0.25">
      <c r="A348" s="69">
        <v>634</v>
      </c>
      <c r="B348" s="35" t="s">
        <v>917</v>
      </c>
      <c r="C348" s="69" t="s">
        <v>197</v>
      </c>
      <c r="D348" s="69" t="s">
        <v>50</v>
      </c>
      <c r="E348" s="104">
        <v>8415000</v>
      </c>
      <c r="F348" s="109"/>
      <c r="H348" s="109">
        <v>2103750</v>
      </c>
      <c r="I348" s="96" t="s">
        <v>98</v>
      </c>
      <c r="J348" s="109">
        <v>2103750</v>
      </c>
      <c r="K348" s="102" t="s">
        <v>85</v>
      </c>
      <c r="N348" s="109">
        <v>2103750</v>
      </c>
      <c r="O348" s="96" t="s">
        <v>888</v>
      </c>
      <c r="P348" s="110">
        <f t="shared" si="8"/>
        <v>2103750</v>
      </c>
      <c r="Q348" s="69" t="s">
        <v>26</v>
      </c>
      <c r="R348" s="109">
        <v>2103750</v>
      </c>
      <c r="S348" s="99" t="s">
        <v>748</v>
      </c>
      <c r="T348" s="110">
        <f>E348-F348-H348-J348-L348-N348-R348</f>
        <v>0</v>
      </c>
      <c r="V348" t="s">
        <v>27</v>
      </c>
    </row>
    <row r="349" spans="1:22" ht="15" customHeight="1" x14ac:dyDescent="0.25">
      <c r="A349" s="69">
        <v>635</v>
      </c>
      <c r="B349" s="35" t="s">
        <v>918</v>
      </c>
      <c r="C349" s="69" t="s">
        <v>919</v>
      </c>
      <c r="D349" s="69" t="s">
        <v>50</v>
      </c>
      <c r="E349" s="104">
        <v>8415000</v>
      </c>
      <c r="F349" s="109"/>
      <c r="H349" s="109">
        <v>2103750</v>
      </c>
      <c r="I349" s="96" t="s">
        <v>98</v>
      </c>
      <c r="J349" s="109">
        <v>2103750</v>
      </c>
      <c r="K349" s="102" t="s">
        <v>644</v>
      </c>
      <c r="N349" s="109">
        <v>2103750</v>
      </c>
      <c r="O349" s="96" t="s">
        <v>888</v>
      </c>
      <c r="P349" s="110">
        <f t="shared" si="8"/>
        <v>2103750</v>
      </c>
      <c r="Q349" s="69" t="s">
        <v>26</v>
      </c>
      <c r="R349" s="109">
        <v>2103750</v>
      </c>
      <c r="S349" s="100" t="s">
        <v>281</v>
      </c>
      <c r="T349" s="110">
        <f>E349-F349-H349-J349-L349-N349-R349</f>
        <v>0</v>
      </c>
      <c r="V349" t="s">
        <v>27</v>
      </c>
    </row>
    <row r="350" spans="1:22" ht="15" customHeight="1" x14ac:dyDescent="0.25">
      <c r="A350" s="69">
        <v>742</v>
      </c>
      <c r="B350" s="35" t="s">
        <v>920</v>
      </c>
      <c r="C350" s="35" t="s">
        <v>921</v>
      </c>
      <c r="D350" s="35" t="s">
        <v>922</v>
      </c>
      <c r="E350" s="104">
        <v>8415000</v>
      </c>
      <c r="J350" s="109">
        <v>2103750</v>
      </c>
      <c r="K350" s="98" t="s">
        <v>35</v>
      </c>
      <c r="N350" s="109">
        <v>2103750</v>
      </c>
      <c r="O350" s="96" t="s">
        <v>888</v>
      </c>
      <c r="P350" s="110">
        <f t="shared" si="8"/>
        <v>4207500</v>
      </c>
      <c r="R350" s="109"/>
      <c r="V350" t="s">
        <v>27</v>
      </c>
    </row>
    <row r="351" spans="1:22" ht="15" customHeight="1" x14ac:dyDescent="0.25">
      <c r="A351" s="69">
        <v>285</v>
      </c>
      <c r="B351" s="35" t="s">
        <v>923</v>
      </c>
      <c r="C351" s="69" t="s">
        <v>154</v>
      </c>
      <c r="D351" s="69" t="s">
        <v>88</v>
      </c>
      <c r="E351" s="104">
        <v>9405000</v>
      </c>
      <c r="F351" s="109">
        <v>2232500</v>
      </c>
      <c r="G351" s="96" t="s">
        <v>471</v>
      </c>
      <c r="J351" s="109">
        <v>2232500</v>
      </c>
      <c r="K351" s="102" t="s">
        <v>823</v>
      </c>
      <c r="L351" s="104"/>
      <c r="N351" s="110">
        <v>2470000</v>
      </c>
      <c r="O351" s="102" t="s">
        <v>924</v>
      </c>
      <c r="P351" s="110">
        <f t="shared" si="8"/>
        <v>2470000</v>
      </c>
      <c r="Q351" s="69" t="s">
        <v>26</v>
      </c>
      <c r="R351" s="109">
        <v>2470000</v>
      </c>
      <c r="S351" s="99" t="s">
        <v>287</v>
      </c>
      <c r="T351" s="110">
        <f>E351-F351-H351-J351-L351-N351-R351</f>
        <v>0</v>
      </c>
      <c r="V351" t="s">
        <v>27</v>
      </c>
    </row>
    <row r="352" spans="1:22" ht="15" customHeight="1" x14ac:dyDescent="0.25">
      <c r="A352" s="69">
        <v>290</v>
      </c>
      <c r="B352" s="35" t="s">
        <v>925</v>
      </c>
      <c r="C352" s="69" t="s">
        <v>926</v>
      </c>
      <c r="D352" s="69" t="s">
        <v>138</v>
      </c>
      <c r="E352" s="104">
        <v>8415000</v>
      </c>
      <c r="F352" s="109">
        <v>2103750</v>
      </c>
      <c r="G352" s="102" t="s">
        <v>853</v>
      </c>
      <c r="J352" s="109">
        <v>2103750</v>
      </c>
      <c r="K352" s="102" t="s">
        <v>314</v>
      </c>
      <c r="N352" s="109">
        <v>2103750</v>
      </c>
      <c r="O352" s="102" t="s">
        <v>924</v>
      </c>
      <c r="P352" s="110">
        <f t="shared" si="8"/>
        <v>2103750</v>
      </c>
      <c r="Q352" s="69" t="s">
        <v>26</v>
      </c>
      <c r="R352" s="109"/>
      <c r="V352" t="s">
        <v>27</v>
      </c>
    </row>
    <row r="353" spans="1:22" x14ac:dyDescent="0.25">
      <c r="A353" s="69">
        <v>323</v>
      </c>
      <c r="B353" s="35" t="s">
        <v>927</v>
      </c>
      <c r="C353" s="69" t="s">
        <v>928</v>
      </c>
      <c r="D353" s="69" t="s">
        <v>929</v>
      </c>
      <c r="E353" s="104">
        <v>8415000</v>
      </c>
      <c r="F353" s="109">
        <v>2103750</v>
      </c>
      <c r="G353" s="102" t="s">
        <v>564</v>
      </c>
      <c r="J353" s="109">
        <v>2103750</v>
      </c>
      <c r="K353" s="102" t="s">
        <v>85</v>
      </c>
      <c r="N353" s="109">
        <v>2103750</v>
      </c>
      <c r="O353" s="102" t="s">
        <v>924</v>
      </c>
      <c r="P353" s="110">
        <f t="shared" si="8"/>
        <v>2103750</v>
      </c>
      <c r="Q353" s="69" t="s">
        <v>26</v>
      </c>
      <c r="R353" s="109">
        <v>2103750</v>
      </c>
      <c r="S353" s="100" t="s">
        <v>281</v>
      </c>
      <c r="T353" s="110">
        <f>E353-F353-H353-J353-L353-N353-R353</f>
        <v>0</v>
      </c>
      <c r="V353" t="s">
        <v>27</v>
      </c>
    </row>
    <row r="354" spans="1:22" ht="15" customHeight="1" x14ac:dyDescent="0.25">
      <c r="A354" s="69">
        <v>326</v>
      </c>
      <c r="B354" s="35" t="s">
        <v>930</v>
      </c>
      <c r="C354" s="69" t="s">
        <v>931</v>
      </c>
      <c r="D354" s="69" t="s">
        <v>517</v>
      </c>
      <c r="E354" s="104">
        <v>8415000</v>
      </c>
      <c r="F354" s="109">
        <v>2103750</v>
      </c>
      <c r="G354" s="102" t="s">
        <v>564</v>
      </c>
      <c r="J354" s="109">
        <v>2103750</v>
      </c>
      <c r="K354" s="96" t="s">
        <v>793</v>
      </c>
      <c r="N354" s="109">
        <v>2103750</v>
      </c>
      <c r="O354" s="102" t="s">
        <v>924</v>
      </c>
      <c r="P354" s="110">
        <f t="shared" si="8"/>
        <v>2103750</v>
      </c>
      <c r="Q354" s="69" t="s">
        <v>26</v>
      </c>
      <c r="R354" s="109">
        <v>2103750</v>
      </c>
      <c r="S354" s="99" t="s">
        <v>287</v>
      </c>
      <c r="T354" s="110">
        <f>E354-F354-J354-N354-R354</f>
        <v>0</v>
      </c>
      <c r="V354" t="s">
        <v>27</v>
      </c>
    </row>
    <row r="355" spans="1:22" ht="15" customHeight="1" x14ac:dyDescent="0.25">
      <c r="A355" s="69">
        <v>333</v>
      </c>
      <c r="B355" s="35" t="s">
        <v>932</v>
      </c>
      <c r="C355" s="69" t="s">
        <v>683</v>
      </c>
      <c r="D355" s="69" t="s">
        <v>933</v>
      </c>
      <c r="E355" s="104">
        <v>8415000</v>
      </c>
      <c r="F355" s="109">
        <v>2103750</v>
      </c>
      <c r="G355" s="102" t="s">
        <v>564</v>
      </c>
      <c r="J355" s="109">
        <v>2103750</v>
      </c>
      <c r="K355" s="102" t="s">
        <v>823</v>
      </c>
      <c r="N355" s="109">
        <v>2103750</v>
      </c>
      <c r="O355" s="102" t="s">
        <v>924</v>
      </c>
      <c r="P355" s="110">
        <f t="shared" si="8"/>
        <v>2103750</v>
      </c>
      <c r="Q355" s="69" t="s">
        <v>26</v>
      </c>
      <c r="R355" s="109">
        <v>2103750</v>
      </c>
      <c r="S355" s="100" t="s">
        <v>604</v>
      </c>
      <c r="T355" s="110">
        <f>E355-F355-J355-N355-R355</f>
        <v>0</v>
      </c>
      <c r="V355" t="s">
        <v>27</v>
      </c>
    </row>
    <row r="356" spans="1:22" ht="15" customHeight="1" x14ac:dyDescent="0.25">
      <c r="A356" s="69">
        <v>341</v>
      </c>
      <c r="B356" s="35" t="s">
        <v>934</v>
      </c>
      <c r="C356" s="69" t="s">
        <v>935</v>
      </c>
      <c r="D356" s="69" t="s">
        <v>936</v>
      </c>
      <c r="E356" s="104">
        <f>7065000+2600000</f>
        <v>9665000</v>
      </c>
      <c r="F356" s="109">
        <v>2232500</v>
      </c>
      <c r="G356" s="102" t="s">
        <v>564</v>
      </c>
      <c r="J356" s="109">
        <v>2232500</v>
      </c>
      <c r="K356" s="97" t="s">
        <v>325</v>
      </c>
      <c r="L356" s="110"/>
      <c r="M356" s="104"/>
      <c r="N356" s="109">
        <v>2600000</v>
      </c>
      <c r="O356" s="102" t="s">
        <v>924</v>
      </c>
      <c r="P356" s="110">
        <f t="shared" si="8"/>
        <v>2600000</v>
      </c>
      <c r="Q356" s="69" t="s">
        <v>26</v>
      </c>
      <c r="R356" s="109">
        <v>2600000</v>
      </c>
      <c r="S356" s="99" t="s">
        <v>287</v>
      </c>
      <c r="T356" s="110">
        <f>E356-F356-H356-J356-L356-N356-R356</f>
        <v>0</v>
      </c>
      <c r="V356" t="s">
        <v>27</v>
      </c>
    </row>
    <row r="357" spans="1:22" ht="15" customHeight="1" x14ac:dyDescent="0.25">
      <c r="A357" s="69">
        <v>342</v>
      </c>
      <c r="B357" s="35" t="s">
        <v>937</v>
      </c>
      <c r="C357" s="69" t="s">
        <v>938</v>
      </c>
      <c r="D357" s="69" t="s">
        <v>939</v>
      </c>
      <c r="E357" s="104">
        <v>8415000</v>
      </c>
      <c r="F357" s="109">
        <v>2103750</v>
      </c>
      <c r="G357" s="96" t="s">
        <v>721</v>
      </c>
      <c r="J357" s="109">
        <v>2103750</v>
      </c>
      <c r="K357" s="96" t="s">
        <v>389</v>
      </c>
      <c r="N357" s="109">
        <v>2103750</v>
      </c>
      <c r="O357" s="102" t="s">
        <v>924</v>
      </c>
      <c r="P357" s="110">
        <f t="shared" si="8"/>
        <v>2103750</v>
      </c>
      <c r="Q357" s="69" t="s">
        <v>26</v>
      </c>
      <c r="R357" s="109">
        <v>2103750</v>
      </c>
      <c r="S357" s="99" t="s">
        <v>748</v>
      </c>
      <c r="T357" s="110">
        <f>E357-F357-J357-N357-R357</f>
        <v>0</v>
      </c>
      <c r="V357" t="s">
        <v>27</v>
      </c>
    </row>
    <row r="358" spans="1:22" ht="15" customHeight="1" x14ac:dyDescent="0.25">
      <c r="A358" s="69">
        <v>359</v>
      </c>
      <c r="B358" s="35" t="s">
        <v>940</v>
      </c>
      <c r="C358" s="69" t="s">
        <v>154</v>
      </c>
      <c r="D358" s="69" t="s">
        <v>204</v>
      </c>
      <c r="E358" s="104">
        <v>8415000</v>
      </c>
      <c r="F358" s="109">
        <v>2103750</v>
      </c>
      <c r="G358" s="96" t="s">
        <v>721</v>
      </c>
      <c r="J358" s="109">
        <v>2103750</v>
      </c>
      <c r="K358" s="102" t="s">
        <v>823</v>
      </c>
      <c r="N358" s="109">
        <v>2103750</v>
      </c>
      <c r="O358" s="102" t="s">
        <v>924</v>
      </c>
      <c r="P358" s="110">
        <f t="shared" si="8"/>
        <v>2103750</v>
      </c>
      <c r="Q358" s="69" t="s">
        <v>26</v>
      </c>
      <c r="R358" s="109">
        <v>2103750</v>
      </c>
      <c r="S358" s="100" t="s">
        <v>281</v>
      </c>
      <c r="T358" s="110">
        <f>E358-F358-H358-J358-L358-N358-R358</f>
        <v>0</v>
      </c>
      <c r="V358" t="s">
        <v>27</v>
      </c>
    </row>
    <row r="359" spans="1:22" ht="15" customHeight="1" x14ac:dyDescent="0.25">
      <c r="A359" s="69">
        <v>388</v>
      </c>
      <c r="B359" s="35" t="s">
        <v>941</v>
      </c>
      <c r="C359" s="69" t="s">
        <v>238</v>
      </c>
      <c r="D359" s="69" t="s">
        <v>942</v>
      </c>
      <c r="E359" s="104">
        <v>8415000</v>
      </c>
      <c r="F359" s="109">
        <v>2103750</v>
      </c>
      <c r="G359" s="96" t="s">
        <v>943</v>
      </c>
      <c r="J359" s="109">
        <v>2103750</v>
      </c>
      <c r="K359" s="96" t="s">
        <v>836</v>
      </c>
      <c r="N359" s="109">
        <v>2103750</v>
      </c>
      <c r="O359" s="102" t="s">
        <v>924</v>
      </c>
      <c r="P359" s="110">
        <f t="shared" si="8"/>
        <v>2103750</v>
      </c>
      <c r="Q359" s="69" t="s">
        <v>26</v>
      </c>
      <c r="R359" s="109">
        <v>2103750</v>
      </c>
      <c r="S359" s="100" t="s">
        <v>201</v>
      </c>
      <c r="T359" s="110">
        <f>E359-F359-J359-N359-R359</f>
        <v>0</v>
      </c>
      <c r="V359" t="s">
        <v>27</v>
      </c>
    </row>
    <row r="360" spans="1:22" ht="15" customHeight="1" x14ac:dyDescent="0.25">
      <c r="A360" s="69">
        <v>390</v>
      </c>
      <c r="B360" s="35" t="s">
        <v>944</v>
      </c>
      <c r="C360" s="69" t="s">
        <v>945</v>
      </c>
      <c r="D360" s="69" t="s">
        <v>515</v>
      </c>
      <c r="E360" s="104">
        <v>8415000</v>
      </c>
      <c r="F360" s="109">
        <v>2103750</v>
      </c>
      <c r="G360" s="96" t="s">
        <v>943</v>
      </c>
      <c r="J360" s="109">
        <v>2103750</v>
      </c>
      <c r="K360" s="96" t="s">
        <v>793</v>
      </c>
      <c r="N360" s="109">
        <v>2103750</v>
      </c>
      <c r="O360" s="102" t="s">
        <v>924</v>
      </c>
      <c r="P360" s="110">
        <f t="shared" si="8"/>
        <v>2103750</v>
      </c>
      <c r="Q360" s="69" t="s">
        <v>26</v>
      </c>
      <c r="R360" s="109"/>
      <c r="V360" t="s">
        <v>27</v>
      </c>
    </row>
    <row r="361" spans="1:22" ht="15" customHeight="1" x14ac:dyDescent="0.25">
      <c r="A361" s="69">
        <v>414</v>
      </c>
      <c r="B361" s="35" t="s">
        <v>946</v>
      </c>
      <c r="C361" s="69" t="s">
        <v>331</v>
      </c>
      <c r="D361" s="69" t="s">
        <v>120</v>
      </c>
      <c r="E361" s="104">
        <v>8415000</v>
      </c>
      <c r="F361" s="109">
        <v>2103750</v>
      </c>
      <c r="G361" s="96" t="s">
        <v>145</v>
      </c>
      <c r="J361" s="109">
        <v>2103750</v>
      </c>
      <c r="K361" s="96" t="s">
        <v>836</v>
      </c>
      <c r="N361" s="109">
        <v>2103750</v>
      </c>
      <c r="O361" s="102" t="s">
        <v>924</v>
      </c>
      <c r="P361" s="110">
        <f t="shared" si="8"/>
        <v>2103750</v>
      </c>
      <c r="Q361" s="69" t="s">
        <v>26</v>
      </c>
      <c r="R361" s="109"/>
      <c r="V361" t="s">
        <v>27</v>
      </c>
    </row>
    <row r="362" spans="1:22" ht="15" customHeight="1" x14ac:dyDescent="0.25">
      <c r="A362" s="69">
        <v>430</v>
      </c>
      <c r="B362" s="35" t="s">
        <v>947</v>
      </c>
      <c r="C362" s="69" t="s">
        <v>948</v>
      </c>
      <c r="D362" s="69" t="s">
        <v>484</v>
      </c>
      <c r="E362" s="104">
        <v>8415000</v>
      </c>
      <c r="F362" s="109">
        <v>2103750</v>
      </c>
      <c r="G362" s="102" t="s">
        <v>479</v>
      </c>
      <c r="J362" s="109">
        <v>2103750</v>
      </c>
      <c r="K362" s="96" t="s">
        <v>389</v>
      </c>
      <c r="N362" s="109">
        <v>2103750</v>
      </c>
      <c r="O362" s="102" t="s">
        <v>924</v>
      </c>
      <c r="P362" s="110">
        <f t="shared" si="8"/>
        <v>2103750</v>
      </c>
      <c r="Q362" s="69" t="s">
        <v>26</v>
      </c>
      <c r="R362" s="109">
        <v>2103750</v>
      </c>
      <c r="S362" s="100" t="s">
        <v>201</v>
      </c>
      <c r="T362" s="110">
        <f>E362-F362-H362-J362-L362-N362-R362</f>
        <v>0</v>
      </c>
      <c r="V362" t="s">
        <v>27</v>
      </c>
    </row>
    <row r="363" spans="1:22" ht="15" customHeight="1" x14ac:dyDescent="0.25">
      <c r="A363" s="69">
        <v>510</v>
      </c>
      <c r="B363" s="35" t="s">
        <v>949</v>
      </c>
      <c r="C363" s="69" t="s">
        <v>950</v>
      </c>
      <c r="D363" s="69" t="s">
        <v>936</v>
      </c>
      <c r="E363" s="104">
        <v>8415000</v>
      </c>
      <c r="F363" s="109">
        <v>2103750</v>
      </c>
      <c r="G363" s="96" t="s">
        <v>951</v>
      </c>
      <c r="J363" s="109">
        <v>2103750</v>
      </c>
      <c r="K363" s="96" t="s">
        <v>793</v>
      </c>
      <c r="N363" s="109">
        <v>2103750</v>
      </c>
      <c r="O363" s="102" t="s">
        <v>924</v>
      </c>
      <c r="P363" s="110">
        <f t="shared" si="8"/>
        <v>2103750</v>
      </c>
      <c r="Q363" s="69" t="s">
        <v>26</v>
      </c>
      <c r="R363" s="109">
        <v>2103750</v>
      </c>
      <c r="S363" s="100" t="s">
        <v>604</v>
      </c>
      <c r="T363" s="110">
        <f>E363-F363-H363-J363-L363-N363-R363</f>
        <v>0</v>
      </c>
      <c r="V363" t="s">
        <v>27</v>
      </c>
    </row>
    <row r="364" spans="1:22" ht="15" customHeight="1" x14ac:dyDescent="0.25">
      <c r="A364" s="69">
        <v>517</v>
      </c>
      <c r="B364" s="35" t="s">
        <v>952</v>
      </c>
      <c r="C364" s="69" t="s">
        <v>953</v>
      </c>
      <c r="D364" s="69" t="s">
        <v>74</v>
      </c>
      <c r="E364" s="104">
        <v>8415000</v>
      </c>
      <c r="F364" s="109">
        <v>2103750</v>
      </c>
      <c r="G364" s="96" t="s">
        <v>951</v>
      </c>
      <c r="N364" s="109">
        <v>2103750</v>
      </c>
      <c r="O364" s="102" t="s">
        <v>924</v>
      </c>
      <c r="P364" s="110">
        <f t="shared" si="8"/>
        <v>4207500</v>
      </c>
      <c r="Q364" s="69" t="s">
        <v>26</v>
      </c>
      <c r="R364" s="109">
        <v>2103750</v>
      </c>
      <c r="S364" s="99" t="s">
        <v>748</v>
      </c>
      <c r="T364" s="110">
        <f>E364-F364-H364-J364-L364-N364-R364</f>
        <v>2103750</v>
      </c>
      <c r="V364" t="s">
        <v>27</v>
      </c>
    </row>
    <row r="365" spans="1:22" ht="15" customHeight="1" x14ac:dyDescent="0.25">
      <c r="A365" s="69">
        <v>556</v>
      </c>
      <c r="B365" s="35" t="s">
        <v>954</v>
      </c>
      <c r="C365" s="69" t="s">
        <v>955</v>
      </c>
      <c r="D365" s="69" t="s">
        <v>157</v>
      </c>
      <c r="E365" s="104">
        <v>8415000</v>
      </c>
      <c r="F365" s="109">
        <v>2103750</v>
      </c>
      <c r="G365" s="102" t="s">
        <v>285</v>
      </c>
      <c r="J365" s="109">
        <v>2103750</v>
      </c>
      <c r="K365" s="96" t="s">
        <v>389</v>
      </c>
      <c r="N365" s="109">
        <v>2103750</v>
      </c>
      <c r="O365" s="102" t="s">
        <v>924</v>
      </c>
      <c r="P365" s="110">
        <f t="shared" si="8"/>
        <v>2103750</v>
      </c>
      <c r="Q365" s="69" t="s">
        <v>26</v>
      </c>
      <c r="R365" s="109">
        <v>2103750</v>
      </c>
      <c r="S365" s="99" t="s">
        <v>748</v>
      </c>
      <c r="T365" s="110">
        <f>E365-F365-J365-N365-R365</f>
        <v>0</v>
      </c>
      <c r="V365" t="s">
        <v>27</v>
      </c>
    </row>
    <row r="366" spans="1:22" ht="15" customHeight="1" x14ac:dyDescent="0.25">
      <c r="A366" s="69">
        <v>846</v>
      </c>
      <c r="B366" s="35" t="s">
        <v>956</v>
      </c>
      <c r="C366" s="69" t="s">
        <v>957</v>
      </c>
      <c r="D366" s="111" t="s">
        <v>47</v>
      </c>
      <c r="E366" s="104">
        <v>5200000</v>
      </c>
      <c r="N366" s="104">
        <v>2600000</v>
      </c>
      <c r="O366" s="102" t="s">
        <v>924</v>
      </c>
      <c r="R366" s="109"/>
      <c r="V366" t="s">
        <v>27</v>
      </c>
    </row>
    <row r="367" spans="1:22" ht="15" customHeight="1" x14ac:dyDescent="0.25">
      <c r="A367" s="69">
        <v>237</v>
      </c>
      <c r="B367" s="35" t="s">
        <v>958</v>
      </c>
      <c r="C367" s="69" t="s">
        <v>959</v>
      </c>
      <c r="D367" s="69" t="s">
        <v>160</v>
      </c>
      <c r="E367" s="104">
        <f>4700000+2600000</f>
        <v>7300000</v>
      </c>
      <c r="F367" s="109">
        <v>2100000</v>
      </c>
      <c r="G367" s="102" t="s">
        <v>79</v>
      </c>
      <c r="K367" s="35"/>
      <c r="N367" s="104">
        <v>2600000</v>
      </c>
      <c r="O367" s="102" t="s">
        <v>924</v>
      </c>
      <c r="P367" s="110">
        <f t="shared" ref="P367:P430" si="9">E367-F367-H367-J367-L367-N367</f>
        <v>2600000</v>
      </c>
      <c r="Q367" s="69" t="s">
        <v>26</v>
      </c>
      <c r="R367" s="109">
        <v>2600000</v>
      </c>
      <c r="S367" s="99" t="s">
        <v>240</v>
      </c>
      <c r="T367" s="110">
        <f>E367-F367-J367-N367-R367</f>
        <v>0</v>
      </c>
      <c r="V367" t="s">
        <v>27</v>
      </c>
    </row>
    <row r="368" spans="1:22" ht="15" customHeight="1" x14ac:dyDescent="0.25">
      <c r="A368" s="69">
        <v>218</v>
      </c>
      <c r="B368" s="35" t="s">
        <v>960</v>
      </c>
      <c r="C368" s="35" t="s">
        <v>961</v>
      </c>
      <c r="D368" s="35" t="s">
        <v>392</v>
      </c>
      <c r="E368" s="104">
        <v>8415000</v>
      </c>
      <c r="F368" s="109">
        <v>2103750</v>
      </c>
      <c r="G368" s="96" t="s">
        <v>295</v>
      </c>
      <c r="J368" s="109">
        <v>2103750</v>
      </c>
      <c r="K368" s="96" t="s">
        <v>381</v>
      </c>
      <c r="N368" s="109">
        <v>2103750</v>
      </c>
      <c r="O368" s="102" t="s">
        <v>924</v>
      </c>
      <c r="P368" s="110">
        <f t="shared" si="9"/>
        <v>2103750</v>
      </c>
      <c r="Q368" s="69" t="s">
        <v>26</v>
      </c>
      <c r="R368" s="109"/>
      <c r="V368" t="s">
        <v>27</v>
      </c>
    </row>
    <row r="369" spans="1:22" ht="15" customHeight="1" x14ac:dyDescent="0.25">
      <c r="A369" s="69">
        <v>63</v>
      </c>
      <c r="B369" s="35" t="s">
        <v>962</v>
      </c>
      <c r="C369" s="69" t="s">
        <v>963</v>
      </c>
      <c r="D369" s="69" t="s">
        <v>83</v>
      </c>
      <c r="E369" s="104">
        <v>8415000</v>
      </c>
      <c r="F369" s="109">
        <v>2103750</v>
      </c>
      <c r="G369" s="102" t="s">
        <v>257</v>
      </c>
      <c r="J369" s="109">
        <v>2103750</v>
      </c>
      <c r="K369" s="102" t="s">
        <v>823</v>
      </c>
      <c r="N369" s="109">
        <v>2103750</v>
      </c>
      <c r="O369" s="96" t="s">
        <v>964</v>
      </c>
      <c r="P369" s="110">
        <f t="shared" si="9"/>
        <v>2103750</v>
      </c>
      <c r="Q369" s="69" t="s">
        <v>26</v>
      </c>
      <c r="R369" s="109"/>
      <c r="V369" t="s">
        <v>27</v>
      </c>
    </row>
    <row r="370" spans="1:22" ht="15" customHeight="1" x14ac:dyDescent="0.25">
      <c r="A370" s="69">
        <v>144</v>
      </c>
      <c r="B370" s="35" t="s">
        <v>965</v>
      </c>
      <c r="C370" s="69" t="s">
        <v>966</v>
      </c>
      <c r="D370" s="69" t="s">
        <v>160</v>
      </c>
      <c r="E370" s="104">
        <v>8415000</v>
      </c>
      <c r="F370" s="109">
        <v>2103750</v>
      </c>
      <c r="G370" s="96" t="s">
        <v>23</v>
      </c>
      <c r="J370" s="109">
        <v>2103750</v>
      </c>
      <c r="K370" s="96" t="s">
        <v>24</v>
      </c>
      <c r="N370" s="109">
        <v>2103750</v>
      </c>
      <c r="O370" s="96" t="s">
        <v>964</v>
      </c>
      <c r="P370" s="110">
        <f t="shared" si="9"/>
        <v>2103750</v>
      </c>
      <c r="Q370" s="69" t="s">
        <v>26</v>
      </c>
      <c r="R370" s="109"/>
      <c r="V370" t="s">
        <v>27</v>
      </c>
    </row>
    <row r="371" spans="1:22" ht="15" customHeight="1" x14ac:dyDescent="0.25">
      <c r="A371" s="69">
        <v>176</v>
      </c>
      <c r="B371" s="35" t="s">
        <v>967</v>
      </c>
      <c r="C371" s="69" t="s">
        <v>968</v>
      </c>
      <c r="D371" s="69" t="s">
        <v>515</v>
      </c>
      <c r="E371" s="104">
        <v>8415000</v>
      </c>
      <c r="F371" s="109">
        <v>2103750</v>
      </c>
      <c r="G371" s="96" t="s">
        <v>31</v>
      </c>
      <c r="J371" s="109">
        <v>2103750</v>
      </c>
      <c r="K371" s="96" t="s">
        <v>117</v>
      </c>
      <c r="N371" s="109">
        <v>2103750</v>
      </c>
      <c r="O371" s="96" t="s">
        <v>964</v>
      </c>
      <c r="P371" s="110">
        <f t="shared" si="9"/>
        <v>2103750</v>
      </c>
      <c r="Q371" s="69" t="s">
        <v>26</v>
      </c>
      <c r="R371" s="109">
        <v>2103750</v>
      </c>
      <c r="S371" s="99" t="s">
        <v>748</v>
      </c>
      <c r="T371" s="110">
        <f>E371-F371-H371-J371-L371-N371-R371</f>
        <v>0</v>
      </c>
      <c r="V371" t="s">
        <v>27</v>
      </c>
    </row>
    <row r="372" spans="1:22" ht="15" customHeight="1" x14ac:dyDescent="0.25">
      <c r="A372" s="69">
        <v>194</v>
      </c>
      <c r="B372" s="35" t="s">
        <v>969</v>
      </c>
      <c r="C372" s="69" t="s">
        <v>970</v>
      </c>
      <c r="D372" s="69" t="s">
        <v>22</v>
      </c>
      <c r="E372" s="104">
        <v>8415000</v>
      </c>
      <c r="F372" s="109">
        <v>2103750</v>
      </c>
      <c r="G372" s="102" t="s">
        <v>276</v>
      </c>
      <c r="J372" s="109">
        <v>2103750</v>
      </c>
      <c r="K372" s="96" t="s">
        <v>117</v>
      </c>
      <c r="N372" s="109">
        <v>2103750</v>
      </c>
      <c r="O372" s="96" t="s">
        <v>964</v>
      </c>
      <c r="P372" s="110">
        <f t="shared" si="9"/>
        <v>2103750</v>
      </c>
      <c r="Q372" s="69" t="s">
        <v>26</v>
      </c>
      <c r="R372" s="109"/>
      <c r="V372" t="s">
        <v>27</v>
      </c>
    </row>
    <row r="373" spans="1:22" ht="15" customHeight="1" x14ac:dyDescent="0.25">
      <c r="A373" s="69">
        <v>214</v>
      </c>
      <c r="B373" s="35" t="s">
        <v>971</v>
      </c>
      <c r="C373" s="69" t="s">
        <v>972</v>
      </c>
      <c r="D373" s="69" t="s">
        <v>973</v>
      </c>
      <c r="E373" s="104">
        <v>8415000</v>
      </c>
      <c r="F373" s="109">
        <v>2103750</v>
      </c>
      <c r="G373" s="96" t="s">
        <v>295</v>
      </c>
      <c r="J373" s="109">
        <v>2103750</v>
      </c>
      <c r="K373" s="96" t="s">
        <v>836</v>
      </c>
      <c r="N373" s="109">
        <v>2103750</v>
      </c>
      <c r="O373" s="96" t="s">
        <v>964</v>
      </c>
      <c r="P373" s="110">
        <f t="shared" si="9"/>
        <v>2103750</v>
      </c>
      <c r="Q373" s="69" t="s">
        <v>26</v>
      </c>
      <c r="R373" s="109"/>
      <c r="V373" t="s">
        <v>27</v>
      </c>
    </row>
    <row r="374" spans="1:22" ht="15" customHeight="1" x14ac:dyDescent="0.25">
      <c r="A374" s="69">
        <v>306</v>
      </c>
      <c r="B374" s="35" t="s">
        <v>974</v>
      </c>
      <c r="C374" s="69" t="s">
        <v>680</v>
      </c>
      <c r="D374" s="69" t="s">
        <v>74</v>
      </c>
      <c r="E374" s="104">
        <v>8415000</v>
      </c>
      <c r="F374" s="109">
        <v>2103750</v>
      </c>
      <c r="G374" s="96" t="s">
        <v>806</v>
      </c>
      <c r="J374" s="109">
        <v>2103750</v>
      </c>
      <c r="K374" s="102" t="s">
        <v>112</v>
      </c>
      <c r="N374" s="109">
        <v>2103750</v>
      </c>
      <c r="O374" s="96" t="s">
        <v>964</v>
      </c>
      <c r="P374" s="110">
        <f t="shared" si="9"/>
        <v>2103750</v>
      </c>
      <c r="Q374" s="69" t="s">
        <v>26</v>
      </c>
      <c r="R374" s="109">
        <v>2103750</v>
      </c>
      <c r="S374" s="99" t="s">
        <v>748</v>
      </c>
      <c r="T374" s="110">
        <f>E374-F374-H374-J374-L374-N374-R374</f>
        <v>0</v>
      </c>
      <c r="V374" t="s">
        <v>27</v>
      </c>
    </row>
    <row r="375" spans="1:22" ht="15" customHeight="1" x14ac:dyDescent="0.25">
      <c r="A375" s="69">
        <v>307</v>
      </c>
      <c r="B375" s="35" t="s">
        <v>975</v>
      </c>
      <c r="C375" s="69" t="s">
        <v>976</v>
      </c>
      <c r="D375" s="69" t="s">
        <v>500</v>
      </c>
      <c r="E375" s="104">
        <v>8415000</v>
      </c>
      <c r="F375" s="109">
        <v>2103750</v>
      </c>
      <c r="G375" s="96" t="s">
        <v>806</v>
      </c>
      <c r="J375" s="109">
        <v>2103750</v>
      </c>
      <c r="K375" s="102" t="s">
        <v>648</v>
      </c>
      <c r="N375" s="109">
        <v>2103750</v>
      </c>
      <c r="O375" s="96" t="s">
        <v>964</v>
      </c>
      <c r="P375" s="110">
        <f t="shared" si="9"/>
        <v>2103750</v>
      </c>
      <c r="Q375" s="69" t="s">
        <v>26</v>
      </c>
      <c r="R375" s="109"/>
      <c r="V375" t="s">
        <v>27</v>
      </c>
    </row>
    <row r="376" spans="1:22" ht="15" customHeight="1" x14ac:dyDescent="0.25">
      <c r="A376" s="69">
        <v>320</v>
      </c>
      <c r="B376" s="35" t="s">
        <v>977</v>
      </c>
      <c r="C376" s="69" t="s">
        <v>978</v>
      </c>
      <c r="D376" s="69" t="s">
        <v>636</v>
      </c>
      <c r="E376" s="104">
        <v>8415000</v>
      </c>
      <c r="F376" s="109">
        <v>2103750</v>
      </c>
      <c r="G376" s="102" t="s">
        <v>564</v>
      </c>
      <c r="J376" s="109">
        <v>2103750</v>
      </c>
      <c r="K376" s="102" t="s">
        <v>314</v>
      </c>
      <c r="N376" s="109">
        <v>2103750</v>
      </c>
      <c r="O376" s="96" t="s">
        <v>964</v>
      </c>
      <c r="P376" s="110">
        <f t="shared" si="9"/>
        <v>2103750</v>
      </c>
      <c r="Q376" s="69" t="s">
        <v>26</v>
      </c>
      <c r="R376" s="109"/>
      <c r="V376" t="s">
        <v>27</v>
      </c>
    </row>
    <row r="377" spans="1:22" ht="15" customHeight="1" x14ac:dyDescent="0.25">
      <c r="A377" s="69">
        <v>368</v>
      </c>
      <c r="B377" s="35" t="s">
        <v>979</v>
      </c>
      <c r="C377" s="69" t="s">
        <v>523</v>
      </c>
      <c r="D377" s="69" t="s">
        <v>907</v>
      </c>
      <c r="E377" s="104">
        <v>8415000</v>
      </c>
      <c r="F377" s="109">
        <v>2103750</v>
      </c>
      <c r="G377" s="102" t="s">
        <v>328</v>
      </c>
      <c r="J377" s="109">
        <v>2103750</v>
      </c>
      <c r="K377" s="96" t="s">
        <v>873</v>
      </c>
      <c r="N377" s="109">
        <v>2103750</v>
      </c>
      <c r="O377" s="96" t="s">
        <v>964</v>
      </c>
      <c r="P377" s="110">
        <f t="shared" si="9"/>
        <v>2103750</v>
      </c>
      <c r="Q377" s="69" t="s">
        <v>26</v>
      </c>
      <c r="R377" s="109"/>
      <c r="V377" t="s">
        <v>27</v>
      </c>
    </row>
    <row r="378" spans="1:22" ht="15" customHeight="1" x14ac:dyDescent="0.25">
      <c r="A378" s="69">
        <v>371</v>
      </c>
      <c r="B378" s="35" t="s">
        <v>980</v>
      </c>
      <c r="C378" s="69" t="s">
        <v>981</v>
      </c>
      <c r="D378" s="69" t="s">
        <v>384</v>
      </c>
      <c r="E378" s="104">
        <v>8415000</v>
      </c>
      <c r="F378" s="109">
        <v>2103750</v>
      </c>
      <c r="G378" s="102" t="s">
        <v>328</v>
      </c>
      <c r="J378" s="109">
        <v>2103750</v>
      </c>
      <c r="K378" s="96" t="s">
        <v>868</v>
      </c>
      <c r="N378" s="109">
        <v>2103750</v>
      </c>
      <c r="O378" s="96" t="s">
        <v>964</v>
      </c>
      <c r="P378" s="110">
        <f t="shared" si="9"/>
        <v>2103750</v>
      </c>
      <c r="Q378" s="69" t="s">
        <v>26</v>
      </c>
      <c r="R378" s="109">
        <v>2103750</v>
      </c>
      <c r="S378" s="99" t="s">
        <v>558</v>
      </c>
      <c r="T378" s="110">
        <f>E378-F378-J378-N378-R378</f>
        <v>0</v>
      </c>
      <c r="V378" t="s">
        <v>27</v>
      </c>
    </row>
    <row r="379" spans="1:22" ht="15" customHeight="1" x14ac:dyDescent="0.25">
      <c r="A379" s="69">
        <v>383</v>
      </c>
      <c r="B379" s="35" t="s">
        <v>982</v>
      </c>
      <c r="C379" s="69" t="s">
        <v>983</v>
      </c>
      <c r="D379" s="69" t="s">
        <v>936</v>
      </c>
      <c r="E379" s="104">
        <v>8415000</v>
      </c>
      <c r="F379" s="109">
        <v>2103750</v>
      </c>
      <c r="G379" s="96" t="s">
        <v>943</v>
      </c>
      <c r="J379" s="109">
        <v>2103750</v>
      </c>
      <c r="K379" s="102" t="s">
        <v>85</v>
      </c>
      <c r="N379" s="109">
        <v>2103750</v>
      </c>
      <c r="O379" s="96" t="s">
        <v>964</v>
      </c>
      <c r="P379" s="110">
        <f t="shared" si="9"/>
        <v>2103750</v>
      </c>
      <c r="Q379" s="69" t="s">
        <v>26</v>
      </c>
      <c r="R379" s="109">
        <v>2103750</v>
      </c>
      <c r="S379" s="100" t="s">
        <v>113</v>
      </c>
      <c r="T379" s="110">
        <f>E379-F379-H379-J379-L379-N379-R379</f>
        <v>0</v>
      </c>
      <c r="V379" t="s">
        <v>27</v>
      </c>
    </row>
    <row r="380" spans="1:22" ht="15" customHeight="1" x14ac:dyDescent="0.25">
      <c r="A380" s="69">
        <v>389</v>
      </c>
      <c r="B380" s="35" t="s">
        <v>984</v>
      </c>
      <c r="C380" s="69" t="s">
        <v>985</v>
      </c>
      <c r="D380" s="69" t="s">
        <v>494</v>
      </c>
      <c r="E380" s="104">
        <v>8415000</v>
      </c>
      <c r="F380" s="109">
        <v>2103750</v>
      </c>
      <c r="G380" s="96" t="s">
        <v>943</v>
      </c>
      <c r="K380" s="69" t="s">
        <v>177</v>
      </c>
      <c r="N380" s="109">
        <v>2103750</v>
      </c>
      <c r="O380" s="96" t="s">
        <v>964</v>
      </c>
      <c r="P380" s="110">
        <f t="shared" si="9"/>
        <v>4207500</v>
      </c>
      <c r="Q380" s="69" t="s">
        <v>280</v>
      </c>
      <c r="R380" s="109"/>
      <c r="T380" s="115">
        <f>E380-F380-N380</f>
        <v>4207500</v>
      </c>
      <c r="V380" t="s">
        <v>27</v>
      </c>
    </row>
    <row r="381" spans="1:22" ht="15" customHeight="1" x14ac:dyDescent="0.25">
      <c r="A381" s="69">
        <v>403</v>
      </c>
      <c r="B381" s="35" t="s">
        <v>986</v>
      </c>
      <c r="C381" s="69" t="s">
        <v>987</v>
      </c>
      <c r="D381" s="69" t="s">
        <v>922</v>
      </c>
      <c r="E381" s="104">
        <v>8415000</v>
      </c>
      <c r="F381" s="109">
        <v>2103750</v>
      </c>
      <c r="G381" s="102" t="s">
        <v>475</v>
      </c>
      <c r="J381" s="109">
        <v>2103750</v>
      </c>
      <c r="K381" s="102" t="s">
        <v>85</v>
      </c>
      <c r="N381" s="109">
        <v>2103750</v>
      </c>
      <c r="O381" s="96" t="s">
        <v>964</v>
      </c>
      <c r="P381" s="110">
        <f t="shared" si="9"/>
        <v>2103750</v>
      </c>
      <c r="Q381" s="69" t="s">
        <v>26</v>
      </c>
      <c r="R381" s="109"/>
      <c r="V381" t="s">
        <v>27</v>
      </c>
    </row>
    <row r="382" spans="1:22" ht="15" customHeight="1" x14ac:dyDescent="0.25">
      <c r="A382" s="69">
        <v>445</v>
      </c>
      <c r="B382" s="35" t="s">
        <v>988</v>
      </c>
      <c r="C382" s="69" t="s">
        <v>989</v>
      </c>
      <c r="D382" s="69" t="s">
        <v>405</v>
      </c>
      <c r="E382" s="104">
        <v>8415000</v>
      </c>
      <c r="F382" s="109">
        <v>2103750</v>
      </c>
      <c r="G382" s="96" t="s">
        <v>643</v>
      </c>
      <c r="J382" s="109">
        <v>2103750</v>
      </c>
      <c r="K382" s="102" t="s">
        <v>644</v>
      </c>
      <c r="N382" s="109">
        <v>2103750</v>
      </c>
      <c r="O382" s="96" t="s">
        <v>964</v>
      </c>
      <c r="P382" s="110">
        <f t="shared" si="9"/>
        <v>2103750</v>
      </c>
      <c r="Q382" s="69" t="s">
        <v>26</v>
      </c>
      <c r="R382" s="109">
        <v>2103750</v>
      </c>
      <c r="S382" s="99" t="s">
        <v>44</v>
      </c>
      <c r="T382" s="110">
        <f>E382-F382-J382-N382-R382</f>
        <v>0</v>
      </c>
      <c r="V382" t="s">
        <v>27</v>
      </c>
    </row>
    <row r="383" spans="1:22" ht="15" customHeight="1" x14ac:dyDescent="0.25">
      <c r="A383" s="69">
        <v>534</v>
      </c>
      <c r="B383" s="35" t="s">
        <v>990</v>
      </c>
      <c r="C383" s="69" t="s">
        <v>991</v>
      </c>
      <c r="D383" s="69" t="s">
        <v>72</v>
      </c>
      <c r="E383" s="104">
        <v>8415000</v>
      </c>
      <c r="F383" s="109">
        <v>2103750</v>
      </c>
      <c r="G383" s="102" t="s">
        <v>332</v>
      </c>
      <c r="J383" s="109">
        <v>2103750</v>
      </c>
      <c r="K383" s="96" t="s">
        <v>793</v>
      </c>
      <c r="N383" s="109">
        <v>2103750</v>
      </c>
      <c r="O383" s="96" t="s">
        <v>964</v>
      </c>
      <c r="P383" s="110">
        <f t="shared" si="9"/>
        <v>2103750</v>
      </c>
      <c r="Q383" s="69" t="s">
        <v>26</v>
      </c>
      <c r="R383" s="109"/>
      <c r="V383" t="s">
        <v>27</v>
      </c>
    </row>
    <row r="384" spans="1:22" ht="15" customHeight="1" x14ac:dyDescent="0.25">
      <c r="A384" s="69">
        <v>540</v>
      </c>
      <c r="B384" s="35" t="s">
        <v>992</v>
      </c>
      <c r="C384" s="69" t="s">
        <v>993</v>
      </c>
      <c r="D384" s="69" t="s">
        <v>341</v>
      </c>
      <c r="E384" s="104">
        <v>9405000</v>
      </c>
      <c r="F384" s="109">
        <v>2232500</v>
      </c>
      <c r="G384" s="102" t="s">
        <v>332</v>
      </c>
      <c r="J384" s="109">
        <v>2232500</v>
      </c>
      <c r="K384" s="96" t="s">
        <v>868</v>
      </c>
      <c r="L384" s="110"/>
      <c r="M384" s="104"/>
      <c r="N384" s="110">
        <v>2470000</v>
      </c>
      <c r="O384" s="96" t="s">
        <v>964</v>
      </c>
      <c r="P384" s="110">
        <f t="shared" si="9"/>
        <v>2470000</v>
      </c>
      <c r="Q384" s="69" t="s">
        <v>26</v>
      </c>
      <c r="R384" s="109"/>
      <c r="V384" t="s">
        <v>27</v>
      </c>
    </row>
    <row r="385" spans="1:22" ht="15" customHeight="1" x14ac:dyDescent="0.25">
      <c r="A385" s="69">
        <v>543</v>
      </c>
      <c r="B385" s="35" t="s">
        <v>994</v>
      </c>
      <c r="C385" s="69" t="s">
        <v>995</v>
      </c>
      <c r="D385" s="69" t="s">
        <v>204</v>
      </c>
      <c r="E385" s="104">
        <v>8415000</v>
      </c>
      <c r="F385" s="109">
        <v>2103750</v>
      </c>
      <c r="G385" s="96" t="s">
        <v>482</v>
      </c>
      <c r="J385" s="109">
        <v>2103750</v>
      </c>
      <c r="K385" s="102" t="s">
        <v>85</v>
      </c>
      <c r="N385" s="109">
        <v>2103750</v>
      </c>
      <c r="O385" s="96" t="s">
        <v>964</v>
      </c>
      <c r="P385" s="110">
        <f t="shared" si="9"/>
        <v>2103750</v>
      </c>
      <c r="Q385" s="69" t="s">
        <v>26</v>
      </c>
      <c r="R385" s="109">
        <v>2103750</v>
      </c>
      <c r="S385" s="99" t="s">
        <v>287</v>
      </c>
      <c r="T385" s="110">
        <f>E385-F385-H385-J385-L385-N385-R385</f>
        <v>0</v>
      </c>
      <c r="V385" t="s">
        <v>27</v>
      </c>
    </row>
    <row r="386" spans="1:22" ht="15" customHeight="1" x14ac:dyDescent="0.25">
      <c r="A386" s="69">
        <v>572</v>
      </c>
      <c r="B386" s="35" t="s">
        <v>996</v>
      </c>
      <c r="C386" s="69" t="s">
        <v>997</v>
      </c>
      <c r="D386" s="69" t="s">
        <v>74</v>
      </c>
      <c r="E386" s="104">
        <v>8475000</v>
      </c>
      <c r="F386" s="109">
        <v>2103750</v>
      </c>
      <c r="G386" s="96" t="s">
        <v>998</v>
      </c>
      <c r="J386" s="109">
        <v>2103750</v>
      </c>
      <c r="K386" s="96" t="s">
        <v>786</v>
      </c>
      <c r="N386" s="109">
        <v>2103750</v>
      </c>
      <c r="O386" s="96" t="s">
        <v>964</v>
      </c>
      <c r="P386" s="110">
        <f t="shared" si="9"/>
        <v>2163750</v>
      </c>
      <c r="Q386" s="69" t="s">
        <v>26</v>
      </c>
      <c r="R386" s="109">
        <v>2103750</v>
      </c>
      <c r="S386" s="99" t="s">
        <v>287</v>
      </c>
      <c r="T386" s="110">
        <f>E386-F386-J386-H386-L386-N386-R386</f>
        <v>60000</v>
      </c>
      <c r="V386" t="s">
        <v>27</v>
      </c>
    </row>
    <row r="387" spans="1:22" ht="15" customHeight="1" x14ac:dyDescent="0.25">
      <c r="A387" s="69">
        <v>404</v>
      </c>
      <c r="B387" s="35" t="s">
        <v>999</v>
      </c>
      <c r="C387" s="69" t="s">
        <v>1000</v>
      </c>
      <c r="D387" s="69" t="s">
        <v>160</v>
      </c>
      <c r="E387" s="104">
        <v>8415000</v>
      </c>
      <c r="F387" s="109">
        <v>2103750</v>
      </c>
      <c r="G387" s="102" t="s">
        <v>475</v>
      </c>
      <c r="J387" s="109">
        <v>2103750</v>
      </c>
      <c r="K387" s="96" t="s">
        <v>389</v>
      </c>
      <c r="N387" s="109">
        <v>2103750</v>
      </c>
      <c r="O387" s="102" t="s">
        <v>1001</v>
      </c>
      <c r="P387" s="110">
        <f t="shared" si="9"/>
        <v>2103750</v>
      </c>
      <c r="Q387" s="69" t="s">
        <v>26</v>
      </c>
      <c r="R387" s="109"/>
      <c r="V387" t="s">
        <v>27</v>
      </c>
    </row>
    <row r="388" spans="1:22" ht="15" customHeight="1" x14ac:dyDescent="0.25">
      <c r="A388" s="69">
        <v>449</v>
      </c>
      <c r="B388" s="35" t="s">
        <v>1002</v>
      </c>
      <c r="C388" s="69" t="s">
        <v>1003</v>
      </c>
      <c r="D388" s="69" t="s">
        <v>242</v>
      </c>
      <c r="E388" s="104">
        <v>8415000</v>
      </c>
      <c r="F388" s="109">
        <v>2103750</v>
      </c>
      <c r="G388" s="96" t="s">
        <v>643</v>
      </c>
      <c r="J388" s="109">
        <v>2103750</v>
      </c>
      <c r="K388" s="102" t="s">
        <v>112</v>
      </c>
      <c r="N388" s="109">
        <v>2103750</v>
      </c>
      <c r="O388" s="102" t="s">
        <v>1001</v>
      </c>
      <c r="P388" s="110">
        <f t="shared" si="9"/>
        <v>2103750</v>
      </c>
      <c r="Q388" s="69" t="s">
        <v>26</v>
      </c>
      <c r="R388" s="109"/>
      <c r="V388" t="s">
        <v>27</v>
      </c>
    </row>
    <row r="389" spans="1:22" ht="15" customHeight="1" x14ac:dyDescent="0.25">
      <c r="A389" s="69">
        <v>461</v>
      </c>
      <c r="B389" s="35" t="s">
        <v>1004</v>
      </c>
      <c r="C389" s="69" t="s">
        <v>717</v>
      </c>
      <c r="D389" s="69" t="s">
        <v>341</v>
      </c>
      <c r="E389" s="104">
        <v>8415000</v>
      </c>
      <c r="F389" s="109">
        <v>2103750</v>
      </c>
      <c r="G389" s="102" t="s">
        <v>822</v>
      </c>
      <c r="J389" s="109">
        <v>2103750</v>
      </c>
      <c r="K389" s="102" t="s">
        <v>112</v>
      </c>
      <c r="N389" s="109">
        <v>2103750</v>
      </c>
      <c r="O389" s="102" t="s">
        <v>1001</v>
      </c>
      <c r="P389" s="110">
        <f t="shared" si="9"/>
        <v>2103750</v>
      </c>
      <c r="Q389" s="69" t="s">
        <v>26</v>
      </c>
      <c r="R389" s="109"/>
      <c r="V389" t="s">
        <v>27</v>
      </c>
    </row>
    <row r="390" spans="1:22" ht="15" customHeight="1" x14ac:dyDescent="0.25">
      <c r="A390" s="69">
        <v>462</v>
      </c>
      <c r="B390" s="35" t="s">
        <v>1005</v>
      </c>
      <c r="C390" s="69" t="s">
        <v>571</v>
      </c>
      <c r="D390" s="69" t="s">
        <v>88</v>
      </c>
      <c r="E390" s="104">
        <v>8415000</v>
      </c>
      <c r="F390" s="109">
        <v>2103750</v>
      </c>
      <c r="G390" s="102" t="s">
        <v>822</v>
      </c>
      <c r="J390" s="109">
        <v>2103750</v>
      </c>
      <c r="K390" s="102" t="s">
        <v>112</v>
      </c>
      <c r="N390" s="109">
        <v>2103750</v>
      </c>
      <c r="O390" s="102" t="s">
        <v>1001</v>
      </c>
      <c r="P390" s="110">
        <f t="shared" si="9"/>
        <v>2103750</v>
      </c>
      <c r="Q390" s="69" t="s">
        <v>26</v>
      </c>
      <c r="R390" s="109">
        <v>2103750</v>
      </c>
      <c r="S390" s="99" t="s">
        <v>1006</v>
      </c>
      <c r="T390" s="110">
        <f>E390-F390-H390-J390-L390-N390-R390</f>
        <v>0</v>
      </c>
      <c r="V390" t="s">
        <v>27</v>
      </c>
    </row>
    <row r="391" spans="1:22" ht="15" customHeight="1" x14ac:dyDescent="0.25">
      <c r="A391" s="69">
        <v>464</v>
      </c>
      <c r="B391" s="35" t="s">
        <v>1007</v>
      </c>
      <c r="C391" s="69" t="s">
        <v>1008</v>
      </c>
      <c r="D391" s="69" t="s">
        <v>376</v>
      </c>
      <c r="E391" s="104">
        <v>8415000</v>
      </c>
      <c r="F391" s="109">
        <v>2103750</v>
      </c>
      <c r="G391" s="102" t="s">
        <v>822</v>
      </c>
      <c r="J391" s="109">
        <v>2103750</v>
      </c>
      <c r="K391" s="102" t="s">
        <v>112</v>
      </c>
      <c r="N391" s="109">
        <v>2103750</v>
      </c>
      <c r="O391" s="102" t="s">
        <v>1001</v>
      </c>
      <c r="P391" s="110">
        <f t="shared" si="9"/>
        <v>2103750</v>
      </c>
      <c r="Q391" s="69" t="s">
        <v>26</v>
      </c>
      <c r="R391" s="109"/>
      <c r="V391" t="s">
        <v>27</v>
      </c>
    </row>
    <row r="392" spans="1:22" ht="15" customHeight="1" x14ac:dyDescent="0.25">
      <c r="A392" s="69">
        <v>465</v>
      </c>
      <c r="B392" s="35" t="s">
        <v>1009</v>
      </c>
      <c r="C392" s="69" t="s">
        <v>1010</v>
      </c>
      <c r="D392" s="69" t="s">
        <v>1011</v>
      </c>
      <c r="E392" s="104">
        <v>8415000</v>
      </c>
      <c r="F392" s="109">
        <v>2103750</v>
      </c>
      <c r="G392" s="102" t="s">
        <v>822</v>
      </c>
      <c r="J392" s="109">
        <v>2103750</v>
      </c>
      <c r="K392" s="102" t="s">
        <v>112</v>
      </c>
      <c r="N392" s="109">
        <v>2103750</v>
      </c>
      <c r="O392" s="102" t="s">
        <v>1001</v>
      </c>
      <c r="P392" s="110">
        <f t="shared" si="9"/>
        <v>2103750</v>
      </c>
      <c r="Q392" s="69" t="s">
        <v>26</v>
      </c>
      <c r="R392" s="109">
        <v>2103750</v>
      </c>
      <c r="S392" s="99" t="s">
        <v>1006</v>
      </c>
      <c r="T392" s="110">
        <f>E392-F392-J392-N392-R392</f>
        <v>0</v>
      </c>
      <c r="V392" t="s">
        <v>27</v>
      </c>
    </row>
    <row r="393" spans="1:22" ht="15" customHeight="1" x14ac:dyDescent="0.25">
      <c r="A393" s="69">
        <v>466</v>
      </c>
      <c r="B393" s="35" t="s">
        <v>1012</v>
      </c>
      <c r="C393" s="69" t="s">
        <v>400</v>
      </c>
      <c r="D393" s="69" t="s">
        <v>821</v>
      </c>
      <c r="E393" s="104">
        <v>8415000</v>
      </c>
      <c r="F393" s="109">
        <v>2103750</v>
      </c>
      <c r="G393" s="102" t="s">
        <v>822</v>
      </c>
      <c r="J393" s="109">
        <v>2103750</v>
      </c>
      <c r="K393" s="102" t="s">
        <v>112</v>
      </c>
      <c r="N393" s="109">
        <v>2103750</v>
      </c>
      <c r="O393" s="102" t="s">
        <v>1001</v>
      </c>
      <c r="P393" s="110">
        <f t="shared" si="9"/>
        <v>2103750</v>
      </c>
      <c r="Q393" s="69" t="s">
        <v>26</v>
      </c>
      <c r="R393" s="109">
        <v>2103750</v>
      </c>
      <c r="S393" s="99" t="s">
        <v>1006</v>
      </c>
      <c r="T393" s="110">
        <f>E393-F393-J393-N393-R393</f>
        <v>0</v>
      </c>
      <c r="V393" t="s">
        <v>27</v>
      </c>
    </row>
    <row r="394" spans="1:22" ht="15" customHeight="1" x14ac:dyDescent="0.25">
      <c r="A394" s="69">
        <v>467</v>
      </c>
      <c r="B394" s="35" t="s">
        <v>1013</v>
      </c>
      <c r="C394" s="69" t="s">
        <v>571</v>
      </c>
      <c r="D394" s="69" t="s">
        <v>239</v>
      </c>
      <c r="E394" s="104">
        <v>8415000</v>
      </c>
      <c r="F394" s="109">
        <v>2103750</v>
      </c>
      <c r="G394" s="102" t="s">
        <v>822</v>
      </c>
      <c r="J394" s="109">
        <v>2103750</v>
      </c>
      <c r="K394" s="102" t="s">
        <v>112</v>
      </c>
      <c r="N394" s="109">
        <v>2103750</v>
      </c>
      <c r="O394" s="102" t="s">
        <v>1001</v>
      </c>
      <c r="P394" s="110">
        <f t="shared" si="9"/>
        <v>2103750</v>
      </c>
      <c r="Q394" s="69" t="s">
        <v>26</v>
      </c>
      <c r="R394" s="109">
        <v>2103750</v>
      </c>
      <c r="S394" s="100" t="s">
        <v>201</v>
      </c>
      <c r="V394" t="s">
        <v>27</v>
      </c>
    </row>
    <row r="395" spans="1:22" ht="15" customHeight="1" x14ac:dyDescent="0.25">
      <c r="A395" s="69">
        <v>468</v>
      </c>
      <c r="B395" s="35" t="s">
        <v>1014</v>
      </c>
      <c r="C395" s="69" t="s">
        <v>617</v>
      </c>
      <c r="D395" s="69" t="s">
        <v>1015</v>
      </c>
      <c r="E395" s="104">
        <v>8415000</v>
      </c>
      <c r="F395" s="109">
        <v>2103750</v>
      </c>
      <c r="G395" s="102" t="s">
        <v>822</v>
      </c>
      <c r="J395" s="109">
        <v>2103750</v>
      </c>
      <c r="K395" s="102" t="s">
        <v>112</v>
      </c>
      <c r="N395" s="109">
        <v>2103750</v>
      </c>
      <c r="O395" s="102" t="s">
        <v>1001</v>
      </c>
      <c r="P395" s="110">
        <f t="shared" si="9"/>
        <v>2103750</v>
      </c>
      <c r="Q395" s="69" t="s">
        <v>26</v>
      </c>
      <c r="R395" s="109">
        <v>2103750</v>
      </c>
      <c r="S395" s="99" t="s">
        <v>44</v>
      </c>
      <c r="T395" s="110">
        <f>E395-F395-H395-J395-L395-N395-R395</f>
        <v>0</v>
      </c>
      <c r="V395" t="s">
        <v>27</v>
      </c>
    </row>
    <row r="396" spans="1:22" ht="15" customHeight="1" x14ac:dyDescent="0.25">
      <c r="A396" s="69">
        <v>470</v>
      </c>
      <c r="B396" s="35">
        <v>25820100017</v>
      </c>
      <c r="C396" s="69" t="s">
        <v>1016</v>
      </c>
      <c r="D396" s="69" t="s">
        <v>157</v>
      </c>
      <c r="E396" s="104">
        <v>8415000</v>
      </c>
      <c r="F396" s="109">
        <v>2103750</v>
      </c>
      <c r="G396" s="102" t="s">
        <v>822</v>
      </c>
      <c r="J396" s="109">
        <v>2103750</v>
      </c>
      <c r="K396" s="102" t="s">
        <v>112</v>
      </c>
      <c r="N396" s="109">
        <v>2103750</v>
      </c>
      <c r="O396" s="102" t="s">
        <v>1001</v>
      </c>
      <c r="P396" s="110">
        <f t="shared" si="9"/>
        <v>2103750</v>
      </c>
      <c r="Q396" s="69" t="s">
        <v>26</v>
      </c>
      <c r="R396" s="109">
        <v>2103750</v>
      </c>
      <c r="S396" s="99" t="s">
        <v>1006</v>
      </c>
      <c r="T396" s="110">
        <f>E396-F396-J396-N396-R396</f>
        <v>0</v>
      </c>
      <c r="V396" t="s">
        <v>27</v>
      </c>
    </row>
    <row r="397" spans="1:22" ht="15" customHeight="1" x14ac:dyDescent="0.25">
      <c r="A397" s="69">
        <v>471</v>
      </c>
      <c r="B397" s="35" t="s">
        <v>1017</v>
      </c>
      <c r="C397" s="69" t="s">
        <v>249</v>
      </c>
      <c r="D397" s="69" t="s">
        <v>515</v>
      </c>
      <c r="E397" s="104">
        <v>8415000</v>
      </c>
      <c r="F397" s="109">
        <v>2103750</v>
      </c>
      <c r="G397" s="102" t="s">
        <v>822</v>
      </c>
      <c r="J397" s="109">
        <v>2103750</v>
      </c>
      <c r="K397" s="102" t="s">
        <v>112</v>
      </c>
      <c r="N397" s="109">
        <v>2103750</v>
      </c>
      <c r="O397" s="102" t="s">
        <v>1001</v>
      </c>
      <c r="P397" s="110">
        <f t="shared" si="9"/>
        <v>2103750</v>
      </c>
      <c r="Q397" s="69" t="s">
        <v>26</v>
      </c>
      <c r="R397" s="109">
        <v>2103750</v>
      </c>
      <c r="S397" s="99" t="s">
        <v>1006</v>
      </c>
      <c r="T397" s="110">
        <f>E397-F397-H397-J397-L397-N397-R397</f>
        <v>0</v>
      </c>
      <c r="V397" t="s">
        <v>27</v>
      </c>
    </row>
    <row r="398" spans="1:22" ht="15" customHeight="1" x14ac:dyDescent="0.25">
      <c r="A398" s="69">
        <v>476</v>
      </c>
      <c r="B398" s="35" t="s">
        <v>1018</v>
      </c>
      <c r="C398" s="69" t="s">
        <v>143</v>
      </c>
      <c r="D398" s="69" t="s">
        <v>294</v>
      </c>
      <c r="E398" s="104">
        <f>4700000+2600000</f>
        <v>7300000</v>
      </c>
      <c r="F398" s="109">
        <v>2100000</v>
      </c>
      <c r="G398" s="102" t="s">
        <v>822</v>
      </c>
      <c r="K398" s="35"/>
      <c r="N398" s="104">
        <v>2600000</v>
      </c>
      <c r="O398" s="102" t="s">
        <v>1001</v>
      </c>
      <c r="P398" s="110">
        <f t="shared" si="9"/>
        <v>2600000</v>
      </c>
      <c r="Q398" s="69" t="s">
        <v>26</v>
      </c>
      <c r="R398" s="109">
        <v>2600000</v>
      </c>
      <c r="S398" s="100" t="s">
        <v>201</v>
      </c>
      <c r="T398" s="110">
        <f>E398-F398-H398-J398-L398-N398-R398</f>
        <v>0</v>
      </c>
      <c r="V398" t="s">
        <v>27</v>
      </c>
    </row>
    <row r="399" spans="1:22" ht="15" customHeight="1" x14ac:dyDescent="0.25">
      <c r="A399" s="69">
        <v>558</v>
      </c>
      <c r="B399" s="35" t="s">
        <v>1019</v>
      </c>
      <c r="C399" s="69" t="s">
        <v>1020</v>
      </c>
      <c r="D399" s="69" t="s">
        <v>204</v>
      </c>
      <c r="E399" s="104">
        <v>8415000</v>
      </c>
      <c r="F399" s="109">
        <v>2103750</v>
      </c>
      <c r="G399" s="102" t="s">
        <v>285</v>
      </c>
      <c r="J399" s="109">
        <v>2103750</v>
      </c>
      <c r="K399" s="96" t="s">
        <v>786</v>
      </c>
      <c r="N399" s="109">
        <v>2103750</v>
      </c>
      <c r="O399" s="102" t="s">
        <v>1001</v>
      </c>
      <c r="P399" s="110">
        <f t="shared" si="9"/>
        <v>2103750</v>
      </c>
      <c r="Q399" s="69" t="s">
        <v>26</v>
      </c>
      <c r="R399" s="109">
        <v>2103750</v>
      </c>
      <c r="S399" s="99" t="s">
        <v>1006</v>
      </c>
      <c r="T399" s="110">
        <f>E399-F399-H399-J399-L399-N399-R399</f>
        <v>0</v>
      </c>
      <c r="V399" t="s">
        <v>27</v>
      </c>
    </row>
    <row r="400" spans="1:22" ht="15" customHeight="1" x14ac:dyDescent="0.25">
      <c r="A400" s="69">
        <v>580</v>
      </c>
      <c r="B400" s="35" t="s">
        <v>1021</v>
      </c>
      <c r="C400" s="69" t="s">
        <v>1022</v>
      </c>
      <c r="D400" s="69" t="s">
        <v>78</v>
      </c>
      <c r="E400" s="104">
        <v>8415000</v>
      </c>
      <c r="F400" s="109">
        <v>2103750</v>
      </c>
      <c r="G400" s="96" t="s">
        <v>998</v>
      </c>
      <c r="J400" s="109">
        <v>2103750</v>
      </c>
      <c r="K400" s="96" t="s">
        <v>786</v>
      </c>
      <c r="N400" s="109">
        <v>2103750</v>
      </c>
      <c r="O400" s="102" t="s">
        <v>1001</v>
      </c>
      <c r="P400" s="110">
        <f t="shared" si="9"/>
        <v>2103750</v>
      </c>
      <c r="Q400" s="69" t="s">
        <v>26</v>
      </c>
      <c r="R400" s="109"/>
      <c r="V400" t="s">
        <v>27</v>
      </c>
    </row>
    <row r="401" spans="1:22" ht="15" customHeight="1" x14ac:dyDescent="0.25">
      <c r="A401" s="69">
        <v>715</v>
      </c>
      <c r="B401" s="35" t="s">
        <v>1023</v>
      </c>
      <c r="C401" s="69" t="s">
        <v>1024</v>
      </c>
      <c r="D401" s="69" t="s">
        <v>34</v>
      </c>
      <c r="E401" s="104">
        <v>2600000</v>
      </c>
      <c r="J401" s="104"/>
      <c r="N401" s="104">
        <v>2600000</v>
      </c>
      <c r="O401" s="102" t="s">
        <v>1001</v>
      </c>
      <c r="P401" s="110">
        <f t="shared" si="9"/>
        <v>0</v>
      </c>
      <c r="Q401" s="69" t="s">
        <v>26</v>
      </c>
      <c r="R401" s="109"/>
      <c r="V401" t="s">
        <v>27</v>
      </c>
    </row>
    <row r="402" spans="1:22" ht="15" customHeight="1" x14ac:dyDescent="0.25">
      <c r="A402" s="69">
        <v>772</v>
      </c>
      <c r="B402" s="35" t="s">
        <v>1025</v>
      </c>
      <c r="C402" s="69" t="s">
        <v>49</v>
      </c>
      <c r="D402" s="69" t="s">
        <v>182</v>
      </c>
      <c r="E402" s="104">
        <v>8415000</v>
      </c>
      <c r="N402" s="109">
        <v>2103750</v>
      </c>
      <c r="O402" s="102" t="s">
        <v>1001</v>
      </c>
      <c r="P402" s="110">
        <f t="shared" si="9"/>
        <v>6311250</v>
      </c>
      <c r="R402" s="109"/>
      <c r="V402" t="s">
        <v>27</v>
      </c>
    </row>
    <row r="403" spans="1:22" ht="15" customHeight="1" x14ac:dyDescent="0.25">
      <c r="A403" s="69">
        <v>834</v>
      </c>
      <c r="B403" s="35">
        <v>25820700046</v>
      </c>
      <c r="C403" s="69" t="s">
        <v>1026</v>
      </c>
      <c r="D403" s="69" t="s">
        <v>1027</v>
      </c>
      <c r="E403" s="104">
        <v>4940000</v>
      </c>
      <c r="N403" s="110">
        <v>2470000</v>
      </c>
      <c r="O403" s="102" t="s">
        <v>1001</v>
      </c>
      <c r="P403" s="110">
        <f t="shared" si="9"/>
        <v>2470000</v>
      </c>
      <c r="R403" s="109"/>
      <c r="V403" t="s">
        <v>27</v>
      </c>
    </row>
    <row r="404" spans="1:22" ht="15" customHeight="1" x14ac:dyDescent="0.25">
      <c r="A404" s="69">
        <v>272</v>
      </c>
      <c r="B404" s="35" t="s">
        <v>1028</v>
      </c>
      <c r="C404" s="69" t="s">
        <v>179</v>
      </c>
      <c r="D404" s="69" t="s">
        <v>821</v>
      </c>
      <c r="E404" s="104">
        <v>8415000</v>
      </c>
      <c r="F404" s="109">
        <v>2103750</v>
      </c>
      <c r="G404" s="96" t="s">
        <v>471</v>
      </c>
      <c r="J404" s="109">
        <v>2103750</v>
      </c>
      <c r="K404" s="102" t="s">
        <v>813</v>
      </c>
      <c r="N404" s="109">
        <v>2103750</v>
      </c>
      <c r="O404" s="96" t="s">
        <v>1029</v>
      </c>
      <c r="P404" s="110">
        <f t="shared" si="9"/>
        <v>2103750</v>
      </c>
      <c r="Q404" s="69" t="s">
        <v>26</v>
      </c>
      <c r="R404" s="109">
        <v>2103750</v>
      </c>
      <c r="S404" s="100" t="s">
        <v>201</v>
      </c>
      <c r="T404" s="110">
        <f>E404-F404-J404-N404-R404</f>
        <v>0</v>
      </c>
      <c r="V404" t="s">
        <v>27</v>
      </c>
    </row>
    <row r="405" spans="1:22" ht="15" customHeight="1" x14ac:dyDescent="0.25">
      <c r="A405" s="69">
        <v>356</v>
      </c>
      <c r="B405" s="35" t="s">
        <v>1030</v>
      </c>
      <c r="C405" s="69" t="s">
        <v>1031</v>
      </c>
      <c r="D405" s="69" t="s">
        <v>842</v>
      </c>
      <c r="E405" s="104">
        <v>8415000</v>
      </c>
      <c r="F405" s="109">
        <v>2103750</v>
      </c>
      <c r="G405" s="96" t="s">
        <v>721</v>
      </c>
      <c r="J405" s="109">
        <v>2103750</v>
      </c>
      <c r="K405" s="102" t="s">
        <v>601</v>
      </c>
      <c r="N405" s="109">
        <v>2103750</v>
      </c>
      <c r="O405" s="96" t="s">
        <v>1029</v>
      </c>
      <c r="P405" s="110">
        <f t="shared" si="9"/>
        <v>2103750</v>
      </c>
      <c r="Q405" s="69" t="s">
        <v>26</v>
      </c>
      <c r="R405" s="109">
        <v>2103750</v>
      </c>
      <c r="S405" s="100" t="s">
        <v>201</v>
      </c>
      <c r="T405" s="110">
        <f>E405-F405-H405-J405-L405-N405-R405</f>
        <v>0</v>
      </c>
      <c r="V405" t="s">
        <v>27</v>
      </c>
    </row>
    <row r="406" spans="1:22" ht="15" customHeight="1" x14ac:dyDescent="0.25">
      <c r="A406" s="69">
        <v>384</v>
      </c>
      <c r="B406" s="35" t="s">
        <v>1032</v>
      </c>
      <c r="C406" s="69" t="s">
        <v>1033</v>
      </c>
      <c r="D406" s="69" t="s">
        <v>160</v>
      </c>
      <c r="E406" s="104">
        <v>8415000</v>
      </c>
      <c r="F406" s="109">
        <v>2103750</v>
      </c>
      <c r="G406" s="96" t="s">
        <v>943</v>
      </c>
      <c r="J406" s="109">
        <v>2103750</v>
      </c>
      <c r="K406" s="102" t="s">
        <v>644</v>
      </c>
      <c r="N406" s="109">
        <v>2103750</v>
      </c>
      <c r="O406" s="96" t="s">
        <v>1029</v>
      </c>
      <c r="P406" s="110">
        <f t="shared" si="9"/>
        <v>2103750</v>
      </c>
      <c r="Q406" s="69" t="s">
        <v>26</v>
      </c>
      <c r="R406" s="109">
        <v>2103750</v>
      </c>
      <c r="T406" s="110">
        <f>E406-F406-J406-N406-R406</f>
        <v>0</v>
      </c>
      <c r="V406" t="s">
        <v>27</v>
      </c>
    </row>
    <row r="407" spans="1:22" ht="15" customHeight="1" x14ac:dyDescent="0.25">
      <c r="A407" s="69">
        <v>385</v>
      </c>
      <c r="B407" s="35" t="s">
        <v>1034</v>
      </c>
      <c r="C407" s="69" t="s">
        <v>1035</v>
      </c>
      <c r="D407" s="69" t="s">
        <v>1036</v>
      </c>
      <c r="E407" s="104">
        <v>8415000</v>
      </c>
      <c r="F407" s="109">
        <v>2103750</v>
      </c>
      <c r="G407" s="96" t="s">
        <v>943</v>
      </c>
      <c r="J407" s="109">
        <v>2103750</v>
      </c>
      <c r="K407" s="102" t="s">
        <v>644</v>
      </c>
      <c r="N407" s="109">
        <v>2103750</v>
      </c>
      <c r="O407" s="96" t="s">
        <v>1029</v>
      </c>
      <c r="P407" s="110">
        <f t="shared" si="9"/>
        <v>2103750</v>
      </c>
      <c r="Q407" s="69" t="s">
        <v>26</v>
      </c>
      <c r="R407" s="109">
        <v>2103750</v>
      </c>
      <c r="S407" s="100" t="s">
        <v>291</v>
      </c>
      <c r="T407" s="110">
        <f>E407-F407-J407-N407-R407</f>
        <v>0</v>
      </c>
      <c r="V407" t="s">
        <v>27</v>
      </c>
    </row>
    <row r="408" spans="1:22" ht="15" customHeight="1" x14ac:dyDescent="0.25">
      <c r="A408" s="69">
        <v>426</v>
      </c>
      <c r="B408" s="35" t="s">
        <v>1037</v>
      </c>
      <c r="C408" s="69" t="s">
        <v>1038</v>
      </c>
      <c r="D408" s="69" t="s">
        <v>1015</v>
      </c>
      <c r="E408" s="104">
        <v>9405000</v>
      </c>
      <c r="F408" s="109">
        <v>2232500</v>
      </c>
      <c r="G408" s="96" t="s">
        <v>145</v>
      </c>
      <c r="J408" s="109">
        <v>2232500</v>
      </c>
      <c r="K408" s="96" t="s">
        <v>286</v>
      </c>
      <c r="N408" s="110">
        <v>2470000</v>
      </c>
      <c r="O408" s="96" t="s">
        <v>1029</v>
      </c>
      <c r="P408" s="110">
        <f t="shared" si="9"/>
        <v>2470000</v>
      </c>
      <c r="Q408" s="69" t="s">
        <v>26</v>
      </c>
      <c r="R408" s="109">
        <v>2470000</v>
      </c>
      <c r="S408" s="100" t="s">
        <v>201</v>
      </c>
      <c r="T408" s="110">
        <f>E408-F408-H408-J408-L408-N408-R408</f>
        <v>0</v>
      </c>
      <c r="V408" t="s">
        <v>27</v>
      </c>
    </row>
    <row r="409" spans="1:22" ht="15" customHeight="1" x14ac:dyDescent="0.25">
      <c r="A409" s="69">
        <v>432</v>
      </c>
      <c r="B409" s="35" t="s">
        <v>1039</v>
      </c>
      <c r="C409" s="69" t="s">
        <v>1040</v>
      </c>
      <c r="D409" s="69" t="s">
        <v>1015</v>
      </c>
      <c r="E409" s="104">
        <v>8415000</v>
      </c>
      <c r="F409" s="109">
        <v>2103750</v>
      </c>
      <c r="G409" s="102" t="s">
        <v>479</v>
      </c>
      <c r="J409" s="109">
        <v>2103750</v>
      </c>
      <c r="K409" s="102" t="s">
        <v>644</v>
      </c>
      <c r="N409" s="109">
        <v>2103750</v>
      </c>
      <c r="O409" s="96" t="s">
        <v>1029</v>
      </c>
      <c r="P409" s="110">
        <f t="shared" si="9"/>
        <v>2103750</v>
      </c>
      <c r="Q409" s="69" t="s">
        <v>26</v>
      </c>
      <c r="R409" s="109">
        <v>2103750</v>
      </c>
      <c r="S409" s="100" t="s">
        <v>201</v>
      </c>
      <c r="T409" s="110">
        <f>E409-F409-H409-J409-L409-N409-R409</f>
        <v>0</v>
      </c>
      <c r="V409" t="s">
        <v>27</v>
      </c>
    </row>
    <row r="410" spans="1:22" ht="15" customHeight="1" x14ac:dyDescent="0.25">
      <c r="A410" s="69">
        <v>433</v>
      </c>
      <c r="B410" s="35" t="s">
        <v>1041</v>
      </c>
      <c r="C410" s="69" t="s">
        <v>1042</v>
      </c>
      <c r="D410" s="69" t="s">
        <v>270</v>
      </c>
      <c r="E410" s="104">
        <v>8415000</v>
      </c>
      <c r="F410" s="109">
        <v>2103750</v>
      </c>
      <c r="G410" s="102" t="s">
        <v>479</v>
      </c>
      <c r="J410" s="109">
        <v>2103750</v>
      </c>
      <c r="K410" s="102" t="s">
        <v>644</v>
      </c>
      <c r="N410" s="109">
        <v>2103750</v>
      </c>
      <c r="O410" s="96" t="s">
        <v>1029</v>
      </c>
      <c r="P410" s="110">
        <f t="shared" si="9"/>
        <v>2103750</v>
      </c>
      <c r="Q410" s="69" t="s">
        <v>26</v>
      </c>
      <c r="R410" s="109">
        <v>2103750</v>
      </c>
      <c r="S410" s="100" t="s">
        <v>201</v>
      </c>
      <c r="T410" s="110">
        <f>E410-F410-H410-J410-L410-N410-R410</f>
        <v>0</v>
      </c>
      <c r="V410" t="s">
        <v>27</v>
      </c>
    </row>
    <row r="411" spans="1:22" ht="15" customHeight="1" x14ac:dyDescent="0.25">
      <c r="A411" s="69">
        <v>448</v>
      </c>
      <c r="B411" s="35" t="s">
        <v>1043</v>
      </c>
      <c r="C411" s="69" t="s">
        <v>418</v>
      </c>
      <c r="D411" s="69" t="s">
        <v>57</v>
      </c>
      <c r="E411" s="104">
        <v>8415000</v>
      </c>
      <c r="F411" s="109">
        <v>2103750</v>
      </c>
      <c r="G411" s="96" t="s">
        <v>643</v>
      </c>
      <c r="J411" s="109">
        <v>2103750</v>
      </c>
      <c r="K411" s="102" t="s">
        <v>644</v>
      </c>
      <c r="N411" s="109">
        <v>2103750</v>
      </c>
      <c r="O411" s="96" t="s">
        <v>1029</v>
      </c>
      <c r="P411" s="110">
        <f t="shared" si="9"/>
        <v>2103750</v>
      </c>
      <c r="Q411" s="69" t="s">
        <v>26</v>
      </c>
      <c r="R411" s="109">
        <v>2103750</v>
      </c>
      <c r="S411" s="99" t="s">
        <v>1006</v>
      </c>
      <c r="T411" s="110">
        <f>E411-F411-J411-N411-R411</f>
        <v>0</v>
      </c>
      <c r="V411" t="s">
        <v>27</v>
      </c>
    </row>
    <row r="412" spans="1:22" ht="15" customHeight="1" x14ac:dyDescent="0.25">
      <c r="A412" s="69">
        <v>451</v>
      </c>
      <c r="B412" s="35" t="s">
        <v>1044</v>
      </c>
      <c r="C412" s="69" t="s">
        <v>1045</v>
      </c>
      <c r="D412" s="69" t="s">
        <v>294</v>
      </c>
      <c r="E412" s="104">
        <v>8415000</v>
      </c>
      <c r="F412" s="109">
        <v>2103750</v>
      </c>
      <c r="G412" s="96" t="s">
        <v>643</v>
      </c>
      <c r="J412" s="109">
        <v>2103750</v>
      </c>
      <c r="K412" s="102" t="s">
        <v>644</v>
      </c>
      <c r="N412" s="109">
        <v>2103750</v>
      </c>
      <c r="O412" s="96" t="s">
        <v>1029</v>
      </c>
      <c r="P412" s="110">
        <f t="shared" si="9"/>
        <v>2103750</v>
      </c>
      <c r="Q412" s="69" t="s">
        <v>26</v>
      </c>
      <c r="R412" s="109"/>
      <c r="V412" t="s">
        <v>27</v>
      </c>
    </row>
    <row r="413" spans="1:22" ht="15" customHeight="1" x14ac:dyDescent="0.25">
      <c r="A413" s="69">
        <v>452</v>
      </c>
      <c r="B413" s="35" t="s">
        <v>1046</v>
      </c>
      <c r="C413" s="69" t="s">
        <v>1047</v>
      </c>
      <c r="D413" s="69" t="s">
        <v>57</v>
      </c>
      <c r="E413" s="104">
        <v>8415000</v>
      </c>
      <c r="F413" s="109">
        <v>2103750</v>
      </c>
      <c r="G413" s="96" t="s">
        <v>643</v>
      </c>
      <c r="J413" s="109">
        <v>2103750</v>
      </c>
      <c r="K413" s="102" t="s">
        <v>644</v>
      </c>
      <c r="N413" s="109">
        <v>2103750</v>
      </c>
      <c r="O413" s="96" t="s">
        <v>1029</v>
      </c>
      <c r="P413" s="110">
        <f t="shared" si="9"/>
        <v>2103750</v>
      </c>
      <c r="Q413" s="69" t="s">
        <v>26</v>
      </c>
      <c r="R413" s="109">
        <v>2103750</v>
      </c>
      <c r="S413" s="99" t="s">
        <v>1006</v>
      </c>
      <c r="T413" s="110">
        <f>E413-F413-J413-N413-R413</f>
        <v>0</v>
      </c>
      <c r="V413" t="s">
        <v>27</v>
      </c>
    </row>
    <row r="414" spans="1:22" ht="15" customHeight="1" x14ac:dyDescent="0.25">
      <c r="A414" s="69">
        <v>523</v>
      </c>
      <c r="B414" s="35" t="s">
        <v>1048</v>
      </c>
      <c r="C414" s="69" t="s">
        <v>1049</v>
      </c>
      <c r="D414" s="69" t="s">
        <v>1050</v>
      </c>
      <c r="E414" s="104">
        <v>8415000</v>
      </c>
      <c r="F414" s="109">
        <v>2103750</v>
      </c>
      <c r="G414" s="96" t="s">
        <v>951</v>
      </c>
      <c r="J414" s="109">
        <v>2103750</v>
      </c>
      <c r="K414" s="96" t="s">
        <v>793</v>
      </c>
      <c r="N414" s="109">
        <v>2103750</v>
      </c>
      <c r="O414" s="96" t="s">
        <v>1029</v>
      </c>
      <c r="P414" s="110">
        <f t="shared" si="9"/>
        <v>2103750</v>
      </c>
      <c r="Q414" s="69" t="s">
        <v>26</v>
      </c>
      <c r="R414" s="109">
        <v>2103750</v>
      </c>
      <c r="S414" s="99" t="s">
        <v>1006</v>
      </c>
      <c r="T414" s="110">
        <f>E414-F414-J414-N414-R414</f>
        <v>0</v>
      </c>
      <c r="V414" t="s">
        <v>27</v>
      </c>
    </row>
    <row r="415" spans="1:22" ht="15" customHeight="1" x14ac:dyDescent="0.25">
      <c r="A415" s="69">
        <v>532</v>
      </c>
      <c r="B415" s="35" t="s">
        <v>1051</v>
      </c>
      <c r="C415" s="69" t="s">
        <v>1052</v>
      </c>
      <c r="D415" s="69" t="s">
        <v>1053</v>
      </c>
      <c r="E415" s="104">
        <v>8415000</v>
      </c>
      <c r="F415" s="109">
        <v>2103750</v>
      </c>
      <c r="G415" s="102" t="s">
        <v>332</v>
      </c>
      <c r="J415" s="109">
        <v>2103750</v>
      </c>
      <c r="K415" s="96" t="s">
        <v>836</v>
      </c>
      <c r="N415" s="109">
        <v>2103750</v>
      </c>
      <c r="O415" s="96" t="s">
        <v>1029</v>
      </c>
      <c r="P415" s="110">
        <f t="shared" si="9"/>
        <v>2103750</v>
      </c>
      <c r="Q415" s="69" t="s">
        <v>26</v>
      </c>
      <c r="R415" s="109">
        <v>2103750</v>
      </c>
      <c r="S415" s="100" t="s">
        <v>201</v>
      </c>
      <c r="T415" s="110">
        <f>E415-F415-H415-J415-L415-N415-R415</f>
        <v>0</v>
      </c>
      <c r="V415" t="s">
        <v>27</v>
      </c>
    </row>
    <row r="416" spans="1:22" ht="15" customHeight="1" x14ac:dyDescent="0.25">
      <c r="A416" s="69">
        <v>573</v>
      </c>
      <c r="B416" s="35" t="s">
        <v>1054</v>
      </c>
      <c r="C416" s="69" t="s">
        <v>1055</v>
      </c>
      <c r="D416" s="69" t="s">
        <v>490</v>
      </c>
      <c r="E416" s="104">
        <v>8415000</v>
      </c>
      <c r="F416" s="109">
        <v>2103750</v>
      </c>
      <c r="G416" s="96" t="s">
        <v>998</v>
      </c>
      <c r="J416" s="109">
        <v>2103750</v>
      </c>
      <c r="K416" s="96" t="s">
        <v>786</v>
      </c>
      <c r="N416" s="109">
        <v>2103750</v>
      </c>
      <c r="O416" s="96" t="s">
        <v>1029</v>
      </c>
      <c r="P416" s="110">
        <f t="shared" si="9"/>
        <v>2103750</v>
      </c>
      <c r="Q416" s="69" t="s">
        <v>26</v>
      </c>
      <c r="R416" s="109">
        <v>2103750</v>
      </c>
      <c r="S416" s="99" t="s">
        <v>44</v>
      </c>
      <c r="T416" s="110">
        <f>E416-F416-J416-N416-R416</f>
        <v>0</v>
      </c>
      <c r="V416" t="s">
        <v>27</v>
      </c>
    </row>
    <row r="417" spans="1:22" ht="15" customHeight="1" x14ac:dyDescent="0.25">
      <c r="A417" s="69">
        <v>589</v>
      </c>
      <c r="B417" s="35" t="s">
        <v>1056</v>
      </c>
      <c r="C417" s="35" t="s">
        <v>1057</v>
      </c>
      <c r="D417" s="35" t="s">
        <v>175</v>
      </c>
      <c r="E417" s="104">
        <v>8415000</v>
      </c>
      <c r="F417" s="103">
        <v>1530000</v>
      </c>
      <c r="G417" s="96" t="s">
        <v>152</v>
      </c>
      <c r="H417" s="35"/>
      <c r="I417" s="35"/>
      <c r="J417" s="104"/>
      <c r="K417" s="104"/>
      <c r="L417" s="35"/>
      <c r="M417" s="35"/>
      <c r="N417" s="109">
        <v>2103750</v>
      </c>
      <c r="O417" s="96" t="s">
        <v>1029</v>
      </c>
      <c r="P417" s="116">
        <f t="shared" si="9"/>
        <v>4781250</v>
      </c>
      <c r="Q417" s="35" t="s">
        <v>26</v>
      </c>
      <c r="R417" s="109">
        <v>2103750</v>
      </c>
      <c r="S417" s="99" t="s">
        <v>287</v>
      </c>
      <c r="T417" s="110">
        <f>E417-F417-J417-N417-R417</f>
        <v>2677500</v>
      </c>
      <c r="V417" t="s">
        <v>27</v>
      </c>
    </row>
    <row r="418" spans="1:22" ht="15" customHeight="1" x14ac:dyDescent="0.25">
      <c r="A418" s="69">
        <v>641</v>
      </c>
      <c r="B418" s="35" t="s">
        <v>1058</v>
      </c>
      <c r="C418" s="35" t="s">
        <v>1059</v>
      </c>
      <c r="D418" s="35" t="s">
        <v>1060</v>
      </c>
      <c r="E418" s="104">
        <v>8415000</v>
      </c>
      <c r="F418" s="109"/>
      <c r="H418" s="109">
        <v>2103750</v>
      </c>
      <c r="I418" s="96" t="s">
        <v>98</v>
      </c>
      <c r="J418" s="109">
        <v>2103750</v>
      </c>
      <c r="K418" s="96" t="s">
        <v>286</v>
      </c>
      <c r="N418" s="109">
        <v>2103750</v>
      </c>
      <c r="O418" s="96" t="s">
        <v>1029</v>
      </c>
      <c r="P418" s="110">
        <f t="shared" si="9"/>
        <v>2103750</v>
      </c>
      <c r="Q418" s="69" t="s">
        <v>26</v>
      </c>
      <c r="R418" s="109">
        <v>2103750</v>
      </c>
      <c r="S418" s="99" t="s">
        <v>1006</v>
      </c>
      <c r="T418" s="110">
        <f>E418-F418-H418-J418-L418-N418-R418</f>
        <v>0</v>
      </c>
      <c r="V418" t="s">
        <v>27</v>
      </c>
    </row>
    <row r="419" spans="1:22" ht="15" customHeight="1" x14ac:dyDescent="0.25">
      <c r="A419" s="69">
        <v>646</v>
      </c>
      <c r="B419" s="35" t="s">
        <v>1061</v>
      </c>
      <c r="C419" s="35" t="s">
        <v>1062</v>
      </c>
      <c r="D419" s="35" t="s">
        <v>942</v>
      </c>
      <c r="E419" s="104">
        <v>8415000</v>
      </c>
      <c r="F419" s="109"/>
      <c r="J419" s="109">
        <v>2103750</v>
      </c>
      <c r="K419" s="96" t="s">
        <v>286</v>
      </c>
      <c r="N419" s="109">
        <v>2103750</v>
      </c>
      <c r="O419" s="96" t="s">
        <v>1029</v>
      </c>
      <c r="P419" s="110">
        <f t="shared" si="9"/>
        <v>4207500</v>
      </c>
      <c r="Q419" s="69" t="s">
        <v>26</v>
      </c>
      <c r="R419" s="109">
        <v>2103750</v>
      </c>
      <c r="S419" s="100" t="s">
        <v>291</v>
      </c>
      <c r="T419" s="110">
        <f>E419-F419-J419-N419-R419</f>
        <v>2103750</v>
      </c>
      <c r="V419" t="s">
        <v>27</v>
      </c>
    </row>
    <row r="420" spans="1:22" ht="15" customHeight="1" x14ac:dyDescent="0.25">
      <c r="A420" s="69">
        <v>781</v>
      </c>
      <c r="B420" s="35" t="s">
        <v>1063</v>
      </c>
      <c r="C420" s="35" t="s">
        <v>1064</v>
      </c>
      <c r="D420" s="35" t="s">
        <v>157</v>
      </c>
      <c r="E420" s="104">
        <v>4940000</v>
      </c>
      <c r="K420" s="69" t="s">
        <v>177</v>
      </c>
      <c r="N420" s="110">
        <v>2470000</v>
      </c>
      <c r="O420" s="96" t="s">
        <v>1029</v>
      </c>
      <c r="P420" s="110">
        <f t="shared" si="9"/>
        <v>2470000</v>
      </c>
      <c r="Q420" s="69" t="s">
        <v>26</v>
      </c>
      <c r="R420" s="109">
        <v>2470000</v>
      </c>
      <c r="S420" s="99" t="s">
        <v>1006</v>
      </c>
      <c r="T420" s="110">
        <f>E420-F420-J420-N420-R420</f>
        <v>0</v>
      </c>
      <c r="V420" t="s">
        <v>27</v>
      </c>
    </row>
    <row r="421" spans="1:22" ht="15" customHeight="1" x14ac:dyDescent="0.25">
      <c r="A421" s="69">
        <v>841</v>
      </c>
      <c r="B421" s="35">
        <v>25820200011</v>
      </c>
      <c r="C421" s="35" t="s">
        <v>1065</v>
      </c>
      <c r="D421" s="35" t="s">
        <v>116</v>
      </c>
      <c r="E421" s="104">
        <v>4940000</v>
      </c>
      <c r="N421" s="110">
        <v>2470000</v>
      </c>
      <c r="O421" s="96" t="s">
        <v>1029</v>
      </c>
      <c r="P421" s="110">
        <f t="shared" si="9"/>
        <v>2470000</v>
      </c>
      <c r="R421" s="109">
        <v>2470000</v>
      </c>
      <c r="S421" s="99" t="s">
        <v>1006</v>
      </c>
      <c r="T421" s="110">
        <f>E421-N421-R421</f>
        <v>0</v>
      </c>
      <c r="V421" t="s">
        <v>27</v>
      </c>
    </row>
    <row r="422" spans="1:22" ht="15" customHeight="1" x14ac:dyDescent="0.25">
      <c r="A422" s="69">
        <v>318</v>
      </c>
      <c r="B422" s="35" t="s">
        <v>1066</v>
      </c>
      <c r="C422" s="69" t="s">
        <v>1067</v>
      </c>
      <c r="D422" s="69" t="s">
        <v>157</v>
      </c>
      <c r="E422" s="104">
        <f>7065000+2600000</f>
        <v>9665000</v>
      </c>
      <c r="F422" s="109">
        <v>2232500</v>
      </c>
      <c r="G422" s="96" t="s">
        <v>806</v>
      </c>
      <c r="J422" s="109">
        <v>2232500</v>
      </c>
      <c r="K422" s="96" t="s">
        <v>389</v>
      </c>
      <c r="N422" s="104">
        <v>2600000</v>
      </c>
      <c r="O422" s="102" t="s">
        <v>1068</v>
      </c>
      <c r="P422" s="110">
        <f t="shared" si="9"/>
        <v>2600000</v>
      </c>
      <c r="Q422" s="69" t="s">
        <v>26</v>
      </c>
      <c r="R422" s="109">
        <v>2600000</v>
      </c>
      <c r="S422" s="99" t="s">
        <v>748</v>
      </c>
      <c r="T422" s="110">
        <f>E422-F422-J422-N422-R422</f>
        <v>0</v>
      </c>
      <c r="V422" t="s">
        <v>27</v>
      </c>
    </row>
    <row r="423" spans="1:22" ht="15" customHeight="1" x14ac:dyDescent="0.25">
      <c r="A423" s="69">
        <v>324</v>
      </c>
      <c r="B423" s="35" t="s">
        <v>1069</v>
      </c>
      <c r="C423" s="69" t="s">
        <v>1070</v>
      </c>
      <c r="D423" s="69" t="s">
        <v>207</v>
      </c>
      <c r="E423" s="104">
        <v>8415000</v>
      </c>
      <c r="F423" s="109">
        <v>2103750</v>
      </c>
      <c r="G423" s="102" t="s">
        <v>564</v>
      </c>
      <c r="J423" s="109">
        <v>2103750</v>
      </c>
      <c r="K423" s="96" t="s">
        <v>108</v>
      </c>
      <c r="N423" s="109">
        <v>2103750</v>
      </c>
      <c r="O423" s="102" t="s">
        <v>1068</v>
      </c>
      <c r="P423" s="110">
        <f t="shared" si="9"/>
        <v>2103750</v>
      </c>
      <c r="Q423" s="69" t="s">
        <v>26</v>
      </c>
      <c r="R423" s="109">
        <v>2103750</v>
      </c>
      <c r="S423" s="100" t="s">
        <v>291</v>
      </c>
      <c r="T423" s="110">
        <f>E423-F423-H423-J423-L423-N423-R423</f>
        <v>0</v>
      </c>
      <c r="V423" t="s">
        <v>27</v>
      </c>
    </row>
    <row r="424" spans="1:22" ht="15" customHeight="1" x14ac:dyDescent="0.25">
      <c r="A424" s="69">
        <v>405</v>
      </c>
      <c r="B424" s="35" t="s">
        <v>1071</v>
      </c>
      <c r="C424" s="69" t="s">
        <v>181</v>
      </c>
      <c r="D424" s="69" t="s">
        <v>867</v>
      </c>
      <c r="E424" s="104">
        <v>8415000</v>
      </c>
      <c r="F424" s="109">
        <v>2103750</v>
      </c>
      <c r="G424" s="102" t="s">
        <v>475</v>
      </c>
      <c r="J424" s="109">
        <v>2103750</v>
      </c>
      <c r="K424" s="102" t="s">
        <v>601</v>
      </c>
      <c r="N424" s="109">
        <v>2103750</v>
      </c>
      <c r="O424" s="102" t="s">
        <v>1068</v>
      </c>
      <c r="P424" s="110">
        <f t="shared" si="9"/>
        <v>2103750</v>
      </c>
      <c r="Q424" s="69" t="s">
        <v>26</v>
      </c>
      <c r="R424" s="109"/>
      <c r="V424" t="s">
        <v>27</v>
      </c>
    </row>
    <row r="425" spans="1:22" ht="15" customHeight="1" x14ac:dyDescent="0.25">
      <c r="A425" s="69">
        <v>431</v>
      </c>
      <c r="B425" s="35" t="s">
        <v>1072</v>
      </c>
      <c r="C425" s="69" t="s">
        <v>809</v>
      </c>
      <c r="D425" s="69" t="s">
        <v>57</v>
      </c>
      <c r="E425" s="104">
        <v>8415000</v>
      </c>
      <c r="F425" s="109">
        <v>2103750</v>
      </c>
      <c r="G425" s="102" t="s">
        <v>479</v>
      </c>
      <c r="J425" s="109">
        <v>2103750</v>
      </c>
      <c r="K425" s="96" t="s">
        <v>389</v>
      </c>
      <c r="N425" s="109">
        <v>2103750</v>
      </c>
      <c r="O425" s="102" t="s">
        <v>1068</v>
      </c>
      <c r="P425" s="110">
        <f t="shared" si="9"/>
        <v>2103750</v>
      </c>
      <c r="Q425" s="69" t="s">
        <v>26</v>
      </c>
      <c r="R425" s="109">
        <v>2103750</v>
      </c>
      <c r="S425" s="100" t="s">
        <v>291</v>
      </c>
      <c r="T425" s="110">
        <f>E425-F425-J425-N425-R425</f>
        <v>0</v>
      </c>
      <c r="V425" t="s">
        <v>27</v>
      </c>
    </row>
    <row r="426" spans="1:22" ht="15" customHeight="1" x14ac:dyDescent="0.25">
      <c r="A426" s="69">
        <v>441</v>
      </c>
      <c r="B426" s="35" t="s">
        <v>1073</v>
      </c>
      <c r="C426" s="69" t="s">
        <v>585</v>
      </c>
      <c r="D426" s="69" t="s">
        <v>1074</v>
      </c>
      <c r="E426" s="104">
        <v>8415000</v>
      </c>
      <c r="F426" s="109">
        <v>2103750</v>
      </c>
      <c r="G426" s="102" t="s">
        <v>479</v>
      </c>
      <c r="J426" s="109">
        <v>2103750</v>
      </c>
      <c r="K426" s="96" t="s">
        <v>108</v>
      </c>
      <c r="N426" s="109">
        <v>2103750</v>
      </c>
      <c r="O426" s="102" t="s">
        <v>1068</v>
      </c>
      <c r="P426" s="110">
        <f t="shared" si="9"/>
        <v>2103750</v>
      </c>
      <c r="Q426" s="69" t="s">
        <v>26</v>
      </c>
      <c r="R426" s="109"/>
      <c r="V426" t="s">
        <v>27</v>
      </c>
    </row>
    <row r="427" spans="1:22" ht="15" customHeight="1" x14ac:dyDescent="0.25">
      <c r="A427" s="69">
        <v>446</v>
      </c>
      <c r="B427" s="35" t="s">
        <v>1075</v>
      </c>
      <c r="C427" s="69" t="s">
        <v>1076</v>
      </c>
      <c r="D427" s="69" t="s">
        <v>478</v>
      </c>
      <c r="E427" s="104">
        <v>8415000</v>
      </c>
      <c r="F427" s="109">
        <v>2103750</v>
      </c>
      <c r="G427" s="96" t="s">
        <v>643</v>
      </c>
      <c r="J427" s="109">
        <v>2103750</v>
      </c>
      <c r="K427" s="96" t="s">
        <v>108</v>
      </c>
      <c r="N427" s="109">
        <v>2103750</v>
      </c>
      <c r="O427" s="102" t="s">
        <v>1068</v>
      </c>
      <c r="P427" s="110">
        <f t="shared" si="9"/>
        <v>2103750</v>
      </c>
      <c r="Q427" s="69" t="s">
        <v>26</v>
      </c>
      <c r="R427" s="109">
        <v>2103750</v>
      </c>
      <c r="S427" s="100" t="s">
        <v>201</v>
      </c>
      <c r="T427" s="110">
        <f>E427-F427-J427-N427-R427</f>
        <v>0</v>
      </c>
      <c r="V427" t="s">
        <v>27</v>
      </c>
    </row>
    <row r="428" spans="1:22" ht="15" customHeight="1" x14ac:dyDescent="0.25">
      <c r="A428" s="69">
        <v>454</v>
      </c>
      <c r="B428" s="35" t="s">
        <v>1077</v>
      </c>
      <c r="C428" s="69" t="s">
        <v>1078</v>
      </c>
      <c r="D428" s="69" t="s">
        <v>1036</v>
      </c>
      <c r="E428" s="104">
        <v>9405000</v>
      </c>
      <c r="F428" s="109">
        <v>2232500</v>
      </c>
      <c r="G428" s="96" t="s">
        <v>643</v>
      </c>
      <c r="J428" s="109">
        <v>2232500</v>
      </c>
      <c r="K428" s="96" t="s">
        <v>108</v>
      </c>
      <c r="N428" s="110">
        <v>2470000</v>
      </c>
      <c r="O428" s="102" t="s">
        <v>1068</v>
      </c>
      <c r="P428" s="110">
        <f t="shared" si="9"/>
        <v>2470000</v>
      </c>
      <c r="Q428" s="69" t="s">
        <v>26</v>
      </c>
      <c r="R428" s="109">
        <v>2470000</v>
      </c>
      <c r="S428" s="99" t="s">
        <v>1006</v>
      </c>
      <c r="T428" s="110">
        <f>E428-F428-J428-N428-R428</f>
        <v>0</v>
      </c>
      <c r="V428" t="s">
        <v>27</v>
      </c>
    </row>
    <row r="429" spans="1:22" ht="15" customHeight="1" x14ac:dyDescent="0.25">
      <c r="A429" s="69">
        <v>457</v>
      </c>
      <c r="B429" s="35" t="s">
        <v>1079</v>
      </c>
      <c r="C429" s="35" t="s">
        <v>1080</v>
      </c>
      <c r="D429" s="35" t="s">
        <v>384</v>
      </c>
      <c r="E429" s="104">
        <v>9405000</v>
      </c>
      <c r="F429" s="109">
        <v>2232500</v>
      </c>
      <c r="G429" s="96" t="s">
        <v>643</v>
      </c>
      <c r="J429" s="109">
        <v>2232500</v>
      </c>
      <c r="K429" s="96" t="s">
        <v>24</v>
      </c>
      <c r="N429" s="110">
        <v>2470000</v>
      </c>
      <c r="O429" s="102" t="s">
        <v>1068</v>
      </c>
      <c r="P429" s="110">
        <f t="shared" si="9"/>
        <v>2470000</v>
      </c>
      <c r="Q429" s="69" t="s">
        <v>26</v>
      </c>
      <c r="R429" s="109">
        <v>2470000</v>
      </c>
      <c r="S429" s="99" t="s">
        <v>1006</v>
      </c>
      <c r="T429" s="110">
        <f>E429-F429-J429-N429-R429</f>
        <v>0</v>
      </c>
      <c r="V429" t="s">
        <v>27</v>
      </c>
    </row>
    <row r="430" spans="1:22" ht="15" customHeight="1" x14ac:dyDescent="0.25">
      <c r="A430" s="69">
        <v>557</v>
      </c>
      <c r="B430" s="35" t="s">
        <v>1081</v>
      </c>
      <c r="C430" s="69" t="s">
        <v>1082</v>
      </c>
      <c r="D430" s="69" t="s">
        <v>182</v>
      </c>
      <c r="E430" s="104">
        <v>8415000</v>
      </c>
      <c r="F430" s="109">
        <v>2103750</v>
      </c>
      <c r="G430" s="102" t="s">
        <v>285</v>
      </c>
      <c r="J430" s="109">
        <v>2103750</v>
      </c>
      <c r="K430" s="96" t="s">
        <v>286</v>
      </c>
      <c r="N430" s="109">
        <v>2103750</v>
      </c>
      <c r="O430" s="102" t="s">
        <v>1068</v>
      </c>
      <c r="P430" s="110">
        <f t="shared" si="9"/>
        <v>2103750</v>
      </c>
      <c r="Q430" s="69" t="s">
        <v>26</v>
      </c>
      <c r="R430" s="109">
        <v>2103750</v>
      </c>
      <c r="S430" s="99" t="s">
        <v>44</v>
      </c>
      <c r="T430" s="110">
        <f>E430-F430-H430-J430-L430-N430-R430</f>
        <v>0</v>
      </c>
      <c r="V430" t="s">
        <v>27</v>
      </c>
    </row>
    <row r="431" spans="1:22" ht="15" customHeight="1" x14ac:dyDescent="0.25">
      <c r="A431" s="69">
        <v>559</v>
      </c>
      <c r="B431" s="35" t="s">
        <v>1083</v>
      </c>
      <c r="C431" s="69" t="s">
        <v>1084</v>
      </c>
      <c r="D431" s="69" t="s">
        <v>160</v>
      </c>
      <c r="E431" s="104">
        <v>8415000</v>
      </c>
      <c r="F431" s="109">
        <v>2103750</v>
      </c>
      <c r="G431" s="102" t="s">
        <v>285</v>
      </c>
      <c r="J431" s="109">
        <v>2103750</v>
      </c>
      <c r="K431" s="102" t="s">
        <v>644</v>
      </c>
      <c r="N431" s="109">
        <v>2103750</v>
      </c>
      <c r="O431" s="102" t="s">
        <v>1068</v>
      </c>
      <c r="P431" s="110">
        <f t="shared" ref="P431:P494" si="10">E431-F431-H431-J431-L431-N431</f>
        <v>2103750</v>
      </c>
      <c r="Q431" s="69" t="s">
        <v>26</v>
      </c>
      <c r="R431" s="109">
        <v>2103750</v>
      </c>
      <c r="T431" s="110">
        <f>E431-F431-J431-N431-R431</f>
        <v>0</v>
      </c>
      <c r="V431" t="s">
        <v>27</v>
      </c>
    </row>
    <row r="432" spans="1:22" ht="15" customHeight="1" x14ac:dyDescent="0.25">
      <c r="A432" s="69">
        <v>561</v>
      </c>
      <c r="B432" s="35" t="s">
        <v>1085</v>
      </c>
      <c r="C432" s="69" t="s">
        <v>1086</v>
      </c>
      <c r="D432" s="69" t="s">
        <v>1087</v>
      </c>
      <c r="E432" s="104">
        <v>8415000</v>
      </c>
      <c r="F432" s="109">
        <v>2103750</v>
      </c>
      <c r="G432" s="102" t="s">
        <v>285</v>
      </c>
      <c r="J432" s="109">
        <v>2103750</v>
      </c>
      <c r="K432" s="96" t="s">
        <v>286</v>
      </c>
      <c r="N432" s="109">
        <v>2103750</v>
      </c>
      <c r="O432" s="102" t="s">
        <v>1068</v>
      </c>
      <c r="P432" s="110">
        <f t="shared" si="10"/>
        <v>2103750</v>
      </c>
      <c r="Q432" s="69" t="s">
        <v>26</v>
      </c>
      <c r="R432" s="109">
        <v>2103750</v>
      </c>
      <c r="S432" s="99" t="s">
        <v>44</v>
      </c>
      <c r="T432" s="110">
        <f>E432-F432-J432-N432-R432</f>
        <v>0</v>
      </c>
      <c r="V432" t="s">
        <v>27</v>
      </c>
    </row>
    <row r="433" spans="1:22" ht="15" customHeight="1" x14ac:dyDescent="0.25">
      <c r="A433" s="69">
        <v>564</v>
      </c>
      <c r="B433" s="35" t="s">
        <v>1088</v>
      </c>
      <c r="C433" s="69" t="s">
        <v>103</v>
      </c>
      <c r="D433" s="69" t="s">
        <v>1036</v>
      </c>
      <c r="E433" s="104">
        <v>8415000</v>
      </c>
      <c r="F433" s="109">
        <v>2103750</v>
      </c>
      <c r="G433" s="102" t="s">
        <v>285</v>
      </c>
      <c r="J433" s="109">
        <v>2103750</v>
      </c>
      <c r="K433" s="96" t="s">
        <v>286</v>
      </c>
      <c r="N433" s="109">
        <v>2103750</v>
      </c>
      <c r="O433" s="102" t="s">
        <v>1068</v>
      </c>
      <c r="P433" s="110">
        <f t="shared" si="10"/>
        <v>2103750</v>
      </c>
      <c r="Q433" s="69" t="s">
        <v>26</v>
      </c>
      <c r="R433" s="109">
        <v>2103750</v>
      </c>
      <c r="S433" s="100" t="s">
        <v>201</v>
      </c>
      <c r="T433" s="110">
        <f>E433-F433-J433-N433-R433</f>
        <v>0</v>
      </c>
      <c r="V433" t="s">
        <v>27</v>
      </c>
    </row>
    <row r="434" spans="1:22" ht="15" customHeight="1" x14ac:dyDescent="0.25">
      <c r="A434" s="69">
        <v>566</v>
      </c>
      <c r="B434" s="35" t="s">
        <v>1089</v>
      </c>
      <c r="C434" s="69" t="s">
        <v>1090</v>
      </c>
      <c r="D434" s="69" t="s">
        <v>850</v>
      </c>
      <c r="E434" s="104">
        <v>8415000</v>
      </c>
      <c r="F434" s="109">
        <v>2103750</v>
      </c>
      <c r="G434" s="102" t="s">
        <v>285</v>
      </c>
      <c r="J434" s="109">
        <v>2103750</v>
      </c>
      <c r="K434" s="96" t="s">
        <v>286</v>
      </c>
      <c r="N434" s="109">
        <v>2103750</v>
      </c>
      <c r="O434" s="102" t="s">
        <v>1068</v>
      </c>
      <c r="P434" s="110">
        <f t="shared" si="10"/>
        <v>2103750</v>
      </c>
      <c r="Q434" s="69" t="s">
        <v>26</v>
      </c>
      <c r="R434" s="109">
        <v>2103750</v>
      </c>
      <c r="S434" s="99" t="s">
        <v>44</v>
      </c>
      <c r="T434" s="110">
        <f>'TONG HOP'!E434-'TONG HOP'!F434-'TONG HOP'!H434-'TONG HOP'!J434-'TONG HOP'!L434-'TONG HOP'!N434-'TONG HOP'!R434</f>
        <v>0</v>
      </c>
      <c r="V434" t="s">
        <v>27</v>
      </c>
    </row>
    <row r="435" spans="1:22" ht="15" customHeight="1" x14ac:dyDescent="0.25">
      <c r="A435" s="69">
        <v>570</v>
      </c>
      <c r="B435" s="35" t="s">
        <v>1091</v>
      </c>
      <c r="C435" s="69" t="s">
        <v>1092</v>
      </c>
      <c r="D435" s="69" t="s">
        <v>641</v>
      </c>
      <c r="E435" s="104">
        <v>9405000</v>
      </c>
      <c r="F435" s="109">
        <v>2232500</v>
      </c>
      <c r="G435" s="102" t="s">
        <v>285</v>
      </c>
      <c r="J435" s="109">
        <v>2232500</v>
      </c>
      <c r="K435" s="96" t="s">
        <v>286</v>
      </c>
      <c r="N435" s="109">
        <v>2470000</v>
      </c>
      <c r="O435" s="102" t="s">
        <v>1068</v>
      </c>
      <c r="P435" s="110">
        <f t="shared" si="10"/>
        <v>2470000</v>
      </c>
      <c r="Q435" s="69" t="s">
        <v>26</v>
      </c>
      <c r="R435" s="109">
        <v>2470000</v>
      </c>
      <c r="S435" s="99" t="s">
        <v>44</v>
      </c>
      <c r="T435" s="110">
        <f>E435-F435-J435-N435-R435</f>
        <v>0</v>
      </c>
      <c r="V435" t="s">
        <v>27</v>
      </c>
    </row>
    <row r="436" spans="1:22" ht="15" customHeight="1" x14ac:dyDescent="0.25">
      <c r="A436" s="69">
        <v>579</v>
      </c>
      <c r="B436" s="35" t="s">
        <v>1093</v>
      </c>
      <c r="C436" s="69" t="s">
        <v>1094</v>
      </c>
      <c r="D436" s="69" t="s">
        <v>22</v>
      </c>
      <c r="E436" s="104">
        <v>8415000</v>
      </c>
      <c r="F436" s="109">
        <v>2103750</v>
      </c>
      <c r="G436" s="96" t="s">
        <v>998</v>
      </c>
      <c r="J436" s="109">
        <v>2103750</v>
      </c>
      <c r="K436" s="96" t="s">
        <v>108</v>
      </c>
      <c r="N436" s="109">
        <v>2103750</v>
      </c>
      <c r="O436" s="102" t="s">
        <v>1068</v>
      </c>
      <c r="P436" s="110">
        <f t="shared" si="10"/>
        <v>2103750</v>
      </c>
      <c r="Q436" s="69" t="s">
        <v>26</v>
      </c>
      <c r="R436" s="109">
        <v>2103750</v>
      </c>
      <c r="S436" s="100" t="s">
        <v>291</v>
      </c>
      <c r="T436" s="110">
        <f>E436-F436-H436-J436-L436-N436-R436</f>
        <v>0</v>
      </c>
      <c r="V436" t="s">
        <v>27</v>
      </c>
    </row>
    <row r="437" spans="1:22" ht="15" customHeight="1" x14ac:dyDescent="0.25">
      <c r="A437" s="69">
        <v>628</v>
      </c>
      <c r="B437" s="35" t="s">
        <v>1095</v>
      </c>
      <c r="C437" s="69" t="s">
        <v>1096</v>
      </c>
      <c r="D437" s="69" t="s">
        <v>1097</v>
      </c>
      <c r="E437" s="104">
        <v>8415000</v>
      </c>
      <c r="F437" s="109"/>
      <c r="H437" s="109">
        <v>2103750</v>
      </c>
      <c r="I437" s="102" t="s">
        <v>487</v>
      </c>
      <c r="J437" s="109">
        <v>2103750</v>
      </c>
      <c r="K437" s="96" t="s">
        <v>24</v>
      </c>
      <c r="N437" s="109">
        <v>2103750</v>
      </c>
      <c r="O437" s="102" t="s">
        <v>1068</v>
      </c>
      <c r="P437" s="110">
        <f t="shared" si="10"/>
        <v>2103750</v>
      </c>
      <c r="Q437" s="69" t="s">
        <v>26</v>
      </c>
      <c r="R437" s="109"/>
      <c r="V437" t="s">
        <v>27</v>
      </c>
    </row>
    <row r="438" spans="1:22" ht="15" customHeight="1" x14ac:dyDescent="0.25">
      <c r="A438" s="69">
        <v>630</v>
      </c>
      <c r="B438" s="35" t="s">
        <v>1098</v>
      </c>
      <c r="C438" s="69" t="s">
        <v>1099</v>
      </c>
      <c r="D438" s="69" t="s">
        <v>57</v>
      </c>
      <c r="E438" s="104">
        <v>8415000</v>
      </c>
      <c r="F438" s="109"/>
      <c r="H438" s="109">
        <v>2103750</v>
      </c>
      <c r="I438" s="102" t="s">
        <v>487</v>
      </c>
      <c r="J438" s="109">
        <v>2103750</v>
      </c>
      <c r="K438" s="96" t="s">
        <v>873</v>
      </c>
      <c r="N438" s="109">
        <v>2103750</v>
      </c>
      <c r="O438" s="102" t="s">
        <v>1068</v>
      </c>
      <c r="P438" s="110">
        <f t="shared" si="10"/>
        <v>2103750</v>
      </c>
      <c r="Q438" s="69" t="s">
        <v>26</v>
      </c>
      <c r="R438" s="109">
        <v>2103750</v>
      </c>
      <c r="S438" s="100" t="s">
        <v>201</v>
      </c>
      <c r="T438" s="110">
        <f>E438-H438-J438-N438-R438</f>
        <v>0</v>
      </c>
      <c r="V438" t="s">
        <v>27</v>
      </c>
    </row>
    <row r="439" spans="1:22" ht="15" customHeight="1" x14ac:dyDescent="0.25">
      <c r="A439" s="69">
        <v>837</v>
      </c>
      <c r="B439" s="35">
        <v>25807900124</v>
      </c>
      <c r="C439" s="69" t="s">
        <v>1100</v>
      </c>
      <c r="D439" s="69" t="s">
        <v>160</v>
      </c>
      <c r="E439" s="104">
        <v>5200000</v>
      </c>
      <c r="N439" s="104">
        <v>2600000</v>
      </c>
      <c r="O439" s="102" t="s">
        <v>1068</v>
      </c>
      <c r="P439" s="110">
        <f t="shared" si="10"/>
        <v>2600000</v>
      </c>
      <c r="R439" s="109">
        <v>2600000</v>
      </c>
      <c r="T439" s="110">
        <f>E439-F439-J439-N439-R439</f>
        <v>0</v>
      </c>
      <c r="V439" t="s">
        <v>27</v>
      </c>
    </row>
    <row r="440" spans="1:22" ht="15" customHeight="1" x14ac:dyDescent="0.25">
      <c r="A440" s="69">
        <v>245</v>
      </c>
      <c r="B440" s="35" t="s">
        <v>1101</v>
      </c>
      <c r="C440" s="69" t="s">
        <v>1102</v>
      </c>
      <c r="D440" s="69" t="s">
        <v>1103</v>
      </c>
      <c r="E440" s="104">
        <v>8415000</v>
      </c>
      <c r="F440" s="109">
        <v>2103750</v>
      </c>
      <c r="G440" s="96" t="s">
        <v>464</v>
      </c>
      <c r="J440" s="109">
        <v>2103750</v>
      </c>
      <c r="K440" s="96" t="s">
        <v>67</v>
      </c>
      <c r="N440" s="109">
        <v>2103750</v>
      </c>
      <c r="O440" s="96" t="s">
        <v>1104</v>
      </c>
      <c r="P440" s="110">
        <f t="shared" si="10"/>
        <v>2103750</v>
      </c>
      <c r="Q440" s="69" t="s">
        <v>26</v>
      </c>
      <c r="R440" s="109"/>
      <c r="V440" t="s">
        <v>27</v>
      </c>
    </row>
    <row r="441" spans="1:22" ht="15" customHeight="1" x14ac:dyDescent="0.25">
      <c r="A441" s="69">
        <v>275</v>
      </c>
      <c r="B441" s="35" t="s">
        <v>1105</v>
      </c>
      <c r="C441" s="69" t="s">
        <v>49</v>
      </c>
      <c r="D441" s="69" t="s">
        <v>490</v>
      </c>
      <c r="E441" s="104">
        <v>8415000</v>
      </c>
      <c r="F441" s="109">
        <v>2103750</v>
      </c>
      <c r="G441" s="96" t="s">
        <v>471</v>
      </c>
      <c r="J441" s="109">
        <v>2103750</v>
      </c>
      <c r="K441" s="96" t="s">
        <v>868</v>
      </c>
      <c r="N441" s="109">
        <v>2103750</v>
      </c>
      <c r="O441" s="96" t="s">
        <v>1104</v>
      </c>
      <c r="P441" s="110">
        <f t="shared" si="10"/>
        <v>2103750</v>
      </c>
      <c r="Q441" s="69" t="s">
        <v>26</v>
      </c>
      <c r="R441" s="109">
        <v>2103750</v>
      </c>
      <c r="S441" s="100" t="s">
        <v>604</v>
      </c>
      <c r="T441" s="110">
        <f>E441-F441-J441-N441-R441</f>
        <v>0</v>
      </c>
      <c r="V441" t="s">
        <v>27</v>
      </c>
    </row>
    <row r="442" spans="1:22" ht="15" customHeight="1" x14ac:dyDescent="0.25">
      <c r="A442" s="69">
        <v>317</v>
      </c>
      <c r="B442" s="35" t="s">
        <v>1106</v>
      </c>
      <c r="C442" s="69" t="s">
        <v>1107</v>
      </c>
      <c r="D442" s="69" t="s">
        <v>942</v>
      </c>
      <c r="E442" s="104">
        <v>8415000</v>
      </c>
      <c r="F442" s="109">
        <v>2103750</v>
      </c>
      <c r="G442" s="96" t="s">
        <v>806</v>
      </c>
      <c r="J442" s="109">
        <v>2103750</v>
      </c>
      <c r="K442" s="102" t="s">
        <v>648</v>
      </c>
      <c r="N442" s="109">
        <v>2103750</v>
      </c>
      <c r="O442" s="96" t="s">
        <v>1104</v>
      </c>
      <c r="P442" s="110">
        <f t="shared" si="10"/>
        <v>2103750</v>
      </c>
      <c r="Q442" s="69" t="s">
        <v>26</v>
      </c>
      <c r="R442" s="109">
        <v>2103750</v>
      </c>
      <c r="S442" s="100" t="s">
        <v>416</v>
      </c>
      <c r="T442" s="110">
        <f>E442-F442-J442-N442-R442</f>
        <v>0</v>
      </c>
      <c r="V442" t="s">
        <v>27</v>
      </c>
    </row>
    <row r="443" spans="1:22" ht="15" customHeight="1" x14ac:dyDescent="0.25">
      <c r="A443" s="69">
        <v>329</v>
      </c>
      <c r="B443" s="35" t="s">
        <v>1108</v>
      </c>
      <c r="C443" s="69" t="s">
        <v>269</v>
      </c>
      <c r="D443" s="69" t="s">
        <v>490</v>
      </c>
      <c r="E443" s="104">
        <v>8415000</v>
      </c>
      <c r="F443" s="109">
        <v>2103750</v>
      </c>
      <c r="G443" s="102" t="s">
        <v>564</v>
      </c>
      <c r="J443" s="109">
        <v>2103750</v>
      </c>
      <c r="K443" s="102" t="s">
        <v>644</v>
      </c>
      <c r="N443" s="109">
        <v>2103750</v>
      </c>
      <c r="O443" s="96" t="s">
        <v>1104</v>
      </c>
      <c r="P443" s="110">
        <f t="shared" si="10"/>
        <v>2103750</v>
      </c>
      <c r="Q443" s="69" t="s">
        <v>26</v>
      </c>
      <c r="R443" s="109"/>
      <c r="V443" t="s">
        <v>27</v>
      </c>
    </row>
    <row r="444" spans="1:22" ht="15" customHeight="1" x14ac:dyDescent="0.25">
      <c r="A444" s="69">
        <v>353</v>
      </c>
      <c r="B444" s="35" t="s">
        <v>1109</v>
      </c>
      <c r="C444" s="69" t="s">
        <v>664</v>
      </c>
      <c r="D444" s="69" t="s">
        <v>236</v>
      </c>
      <c r="E444" s="104">
        <v>8415000</v>
      </c>
      <c r="F444" s="109">
        <v>2103750</v>
      </c>
      <c r="G444" s="96" t="s">
        <v>721</v>
      </c>
      <c r="J444" s="109">
        <v>2103750</v>
      </c>
      <c r="K444" s="102" t="s">
        <v>314</v>
      </c>
      <c r="N444" s="109">
        <v>2103750</v>
      </c>
      <c r="O444" s="96" t="s">
        <v>1104</v>
      </c>
      <c r="P444" s="110">
        <f t="shared" si="10"/>
        <v>2103750</v>
      </c>
      <c r="Q444" s="69" t="s">
        <v>26</v>
      </c>
      <c r="R444" s="109"/>
      <c r="V444" t="s">
        <v>27</v>
      </c>
    </row>
    <row r="445" spans="1:22" ht="15" customHeight="1" x14ac:dyDescent="0.25">
      <c r="A445" s="69">
        <v>439</v>
      </c>
      <c r="B445" s="35" t="s">
        <v>1110</v>
      </c>
      <c r="C445" s="69" t="s">
        <v>1111</v>
      </c>
      <c r="D445" s="69" t="s">
        <v>484</v>
      </c>
      <c r="E445" s="104">
        <v>8415000</v>
      </c>
      <c r="F445" s="109">
        <v>2103750</v>
      </c>
      <c r="G445" s="102" t="s">
        <v>479</v>
      </c>
      <c r="J445" s="109">
        <v>2103750</v>
      </c>
      <c r="K445" s="96" t="s">
        <v>389</v>
      </c>
      <c r="N445" s="109">
        <v>2103750</v>
      </c>
      <c r="O445" s="96" t="s">
        <v>1104</v>
      </c>
      <c r="P445" s="110">
        <f t="shared" si="10"/>
        <v>2103750</v>
      </c>
      <c r="Q445" s="69" t="s">
        <v>26</v>
      </c>
      <c r="R445" s="109">
        <v>2103750</v>
      </c>
      <c r="S445" s="99" t="s">
        <v>44</v>
      </c>
      <c r="T445" s="110">
        <f>E445-F445-H445-J445-L445-N445-R445</f>
        <v>0</v>
      </c>
      <c r="V445" t="s">
        <v>27</v>
      </c>
    </row>
    <row r="446" spans="1:22" ht="15" customHeight="1" x14ac:dyDescent="0.25">
      <c r="A446" s="69">
        <v>440</v>
      </c>
      <c r="B446" s="35" t="s">
        <v>1112</v>
      </c>
      <c r="C446" s="69" t="s">
        <v>1113</v>
      </c>
      <c r="D446" s="69" t="s">
        <v>43</v>
      </c>
      <c r="E446" s="104">
        <v>8415000</v>
      </c>
      <c r="F446" s="109">
        <v>2103750</v>
      </c>
      <c r="G446" s="102" t="s">
        <v>479</v>
      </c>
      <c r="J446" s="109">
        <v>2103750</v>
      </c>
      <c r="K446" s="96" t="s">
        <v>389</v>
      </c>
      <c r="N446" s="109">
        <v>2103750</v>
      </c>
      <c r="O446" s="96" t="s">
        <v>1104</v>
      </c>
      <c r="P446" s="110">
        <f t="shared" si="10"/>
        <v>2103750</v>
      </c>
      <c r="Q446" s="69" t="s">
        <v>26</v>
      </c>
      <c r="R446" s="109">
        <v>2103750</v>
      </c>
      <c r="S446" s="100" t="s">
        <v>291</v>
      </c>
      <c r="T446" s="110">
        <f>E446-F446-H446-J446-L446-N446-R446</f>
        <v>0</v>
      </c>
      <c r="V446" t="s">
        <v>27</v>
      </c>
    </row>
    <row r="447" spans="1:22" ht="15" customHeight="1" x14ac:dyDescent="0.25">
      <c r="A447" s="69">
        <v>455</v>
      </c>
      <c r="B447" s="35" t="s">
        <v>1114</v>
      </c>
      <c r="C447" s="69" t="s">
        <v>1115</v>
      </c>
      <c r="D447" s="69" t="s">
        <v>22</v>
      </c>
      <c r="E447" s="104">
        <v>9405000</v>
      </c>
      <c r="F447" s="109">
        <v>2232500</v>
      </c>
      <c r="G447" s="96" t="s">
        <v>643</v>
      </c>
      <c r="J447" s="109">
        <v>2232500</v>
      </c>
      <c r="K447" s="96" t="s">
        <v>108</v>
      </c>
      <c r="N447" s="110">
        <v>2470000</v>
      </c>
      <c r="O447" s="96" t="s">
        <v>1104</v>
      </c>
      <c r="P447" s="110">
        <f t="shared" si="10"/>
        <v>2470000</v>
      </c>
      <c r="Q447" s="69" t="s">
        <v>26</v>
      </c>
      <c r="R447" s="109">
        <v>2470000</v>
      </c>
      <c r="S447" s="99" t="s">
        <v>44</v>
      </c>
      <c r="T447" s="110">
        <f>E447-F447-H447-J447-L447-N447-R447</f>
        <v>0</v>
      </c>
      <c r="V447" t="s">
        <v>27</v>
      </c>
    </row>
    <row r="448" spans="1:22" ht="15" customHeight="1" x14ac:dyDescent="0.25">
      <c r="A448" s="69">
        <v>469</v>
      </c>
      <c r="B448" s="35" t="s">
        <v>1116</v>
      </c>
      <c r="C448" s="69" t="s">
        <v>1117</v>
      </c>
      <c r="D448" s="69" t="s">
        <v>116</v>
      </c>
      <c r="E448" s="104">
        <v>8415000</v>
      </c>
      <c r="F448" s="109">
        <v>2103750</v>
      </c>
      <c r="G448" s="102" t="s">
        <v>822</v>
      </c>
      <c r="J448" s="109">
        <v>2103750</v>
      </c>
      <c r="K448" s="96" t="s">
        <v>793</v>
      </c>
      <c r="N448" s="109">
        <v>2103750</v>
      </c>
      <c r="O448" s="96" t="s">
        <v>1104</v>
      </c>
      <c r="P448" s="110">
        <f t="shared" si="10"/>
        <v>2103750</v>
      </c>
      <c r="Q448" s="69" t="s">
        <v>26</v>
      </c>
      <c r="R448" s="109">
        <v>2103750</v>
      </c>
      <c r="S448" s="99" t="s">
        <v>1006</v>
      </c>
      <c r="T448" s="110">
        <f>E448-F448-J448-N448-R448</f>
        <v>0</v>
      </c>
      <c r="V448" t="s">
        <v>27</v>
      </c>
    </row>
    <row r="449" spans="1:22" ht="15" customHeight="1" x14ac:dyDescent="0.25">
      <c r="A449" s="69">
        <v>477</v>
      </c>
      <c r="B449" s="35" t="s">
        <v>1118</v>
      </c>
      <c r="C449" s="69" t="s">
        <v>1119</v>
      </c>
      <c r="D449" s="69" t="s">
        <v>658</v>
      </c>
      <c r="E449" s="104">
        <v>8415000</v>
      </c>
      <c r="F449" s="109">
        <v>2103750</v>
      </c>
      <c r="G449" s="96" t="s">
        <v>84</v>
      </c>
      <c r="J449" s="109">
        <v>2103750</v>
      </c>
      <c r="K449" s="96" t="s">
        <v>286</v>
      </c>
      <c r="N449" s="109">
        <v>2103750</v>
      </c>
      <c r="O449" s="96" t="s">
        <v>1104</v>
      </c>
      <c r="P449" s="110">
        <f t="shared" si="10"/>
        <v>2103750</v>
      </c>
      <c r="Q449" s="69" t="s">
        <v>26</v>
      </c>
      <c r="R449" s="109">
        <v>2103750</v>
      </c>
      <c r="S449" s="99" t="s">
        <v>1006</v>
      </c>
      <c r="T449" s="110">
        <f>E449-F449-H449-J449-L449-N449-R449</f>
        <v>0</v>
      </c>
      <c r="V449" t="s">
        <v>27</v>
      </c>
    </row>
    <row r="450" spans="1:22" ht="15" customHeight="1" x14ac:dyDescent="0.25">
      <c r="A450" s="69">
        <v>480</v>
      </c>
      <c r="B450" s="35" t="s">
        <v>1120</v>
      </c>
      <c r="C450" s="69" t="s">
        <v>1121</v>
      </c>
      <c r="D450" s="69" t="s">
        <v>344</v>
      </c>
      <c r="E450" s="104">
        <v>8415000</v>
      </c>
      <c r="F450" s="109">
        <v>2103750</v>
      </c>
      <c r="G450" s="96" t="s">
        <v>84</v>
      </c>
      <c r="J450" s="109">
        <v>2103750</v>
      </c>
      <c r="K450" s="102" t="s">
        <v>644</v>
      </c>
      <c r="N450" s="109">
        <v>2103750</v>
      </c>
      <c r="O450" s="96" t="s">
        <v>1104</v>
      </c>
      <c r="P450" s="110">
        <f t="shared" si="10"/>
        <v>2103750</v>
      </c>
      <c r="Q450" s="69" t="s">
        <v>26</v>
      </c>
      <c r="R450" s="109"/>
      <c r="V450" t="s">
        <v>27</v>
      </c>
    </row>
    <row r="451" spans="1:22" ht="15" customHeight="1" x14ac:dyDescent="0.25">
      <c r="A451" s="69">
        <v>481</v>
      </c>
      <c r="B451" s="35" t="s">
        <v>1122</v>
      </c>
      <c r="C451" s="69" t="s">
        <v>1123</v>
      </c>
      <c r="D451" s="69" t="s">
        <v>1124</v>
      </c>
      <c r="E451" s="104">
        <v>8415000</v>
      </c>
      <c r="F451" s="109">
        <v>2103750</v>
      </c>
      <c r="G451" s="96" t="s">
        <v>84</v>
      </c>
      <c r="J451" s="109">
        <v>2103750</v>
      </c>
      <c r="K451" s="96" t="s">
        <v>108</v>
      </c>
      <c r="N451" s="109">
        <v>2103750</v>
      </c>
      <c r="O451" s="96" t="s">
        <v>1104</v>
      </c>
      <c r="P451" s="110">
        <f t="shared" si="10"/>
        <v>2103750</v>
      </c>
      <c r="Q451" s="69" t="s">
        <v>26</v>
      </c>
      <c r="R451" s="109">
        <v>2103750</v>
      </c>
      <c r="S451" s="99" t="s">
        <v>44</v>
      </c>
      <c r="T451" s="110">
        <f>E451-F451-H451-J451-L451-N451-R451</f>
        <v>0</v>
      </c>
      <c r="V451" t="s">
        <v>27</v>
      </c>
    </row>
    <row r="452" spans="1:22" ht="15" customHeight="1" x14ac:dyDescent="0.25">
      <c r="A452" s="69">
        <v>484</v>
      </c>
      <c r="B452" s="35" t="s">
        <v>1125</v>
      </c>
      <c r="C452" s="69" t="s">
        <v>1126</v>
      </c>
      <c r="D452" s="69" t="s">
        <v>157</v>
      </c>
      <c r="E452" s="104">
        <v>8415000</v>
      </c>
      <c r="F452" s="109">
        <v>2103750</v>
      </c>
      <c r="G452" s="96" t="s">
        <v>84</v>
      </c>
      <c r="J452" s="109">
        <v>2103750</v>
      </c>
      <c r="K452" s="102" t="s">
        <v>644</v>
      </c>
      <c r="N452" s="109">
        <v>2103750</v>
      </c>
      <c r="O452" s="96" t="s">
        <v>1104</v>
      </c>
      <c r="P452" s="110">
        <f t="shared" si="10"/>
        <v>2103750</v>
      </c>
      <c r="Q452" s="69" t="s">
        <v>26</v>
      </c>
      <c r="R452" s="109"/>
      <c r="V452" t="s">
        <v>27</v>
      </c>
    </row>
    <row r="453" spans="1:22" ht="15" customHeight="1" x14ac:dyDescent="0.25">
      <c r="A453" s="69">
        <v>490</v>
      </c>
      <c r="B453" s="35" t="s">
        <v>1127</v>
      </c>
      <c r="C453" s="69" t="s">
        <v>1128</v>
      </c>
      <c r="D453" s="69" t="s">
        <v>252</v>
      </c>
      <c r="E453" s="104">
        <v>9405000</v>
      </c>
      <c r="F453" s="109">
        <v>2232500</v>
      </c>
      <c r="G453" s="96" t="s">
        <v>84</v>
      </c>
      <c r="J453" s="109">
        <v>2232500</v>
      </c>
      <c r="K453" s="96" t="s">
        <v>108</v>
      </c>
      <c r="N453" s="109">
        <v>2470000</v>
      </c>
      <c r="O453" s="96" t="s">
        <v>1104</v>
      </c>
      <c r="P453" s="110">
        <f t="shared" si="10"/>
        <v>2470000</v>
      </c>
      <c r="Q453" s="69" t="s">
        <v>26</v>
      </c>
      <c r="R453" s="109"/>
      <c r="V453" t="s">
        <v>27</v>
      </c>
    </row>
    <row r="454" spans="1:22" ht="15" customHeight="1" x14ac:dyDescent="0.25">
      <c r="A454" s="69">
        <v>521</v>
      </c>
      <c r="B454" s="35" t="s">
        <v>1129</v>
      </c>
      <c r="C454" s="69" t="s">
        <v>1130</v>
      </c>
      <c r="D454" s="69" t="s">
        <v>138</v>
      </c>
      <c r="E454" s="104">
        <v>8415000</v>
      </c>
      <c r="F454" s="109">
        <v>2103750</v>
      </c>
      <c r="G454" s="96" t="s">
        <v>951</v>
      </c>
      <c r="J454" s="109">
        <v>2103750</v>
      </c>
      <c r="K454" s="102" t="s">
        <v>644</v>
      </c>
      <c r="N454" s="109">
        <v>2103750</v>
      </c>
      <c r="O454" s="96" t="s">
        <v>1104</v>
      </c>
      <c r="P454" s="110">
        <f t="shared" si="10"/>
        <v>2103750</v>
      </c>
      <c r="Q454" s="69" t="s">
        <v>26</v>
      </c>
      <c r="R454" s="109">
        <v>2103750</v>
      </c>
      <c r="S454" s="99" t="s">
        <v>44</v>
      </c>
      <c r="T454" s="110">
        <f>E454-F454-H454-J454-L454-N454-R454</f>
        <v>0</v>
      </c>
      <c r="V454" t="s">
        <v>27</v>
      </c>
    </row>
    <row r="455" spans="1:22" ht="15" customHeight="1" x14ac:dyDescent="0.25">
      <c r="A455" s="69">
        <v>622</v>
      </c>
      <c r="B455" s="35" t="s">
        <v>1131</v>
      </c>
      <c r="C455" s="69" t="s">
        <v>1132</v>
      </c>
      <c r="D455" s="69" t="s">
        <v>185</v>
      </c>
      <c r="E455" s="104">
        <v>8415000</v>
      </c>
      <c r="F455" s="109"/>
      <c r="H455" s="109">
        <v>2103750</v>
      </c>
      <c r="I455" s="96" t="s">
        <v>98</v>
      </c>
      <c r="J455" s="109">
        <v>2103750</v>
      </c>
      <c r="K455" s="96" t="s">
        <v>286</v>
      </c>
      <c r="N455" s="109">
        <v>2103750</v>
      </c>
      <c r="O455" s="96" t="s">
        <v>1104</v>
      </c>
      <c r="P455" s="110">
        <f t="shared" si="10"/>
        <v>2103750</v>
      </c>
      <c r="Q455" s="69" t="s">
        <v>26</v>
      </c>
      <c r="R455" s="109"/>
      <c r="V455" t="s">
        <v>27</v>
      </c>
    </row>
    <row r="456" spans="1:22" ht="15" customHeight="1" x14ac:dyDescent="0.25">
      <c r="A456" s="69">
        <v>639</v>
      </c>
      <c r="B456" s="35" t="s">
        <v>1133</v>
      </c>
      <c r="C456" s="69" t="s">
        <v>1134</v>
      </c>
      <c r="D456" s="69" t="s">
        <v>439</v>
      </c>
      <c r="E456" s="104">
        <v>8415000</v>
      </c>
      <c r="F456" s="109"/>
      <c r="H456" s="109">
        <v>2103750</v>
      </c>
      <c r="I456" s="96" t="s">
        <v>98</v>
      </c>
      <c r="J456" s="109">
        <v>2103750</v>
      </c>
      <c r="K456" s="96" t="s">
        <v>108</v>
      </c>
      <c r="N456" s="109">
        <v>2103750</v>
      </c>
      <c r="O456" s="96" t="s">
        <v>1104</v>
      </c>
      <c r="P456" s="110">
        <f t="shared" si="10"/>
        <v>2103750</v>
      </c>
      <c r="Q456" s="69" t="s">
        <v>26</v>
      </c>
      <c r="R456" s="109"/>
      <c r="V456" t="s">
        <v>27</v>
      </c>
    </row>
    <row r="457" spans="1:22" ht="15" customHeight="1" x14ac:dyDescent="0.25">
      <c r="A457" s="69">
        <v>391</v>
      </c>
      <c r="B457" s="35" t="s">
        <v>1135</v>
      </c>
      <c r="C457" s="69" t="s">
        <v>1136</v>
      </c>
      <c r="D457" s="69" t="s">
        <v>120</v>
      </c>
      <c r="E457" s="104">
        <v>8415000</v>
      </c>
      <c r="F457" s="109">
        <v>2103750</v>
      </c>
      <c r="G457" s="96" t="s">
        <v>943</v>
      </c>
      <c r="J457" s="109">
        <v>2103750</v>
      </c>
      <c r="K457" s="96" t="s">
        <v>793</v>
      </c>
      <c r="N457" s="109">
        <v>2103750</v>
      </c>
      <c r="O457" s="102" t="s">
        <v>1068</v>
      </c>
      <c r="P457" s="110">
        <f t="shared" si="10"/>
        <v>2103750</v>
      </c>
      <c r="Q457" s="69" t="s">
        <v>26</v>
      </c>
      <c r="R457" s="109">
        <v>2103750</v>
      </c>
      <c r="S457" s="99" t="s">
        <v>748</v>
      </c>
      <c r="T457" s="110">
        <f>E457-F457-J457-N457-R457</f>
        <v>0</v>
      </c>
      <c r="V457" t="s">
        <v>27</v>
      </c>
    </row>
    <row r="458" spans="1:22" ht="15" customHeight="1" x14ac:dyDescent="0.25">
      <c r="A458" s="69">
        <v>707</v>
      </c>
      <c r="B458" s="35" t="s">
        <v>1137</v>
      </c>
      <c r="C458" s="69" t="s">
        <v>1126</v>
      </c>
      <c r="D458" s="69" t="s">
        <v>120</v>
      </c>
      <c r="E458" s="104">
        <f>4465000+2600000</f>
        <v>7065000</v>
      </c>
      <c r="F458" s="109"/>
      <c r="J458" s="109">
        <v>2232500</v>
      </c>
      <c r="K458" s="101" t="s">
        <v>51</v>
      </c>
      <c r="N458" s="109">
        <v>2232500</v>
      </c>
      <c r="O458" s="96" t="s">
        <v>1104</v>
      </c>
      <c r="P458" s="110">
        <f t="shared" si="10"/>
        <v>2600000</v>
      </c>
      <c r="Q458" s="69" t="s">
        <v>26</v>
      </c>
      <c r="R458" s="109">
        <v>2600000</v>
      </c>
      <c r="S458" s="99" t="s">
        <v>558</v>
      </c>
      <c r="T458" s="110">
        <f>E458-F458-J458-N458-R458</f>
        <v>0</v>
      </c>
      <c r="V458" t="s">
        <v>27</v>
      </c>
    </row>
    <row r="459" spans="1:22" ht="15" customHeight="1" x14ac:dyDescent="0.25">
      <c r="A459" s="69">
        <v>302</v>
      </c>
      <c r="B459" s="35" t="s">
        <v>1138</v>
      </c>
      <c r="C459" s="69" t="s">
        <v>1139</v>
      </c>
      <c r="D459" s="69" t="s">
        <v>182</v>
      </c>
      <c r="E459" s="104">
        <f>4700000+2600000</f>
        <v>7300000</v>
      </c>
      <c r="F459" s="109">
        <v>2100000</v>
      </c>
      <c r="G459" s="102" t="s">
        <v>853</v>
      </c>
      <c r="K459" s="35"/>
      <c r="N459" s="109">
        <v>2600000</v>
      </c>
      <c r="O459" s="96" t="s">
        <v>1104</v>
      </c>
      <c r="P459" s="110">
        <f t="shared" si="10"/>
        <v>2600000</v>
      </c>
      <c r="Q459" s="69" t="s">
        <v>26</v>
      </c>
      <c r="R459" s="109">
        <v>2600000</v>
      </c>
      <c r="S459" s="100" t="s">
        <v>201</v>
      </c>
      <c r="T459" s="110">
        <f>E459-F459-H459-J459-L459-N459-R459</f>
        <v>0</v>
      </c>
      <c r="V459" t="s">
        <v>27</v>
      </c>
    </row>
    <row r="460" spans="1:22" ht="15" customHeight="1" x14ac:dyDescent="0.25">
      <c r="A460" s="69">
        <v>278</v>
      </c>
      <c r="B460" s="35" t="s">
        <v>1140</v>
      </c>
      <c r="C460" s="69" t="s">
        <v>1141</v>
      </c>
      <c r="D460" s="69" t="s">
        <v>1142</v>
      </c>
      <c r="E460" s="104">
        <v>8415000</v>
      </c>
      <c r="F460" s="109">
        <v>2103750</v>
      </c>
      <c r="G460" s="96" t="s">
        <v>471</v>
      </c>
      <c r="J460" s="109">
        <v>2103750</v>
      </c>
      <c r="K460" s="102" t="s">
        <v>85</v>
      </c>
      <c r="N460" s="109">
        <v>2103750</v>
      </c>
      <c r="O460" s="102" t="s">
        <v>1143</v>
      </c>
      <c r="P460" s="110">
        <f t="shared" si="10"/>
        <v>2103750</v>
      </c>
      <c r="Q460" s="69" t="s">
        <v>26</v>
      </c>
      <c r="R460" s="109"/>
      <c r="V460" t="s">
        <v>27</v>
      </c>
    </row>
    <row r="461" spans="1:22" ht="15" customHeight="1" x14ac:dyDescent="0.25">
      <c r="A461" s="69">
        <v>292</v>
      </c>
      <c r="B461" s="35" t="s">
        <v>1144</v>
      </c>
      <c r="C461" s="69" t="s">
        <v>852</v>
      </c>
      <c r="D461" s="69" t="s">
        <v>294</v>
      </c>
      <c r="E461" s="104">
        <v>8415000</v>
      </c>
      <c r="F461" s="109">
        <v>2103750</v>
      </c>
      <c r="G461" s="102" t="s">
        <v>853</v>
      </c>
      <c r="J461" s="109">
        <v>2103750</v>
      </c>
      <c r="K461" s="96" t="s">
        <v>873</v>
      </c>
      <c r="N461" s="109">
        <v>2103750</v>
      </c>
      <c r="O461" s="102" t="s">
        <v>1143</v>
      </c>
      <c r="P461" s="110">
        <f t="shared" si="10"/>
        <v>2103750</v>
      </c>
      <c r="Q461" s="69" t="s">
        <v>26</v>
      </c>
      <c r="R461" s="109">
        <v>2103750</v>
      </c>
      <c r="S461" s="100" t="s">
        <v>604</v>
      </c>
      <c r="T461" s="110">
        <f>E461-F461-H461-J461-L461-N461-R461</f>
        <v>0</v>
      </c>
      <c r="V461" t="s">
        <v>27</v>
      </c>
    </row>
    <row r="462" spans="1:22" ht="15" customHeight="1" x14ac:dyDescent="0.25">
      <c r="A462" s="69">
        <v>301</v>
      </c>
      <c r="B462" s="35" t="s">
        <v>1145</v>
      </c>
      <c r="C462" s="69" t="s">
        <v>1146</v>
      </c>
      <c r="D462" s="69" t="s">
        <v>341</v>
      </c>
      <c r="E462" s="104">
        <v>7065000</v>
      </c>
      <c r="F462" s="109">
        <v>2232500</v>
      </c>
      <c r="G462" s="102" t="s">
        <v>853</v>
      </c>
      <c r="J462" s="109">
        <v>2232500</v>
      </c>
      <c r="K462" s="102" t="s">
        <v>648</v>
      </c>
      <c r="N462" s="104">
        <v>2600000</v>
      </c>
      <c r="O462" s="102" t="s">
        <v>1143</v>
      </c>
      <c r="P462" s="110">
        <f t="shared" si="10"/>
        <v>0</v>
      </c>
      <c r="Q462" s="69" t="s">
        <v>26</v>
      </c>
      <c r="R462" s="109"/>
      <c r="V462" t="s">
        <v>27</v>
      </c>
    </row>
    <row r="463" spans="1:22" ht="15" customHeight="1" x14ac:dyDescent="0.25">
      <c r="A463" s="69">
        <v>332</v>
      </c>
      <c r="B463" s="35" t="s">
        <v>1147</v>
      </c>
      <c r="C463" s="69" t="s">
        <v>1148</v>
      </c>
      <c r="D463" s="69" t="s">
        <v>111</v>
      </c>
      <c r="E463" s="104">
        <v>8415000</v>
      </c>
      <c r="F463" s="109">
        <v>2103750</v>
      </c>
      <c r="G463" s="102" t="s">
        <v>564</v>
      </c>
      <c r="J463" s="109">
        <v>2103750</v>
      </c>
      <c r="K463" s="96" t="s">
        <v>793</v>
      </c>
      <c r="N463" s="109">
        <v>2103750</v>
      </c>
      <c r="O463" s="102" t="s">
        <v>1143</v>
      </c>
      <c r="P463" s="110">
        <f t="shared" si="10"/>
        <v>2103750</v>
      </c>
      <c r="Q463" s="69" t="s">
        <v>26</v>
      </c>
      <c r="R463" s="109"/>
      <c r="V463" t="s">
        <v>27</v>
      </c>
    </row>
    <row r="464" spans="1:22" ht="15" customHeight="1" x14ac:dyDescent="0.25">
      <c r="A464" s="69">
        <v>349</v>
      </c>
      <c r="B464" s="35" t="s">
        <v>1149</v>
      </c>
      <c r="C464" s="69" t="s">
        <v>1150</v>
      </c>
      <c r="D464" s="69" t="s">
        <v>408</v>
      </c>
      <c r="E464" s="104">
        <v>8415000</v>
      </c>
      <c r="F464" s="109">
        <v>2103750</v>
      </c>
      <c r="G464" s="96" t="s">
        <v>721</v>
      </c>
      <c r="J464" s="109">
        <v>2103750</v>
      </c>
      <c r="K464" s="102" t="s">
        <v>813</v>
      </c>
      <c r="N464" s="109">
        <v>2103750</v>
      </c>
      <c r="O464" s="102" t="s">
        <v>1143</v>
      </c>
      <c r="P464" s="110">
        <f t="shared" si="10"/>
        <v>2103750</v>
      </c>
      <c r="Q464" s="69" t="s">
        <v>26</v>
      </c>
      <c r="R464" s="109">
        <v>2103750</v>
      </c>
      <c r="S464" s="99" t="s">
        <v>748</v>
      </c>
      <c r="T464" s="110">
        <f>E350-F464-J464-H464-L464-N464-R464</f>
        <v>0</v>
      </c>
      <c r="V464" t="s">
        <v>27</v>
      </c>
    </row>
    <row r="465" spans="1:22" ht="15" customHeight="1" x14ac:dyDescent="0.25">
      <c r="A465" s="69">
        <v>357</v>
      </c>
      <c r="B465" s="35" t="s">
        <v>1151</v>
      </c>
      <c r="C465" s="69" t="s">
        <v>206</v>
      </c>
      <c r="D465" s="69" t="s">
        <v>207</v>
      </c>
      <c r="E465" s="104">
        <v>8415000</v>
      </c>
      <c r="F465" s="109">
        <v>2103750</v>
      </c>
      <c r="G465" s="96" t="s">
        <v>721</v>
      </c>
      <c r="J465" s="109">
        <v>2103750</v>
      </c>
      <c r="K465" s="96" t="s">
        <v>836</v>
      </c>
      <c r="N465" s="109">
        <v>2103750</v>
      </c>
      <c r="O465" s="102" t="s">
        <v>1143</v>
      </c>
      <c r="P465" s="110">
        <f t="shared" si="10"/>
        <v>2103750</v>
      </c>
      <c r="Q465" s="69" t="s">
        <v>26</v>
      </c>
      <c r="R465" s="109"/>
      <c r="V465" t="s">
        <v>27</v>
      </c>
    </row>
    <row r="466" spans="1:22" ht="15" customHeight="1" x14ac:dyDescent="0.25">
      <c r="A466" s="69">
        <v>377</v>
      </c>
      <c r="B466" s="35" t="s">
        <v>1152</v>
      </c>
      <c r="C466" s="69" t="s">
        <v>1153</v>
      </c>
      <c r="D466" s="69" t="s">
        <v>474</v>
      </c>
      <c r="E466" s="104">
        <v>8415000</v>
      </c>
      <c r="F466" s="109">
        <v>2103750</v>
      </c>
      <c r="G466" s="102" t="s">
        <v>328</v>
      </c>
      <c r="J466" s="109">
        <v>2103750</v>
      </c>
      <c r="K466" s="96" t="s">
        <v>873</v>
      </c>
      <c r="N466" s="109">
        <v>2103750</v>
      </c>
      <c r="O466" s="102" t="s">
        <v>1143</v>
      </c>
      <c r="P466" s="110">
        <f t="shared" si="10"/>
        <v>2103750</v>
      </c>
      <c r="Q466" s="69" t="s">
        <v>26</v>
      </c>
      <c r="R466" s="109"/>
      <c r="V466" t="s">
        <v>27</v>
      </c>
    </row>
    <row r="467" spans="1:22" ht="15" customHeight="1" x14ac:dyDescent="0.25">
      <c r="A467" s="69">
        <v>381</v>
      </c>
      <c r="B467" s="35" t="s">
        <v>1154</v>
      </c>
      <c r="C467" s="69" t="s">
        <v>1155</v>
      </c>
      <c r="D467" s="69" t="s">
        <v>160</v>
      </c>
      <c r="E467" s="104">
        <v>8415000</v>
      </c>
      <c r="F467" s="109">
        <v>2103750</v>
      </c>
      <c r="G467" s="96" t="s">
        <v>943</v>
      </c>
      <c r="J467" s="109">
        <v>2103750</v>
      </c>
      <c r="K467" s="102" t="s">
        <v>85</v>
      </c>
      <c r="N467" s="109">
        <v>2103750</v>
      </c>
      <c r="O467" s="102" t="s">
        <v>1143</v>
      </c>
      <c r="P467" s="110">
        <f t="shared" si="10"/>
        <v>2103750</v>
      </c>
      <c r="Q467" s="69" t="s">
        <v>26</v>
      </c>
      <c r="R467" s="109"/>
      <c r="V467" t="s">
        <v>27</v>
      </c>
    </row>
    <row r="468" spans="1:22" ht="15" customHeight="1" x14ac:dyDescent="0.25">
      <c r="A468" s="69">
        <v>382</v>
      </c>
      <c r="B468" s="35" t="s">
        <v>1156</v>
      </c>
      <c r="C468" s="69" t="s">
        <v>1157</v>
      </c>
      <c r="D468" s="69" t="s">
        <v>66</v>
      </c>
      <c r="E468" s="104">
        <v>8415000</v>
      </c>
      <c r="F468" s="109">
        <v>2103750</v>
      </c>
      <c r="G468" s="96" t="s">
        <v>943</v>
      </c>
      <c r="K468" s="69" t="s">
        <v>177</v>
      </c>
      <c r="N468" s="109">
        <v>2103750</v>
      </c>
      <c r="O468" s="102" t="s">
        <v>1143</v>
      </c>
      <c r="P468" s="110">
        <f t="shared" si="10"/>
        <v>4207500</v>
      </c>
      <c r="Q468" s="69" t="s">
        <v>280</v>
      </c>
      <c r="R468" s="109">
        <v>2103750</v>
      </c>
      <c r="S468" s="99" t="s">
        <v>558</v>
      </c>
      <c r="T468" s="110">
        <f>E468-F468-J468-N468-R468</f>
        <v>2103750</v>
      </c>
      <c r="V468" t="s">
        <v>27</v>
      </c>
    </row>
    <row r="469" spans="1:22" ht="15" customHeight="1" x14ac:dyDescent="0.25">
      <c r="A469" s="69">
        <v>392</v>
      </c>
      <c r="B469" s="35" t="s">
        <v>1158</v>
      </c>
      <c r="C469" s="69" t="s">
        <v>1159</v>
      </c>
      <c r="D469" s="69" t="s">
        <v>78</v>
      </c>
      <c r="E469" s="104">
        <v>8415000</v>
      </c>
      <c r="F469" s="109">
        <v>2103750</v>
      </c>
      <c r="G469" s="96" t="s">
        <v>943</v>
      </c>
      <c r="J469" s="109">
        <v>2103750</v>
      </c>
      <c r="K469" s="96" t="s">
        <v>793</v>
      </c>
      <c r="N469" s="109">
        <v>2103750</v>
      </c>
      <c r="O469" s="102" t="s">
        <v>1143</v>
      </c>
      <c r="P469" s="110">
        <f t="shared" si="10"/>
        <v>2103750</v>
      </c>
      <c r="Q469" s="69" t="s">
        <v>26</v>
      </c>
      <c r="R469" s="109"/>
      <c r="V469" t="s">
        <v>27</v>
      </c>
    </row>
    <row r="470" spans="1:22" ht="15" customHeight="1" x14ac:dyDescent="0.25">
      <c r="A470" s="69">
        <v>394</v>
      </c>
      <c r="B470" s="35" t="s">
        <v>1160</v>
      </c>
      <c r="C470" s="69" t="s">
        <v>534</v>
      </c>
      <c r="D470" s="69" t="s">
        <v>1161</v>
      </c>
      <c r="E470" s="104">
        <v>8415000</v>
      </c>
      <c r="F470" s="109">
        <v>2103750</v>
      </c>
      <c r="G470" s="96" t="s">
        <v>943</v>
      </c>
      <c r="J470" s="109">
        <v>2103750</v>
      </c>
      <c r="K470" s="96" t="s">
        <v>836</v>
      </c>
      <c r="N470" s="109">
        <v>2103750</v>
      </c>
      <c r="O470" s="102" t="s">
        <v>1143</v>
      </c>
      <c r="P470" s="110">
        <f t="shared" si="10"/>
        <v>2103750</v>
      </c>
      <c r="Q470" s="69" t="s">
        <v>26</v>
      </c>
      <c r="R470" s="109"/>
      <c r="V470" t="s">
        <v>27</v>
      </c>
    </row>
    <row r="471" spans="1:22" ht="15" customHeight="1" x14ac:dyDescent="0.25">
      <c r="A471" s="69">
        <v>398</v>
      </c>
      <c r="B471" s="35" t="s">
        <v>1162</v>
      </c>
      <c r="C471" s="69" t="s">
        <v>1163</v>
      </c>
      <c r="D471" s="69" t="s">
        <v>66</v>
      </c>
      <c r="E471" s="104">
        <v>8415000</v>
      </c>
      <c r="F471" s="109">
        <v>2103750</v>
      </c>
      <c r="G471" s="102" t="s">
        <v>475</v>
      </c>
      <c r="J471" s="109">
        <v>2103750</v>
      </c>
      <c r="K471" s="102" t="s">
        <v>601</v>
      </c>
      <c r="N471" s="109">
        <v>2103750</v>
      </c>
      <c r="O471" s="102" t="s">
        <v>1143</v>
      </c>
      <c r="P471" s="110">
        <f t="shared" si="10"/>
        <v>2103750</v>
      </c>
      <c r="Q471" s="69" t="s">
        <v>26</v>
      </c>
      <c r="R471" s="109"/>
      <c r="V471" t="s">
        <v>27</v>
      </c>
    </row>
    <row r="472" spans="1:22" ht="15" customHeight="1" x14ac:dyDescent="0.25">
      <c r="A472" s="69">
        <v>399</v>
      </c>
      <c r="B472" s="35" t="s">
        <v>1164</v>
      </c>
      <c r="C472" s="69" t="s">
        <v>1165</v>
      </c>
      <c r="D472" s="69" t="s">
        <v>544</v>
      </c>
      <c r="E472" s="104">
        <v>8415000</v>
      </c>
      <c r="F472" s="109">
        <v>2103750</v>
      </c>
      <c r="G472" s="102" t="s">
        <v>475</v>
      </c>
      <c r="J472" s="109">
        <v>2103750</v>
      </c>
      <c r="K472" s="102" t="s">
        <v>601</v>
      </c>
      <c r="N472" s="109">
        <v>2103750</v>
      </c>
      <c r="O472" s="102" t="s">
        <v>1143</v>
      </c>
      <c r="P472" s="110">
        <f t="shared" si="10"/>
        <v>2103750</v>
      </c>
      <c r="Q472" s="69" t="s">
        <v>26</v>
      </c>
      <c r="R472" s="109"/>
      <c r="V472" t="s">
        <v>27</v>
      </c>
    </row>
    <row r="473" spans="1:22" ht="15" customHeight="1" x14ac:dyDescent="0.25">
      <c r="A473" s="69">
        <v>436</v>
      </c>
      <c r="B473" s="35" t="s">
        <v>1166</v>
      </c>
      <c r="C473" s="69" t="s">
        <v>1167</v>
      </c>
      <c r="D473" s="69" t="s">
        <v>500</v>
      </c>
      <c r="E473" s="104">
        <v>8415000</v>
      </c>
      <c r="F473" s="109">
        <v>2103750</v>
      </c>
      <c r="G473" s="102" t="s">
        <v>479</v>
      </c>
      <c r="J473" s="109">
        <v>2103750</v>
      </c>
      <c r="K473" s="96" t="s">
        <v>389</v>
      </c>
      <c r="N473" s="109">
        <v>2103750</v>
      </c>
      <c r="O473" s="102" t="s">
        <v>1143</v>
      </c>
      <c r="P473" s="110">
        <f t="shared" si="10"/>
        <v>2103750</v>
      </c>
      <c r="Q473" s="69" t="s">
        <v>26</v>
      </c>
      <c r="R473" s="109">
        <v>2103750</v>
      </c>
      <c r="S473" s="99" t="s">
        <v>36</v>
      </c>
      <c r="T473" s="110">
        <f>E473-F473-H473-J473-L473-N473-R473</f>
        <v>0</v>
      </c>
      <c r="V473" t="s">
        <v>27</v>
      </c>
    </row>
    <row r="474" spans="1:22" ht="15" customHeight="1" x14ac:dyDescent="0.25">
      <c r="A474" s="69">
        <v>437</v>
      </c>
      <c r="B474" s="35" t="s">
        <v>1168</v>
      </c>
      <c r="C474" s="69" t="s">
        <v>1169</v>
      </c>
      <c r="D474" s="69" t="s">
        <v>270</v>
      </c>
      <c r="E474" s="104">
        <v>8415000</v>
      </c>
      <c r="F474" s="109">
        <v>2103750</v>
      </c>
      <c r="G474" s="102" t="s">
        <v>479</v>
      </c>
      <c r="J474" s="109">
        <v>2103750</v>
      </c>
      <c r="K474" s="96" t="s">
        <v>389</v>
      </c>
      <c r="N474" s="109">
        <v>2103750</v>
      </c>
      <c r="O474" s="102" t="s">
        <v>1143</v>
      </c>
      <c r="P474" s="110">
        <f t="shared" si="10"/>
        <v>2103750</v>
      </c>
      <c r="Q474" s="69" t="s">
        <v>26</v>
      </c>
      <c r="R474" s="109">
        <v>2103750</v>
      </c>
      <c r="S474" s="99" t="s">
        <v>287</v>
      </c>
      <c r="T474" s="110">
        <f>E474-F474-H474-J474-L474-N474-R474</f>
        <v>0</v>
      </c>
      <c r="V474" t="s">
        <v>27</v>
      </c>
    </row>
    <row r="475" spans="1:22" ht="15" customHeight="1" x14ac:dyDescent="0.25">
      <c r="A475" s="69">
        <v>460</v>
      </c>
      <c r="B475" s="35" t="s">
        <v>1170</v>
      </c>
      <c r="C475" s="69" t="s">
        <v>426</v>
      </c>
      <c r="D475" s="69" t="s">
        <v>842</v>
      </c>
      <c r="E475" s="104">
        <f>4700000+4900000</f>
        <v>9600000</v>
      </c>
      <c r="F475" s="109">
        <v>2100000</v>
      </c>
      <c r="G475" s="96" t="s">
        <v>643</v>
      </c>
      <c r="K475" s="35"/>
      <c r="N475" s="109">
        <v>2600000</v>
      </c>
      <c r="O475" s="102" t="s">
        <v>1143</v>
      </c>
      <c r="P475" s="110">
        <f t="shared" si="10"/>
        <v>4900000</v>
      </c>
      <c r="Q475" s="69" t="s">
        <v>26</v>
      </c>
      <c r="R475" s="109">
        <v>2470000</v>
      </c>
      <c r="S475" s="100" t="s">
        <v>291</v>
      </c>
      <c r="T475" s="110">
        <f>E475-F475-H475-J475-L475-N475-R475</f>
        <v>2430000</v>
      </c>
      <c r="V475" t="s">
        <v>27</v>
      </c>
    </row>
    <row r="476" spans="1:22" x14ac:dyDescent="0.25">
      <c r="A476" s="69">
        <v>497</v>
      </c>
      <c r="B476" s="35" t="s">
        <v>1171</v>
      </c>
      <c r="C476" s="69" t="s">
        <v>1172</v>
      </c>
      <c r="D476" s="69" t="s">
        <v>929</v>
      </c>
      <c r="E476" s="104">
        <v>8415000</v>
      </c>
      <c r="F476" s="109">
        <v>2103750</v>
      </c>
      <c r="G476" s="102" t="s">
        <v>833</v>
      </c>
      <c r="J476" s="109">
        <v>2103750</v>
      </c>
      <c r="K476" s="102" t="s">
        <v>813</v>
      </c>
      <c r="N476" s="109">
        <v>2103750</v>
      </c>
      <c r="O476" s="102" t="s">
        <v>1143</v>
      </c>
      <c r="P476" s="110">
        <f t="shared" si="10"/>
        <v>2103750</v>
      </c>
      <c r="Q476" s="69" t="s">
        <v>26</v>
      </c>
      <c r="R476" s="109"/>
      <c r="V476" t="s">
        <v>27</v>
      </c>
    </row>
    <row r="477" spans="1:22" ht="15" customHeight="1" x14ac:dyDescent="0.25">
      <c r="A477" s="69">
        <v>503</v>
      </c>
      <c r="B477" s="35" t="s">
        <v>1173</v>
      </c>
      <c r="C477" s="69" t="s">
        <v>1174</v>
      </c>
      <c r="D477" s="69" t="s">
        <v>636</v>
      </c>
      <c r="E477" s="104">
        <v>8415000</v>
      </c>
      <c r="F477" s="109">
        <v>2103750</v>
      </c>
      <c r="G477" s="102" t="s">
        <v>833</v>
      </c>
      <c r="J477" s="109">
        <v>2103750</v>
      </c>
      <c r="K477" s="102" t="s">
        <v>823</v>
      </c>
      <c r="N477" s="109">
        <v>2103750</v>
      </c>
      <c r="O477" s="102" t="s">
        <v>1143</v>
      </c>
      <c r="P477" s="110">
        <f t="shared" si="10"/>
        <v>2103750</v>
      </c>
      <c r="Q477" s="69" t="s">
        <v>26</v>
      </c>
      <c r="R477" s="109"/>
      <c r="V477" t="s">
        <v>27</v>
      </c>
    </row>
    <row r="478" spans="1:22" ht="15" customHeight="1" x14ac:dyDescent="0.25">
      <c r="A478" s="69">
        <v>504</v>
      </c>
      <c r="B478" s="35" t="s">
        <v>1175</v>
      </c>
      <c r="C478" s="69" t="s">
        <v>1176</v>
      </c>
      <c r="D478" s="69" t="s">
        <v>450</v>
      </c>
      <c r="E478" s="104">
        <v>8415000</v>
      </c>
      <c r="F478" s="109">
        <v>2103750</v>
      </c>
      <c r="G478" s="102" t="s">
        <v>833</v>
      </c>
      <c r="J478" s="109">
        <v>2103750</v>
      </c>
      <c r="K478" s="102" t="s">
        <v>823</v>
      </c>
      <c r="N478" s="109">
        <v>2103750</v>
      </c>
      <c r="O478" s="102" t="s">
        <v>1143</v>
      </c>
      <c r="P478" s="110">
        <f t="shared" si="10"/>
        <v>2103750</v>
      </c>
      <c r="Q478" s="69" t="s">
        <v>26</v>
      </c>
      <c r="R478" s="109"/>
      <c r="V478" t="s">
        <v>27</v>
      </c>
    </row>
    <row r="479" spans="1:22" ht="15" customHeight="1" x14ac:dyDescent="0.25">
      <c r="A479" s="69">
        <v>514</v>
      </c>
      <c r="B479" s="35" t="s">
        <v>1177</v>
      </c>
      <c r="C479" s="69" t="s">
        <v>391</v>
      </c>
      <c r="D479" s="69" t="s">
        <v>344</v>
      </c>
      <c r="E479" s="104">
        <v>8415000</v>
      </c>
      <c r="F479" s="109">
        <v>2103750</v>
      </c>
      <c r="G479" s="96" t="s">
        <v>951</v>
      </c>
      <c r="J479" s="109">
        <v>2103750</v>
      </c>
      <c r="K479" s="102" t="s">
        <v>813</v>
      </c>
      <c r="N479" s="109">
        <v>2103750</v>
      </c>
      <c r="O479" s="102" t="s">
        <v>1143</v>
      </c>
      <c r="P479" s="110">
        <f t="shared" si="10"/>
        <v>2103750</v>
      </c>
      <c r="Q479" s="69" t="s">
        <v>26</v>
      </c>
      <c r="R479" s="109"/>
      <c r="V479" t="s">
        <v>27</v>
      </c>
    </row>
    <row r="480" spans="1:22" ht="15" customHeight="1" x14ac:dyDescent="0.25">
      <c r="A480" s="69">
        <v>516</v>
      </c>
      <c r="B480" s="35" t="s">
        <v>1178</v>
      </c>
      <c r="C480" s="69" t="s">
        <v>1179</v>
      </c>
      <c r="D480" s="69" t="s">
        <v>175</v>
      </c>
      <c r="E480" s="104">
        <v>8415000</v>
      </c>
      <c r="F480" s="109">
        <v>2103750</v>
      </c>
      <c r="G480" s="96" t="s">
        <v>951</v>
      </c>
      <c r="J480" s="109">
        <v>2103750</v>
      </c>
      <c r="K480" s="96" t="s">
        <v>836</v>
      </c>
      <c r="N480" s="109">
        <v>2103750</v>
      </c>
      <c r="O480" s="102" t="s">
        <v>1143</v>
      </c>
      <c r="P480" s="110">
        <f t="shared" si="10"/>
        <v>2103750</v>
      </c>
      <c r="Q480" s="69" t="s">
        <v>26</v>
      </c>
      <c r="R480" s="109">
        <v>2103750</v>
      </c>
      <c r="S480" s="99" t="s">
        <v>748</v>
      </c>
      <c r="T480" s="110">
        <f>E480-F480-J480-N480-R480</f>
        <v>0</v>
      </c>
      <c r="V480" t="s">
        <v>27</v>
      </c>
    </row>
    <row r="481" spans="1:22" ht="15" customHeight="1" x14ac:dyDescent="0.25">
      <c r="A481" s="69">
        <v>520</v>
      </c>
      <c r="B481" s="35" t="s">
        <v>1180</v>
      </c>
      <c r="C481" s="69" t="s">
        <v>1181</v>
      </c>
      <c r="D481" s="69" t="s">
        <v>157</v>
      </c>
      <c r="E481" s="104">
        <v>8415000</v>
      </c>
      <c r="F481" s="109">
        <v>2103750</v>
      </c>
      <c r="G481" s="96" t="s">
        <v>951</v>
      </c>
      <c r="J481" s="109">
        <v>2103750</v>
      </c>
      <c r="K481" s="96" t="s">
        <v>836</v>
      </c>
      <c r="N481" s="109">
        <v>2103750</v>
      </c>
      <c r="O481" s="102" t="s">
        <v>1143</v>
      </c>
      <c r="P481" s="110">
        <f t="shared" si="10"/>
        <v>2103750</v>
      </c>
      <c r="Q481" s="69" t="s">
        <v>26</v>
      </c>
      <c r="R481" s="109">
        <v>2103750</v>
      </c>
      <c r="S481" s="100" t="s">
        <v>604</v>
      </c>
      <c r="T481" s="110">
        <f>E481-F481-J481-N481-R481</f>
        <v>0</v>
      </c>
      <c r="V481" t="s">
        <v>27</v>
      </c>
    </row>
    <row r="482" spans="1:22" ht="15" customHeight="1" x14ac:dyDescent="0.25">
      <c r="A482" s="69">
        <v>522</v>
      </c>
      <c r="B482" s="35" t="s">
        <v>1182</v>
      </c>
      <c r="C482" s="69" t="s">
        <v>38</v>
      </c>
      <c r="D482" s="69" t="s">
        <v>1183</v>
      </c>
      <c r="E482" s="104">
        <v>8415000</v>
      </c>
      <c r="F482" s="109">
        <v>2103750</v>
      </c>
      <c r="G482" s="96" t="s">
        <v>951</v>
      </c>
      <c r="J482" s="109">
        <v>2103750</v>
      </c>
      <c r="K482" s="96" t="s">
        <v>836</v>
      </c>
      <c r="N482" s="109">
        <v>2103750</v>
      </c>
      <c r="O482" s="102" t="s">
        <v>1143</v>
      </c>
      <c r="P482" s="110">
        <f t="shared" si="10"/>
        <v>2103750</v>
      </c>
      <c r="Q482" s="69" t="s">
        <v>26</v>
      </c>
      <c r="R482" s="109"/>
      <c r="V482" t="s">
        <v>27</v>
      </c>
    </row>
    <row r="483" spans="1:22" ht="15" customHeight="1" x14ac:dyDescent="0.25">
      <c r="A483" s="69">
        <v>538</v>
      </c>
      <c r="B483" s="35" t="s">
        <v>1184</v>
      </c>
      <c r="C483" s="69" t="s">
        <v>1185</v>
      </c>
      <c r="D483" s="69" t="s">
        <v>1186</v>
      </c>
      <c r="E483" s="104">
        <v>9405000</v>
      </c>
      <c r="F483" s="109">
        <v>2232500</v>
      </c>
      <c r="G483" s="102" t="s">
        <v>332</v>
      </c>
      <c r="J483" s="109">
        <v>2232500</v>
      </c>
      <c r="K483" s="97" t="s">
        <v>325</v>
      </c>
      <c r="N483" s="110">
        <v>2470000</v>
      </c>
      <c r="O483" s="102" t="s">
        <v>1143</v>
      </c>
      <c r="P483" s="110">
        <f t="shared" si="10"/>
        <v>2470000</v>
      </c>
      <c r="Q483" s="69" t="s">
        <v>26</v>
      </c>
      <c r="R483" s="109">
        <v>2470000</v>
      </c>
      <c r="S483" s="100" t="s">
        <v>281</v>
      </c>
      <c r="T483" s="110">
        <f>E483-F483-H483-J483-L483-N483-R483</f>
        <v>0</v>
      </c>
      <c r="V483" t="s">
        <v>27</v>
      </c>
    </row>
    <row r="484" spans="1:22" ht="15" customHeight="1" x14ac:dyDescent="0.25">
      <c r="A484" s="69">
        <v>847</v>
      </c>
      <c r="B484" s="35">
        <v>25808700098</v>
      </c>
      <c r="C484" s="69" t="s">
        <v>1187</v>
      </c>
      <c r="D484" s="69" t="s">
        <v>239</v>
      </c>
      <c r="E484" s="104">
        <v>2600000</v>
      </c>
      <c r="N484" s="104">
        <v>2600000</v>
      </c>
      <c r="O484" s="102" t="s">
        <v>1143</v>
      </c>
      <c r="P484" s="110">
        <f t="shared" si="10"/>
        <v>0</v>
      </c>
      <c r="R484" s="109"/>
      <c r="V484" t="s">
        <v>27</v>
      </c>
    </row>
    <row r="485" spans="1:22" ht="15" customHeight="1" x14ac:dyDescent="0.25">
      <c r="A485" s="69">
        <v>95</v>
      </c>
      <c r="B485" s="35" t="s">
        <v>1188</v>
      </c>
      <c r="C485" s="69" t="s">
        <v>1189</v>
      </c>
      <c r="D485" s="69" t="s">
        <v>160</v>
      </c>
      <c r="E485" s="104">
        <v>8415000</v>
      </c>
      <c r="F485" s="109">
        <v>2103750</v>
      </c>
      <c r="G485" s="102" t="s">
        <v>373</v>
      </c>
      <c r="J485" s="109">
        <v>2103750</v>
      </c>
      <c r="K485" s="96" t="s">
        <v>286</v>
      </c>
      <c r="N485" s="109">
        <v>2103750</v>
      </c>
      <c r="O485" s="96" t="s">
        <v>1190</v>
      </c>
      <c r="P485" s="110">
        <f t="shared" si="10"/>
        <v>2103750</v>
      </c>
      <c r="Q485" s="69" t="s">
        <v>26</v>
      </c>
      <c r="R485" s="109">
        <v>2103750</v>
      </c>
      <c r="S485" s="100" t="s">
        <v>604</v>
      </c>
      <c r="T485" s="110">
        <f>E485-F485-J485-N485-R485</f>
        <v>0</v>
      </c>
      <c r="V485" t="s">
        <v>27</v>
      </c>
    </row>
    <row r="486" spans="1:22" ht="15" customHeight="1" x14ac:dyDescent="0.25">
      <c r="A486" s="69">
        <v>322</v>
      </c>
      <c r="B486" s="35" t="s">
        <v>1191</v>
      </c>
      <c r="C486" s="69" t="s">
        <v>1126</v>
      </c>
      <c r="D486" s="69" t="s">
        <v>563</v>
      </c>
      <c r="E486" s="104">
        <v>8415000</v>
      </c>
      <c r="F486" s="109">
        <v>2103750</v>
      </c>
      <c r="G486" s="102" t="s">
        <v>564</v>
      </c>
      <c r="J486" s="109">
        <v>2103750</v>
      </c>
      <c r="K486" s="102" t="s">
        <v>813</v>
      </c>
      <c r="N486" s="109">
        <v>2103750</v>
      </c>
      <c r="O486" s="96" t="s">
        <v>1190</v>
      </c>
      <c r="P486" s="110">
        <f t="shared" si="10"/>
        <v>2103750</v>
      </c>
      <c r="Q486" s="69" t="s">
        <v>26</v>
      </c>
      <c r="R486" s="109"/>
      <c r="V486" t="s">
        <v>27</v>
      </c>
    </row>
    <row r="487" spans="1:22" ht="15" customHeight="1" x14ac:dyDescent="0.25">
      <c r="A487" s="69">
        <v>325</v>
      </c>
      <c r="B487" s="35" t="s">
        <v>1192</v>
      </c>
      <c r="C487" s="69" t="s">
        <v>1193</v>
      </c>
      <c r="D487" s="69" t="s">
        <v>138</v>
      </c>
      <c r="E487" s="104">
        <v>8415000</v>
      </c>
      <c r="F487" s="109">
        <v>2103750</v>
      </c>
      <c r="G487" s="102" t="s">
        <v>564</v>
      </c>
      <c r="K487" s="69" t="s">
        <v>177</v>
      </c>
      <c r="N487" s="109">
        <v>2103750</v>
      </c>
      <c r="O487" s="96" t="s">
        <v>1190</v>
      </c>
      <c r="P487" s="110">
        <f t="shared" si="10"/>
        <v>4207500</v>
      </c>
      <c r="Q487" s="69" t="s">
        <v>280</v>
      </c>
      <c r="R487" s="109">
        <v>2103750</v>
      </c>
      <c r="S487" s="100" t="s">
        <v>228</v>
      </c>
      <c r="T487" s="110">
        <f>E487-F487-H487-J487-L487-N487-R487</f>
        <v>2103750</v>
      </c>
      <c r="V487" t="s">
        <v>27</v>
      </c>
    </row>
    <row r="488" spans="1:22" ht="15" customHeight="1" x14ac:dyDescent="0.25">
      <c r="A488" s="69">
        <v>344</v>
      </c>
      <c r="B488" s="35" t="s">
        <v>1194</v>
      </c>
      <c r="C488" s="69" t="s">
        <v>1195</v>
      </c>
      <c r="D488" s="69" t="s">
        <v>500</v>
      </c>
      <c r="E488" s="104">
        <v>8415000</v>
      </c>
      <c r="F488" s="109">
        <v>2103750</v>
      </c>
      <c r="G488" s="96" t="s">
        <v>721</v>
      </c>
      <c r="J488" s="109">
        <v>2103750</v>
      </c>
      <c r="K488" s="102" t="s">
        <v>813</v>
      </c>
      <c r="N488" s="109">
        <v>2103750</v>
      </c>
      <c r="O488" s="96" t="s">
        <v>1190</v>
      </c>
      <c r="P488" s="110">
        <f t="shared" si="10"/>
        <v>2103750</v>
      </c>
      <c r="Q488" s="69" t="s">
        <v>26</v>
      </c>
      <c r="R488" s="109">
        <v>2103750</v>
      </c>
      <c r="S488" s="100" t="s">
        <v>604</v>
      </c>
      <c r="T488" s="110">
        <f>E488-F488-H488-J488-L488-N488-R488</f>
        <v>0</v>
      </c>
      <c r="V488" t="s">
        <v>27</v>
      </c>
    </row>
    <row r="489" spans="1:22" ht="15" customHeight="1" x14ac:dyDescent="0.25">
      <c r="A489" s="69">
        <v>348</v>
      </c>
      <c r="B489" s="35" t="s">
        <v>1196</v>
      </c>
      <c r="C489" s="69" t="s">
        <v>1197</v>
      </c>
      <c r="D489" s="69" t="s">
        <v>120</v>
      </c>
      <c r="E489" s="104">
        <v>8415000</v>
      </c>
      <c r="F489" s="109">
        <v>2103750</v>
      </c>
      <c r="G489" s="96" t="s">
        <v>721</v>
      </c>
      <c r="J489" s="109">
        <v>2103750</v>
      </c>
      <c r="K489" s="102" t="s">
        <v>648</v>
      </c>
      <c r="N489" s="109">
        <v>2103750</v>
      </c>
      <c r="O489" s="96" t="s">
        <v>1190</v>
      </c>
      <c r="P489" s="110">
        <f t="shared" si="10"/>
        <v>2103750</v>
      </c>
      <c r="Q489" s="69" t="s">
        <v>26</v>
      </c>
      <c r="R489" s="109"/>
      <c r="V489" t="s">
        <v>27</v>
      </c>
    </row>
    <row r="490" spans="1:22" ht="15" customHeight="1" x14ac:dyDescent="0.25">
      <c r="A490" s="69">
        <v>363</v>
      </c>
      <c r="B490" s="35" t="s">
        <v>1198</v>
      </c>
      <c r="C490" s="69" t="s">
        <v>1199</v>
      </c>
      <c r="D490" s="69" t="s">
        <v>590</v>
      </c>
      <c r="E490" s="104">
        <v>7065000</v>
      </c>
      <c r="F490" s="109">
        <v>2232500</v>
      </c>
      <c r="G490" s="96" t="s">
        <v>721</v>
      </c>
      <c r="J490" s="109">
        <v>2232500</v>
      </c>
      <c r="K490" s="96" t="s">
        <v>836</v>
      </c>
      <c r="L490" s="110"/>
      <c r="M490" s="104"/>
      <c r="N490" s="109">
        <v>2600000</v>
      </c>
      <c r="O490" s="96" t="s">
        <v>1190</v>
      </c>
      <c r="P490" s="110">
        <f t="shared" si="10"/>
        <v>0</v>
      </c>
      <c r="Q490" s="69" t="s">
        <v>26</v>
      </c>
      <c r="R490" s="109"/>
      <c r="V490" t="s">
        <v>27</v>
      </c>
    </row>
    <row r="491" spans="1:22" ht="15" customHeight="1" x14ac:dyDescent="0.25">
      <c r="A491" s="69">
        <v>369</v>
      </c>
      <c r="B491" s="35" t="s">
        <v>1200</v>
      </c>
      <c r="C491" s="69" t="s">
        <v>1201</v>
      </c>
      <c r="D491" s="69" t="s">
        <v>116</v>
      </c>
      <c r="E491" s="104">
        <v>8415000</v>
      </c>
      <c r="F491" s="109">
        <v>2103750</v>
      </c>
      <c r="G491" s="102" t="s">
        <v>328</v>
      </c>
      <c r="J491" s="109">
        <v>2103750</v>
      </c>
      <c r="K491" s="102" t="s">
        <v>813</v>
      </c>
      <c r="N491" s="109">
        <v>2103750</v>
      </c>
      <c r="O491" s="96" t="s">
        <v>1190</v>
      </c>
      <c r="P491" s="110">
        <f t="shared" si="10"/>
        <v>2103750</v>
      </c>
      <c r="Q491" s="69" t="s">
        <v>26</v>
      </c>
      <c r="R491" s="109">
        <v>2103750</v>
      </c>
      <c r="S491" s="100" t="s">
        <v>604</v>
      </c>
      <c r="T491" s="110">
        <f>E491-F491-J491-N491-R491</f>
        <v>0</v>
      </c>
      <c r="V491" t="s">
        <v>27</v>
      </c>
    </row>
    <row r="492" spans="1:22" ht="15" customHeight="1" x14ac:dyDescent="0.25">
      <c r="A492" s="69">
        <v>370</v>
      </c>
      <c r="B492" s="35" t="s">
        <v>1202</v>
      </c>
      <c r="C492" s="69" t="s">
        <v>1203</v>
      </c>
      <c r="D492" s="69" t="s">
        <v>88</v>
      </c>
      <c r="E492" s="104">
        <v>8415000</v>
      </c>
      <c r="F492" s="109">
        <v>2103750</v>
      </c>
      <c r="G492" s="102" t="s">
        <v>328</v>
      </c>
      <c r="J492" s="109">
        <v>2103750</v>
      </c>
      <c r="K492" s="102" t="s">
        <v>813</v>
      </c>
      <c r="N492" s="109">
        <v>2103750</v>
      </c>
      <c r="O492" s="96" t="s">
        <v>1190</v>
      </c>
      <c r="P492" s="110">
        <f t="shared" si="10"/>
        <v>2103750</v>
      </c>
      <c r="Q492" s="69" t="s">
        <v>26</v>
      </c>
      <c r="R492" s="109">
        <v>2103750</v>
      </c>
      <c r="S492" s="100" t="s">
        <v>604</v>
      </c>
      <c r="T492" s="110">
        <f>E492-F492-H492-J492-L492-N492-R492</f>
        <v>0</v>
      </c>
      <c r="V492" t="s">
        <v>27</v>
      </c>
    </row>
    <row r="493" spans="1:22" ht="15" customHeight="1" x14ac:dyDescent="0.25">
      <c r="A493" s="69">
        <v>400</v>
      </c>
      <c r="B493" s="35" t="s">
        <v>1204</v>
      </c>
      <c r="C493" s="69" t="s">
        <v>1205</v>
      </c>
      <c r="D493" s="69" t="s">
        <v>1206</v>
      </c>
      <c r="E493" s="104">
        <v>8415000</v>
      </c>
      <c r="F493" s="109">
        <v>2103750</v>
      </c>
      <c r="G493" s="102" t="s">
        <v>475</v>
      </c>
      <c r="J493" s="109">
        <v>2103750</v>
      </c>
      <c r="K493" s="102" t="s">
        <v>813</v>
      </c>
      <c r="N493" s="109">
        <v>2103750</v>
      </c>
      <c r="O493" s="96" t="s">
        <v>1190</v>
      </c>
      <c r="P493" s="110">
        <f t="shared" si="10"/>
        <v>2103750</v>
      </c>
      <c r="Q493" s="69" t="s">
        <v>26</v>
      </c>
      <c r="R493" s="109">
        <v>2103750</v>
      </c>
      <c r="S493" s="100" t="s">
        <v>604</v>
      </c>
      <c r="T493" s="110">
        <f>E493-F493-J493-N493-R493</f>
        <v>0</v>
      </c>
      <c r="V493" t="s">
        <v>27</v>
      </c>
    </row>
    <row r="494" spans="1:22" ht="15" customHeight="1" x14ac:dyDescent="0.25">
      <c r="A494" s="69">
        <v>408</v>
      </c>
      <c r="B494" s="35" t="s">
        <v>1207</v>
      </c>
      <c r="C494" s="69" t="s">
        <v>1208</v>
      </c>
      <c r="D494" s="69" t="s">
        <v>563</v>
      </c>
      <c r="E494" s="104">
        <v>8415000</v>
      </c>
      <c r="F494" s="109">
        <v>2103750</v>
      </c>
      <c r="G494" s="102" t="s">
        <v>475</v>
      </c>
      <c r="J494" s="109">
        <v>2103750</v>
      </c>
      <c r="K494" s="96" t="s">
        <v>868</v>
      </c>
      <c r="N494" s="109">
        <v>2103750</v>
      </c>
      <c r="O494" s="96" t="s">
        <v>1190</v>
      </c>
      <c r="P494" s="110">
        <f t="shared" si="10"/>
        <v>2103750</v>
      </c>
      <c r="Q494" s="69" t="s">
        <v>26</v>
      </c>
      <c r="R494" s="109"/>
      <c r="V494" t="s">
        <v>27</v>
      </c>
    </row>
    <row r="495" spans="1:22" ht="15" customHeight="1" x14ac:dyDescent="0.25">
      <c r="A495" s="69">
        <v>494</v>
      </c>
      <c r="B495" s="35" t="s">
        <v>1209</v>
      </c>
      <c r="C495" s="69" t="s">
        <v>1210</v>
      </c>
      <c r="D495" s="69" t="s">
        <v>384</v>
      </c>
      <c r="E495" s="104">
        <v>8415000</v>
      </c>
      <c r="F495" s="109">
        <v>2103750</v>
      </c>
      <c r="G495" s="102" t="s">
        <v>833</v>
      </c>
      <c r="J495" s="109">
        <v>2103750</v>
      </c>
      <c r="K495" s="96" t="s">
        <v>389</v>
      </c>
      <c r="N495" s="109">
        <v>2103750</v>
      </c>
      <c r="O495" s="96" t="s">
        <v>1190</v>
      </c>
      <c r="P495" s="110">
        <f t="shared" ref="P495:P558" si="11">E495-F495-H495-J495-L495-N495</f>
        <v>2103750</v>
      </c>
      <c r="Q495" s="69" t="s">
        <v>26</v>
      </c>
      <c r="R495" s="109">
        <v>2103750</v>
      </c>
      <c r="S495" s="99" t="s">
        <v>287</v>
      </c>
      <c r="T495" s="110">
        <f>E495-F495-J495-N495-R495</f>
        <v>0</v>
      </c>
      <c r="V495" t="s">
        <v>27</v>
      </c>
    </row>
    <row r="496" spans="1:22" ht="15" customHeight="1" x14ac:dyDescent="0.25">
      <c r="A496" s="69">
        <v>498</v>
      </c>
      <c r="B496" s="35" t="s">
        <v>1211</v>
      </c>
      <c r="C496" s="69" t="s">
        <v>181</v>
      </c>
      <c r="D496" s="69" t="s">
        <v>1011</v>
      </c>
      <c r="E496" s="104">
        <v>8415000</v>
      </c>
      <c r="F496" s="109">
        <v>2103750</v>
      </c>
      <c r="G496" s="102" t="s">
        <v>833</v>
      </c>
      <c r="J496" s="109">
        <v>2103750</v>
      </c>
      <c r="K496" s="96" t="s">
        <v>793</v>
      </c>
      <c r="N496" s="109">
        <v>2103750</v>
      </c>
      <c r="O496" s="96" t="s">
        <v>1190</v>
      </c>
      <c r="P496" s="110">
        <f t="shared" si="11"/>
        <v>2103750</v>
      </c>
      <c r="Q496" s="69" t="s">
        <v>26</v>
      </c>
      <c r="R496" s="109">
        <v>2103750</v>
      </c>
      <c r="S496" s="99" t="s">
        <v>558</v>
      </c>
      <c r="T496" s="110">
        <f>E496-F496-J496-N496-R496</f>
        <v>0</v>
      </c>
      <c r="V496" t="s">
        <v>27</v>
      </c>
    </row>
    <row r="497" spans="1:22" ht="15" customHeight="1" x14ac:dyDescent="0.25">
      <c r="A497" s="69">
        <v>511</v>
      </c>
      <c r="B497" s="35" t="s">
        <v>1212</v>
      </c>
      <c r="C497" s="69" t="s">
        <v>249</v>
      </c>
      <c r="D497" s="69" t="s">
        <v>484</v>
      </c>
      <c r="E497" s="104">
        <v>8415000</v>
      </c>
      <c r="F497" s="109">
        <v>2103750</v>
      </c>
      <c r="G497" s="96" t="s">
        <v>951</v>
      </c>
      <c r="J497" s="109">
        <v>2103750</v>
      </c>
      <c r="K497" s="96" t="s">
        <v>836</v>
      </c>
      <c r="N497" s="109">
        <v>2103750</v>
      </c>
      <c r="O497" s="96" t="s">
        <v>1190</v>
      </c>
      <c r="P497" s="110">
        <f t="shared" si="11"/>
        <v>2103750</v>
      </c>
      <c r="Q497" s="69" t="s">
        <v>26</v>
      </c>
      <c r="R497" s="109">
        <v>2103750</v>
      </c>
      <c r="S497" s="99" t="s">
        <v>558</v>
      </c>
      <c r="T497" s="110">
        <f>E497-F497-H497-J497-L497-N497-R497</f>
        <v>0</v>
      </c>
      <c r="V497" t="s">
        <v>27</v>
      </c>
    </row>
    <row r="498" spans="1:22" ht="15" customHeight="1" x14ac:dyDescent="0.25">
      <c r="A498" s="69">
        <v>513</v>
      </c>
      <c r="B498" s="35" t="s">
        <v>1213</v>
      </c>
      <c r="C498" s="69" t="s">
        <v>1214</v>
      </c>
      <c r="D498" s="69" t="s">
        <v>57</v>
      </c>
      <c r="E498" s="104">
        <v>8415000</v>
      </c>
      <c r="F498" s="109">
        <v>2103750</v>
      </c>
      <c r="G498" s="96" t="s">
        <v>951</v>
      </c>
      <c r="J498" s="109">
        <v>2103750</v>
      </c>
      <c r="K498" s="96" t="s">
        <v>836</v>
      </c>
      <c r="N498" s="109">
        <v>2103750</v>
      </c>
      <c r="O498" s="96" t="s">
        <v>1190</v>
      </c>
      <c r="P498" s="110">
        <f t="shared" si="11"/>
        <v>2103750</v>
      </c>
      <c r="Q498" s="69" t="s">
        <v>26</v>
      </c>
      <c r="R498" s="109"/>
      <c r="V498" t="s">
        <v>27</v>
      </c>
    </row>
    <row r="499" spans="1:22" ht="15" customHeight="1" x14ac:dyDescent="0.25">
      <c r="A499" s="69">
        <v>515</v>
      </c>
      <c r="B499" s="35" t="s">
        <v>1215</v>
      </c>
      <c r="C499" s="69" t="s">
        <v>1216</v>
      </c>
      <c r="D499" s="69" t="s">
        <v>160</v>
      </c>
      <c r="E499" s="104">
        <v>8415000</v>
      </c>
      <c r="F499" s="109">
        <v>2103750</v>
      </c>
      <c r="G499" s="96" t="s">
        <v>951</v>
      </c>
      <c r="J499" s="109">
        <v>2103750</v>
      </c>
      <c r="K499" s="96" t="s">
        <v>793</v>
      </c>
      <c r="N499" s="109">
        <v>2103750</v>
      </c>
      <c r="O499" s="96" t="s">
        <v>1190</v>
      </c>
      <c r="P499" s="110">
        <f t="shared" si="11"/>
        <v>2103750</v>
      </c>
      <c r="Q499" s="69" t="s">
        <v>26</v>
      </c>
      <c r="R499" s="109">
        <v>2103750</v>
      </c>
      <c r="S499" s="99" t="s">
        <v>748</v>
      </c>
      <c r="T499" s="110">
        <f>E499-F499-J499-N499-R499</f>
        <v>0</v>
      </c>
      <c r="V499" t="s">
        <v>27</v>
      </c>
    </row>
    <row r="500" spans="1:22" ht="15" customHeight="1" x14ac:dyDescent="0.25">
      <c r="A500" s="69">
        <v>542</v>
      </c>
      <c r="B500" s="35" t="s">
        <v>1217</v>
      </c>
      <c r="C500" s="69" t="s">
        <v>293</v>
      </c>
      <c r="D500" s="69" t="s">
        <v>47</v>
      </c>
      <c r="E500" s="104">
        <v>8415000</v>
      </c>
      <c r="F500" s="109">
        <v>2103750</v>
      </c>
      <c r="G500" s="96" t="s">
        <v>482</v>
      </c>
      <c r="J500" s="109">
        <v>2103750</v>
      </c>
      <c r="K500" s="96" t="s">
        <v>793</v>
      </c>
      <c r="N500" s="109">
        <v>2103750</v>
      </c>
      <c r="O500" s="96" t="s">
        <v>1190</v>
      </c>
      <c r="P500" s="110">
        <f t="shared" si="11"/>
        <v>2103750</v>
      </c>
      <c r="Q500" s="69" t="s">
        <v>26</v>
      </c>
      <c r="R500" s="109"/>
      <c r="V500" t="s">
        <v>27</v>
      </c>
    </row>
    <row r="501" spans="1:22" ht="15" customHeight="1" x14ac:dyDescent="0.25">
      <c r="A501" s="69">
        <v>578</v>
      </c>
      <c r="B501" s="35" t="s">
        <v>1218</v>
      </c>
      <c r="C501" s="69" t="s">
        <v>489</v>
      </c>
      <c r="D501" s="69" t="s">
        <v>34</v>
      </c>
      <c r="E501" s="104">
        <v>8415000</v>
      </c>
      <c r="F501" s="109">
        <v>2103750</v>
      </c>
      <c r="G501" s="96" t="s">
        <v>998</v>
      </c>
      <c r="J501" s="109">
        <v>2103750</v>
      </c>
      <c r="K501" s="96" t="s">
        <v>786</v>
      </c>
      <c r="N501" s="109">
        <v>2103750</v>
      </c>
      <c r="O501" s="96" t="s">
        <v>1190</v>
      </c>
      <c r="P501" s="110">
        <f t="shared" si="11"/>
        <v>2103750</v>
      </c>
      <c r="Q501" s="69" t="s">
        <v>26</v>
      </c>
      <c r="R501" s="109"/>
      <c r="V501" t="s">
        <v>27</v>
      </c>
    </row>
    <row r="502" spans="1:22" ht="15" customHeight="1" x14ac:dyDescent="0.25">
      <c r="A502" s="69">
        <v>835</v>
      </c>
      <c r="B502" s="35">
        <v>25801200059</v>
      </c>
      <c r="C502" s="69" t="s">
        <v>402</v>
      </c>
      <c r="D502" s="69" t="s">
        <v>1219</v>
      </c>
      <c r="E502" s="104">
        <v>4940000</v>
      </c>
      <c r="N502" s="110">
        <v>2470000</v>
      </c>
      <c r="O502" s="96" t="s">
        <v>1190</v>
      </c>
      <c r="P502" s="110">
        <f t="shared" si="11"/>
        <v>2470000</v>
      </c>
      <c r="R502" s="109">
        <v>2470000</v>
      </c>
      <c r="S502" s="99" t="s">
        <v>287</v>
      </c>
      <c r="T502" s="110">
        <f>E502-F502-H502-J502-L502-N502-R502</f>
        <v>0</v>
      </c>
      <c r="V502" t="s">
        <v>27</v>
      </c>
    </row>
    <row r="503" spans="1:22" ht="15" customHeight="1" x14ac:dyDescent="0.25">
      <c r="A503" s="69">
        <v>288</v>
      </c>
      <c r="B503" s="35" t="s">
        <v>1220</v>
      </c>
      <c r="C503" s="69" t="s">
        <v>38</v>
      </c>
      <c r="D503" s="69" t="s">
        <v>70</v>
      </c>
      <c r="E503" s="104">
        <v>8415000</v>
      </c>
      <c r="F503" s="109">
        <v>2103750</v>
      </c>
      <c r="G503" s="102" t="s">
        <v>853</v>
      </c>
      <c r="J503" s="109">
        <v>2103750</v>
      </c>
      <c r="K503" s="96" t="s">
        <v>873</v>
      </c>
      <c r="N503" s="109">
        <v>2103750</v>
      </c>
      <c r="O503" s="102" t="s">
        <v>1221</v>
      </c>
      <c r="P503" s="110">
        <f t="shared" si="11"/>
        <v>2103750</v>
      </c>
      <c r="Q503" s="69" t="s">
        <v>26</v>
      </c>
      <c r="R503" s="109"/>
      <c r="V503" t="s">
        <v>27</v>
      </c>
    </row>
    <row r="504" spans="1:22" ht="15" customHeight="1" x14ac:dyDescent="0.25">
      <c r="A504" s="69">
        <v>345</v>
      </c>
      <c r="B504" s="35" t="s">
        <v>1222</v>
      </c>
      <c r="C504" s="69" t="s">
        <v>1223</v>
      </c>
      <c r="D504" s="69" t="s">
        <v>1224</v>
      </c>
      <c r="E504" s="104">
        <v>8415000</v>
      </c>
      <c r="F504" s="109">
        <v>2103750</v>
      </c>
      <c r="G504" s="96" t="s">
        <v>721</v>
      </c>
      <c r="J504" s="109">
        <v>2103750</v>
      </c>
      <c r="K504" s="96" t="s">
        <v>108</v>
      </c>
      <c r="N504" s="109">
        <v>2103750</v>
      </c>
      <c r="O504" s="102" t="s">
        <v>1221</v>
      </c>
      <c r="P504" s="110">
        <f t="shared" si="11"/>
        <v>2103750</v>
      </c>
      <c r="Q504" s="69" t="s">
        <v>26</v>
      </c>
      <c r="R504" s="109">
        <v>2103750</v>
      </c>
      <c r="S504" s="100" t="s">
        <v>291</v>
      </c>
      <c r="T504" s="110">
        <f>E504-F504-H504-J504-L504-N504-R504</f>
        <v>0</v>
      </c>
      <c r="V504" t="s">
        <v>27</v>
      </c>
    </row>
    <row r="505" spans="1:22" ht="15" customHeight="1" x14ac:dyDescent="0.25">
      <c r="A505" s="69">
        <v>351</v>
      </c>
      <c r="B505" s="35" t="s">
        <v>1225</v>
      </c>
      <c r="C505" s="69" t="s">
        <v>1226</v>
      </c>
      <c r="D505" s="69" t="s">
        <v>160</v>
      </c>
      <c r="E505" s="104">
        <v>8415000</v>
      </c>
      <c r="F505" s="109">
        <v>2103750</v>
      </c>
      <c r="G505" s="96" t="s">
        <v>721</v>
      </c>
      <c r="J505" s="109">
        <v>2103750</v>
      </c>
      <c r="K505" s="102" t="s">
        <v>648</v>
      </c>
      <c r="N505" s="109">
        <v>2103750</v>
      </c>
      <c r="O505" s="102" t="s">
        <v>1221</v>
      </c>
      <c r="P505" s="110">
        <f t="shared" si="11"/>
        <v>2103750</v>
      </c>
      <c r="Q505" s="69" t="s">
        <v>26</v>
      </c>
      <c r="R505" s="109">
        <v>2103750</v>
      </c>
      <c r="T505" s="110">
        <f>E505-F505-J505-N505-R505</f>
        <v>0</v>
      </c>
      <c r="V505" t="s">
        <v>27</v>
      </c>
    </row>
    <row r="506" spans="1:22" ht="15" customHeight="1" x14ac:dyDescent="0.25">
      <c r="A506" s="69">
        <v>358</v>
      </c>
      <c r="B506" s="35" t="s">
        <v>1227</v>
      </c>
      <c r="C506" s="69" t="s">
        <v>1228</v>
      </c>
      <c r="D506" s="69" t="s">
        <v>207</v>
      </c>
      <c r="E506" s="104">
        <v>8415000</v>
      </c>
      <c r="F506" s="109">
        <v>2103750</v>
      </c>
      <c r="G506" s="96" t="s">
        <v>721</v>
      </c>
      <c r="J506" s="109">
        <v>2103750</v>
      </c>
      <c r="K506" s="102" t="s">
        <v>314</v>
      </c>
      <c r="N506" s="109">
        <v>2103750</v>
      </c>
      <c r="O506" s="102" t="s">
        <v>1221</v>
      </c>
      <c r="P506" s="110">
        <f t="shared" si="11"/>
        <v>2103750</v>
      </c>
      <c r="Q506" s="69" t="s">
        <v>26</v>
      </c>
      <c r="R506" s="109">
        <v>2103750</v>
      </c>
      <c r="S506" s="100" t="s">
        <v>281</v>
      </c>
      <c r="T506" s="110">
        <f>E506-F506-H506-J506-L506-N506-R506</f>
        <v>0</v>
      </c>
      <c r="V506" t="s">
        <v>27</v>
      </c>
    </row>
    <row r="507" spans="1:22" ht="15" customHeight="1" x14ac:dyDescent="0.25">
      <c r="A507" s="69">
        <v>374</v>
      </c>
      <c r="B507" s="35" t="s">
        <v>1229</v>
      </c>
      <c r="C507" s="69" t="s">
        <v>1230</v>
      </c>
      <c r="D507" s="69" t="s">
        <v>563</v>
      </c>
      <c r="E507" s="104">
        <v>8415000</v>
      </c>
      <c r="F507" s="109">
        <v>2103750</v>
      </c>
      <c r="G507" s="102" t="s">
        <v>328</v>
      </c>
      <c r="J507" s="109">
        <v>2103750</v>
      </c>
      <c r="K507" s="102" t="s">
        <v>314</v>
      </c>
      <c r="N507" s="109">
        <v>2103750</v>
      </c>
      <c r="O507" s="102" t="s">
        <v>1221</v>
      </c>
      <c r="P507" s="110">
        <f t="shared" si="11"/>
        <v>2103750</v>
      </c>
      <c r="Q507" s="69" t="s">
        <v>26</v>
      </c>
      <c r="R507" s="109"/>
      <c r="V507" t="s">
        <v>27</v>
      </c>
    </row>
    <row r="508" spans="1:22" ht="15" customHeight="1" x14ac:dyDescent="0.25">
      <c r="A508" s="69">
        <v>423</v>
      </c>
      <c r="B508" s="35" t="s">
        <v>1231</v>
      </c>
      <c r="C508" s="69" t="s">
        <v>1232</v>
      </c>
      <c r="D508" s="69" t="s">
        <v>131</v>
      </c>
      <c r="E508" s="104">
        <v>8415000</v>
      </c>
      <c r="F508" s="109">
        <v>2103750</v>
      </c>
      <c r="G508" s="96" t="s">
        <v>145</v>
      </c>
      <c r="J508" s="109">
        <v>2103750</v>
      </c>
      <c r="K508" s="102" t="s">
        <v>601</v>
      </c>
      <c r="N508" s="109">
        <v>2103750</v>
      </c>
      <c r="O508" s="102" t="s">
        <v>1221</v>
      </c>
      <c r="P508" s="110">
        <f t="shared" si="11"/>
        <v>2103750</v>
      </c>
      <c r="Q508" s="69" t="s">
        <v>26</v>
      </c>
      <c r="R508" s="109">
        <v>2103750</v>
      </c>
      <c r="S508" s="99" t="s">
        <v>287</v>
      </c>
      <c r="T508" s="110">
        <f>E508-F508-J508-N508-R508</f>
        <v>0</v>
      </c>
      <c r="V508" t="s">
        <v>27</v>
      </c>
    </row>
    <row r="509" spans="1:22" ht="15" customHeight="1" x14ac:dyDescent="0.25">
      <c r="A509" s="69">
        <v>487</v>
      </c>
      <c r="B509" s="35" t="s">
        <v>1233</v>
      </c>
      <c r="C509" s="69" t="s">
        <v>1234</v>
      </c>
      <c r="D509" s="69" t="s">
        <v>1235</v>
      </c>
      <c r="E509" s="104">
        <v>8415000</v>
      </c>
      <c r="F509" s="109">
        <v>2103750</v>
      </c>
      <c r="G509" s="96" t="s">
        <v>84</v>
      </c>
      <c r="J509" s="109">
        <v>2103750</v>
      </c>
      <c r="K509" s="102" t="s">
        <v>813</v>
      </c>
      <c r="N509" s="109">
        <v>2103750</v>
      </c>
      <c r="O509" s="102" t="s">
        <v>1221</v>
      </c>
      <c r="P509" s="110">
        <f t="shared" si="11"/>
        <v>2103750</v>
      </c>
      <c r="Q509" s="69" t="s">
        <v>26</v>
      </c>
      <c r="R509" s="109"/>
      <c r="V509" t="s">
        <v>27</v>
      </c>
    </row>
    <row r="510" spans="1:22" ht="15" customHeight="1" x14ac:dyDescent="0.25">
      <c r="A510" s="69">
        <v>488</v>
      </c>
      <c r="B510" s="35" t="s">
        <v>1236</v>
      </c>
      <c r="C510" s="69" t="s">
        <v>1237</v>
      </c>
      <c r="D510" s="69" t="s">
        <v>160</v>
      </c>
      <c r="E510" s="104">
        <v>8415000</v>
      </c>
      <c r="F510" s="109">
        <v>2103750</v>
      </c>
      <c r="G510" s="96" t="s">
        <v>84</v>
      </c>
      <c r="J510" s="109">
        <v>2103750</v>
      </c>
      <c r="K510" s="96" t="s">
        <v>786</v>
      </c>
      <c r="N510" s="109">
        <v>2103750</v>
      </c>
      <c r="O510" s="102" t="s">
        <v>1221</v>
      </c>
      <c r="P510" s="110">
        <f t="shared" si="11"/>
        <v>2103750</v>
      </c>
      <c r="Q510" s="69" t="s">
        <v>26</v>
      </c>
      <c r="R510" s="109"/>
      <c r="V510" t="s">
        <v>27</v>
      </c>
    </row>
    <row r="511" spans="1:22" ht="15" customHeight="1" x14ac:dyDescent="0.25">
      <c r="A511" s="69">
        <v>509</v>
      </c>
      <c r="B511" s="35" t="s">
        <v>1238</v>
      </c>
      <c r="C511" s="69" t="s">
        <v>1239</v>
      </c>
      <c r="D511" s="69" t="s">
        <v>907</v>
      </c>
      <c r="E511" s="104">
        <v>8415000</v>
      </c>
      <c r="F511" s="109">
        <v>2103750</v>
      </c>
      <c r="G511" s="96" t="s">
        <v>951</v>
      </c>
      <c r="J511" s="109">
        <v>2103750</v>
      </c>
      <c r="K511" s="102" t="s">
        <v>813</v>
      </c>
      <c r="N511" s="109">
        <v>2103750</v>
      </c>
      <c r="O511" s="102" t="s">
        <v>1221</v>
      </c>
      <c r="P511" s="110">
        <f t="shared" si="11"/>
        <v>2103750</v>
      </c>
      <c r="Q511" s="69" t="s">
        <v>26</v>
      </c>
      <c r="R511" s="109"/>
      <c r="V511" t="s">
        <v>27</v>
      </c>
    </row>
    <row r="512" spans="1:22" ht="15" customHeight="1" x14ac:dyDescent="0.25">
      <c r="A512" s="69">
        <v>529</v>
      </c>
      <c r="B512" s="35" t="s">
        <v>1240</v>
      </c>
      <c r="C512" s="69" t="s">
        <v>1241</v>
      </c>
      <c r="D512" s="69" t="s">
        <v>182</v>
      </c>
      <c r="E512" s="104">
        <v>8415000</v>
      </c>
      <c r="F512" s="109">
        <v>2103750</v>
      </c>
      <c r="G512" s="102" t="s">
        <v>332</v>
      </c>
      <c r="K512" s="69" t="s">
        <v>177</v>
      </c>
      <c r="N512" s="109">
        <v>2103750</v>
      </c>
      <c r="O512" s="102" t="s">
        <v>1221</v>
      </c>
      <c r="P512" s="110">
        <f t="shared" si="11"/>
        <v>4207500</v>
      </c>
      <c r="Q512" s="69" t="s">
        <v>280</v>
      </c>
      <c r="R512" s="109">
        <v>2103750</v>
      </c>
      <c r="S512" s="99" t="s">
        <v>748</v>
      </c>
      <c r="T512" s="110">
        <f>E512-F512-H512-J512-L512-N512-R512</f>
        <v>2103750</v>
      </c>
      <c r="V512" t="s">
        <v>27</v>
      </c>
    </row>
    <row r="513" spans="1:22" ht="15" customHeight="1" x14ac:dyDescent="0.25">
      <c r="A513" s="69">
        <v>544</v>
      </c>
      <c r="B513" s="35" t="s">
        <v>1242</v>
      </c>
      <c r="C513" s="69" t="s">
        <v>1243</v>
      </c>
      <c r="D513" s="69" t="s">
        <v>157</v>
      </c>
      <c r="E513" s="104">
        <v>8415000</v>
      </c>
      <c r="F513" s="109">
        <v>2103750</v>
      </c>
      <c r="G513" s="96" t="s">
        <v>482</v>
      </c>
      <c r="J513" s="109">
        <v>2103750</v>
      </c>
      <c r="K513" s="96" t="s">
        <v>873</v>
      </c>
      <c r="N513" s="109">
        <v>2103750</v>
      </c>
      <c r="O513" s="102" t="s">
        <v>1221</v>
      </c>
      <c r="P513" s="110">
        <f t="shared" si="11"/>
        <v>2103750</v>
      </c>
      <c r="Q513" s="69" t="s">
        <v>26</v>
      </c>
      <c r="R513" s="109">
        <v>2103750</v>
      </c>
      <c r="S513" s="100" t="s">
        <v>113</v>
      </c>
      <c r="T513" s="110">
        <f>E513-F513-J513-N513-R513</f>
        <v>0</v>
      </c>
      <c r="V513" t="s">
        <v>27</v>
      </c>
    </row>
    <row r="514" spans="1:22" ht="15" customHeight="1" x14ac:dyDescent="0.25">
      <c r="A514" s="69">
        <v>546</v>
      </c>
      <c r="B514" s="35" t="s">
        <v>1244</v>
      </c>
      <c r="C514" s="69" t="s">
        <v>1245</v>
      </c>
      <c r="D514" s="69" t="s">
        <v>182</v>
      </c>
      <c r="E514" s="104">
        <v>8415000</v>
      </c>
      <c r="F514" s="109">
        <v>2103750</v>
      </c>
      <c r="G514" s="96" t="s">
        <v>482</v>
      </c>
      <c r="J514" s="109">
        <v>2103750</v>
      </c>
      <c r="K514" s="96" t="s">
        <v>873</v>
      </c>
      <c r="N514" s="109">
        <v>2103750</v>
      </c>
      <c r="O514" s="102" t="s">
        <v>1221</v>
      </c>
      <c r="P514" s="110">
        <f t="shared" si="11"/>
        <v>2103750</v>
      </c>
      <c r="Q514" s="69" t="s">
        <v>26</v>
      </c>
      <c r="R514" s="109">
        <v>2103750</v>
      </c>
      <c r="S514" s="100" t="s">
        <v>281</v>
      </c>
      <c r="T514" s="110">
        <f>E514-F514-H514-J514-L514-N514-R514</f>
        <v>0</v>
      </c>
      <c r="V514" t="s">
        <v>27</v>
      </c>
    </row>
    <row r="515" spans="1:22" ht="15" customHeight="1" x14ac:dyDescent="0.25">
      <c r="A515" s="69">
        <v>549</v>
      </c>
      <c r="B515" s="35" t="s">
        <v>1246</v>
      </c>
      <c r="C515" s="69" t="s">
        <v>1247</v>
      </c>
      <c r="D515" s="69" t="s">
        <v>392</v>
      </c>
      <c r="E515" s="104">
        <v>8415000</v>
      </c>
      <c r="F515" s="109">
        <v>2103750</v>
      </c>
      <c r="G515" s="96" t="s">
        <v>482</v>
      </c>
      <c r="J515" s="109">
        <v>2103750</v>
      </c>
      <c r="K515" s="97" t="s">
        <v>325</v>
      </c>
      <c r="N515" s="109">
        <v>2103750</v>
      </c>
      <c r="O515" s="102" t="s">
        <v>1221</v>
      </c>
      <c r="P515" s="110">
        <f t="shared" si="11"/>
        <v>2103750</v>
      </c>
      <c r="Q515" s="69" t="s">
        <v>26</v>
      </c>
      <c r="R515" s="109">
        <v>2103750</v>
      </c>
      <c r="S515" s="100" t="s">
        <v>113</v>
      </c>
      <c r="T515" s="110">
        <f>E515-F515-H515-J515-L515-N515-R515</f>
        <v>0</v>
      </c>
      <c r="V515" t="s">
        <v>27</v>
      </c>
    </row>
    <row r="516" spans="1:22" ht="15" customHeight="1" x14ac:dyDescent="0.25">
      <c r="A516" s="69">
        <v>576</v>
      </c>
      <c r="B516" s="35" t="s">
        <v>1248</v>
      </c>
      <c r="C516" s="69" t="s">
        <v>1249</v>
      </c>
      <c r="D516" s="69" t="s">
        <v>376</v>
      </c>
      <c r="E516" s="104">
        <v>8415000</v>
      </c>
      <c r="F516" s="109">
        <v>2103750</v>
      </c>
      <c r="G516" s="96" t="s">
        <v>998</v>
      </c>
      <c r="J516" s="109">
        <v>2103750</v>
      </c>
      <c r="K516" s="96" t="s">
        <v>786</v>
      </c>
      <c r="N516" s="109">
        <v>2103750</v>
      </c>
      <c r="O516" s="102" t="s">
        <v>1221</v>
      </c>
      <c r="P516" s="110">
        <f t="shared" si="11"/>
        <v>2103750</v>
      </c>
      <c r="Q516" s="69" t="s">
        <v>26</v>
      </c>
      <c r="R516" s="109"/>
      <c r="V516" t="s">
        <v>27</v>
      </c>
    </row>
    <row r="517" spans="1:22" ht="15" customHeight="1" x14ac:dyDescent="0.25">
      <c r="A517" s="69">
        <v>640</v>
      </c>
      <c r="B517" s="35" t="s">
        <v>1250</v>
      </c>
      <c r="C517" s="69" t="s">
        <v>1251</v>
      </c>
      <c r="D517" s="69" t="s">
        <v>78</v>
      </c>
      <c r="E517" s="104">
        <v>8415000</v>
      </c>
      <c r="F517" s="109"/>
      <c r="H517" s="109">
        <v>2103750</v>
      </c>
      <c r="I517" s="96" t="s">
        <v>98</v>
      </c>
      <c r="J517" s="109">
        <v>2103750</v>
      </c>
      <c r="K517" s="96" t="s">
        <v>786</v>
      </c>
      <c r="N517" s="109">
        <v>2103750</v>
      </c>
      <c r="O517" s="102" t="s">
        <v>1221</v>
      </c>
      <c r="P517" s="110">
        <f t="shared" si="11"/>
        <v>2103750</v>
      </c>
      <c r="Q517" s="69" t="s">
        <v>26</v>
      </c>
      <c r="R517" s="109"/>
      <c r="V517" t="s">
        <v>27</v>
      </c>
    </row>
    <row r="518" spans="1:22" ht="15" customHeight="1" x14ac:dyDescent="0.25">
      <c r="A518" s="69">
        <v>683</v>
      </c>
      <c r="B518" s="35" t="s">
        <v>1252</v>
      </c>
      <c r="C518" s="69" t="s">
        <v>1253</v>
      </c>
      <c r="D518" s="69" t="s">
        <v>97</v>
      </c>
      <c r="E518" s="104">
        <v>4940000</v>
      </c>
      <c r="K518" s="69" t="s">
        <v>177</v>
      </c>
      <c r="N518" s="110">
        <v>2470000</v>
      </c>
      <c r="O518" s="102" t="s">
        <v>1221</v>
      </c>
      <c r="P518" s="110">
        <f t="shared" si="11"/>
        <v>2470000</v>
      </c>
      <c r="Q518" s="69" t="s">
        <v>26</v>
      </c>
      <c r="R518" s="109">
        <v>2470000</v>
      </c>
      <c r="S518" s="100" t="s">
        <v>201</v>
      </c>
      <c r="T518" s="110">
        <f>E518-F518-H518-J518-L518-N518-R518</f>
        <v>0</v>
      </c>
      <c r="V518" t="s">
        <v>27</v>
      </c>
    </row>
    <row r="519" spans="1:22" ht="15" customHeight="1" x14ac:dyDescent="0.25">
      <c r="A519" s="69">
        <v>693</v>
      </c>
      <c r="B519" s="35" t="s">
        <v>1254</v>
      </c>
      <c r="C519" s="69" t="s">
        <v>1255</v>
      </c>
      <c r="D519" s="69" t="s">
        <v>120</v>
      </c>
      <c r="E519" s="104">
        <v>4940000</v>
      </c>
      <c r="K519" s="69" t="s">
        <v>177</v>
      </c>
      <c r="N519" s="110">
        <v>2470000</v>
      </c>
      <c r="O519" s="102" t="s">
        <v>1221</v>
      </c>
      <c r="P519" s="110">
        <f t="shared" si="11"/>
        <v>2470000</v>
      </c>
      <c r="Q519" s="69" t="s">
        <v>26</v>
      </c>
      <c r="R519" s="109">
        <v>2470000</v>
      </c>
      <c r="S519" s="99" t="s">
        <v>44</v>
      </c>
      <c r="T519" s="110">
        <f>E519-F519-J519-N519-R519</f>
        <v>0</v>
      </c>
      <c r="V519" t="s">
        <v>27</v>
      </c>
    </row>
    <row r="520" spans="1:22" ht="15" customHeight="1" x14ac:dyDescent="0.25">
      <c r="A520" s="69">
        <v>811</v>
      </c>
      <c r="B520" s="35" t="s">
        <v>1256</v>
      </c>
      <c r="C520" s="69" t="s">
        <v>143</v>
      </c>
      <c r="D520" s="69" t="s">
        <v>151</v>
      </c>
      <c r="E520" s="104">
        <v>8415000</v>
      </c>
      <c r="J520" s="109">
        <v>2103750</v>
      </c>
      <c r="K520" s="102" t="s">
        <v>601</v>
      </c>
      <c r="N520" s="109">
        <v>2103750</v>
      </c>
      <c r="O520" s="102" t="s">
        <v>1221</v>
      </c>
      <c r="P520" s="110">
        <f t="shared" si="11"/>
        <v>4207500</v>
      </c>
      <c r="R520" s="109"/>
      <c r="V520" t="s">
        <v>27</v>
      </c>
    </row>
    <row r="521" spans="1:22" ht="15" customHeight="1" x14ac:dyDescent="0.25">
      <c r="A521" s="69">
        <v>120</v>
      </c>
      <c r="B521" s="35" t="s">
        <v>1257</v>
      </c>
      <c r="C521" s="69" t="s">
        <v>1258</v>
      </c>
      <c r="D521" s="69" t="s">
        <v>157</v>
      </c>
      <c r="E521" s="104">
        <v>8415000</v>
      </c>
      <c r="F521" s="109">
        <v>2103750</v>
      </c>
      <c r="G521" s="96" t="s">
        <v>266</v>
      </c>
      <c r="J521" s="109">
        <v>2103750</v>
      </c>
      <c r="K521" s="102" t="s">
        <v>267</v>
      </c>
      <c r="N521" s="109">
        <v>2103750</v>
      </c>
      <c r="O521" s="96" t="s">
        <v>1259</v>
      </c>
      <c r="P521" s="110">
        <f t="shared" si="11"/>
        <v>2103750</v>
      </c>
      <c r="Q521" s="69" t="s">
        <v>26</v>
      </c>
      <c r="R521" s="109">
        <v>2103750</v>
      </c>
      <c r="S521" s="99" t="s">
        <v>1006</v>
      </c>
      <c r="T521" s="110">
        <f>E521-F521-J521-N521-R521</f>
        <v>0</v>
      </c>
      <c r="V521" t="s">
        <v>27</v>
      </c>
    </row>
    <row r="522" spans="1:22" ht="15" customHeight="1" x14ac:dyDescent="0.25">
      <c r="A522" s="69">
        <v>271</v>
      </c>
      <c r="B522" s="35" t="s">
        <v>1260</v>
      </c>
      <c r="C522" s="69" t="s">
        <v>179</v>
      </c>
      <c r="D522" s="69" t="s">
        <v>104</v>
      </c>
      <c r="E522" s="104">
        <v>8450000</v>
      </c>
      <c r="F522" s="109">
        <v>2103750</v>
      </c>
      <c r="G522" s="96" t="s">
        <v>471</v>
      </c>
      <c r="J522" s="109">
        <v>2103750</v>
      </c>
      <c r="K522" s="96" t="s">
        <v>381</v>
      </c>
      <c r="N522" s="109">
        <v>2103750</v>
      </c>
      <c r="O522" s="96" t="s">
        <v>1259</v>
      </c>
      <c r="P522" s="110">
        <f t="shared" si="11"/>
        <v>2138750</v>
      </c>
      <c r="Q522" s="69" t="s">
        <v>26</v>
      </c>
      <c r="R522" s="109">
        <v>2103750</v>
      </c>
      <c r="S522" s="100" t="s">
        <v>604</v>
      </c>
      <c r="T522" s="110">
        <f>E522-F522-H522-J522-L522-N522-R522</f>
        <v>35000</v>
      </c>
      <c r="V522" t="s">
        <v>27</v>
      </c>
    </row>
    <row r="523" spans="1:22" ht="15" customHeight="1" x14ac:dyDescent="0.25">
      <c r="A523" s="69">
        <v>273</v>
      </c>
      <c r="B523" s="35" t="s">
        <v>1261</v>
      </c>
      <c r="C523" s="69" t="s">
        <v>1262</v>
      </c>
      <c r="D523" s="69" t="s">
        <v>97</v>
      </c>
      <c r="E523" s="104">
        <v>8415000</v>
      </c>
      <c r="F523" s="109">
        <v>2103750</v>
      </c>
      <c r="G523" s="96" t="s">
        <v>471</v>
      </c>
      <c r="J523" s="109">
        <v>2103750</v>
      </c>
      <c r="K523" s="102" t="s">
        <v>601</v>
      </c>
      <c r="N523" s="109">
        <v>2103750</v>
      </c>
      <c r="O523" s="96" t="s">
        <v>1259</v>
      </c>
      <c r="P523" s="110">
        <f t="shared" si="11"/>
        <v>2103750</v>
      </c>
      <c r="Q523" s="69" t="s">
        <v>26</v>
      </c>
      <c r="R523" s="109">
        <v>2103750</v>
      </c>
      <c r="S523" s="100" t="s">
        <v>291</v>
      </c>
      <c r="T523" s="110">
        <f>E523-F523-H523-J523-L523-N523-R523</f>
        <v>0</v>
      </c>
      <c r="V523" t="s">
        <v>27</v>
      </c>
    </row>
    <row r="524" spans="1:22" ht="15" customHeight="1" x14ac:dyDescent="0.25">
      <c r="A524" s="69">
        <v>355</v>
      </c>
      <c r="B524" s="35" t="s">
        <v>1263</v>
      </c>
      <c r="C524" s="69" t="s">
        <v>1264</v>
      </c>
      <c r="D524" s="69" t="s">
        <v>157</v>
      </c>
      <c r="E524" s="104">
        <v>8415000</v>
      </c>
      <c r="F524" s="109">
        <v>2103750</v>
      </c>
      <c r="G524" s="96" t="s">
        <v>721</v>
      </c>
      <c r="J524" s="109">
        <v>2103750</v>
      </c>
      <c r="K524" s="96" t="s">
        <v>786</v>
      </c>
      <c r="N524" s="109">
        <v>2103750</v>
      </c>
      <c r="O524" s="96" t="s">
        <v>1259</v>
      </c>
      <c r="P524" s="110">
        <f t="shared" si="11"/>
        <v>2103750</v>
      </c>
      <c r="Q524" s="69" t="s">
        <v>26</v>
      </c>
      <c r="R524" s="109">
        <v>2103750</v>
      </c>
      <c r="S524" s="99" t="s">
        <v>1006</v>
      </c>
      <c r="T524" s="110">
        <f>E524-F524-J524-N524-R524</f>
        <v>0</v>
      </c>
      <c r="V524" t="s">
        <v>27</v>
      </c>
    </row>
    <row r="525" spans="1:22" ht="15" customHeight="1" x14ac:dyDescent="0.25">
      <c r="A525" s="69">
        <v>505</v>
      </c>
      <c r="B525" s="35" t="s">
        <v>1265</v>
      </c>
      <c r="C525" s="35" t="s">
        <v>1024</v>
      </c>
      <c r="D525" s="35" t="s">
        <v>599</v>
      </c>
      <c r="E525" s="104">
        <v>8415000</v>
      </c>
      <c r="F525" s="104">
        <v>2103750</v>
      </c>
      <c r="G525" s="102" t="s">
        <v>833</v>
      </c>
      <c r="H525" s="35"/>
      <c r="I525" s="35"/>
      <c r="J525" s="109">
        <v>2103750</v>
      </c>
      <c r="K525" s="102" t="s">
        <v>112</v>
      </c>
      <c r="N525" s="109">
        <v>2103750</v>
      </c>
      <c r="O525" s="96" t="s">
        <v>1259</v>
      </c>
      <c r="P525" s="116">
        <f t="shared" si="11"/>
        <v>2103750</v>
      </c>
      <c r="Q525" s="35" t="s">
        <v>26</v>
      </c>
      <c r="R525" s="109"/>
      <c r="S525" s="35"/>
      <c r="T525" s="110"/>
      <c r="V525" t="s">
        <v>27</v>
      </c>
    </row>
    <row r="526" spans="1:22" ht="15" customHeight="1" x14ac:dyDescent="0.25">
      <c r="A526" s="69">
        <v>518</v>
      </c>
      <c r="B526" s="35" t="s">
        <v>1266</v>
      </c>
      <c r="C526" s="69" t="s">
        <v>1267</v>
      </c>
      <c r="D526" s="69" t="s">
        <v>867</v>
      </c>
      <c r="E526" s="104">
        <v>8415000</v>
      </c>
      <c r="F526" s="109">
        <v>2103750</v>
      </c>
      <c r="G526" s="96" t="s">
        <v>951</v>
      </c>
      <c r="J526" s="109">
        <v>2103750</v>
      </c>
      <c r="K526" s="96" t="s">
        <v>108</v>
      </c>
      <c r="N526" s="109">
        <v>2103750</v>
      </c>
      <c r="O526" s="96" t="s">
        <v>1259</v>
      </c>
      <c r="P526" s="110">
        <f t="shared" si="11"/>
        <v>2103750</v>
      </c>
      <c r="Q526" s="69" t="s">
        <v>26</v>
      </c>
      <c r="R526" s="109"/>
      <c r="T526" s="110"/>
      <c r="V526" t="s">
        <v>27</v>
      </c>
    </row>
    <row r="527" spans="1:22" ht="15" customHeight="1" x14ac:dyDescent="0.25">
      <c r="A527" s="69">
        <v>525</v>
      </c>
      <c r="B527" s="35" t="s">
        <v>1268</v>
      </c>
      <c r="C527" s="69" t="s">
        <v>1269</v>
      </c>
      <c r="D527" s="69" t="s">
        <v>78</v>
      </c>
      <c r="E527" s="104">
        <v>8415000</v>
      </c>
      <c r="F527" s="109">
        <v>2103750</v>
      </c>
      <c r="G527" s="102" t="s">
        <v>332</v>
      </c>
      <c r="J527" s="109">
        <v>2103750</v>
      </c>
      <c r="K527" s="102" t="s">
        <v>314</v>
      </c>
      <c r="N527" s="109">
        <v>2103750</v>
      </c>
      <c r="O527" s="96" t="s">
        <v>1259</v>
      </c>
      <c r="P527" s="110">
        <f t="shared" si="11"/>
        <v>2103750</v>
      </c>
      <c r="Q527" s="69" t="s">
        <v>26</v>
      </c>
      <c r="R527" s="109"/>
      <c r="T527" s="110"/>
      <c r="V527" t="s">
        <v>27</v>
      </c>
    </row>
    <row r="528" spans="1:22" ht="15" customHeight="1" x14ac:dyDescent="0.25">
      <c r="A528" s="69">
        <v>547</v>
      </c>
      <c r="B528" s="35" t="s">
        <v>1270</v>
      </c>
      <c r="C528" s="69" t="s">
        <v>1271</v>
      </c>
      <c r="D528" s="69" t="s">
        <v>708</v>
      </c>
      <c r="E528" s="104">
        <v>8415000</v>
      </c>
      <c r="F528" s="109">
        <v>2103750</v>
      </c>
      <c r="G528" s="96" t="s">
        <v>482</v>
      </c>
      <c r="J528" s="109">
        <v>2103750</v>
      </c>
      <c r="K528" s="96" t="s">
        <v>786</v>
      </c>
      <c r="N528" s="109">
        <v>2103750</v>
      </c>
      <c r="O528" s="96" t="s">
        <v>1259</v>
      </c>
      <c r="P528" s="110">
        <f t="shared" si="11"/>
        <v>2103750</v>
      </c>
      <c r="Q528" s="69" t="s">
        <v>26</v>
      </c>
      <c r="R528" s="109">
        <v>2103750</v>
      </c>
      <c r="S528" s="100" t="s">
        <v>291</v>
      </c>
      <c r="T528" s="110">
        <f>E528-F528-J528-N528-R528</f>
        <v>0</v>
      </c>
      <c r="V528" t="s">
        <v>27</v>
      </c>
    </row>
    <row r="529" spans="1:22" s="123" customFormat="1" ht="15" customHeight="1" x14ac:dyDescent="0.25">
      <c r="A529" s="69">
        <v>562</v>
      </c>
      <c r="B529" s="35" t="s">
        <v>1272</v>
      </c>
      <c r="C529" s="69" t="s">
        <v>418</v>
      </c>
      <c r="D529" s="69" t="s">
        <v>1273</v>
      </c>
      <c r="E529" s="104">
        <v>8415000</v>
      </c>
      <c r="F529" s="109">
        <v>2103750</v>
      </c>
      <c r="G529" s="102" t="s">
        <v>285</v>
      </c>
      <c r="H529" s="69"/>
      <c r="I529" s="69"/>
      <c r="J529" s="109">
        <v>2103750</v>
      </c>
      <c r="K529" s="96" t="s">
        <v>786</v>
      </c>
      <c r="L529" s="69"/>
      <c r="M529" s="69"/>
      <c r="N529" s="109">
        <v>2103750</v>
      </c>
      <c r="O529" s="96" t="s">
        <v>1259</v>
      </c>
      <c r="P529" s="110">
        <f t="shared" si="11"/>
        <v>2103750</v>
      </c>
      <c r="Q529" s="69" t="s">
        <v>26</v>
      </c>
      <c r="R529" s="109">
        <v>2103750</v>
      </c>
      <c r="S529" s="99" t="s">
        <v>1006</v>
      </c>
      <c r="T529" s="110">
        <f>E529-F529-H529-J529-L529-N529-R529</f>
        <v>0</v>
      </c>
      <c r="U529" s="69"/>
      <c r="V529" t="s">
        <v>27</v>
      </c>
    </row>
    <row r="530" spans="1:22" s="123" customFormat="1" ht="15" customHeight="1" x14ac:dyDescent="0.25">
      <c r="A530" s="69">
        <v>563</v>
      </c>
      <c r="B530" s="35" t="s">
        <v>1274</v>
      </c>
      <c r="C530" s="69" t="s">
        <v>1275</v>
      </c>
      <c r="D530" s="69" t="s">
        <v>474</v>
      </c>
      <c r="E530" s="104">
        <v>8415000</v>
      </c>
      <c r="F530" s="109">
        <v>2103750</v>
      </c>
      <c r="G530" s="102" t="s">
        <v>285</v>
      </c>
      <c r="H530" s="69"/>
      <c r="I530" s="69"/>
      <c r="J530" s="109">
        <v>2103750</v>
      </c>
      <c r="K530" s="96" t="s">
        <v>786</v>
      </c>
      <c r="L530" s="69"/>
      <c r="M530" s="69"/>
      <c r="N530" s="109">
        <v>2103750</v>
      </c>
      <c r="O530" s="96" t="s">
        <v>1259</v>
      </c>
      <c r="P530" s="110">
        <f t="shared" si="11"/>
        <v>2103750</v>
      </c>
      <c r="Q530" s="69" t="s">
        <v>26</v>
      </c>
      <c r="R530" s="109">
        <v>2103750</v>
      </c>
      <c r="S530" s="100" t="s">
        <v>291</v>
      </c>
      <c r="T530" s="110">
        <f>E530-F530-J530-N530-R530</f>
        <v>0</v>
      </c>
      <c r="U530" s="69"/>
      <c r="V530" t="s">
        <v>27</v>
      </c>
    </row>
    <row r="531" spans="1:22" s="123" customFormat="1" ht="15" customHeight="1" x14ac:dyDescent="0.25">
      <c r="A531" s="69">
        <v>567</v>
      </c>
      <c r="B531" s="35" t="s">
        <v>1276</v>
      </c>
      <c r="C531" s="69" t="s">
        <v>1277</v>
      </c>
      <c r="D531" s="69" t="s">
        <v>91</v>
      </c>
      <c r="E531" s="104">
        <v>8415000</v>
      </c>
      <c r="F531" s="109">
        <v>2103750</v>
      </c>
      <c r="G531" s="102" t="s">
        <v>285</v>
      </c>
      <c r="H531" s="69"/>
      <c r="I531" s="69"/>
      <c r="J531" s="109">
        <v>2103750</v>
      </c>
      <c r="K531" s="96" t="s">
        <v>286</v>
      </c>
      <c r="L531" s="69"/>
      <c r="M531" s="69"/>
      <c r="N531" s="109">
        <v>2103750</v>
      </c>
      <c r="O531" s="96" t="s">
        <v>1259</v>
      </c>
      <c r="P531" s="110">
        <f t="shared" si="11"/>
        <v>2103750</v>
      </c>
      <c r="Q531" s="69" t="s">
        <v>26</v>
      </c>
      <c r="R531" s="109">
        <v>2103750</v>
      </c>
      <c r="S531" s="100" t="s">
        <v>291</v>
      </c>
      <c r="T531" s="110">
        <f>E531-F531-H531-J531-L531-N531-R531</f>
        <v>0</v>
      </c>
      <c r="U531" s="69"/>
      <c r="V531" t="s">
        <v>27</v>
      </c>
    </row>
    <row r="532" spans="1:22" s="123" customFormat="1" ht="15" customHeight="1" x14ac:dyDescent="0.25">
      <c r="A532" s="69">
        <v>574</v>
      </c>
      <c r="B532" s="35" t="s">
        <v>1278</v>
      </c>
      <c r="C532" s="69" t="s">
        <v>1279</v>
      </c>
      <c r="D532" s="69" t="s">
        <v>91</v>
      </c>
      <c r="E532" s="104">
        <v>8415000</v>
      </c>
      <c r="F532" s="109">
        <v>2103750</v>
      </c>
      <c r="G532" s="96" t="s">
        <v>998</v>
      </c>
      <c r="H532" s="69"/>
      <c r="I532" s="69"/>
      <c r="J532" s="109">
        <v>2103750</v>
      </c>
      <c r="K532" s="96" t="s">
        <v>286</v>
      </c>
      <c r="L532" s="69"/>
      <c r="M532" s="69"/>
      <c r="N532" s="109">
        <v>2103750</v>
      </c>
      <c r="O532" s="96" t="s">
        <v>1259</v>
      </c>
      <c r="P532" s="110">
        <f t="shared" si="11"/>
        <v>2103750</v>
      </c>
      <c r="Q532" s="69" t="s">
        <v>26</v>
      </c>
      <c r="R532" s="109">
        <v>2103750</v>
      </c>
      <c r="S532" s="99" t="s">
        <v>287</v>
      </c>
      <c r="T532" s="110">
        <f>E532-F532-H532-J532-L532-N532-R532</f>
        <v>0</v>
      </c>
      <c r="U532" s="69"/>
      <c r="V532" t="s">
        <v>27</v>
      </c>
    </row>
    <row r="533" spans="1:22" s="123" customFormat="1" ht="15" customHeight="1" x14ac:dyDescent="0.25">
      <c r="A533" s="69">
        <v>575</v>
      </c>
      <c r="B533" s="35" t="s">
        <v>1280</v>
      </c>
      <c r="C533" s="35" t="s">
        <v>805</v>
      </c>
      <c r="D533" s="35" t="s">
        <v>821</v>
      </c>
      <c r="E533" s="104">
        <v>8415000</v>
      </c>
      <c r="F533" s="109">
        <v>2103750</v>
      </c>
      <c r="G533" s="96" t="s">
        <v>998</v>
      </c>
      <c r="H533" s="69"/>
      <c r="I533" s="69"/>
      <c r="J533" s="109">
        <v>2103750</v>
      </c>
      <c r="K533" s="96" t="s">
        <v>786</v>
      </c>
      <c r="L533" s="69"/>
      <c r="M533" s="69"/>
      <c r="N533" s="109">
        <v>2103750</v>
      </c>
      <c r="O533" s="96" t="s">
        <v>1259</v>
      </c>
      <c r="P533" s="110">
        <f t="shared" si="11"/>
        <v>2103750</v>
      </c>
      <c r="Q533" s="69" t="s">
        <v>26</v>
      </c>
      <c r="R533" s="109">
        <v>2103750</v>
      </c>
      <c r="S533" s="100" t="s">
        <v>291</v>
      </c>
      <c r="T533" s="110">
        <f>E533-F533-J533-N533-R533</f>
        <v>0</v>
      </c>
      <c r="U533" s="69"/>
      <c r="V533" t="s">
        <v>27</v>
      </c>
    </row>
    <row r="534" spans="1:22" s="123" customFormat="1" ht="15" customHeight="1" x14ac:dyDescent="0.25">
      <c r="A534" s="69">
        <v>581</v>
      </c>
      <c r="B534" s="35" t="s">
        <v>1281</v>
      </c>
      <c r="C534" s="35" t="s">
        <v>1282</v>
      </c>
      <c r="D534" s="35" t="s">
        <v>120</v>
      </c>
      <c r="E534" s="104">
        <v>8415000</v>
      </c>
      <c r="F534" s="109">
        <v>2103750</v>
      </c>
      <c r="G534" s="96" t="s">
        <v>998</v>
      </c>
      <c r="H534" s="69"/>
      <c r="I534" s="69"/>
      <c r="J534" s="109">
        <v>2103750</v>
      </c>
      <c r="K534" s="96" t="s">
        <v>786</v>
      </c>
      <c r="L534" s="69"/>
      <c r="M534" s="69"/>
      <c r="N534" s="109">
        <v>2103750</v>
      </c>
      <c r="O534" s="96" t="s">
        <v>1259</v>
      </c>
      <c r="P534" s="110">
        <f t="shared" si="11"/>
        <v>2103750</v>
      </c>
      <c r="Q534" s="69" t="s">
        <v>26</v>
      </c>
      <c r="R534" s="109"/>
      <c r="S534" s="69"/>
      <c r="T534" s="69"/>
      <c r="U534" s="69"/>
      <c r="V534" t="s">
        <v>27</v>
      </c>
    </row>
    <row r="535" spans="1:22" s="123" customFormat="1" ht="15" customHeight="1" x14ac:dyDescent="0.25">
      <c r="A535" s="69">
        <v>582</v>
      </c>
      <c r="B535" s="35" t="s">
        <v>1283</v>
      </c>
      <c r="C535" s="35" t="s">
        <v>1284</v>
      </c>
      <c r="D535" s="35" t="s">
        <v>494</v>
      </c>
      <c r="E535" s="104">
        <v>8415000</v>
      </c>
      <c r="F535" s="109">
        <v>2103750</v>
      </c>
      <c r="G535" s="96" t="s">
        <v>998</v>
      </c>
      <c r="H535" s="69"/>
      <c r="I535" s="69"/>
      <c r="J535" s="109">
        <v>2103750</v>
      </c>
      <c r="K535" s="96" t="s">
        <v>786</v>
      </c>
      <c r="L535" s="69"/>
      <c r="M535" s="69"/>
      <c r="N535" s="109">
        <v>2103750</v>
      </c>
      <c r="O535" s="96" t="s">
        <v>1259</v>
      </c>
      <c r="P535" s="110">
        <f t="shared" si="11"/>
        <v>2103750</v>
      </c>
      <c r="Q535" s="69" t="s">
        <v>26</v>
      </c>
      <c r="R535" s="109">
        <v>2103750</v>
      </c>
      <c r="S535" s="69"/>
      <c r="T535" s="110">
        <f>E535-J535-N535-P535-R535</f>
        <v>0</v>
      </c>
      <c r="U535" s="69"/>
      <c r="V535" t="s">
        <v>27</v>
      </c>
    </row>
    <row r="536" spans="1:22" s="123" customFormat="1" ht="15" customHeight="1" x14ac:dyDescent="0.25">
      <c r="A536" s="69">
        <v>583</v>
      </c>
      <c r="B536" s="35" t="s">
        <v>1285</v>
      </c>
      <c r="C536" s="35" t="s">
        <v>1286</v>
      </c>
      <c r="D536" s="35" t="s">
        <v>651</v>
      </c>
      <c r="E536" s="104">
        <v>9405000</v>
      </c>
      <c r="F536" s="109">
        <v>2232500</v>
      </c>
      <c r="G536" s="96" t="s">
        <v>998</v>
      </c>
      <c r="H536" s="69"/>
      <c r="I536" s="69"/>
      <c r="J536" s="109">
        <v>2232500</v>
      </c>
      <c r="K536" s="96" t="s">
        <v>786</v>
      </c>
      <c r="L536" s="69"/>
      <c r="M536" s="69"/>
      <c r="N536" s="110">
        <v>2470000</v>
      </c>
      <c r="O536" s="96" t="s">
        <v>1259</v>
      </c>
      <c r="P536" s="110">
        <f t="shared" si="11"/>
        <v>2470000</v>
      </c>
      <c r="Q536" s="69" t="s">
        <v>26</v>
      </c>
      <c r="R536" s="109">
        <v>2470000</v>
      </c>
      <c r="S536" s="100" t="s">
        <v>291</v>
      </c>
      <c r="T536" s="110">
        <f>E536-H536-J536-N536-R536</f>
        <v>2232500</v>
      </c>
      <c r="U536" s="69"/>
      <c r="V536" t="s">
        <v>27</v>
      </c>
    </row>
    <row r="537" spans="1:22" s="123" customFormat="1" ht="15" customHeight="1" x14ac:dyDescent="0.25">
      <c r="A537" s="69">
        <v>694</v>
      </c>
      <c r="B537" s="35" t="s">
        <v>1287</v>
      </c>
      <c r="C537" s="35" t="s">
        <v>1189</v>
      </c>
      <c r="D537" s="35" t="s">
        <v>1206</v>
      </c>
      <c r="E537" s="104">
        <v>4940000</v>
      </c>
      <c r="F537" s="69"/>
      <c r="G537" s="69"/>
      <c r="H537" s="69"/>
      <c r="I537" s="69"/>
      <c r="J537" s="69"/>
      <c r="K537" s="69" t="s">
        <v>177</v>
      </c>
      <c r="L537" s="69"/>
      <c r="M537" s="69"/>
      <c r="N537" s="110">
        <v>2470000</v>
      </c>
      <c r="O537" s="96" t="s">
        <v>1259</v>
      </c>
      <c r="P537" s="110">
        <f t="shared" si="11"/>
        <v>2470000</v>
      </c>
      <c r="Q537" s="69" t="s">
        <v>26</v>
      </c>
      <c r="R537" s="109">
        <v>2470000</v>
      </c>
      <c r="S537" s="100" t="s">
        <v>604</v>
      </c>
      <c r="T537" s="110">
        <f>E537-F537-J537-N537-R537</f>
        <v>0</v>
      </c>
      <c r="U537" s="69"/>
      <c r="V537" t="s">
        <v>27</v>
      </c>
    </row>
    <row r="538" spans="1:22" s="123" customFormat="1" ht="15" customHeight="1" x14ac:dyDescent="0.25">
      <c r="A538" s="69">
        <v>840</v>
      </c>
      <c r="B538" s="35">
        <v>25800600007</v>
      </c>
      <c r="C538" s="35" t="s">
        <v>1288</v>
      </c>
      <c r="D538" s="35" t="s">
        <v>494</v>
      </c>
      <c r="E538" s="104">
        <v>2600000</v>
      </c>
      <c r="F538" s="69"/>
      <c r="G538" s="69"/>
      <c r="H538" s="69"/>
      <c r="I538" s="69"/>
      <c r="J538" s="69"/>
      <c r="K538" s="69"/>
      <c r="L538" s="69"/>
      <c r="M538" s="69"/>
      <c r="N538" s="104">
        <v>2600000</v>
      </c>
      <c r="O538" s="96" t="s">
        <v>1259</v>
      </c>
      <c r="P538" s="110">
        <f t="shared" si="11"/>
        <v>0</v>
      </c>
      <c r="Q538" s="69"/>
      <c r="R538" s="109"/>
      <c r="S538" s="69"/>
      <c r="T538" s="69"/>
      <c r="U538" s="69"/>
      <c r="V538" t="s">
        <v>27</v>
      </c>
    </row>
    <row r="539" spans="1:22" s="123" customFormat="1" ht="15" customHeight="1" x14ac:dyDescent="0.25">
      <c r="A539" s="69">
        <v>624</v>
      </c>
      <c r="B539" s="35" t="s">
        <v>1289</v>
      </c>
      <c r="C539" s="69" t="s">
        <v>49</v>
      </c>
      <c r="D539" s="69" t="s">
        <v>160</v>
      </c>
      <c r="E539" s="104">
        <v>8415000</v>
      </c>
      <c r="F539" s="109"/>
      <c r="G539" s="69"/>
      <c r="H539" s="109">
        <v>2103750</v>
      </c>
      <c r="I539" s="102" t="s">
        <v>487</v>
      </c>
      <c r="J539" s="69"/>
      <c r="K539" s="69"/>
      <c r="L539" s="69"/>
      <c r="M539" s="69"/>
      <c r="N539" s="69"/>
      <c r="O539" s="69"/>
      <c r="P539" s="110">
        <f t="shared" si="11"/>
        <v>6311250</v>
      </c>
      <c r="Q539" s="69" t="s">
        <v>26</v>
      </c>
      <c r="R539" s="109"/>
      <c r="S539" s="69"/>
      <c r="T539" s="69"/>
      <c r="U539" s="69"/>
      <c r="V539" t="s">
        <v>27</v>
      </c>
    </row>
    <row r="540" spans="1:22" s="123" customFormat="1" ht="15" customHeight="1" x14ac:dyDescent="0.25">
      <c r="A540" s="69">
        <v>666</v>
      </c>
      <c r="B540" s="35" t="s">
        <v>1290</v>
      </c>
      <c r="C540" s="69" t="s">
        <v>1291</v>
      </c>
      <c r="D540" s="69" t="s">
        <v>294</v>
      </c>
      <c r="E540" s="104">
        <v>8415000</v>
      </c>
      <c r="F540" s="109"/>
      <c r="G540" s="69"/>
      <c r="H540" s="69"/>
      <c r="I540" s="69"/>
      <c r="J540" s="109">
        <v>2103750</v>
      </c>
      <c r="K540" s="101" t="s">
        <v>51</v>
      </c>
      <c r="L540" s="69"/>
      <c r="M540" s="69"/>
      <c r="N540" s="69"/>
      <c r="O540" s="69"/>
      <c r="P540" s="110">
        <f t="shared" si="11"/>
        <v>6311250</v>
      </c>
      <c r="Q540" s="69" t="s">
        <v>26</v>
      </c>
      <c r="R540" s="109"/>
      <c r="S540" s="69"/>
      <c r="T540" s="69"/>
      <c r="U540" s="69"/>
      <c r="V540" t="s">
        <v>27</v>
      </c>
    </row>
    <row r="541" spans="1:22" s="123" customFormat="1" ht="15" customHeight="1" x14ac:dyDescent="0.25">
      <c r="A541" s="105">
        <v>667</v>
      </c>
      <c r="B541" s="105">
        <v>25808500135</v>
      </c>
      <c r="C541" s="105" t="s">
        <v>1292</v>
      </c>
      <c r="D541" s="105" t="s">
        <v>157</v>
      </c>
      <c r="E541" s="106">
        <v>8415000</v>
      </c>
      <c r="F541" s="106"/>
      <c r="G541" s="105"/>
      <c r="H541" s="105"/>
      <c r="I541" s="105"/>
      <c r="J541" s="106">
        <v>2103750</v>
      </c>
      <c r="K541" s="106" t="s">
        <v>51</v>
      </c>
      <c r="L541" s="105"/>
      <c r="M541" s="105"/>
      <c r="N541" s="105"/>
      <c r="O541" s="105"/>
      <c r="P541" s="117">
        <f t="shared" si="11"/>
        <v>6311250</v>
      </c>
      <c r="Q541" s="105" t="s">
        <v>26</v>
      </c>
      <c r="R541" s="109">
        <v>2103750</v>
      </c>
      <c r="S541" s="99" t="s">
        <v>36</v>
      </c>
      <c r="T541" s="110">
        <f>E541-F541-J541-N541-R541</f>
        <v>4207500</v>
      </c>
      <c r="U541" s="69"/>
      <c r="V541" t="s">
        <v>27</v>
      </c>
    </row>
    <row r="542" spans="1:22" s="123" customFormat="1" ht="15" customHeight="1" x14ac:dyDescent="0.25">
      <c r="A542" s="69">
        <v>668</v>
      </c>
      <c r="B542" s="35" t="s">
        <v>1293</v>
      </c>
      <c r="C542" s="69" t="s">
        <v>1294</v>
      </c>
      <c r="D542" s="69" t="s">
        <v>239</v>
      </c>
      <c r="E542" s="104">
        <v>8415000</v>
      </c>
      <c r="F542" s="109"/>
      <c r="G542" s="69"/>
      <c r="H542" s="69"/>
      <c r="I542" s="69"/>
      <c r="J542" s="109">
        <v>2103750</v>
      </c>
      <c r="K542" s="101" t="s">
        <v>51</v>
      </c>
      <c r="L542" s="69"/>
      <c r="M542" s="69"/>
      <c r="N542" s="69"/>
      <c r="O542" s="35"/>
      <c r="P542" s="110">
        <f t="shared" si="11"/>
        <v>6311250</v>
      </c>
      <c r="Q542" s="69" t="s">
        <v>26</v>
      </c>
      <c r="R542" s="109"/>
      <c r="S542" s="69"/>
      <c r="T542" s="69"/>
      <c r="U542" s="69"/>
      <c r="V542" t="s">
        <v>27</v>
      </c>
    </row>
    <row r="543" spans="1:22" s="123" customFormat="1" ht="15" customHeight="1" x14ac:dyDescent="0.25">
      <c r="A543" s="69">
        <v>670</v>
      </c>
      <c r="B543" s="35" t="s">
        <v>1295</v>
      </c>
      <c r="C543" s="69" t="s">
        <v>87</v>
      </c>
      <c r="D543" s="69" t="s">
        <v>83</v>
      </c>
      <c r="E543" s="104">
        <v>8415000</v>
      </c>
      <c r="F543" s="109"/>
      <c r="G543" s="69"/>
      <c r="H543" s="69"/>
      <c r="I543" s="69"/>
      <c r="J543" s="109">
        <v>2103750</v>
      </c>
      <c r="K543" s="98" t="s">
        <v>35</v>
      </c>
      <c r="L543" s="69"/>
      <c r="M543" s="69"/>
      <c r="N543" s="69"/>
      <c r="O543" s="69"/>
      <c r="P543" s="110">
        <f t="shared" si="11"/>
        <v>6311250</v>
      </c>
      <c r="Q543" s="69" t="s">
        <v>26</v>
      </c>
      <c r="R543" s="109"/>
      <c r="S543" s="69"/>
      <c r="T543" s="69"/>
      <c r="U543" s="69"/>
      <c r="V543" t="s">
        <v>27</v>
      </c>
    </row>
    <row r="544" spans="1:22" s="123" customFormat="1" ht="15" customHeight="1" x14ac:dyDescent="0.25">
      <c r="A544" s="69">
        <v>21</v>
      </c>
      <c r="B544" s="35" t="s">
        <v>1296</v>
      </c>
      <c r="C544" s="69" t="s">
        <v>1297</v>
      </c>
      <c r="D544" s="69" t="s">
        <v>160</v>
      </c>
      <c r="E544" s="104">
        <v>8415000</v>
      </c>
      <c r="F544" s="109">
        <v>2103750</v>
      </c>
      <c r="G544" s="96" t="s">
        <v>132</v>
      </c>
      <c r="H544" s="69"/>
      <c r="I544" s="69"/>
      <c r="J544" s="109">
        <v>2103750</v>
      </c>
      <c r="K544" s="96" t="s">
        <v>873</v>
      </c>
      <c r="L544" s="69"/>
      <c r="M544" s="69"/>
      <c r="N544" s="69"/>
      <c r="O544" s="69"/>
      <c r="P544" s="110">
        <f t="shared" si="11"/>
        <v>4207500</v>
      </c>
      <c r="Q544" s="69" t="s">
        <v>26</v>
      </c>
      <c r="R544" s="109"/>
      <c r="S544" s="69"/>
      <c r="T544" s="69"/>
      <c r="U544" s="69"/>
      <c r="V544" t="s">
        <v>27</v>
      </c>
    </row>
    <row r="545" spans="1:22" s="123" customFormat="1" ht="15" customHeight="1" x14ac:dyDescent="0.25">
      <c r="A545" s="69">
        <v>25</v>
      </c>
      <c r="B545" s="35" t="s">
        <v>1298</v>
      </c>
      <c r="C545" s="69" t="s">
        <v>1299</v>
      </c>
      <c r="D545" s="69" t="s">
        <v>392</v>
      </c>
      <c r="E545" s="104">
        <v>8415000</v>
      </c>
      <c r="F545" s="109">
        <v>2103750</v>
      </c>
      <c r="G545" s="96" t="s">
        <v>132</v>
      </c>
      <c r="H545" s="69"/>
      <c r="I545" s="69"/>
      <c r="J545" s="109">
        <v>2103750</v>
      </c>
      <c r="K545" s="96" t="s">
        <v>133</v>
      </c>
      <c r="L545" s="69"/>
      <c r="M545" s="69"/>
      <c r="N545" s="69"/>
      <c r="O545" s="69"/>
      <c r="P545" s="110">
        <f t="shared" si="11"/>
        <v>4207500</v>
      </c>
      <c r="Q545" s="69" t="s">
        <v>26</v>
      </c>
      <c r="R545" s="109"/>
      <c r="S545" s="69"/>
      <c r="T545" s="69"/>
      <c r="U545" s="69"/>
      <c r="V545" t="s">
        <v>27</v>
      </c>
    </row>
    <row r="546" spans="1:22" s="123" customFormat="1" ht="15" customHeight="1" x14ac:dyDescent="0.25">
      <c r="A546" s="69">
        <v>26</v>
      </c>
      <c r="B546" s="35" t="s">
        <v>1300</v>
      </c>
      <c r="C546" s="69" t="s">
        <v>1301</v>
      </c>
      <c r="D546" s="69" t="s">
        <v>207</v>
      </c>
      <c r="E546" s="104">
        <v>8415000</v>
      </c>
      <c r="F546" s="109">
        <v>2103750</v>
      </c>
      <c r="G546" s="96" t="s">
        <v>132</v>
      </c>
      <c r="H546" s="69"/>
      <c r="I546" s="69"/>
      <c r="J546" s="109">
        <v>2103750</v>
      </c>
      <c r="K546" s="102" t="s">
        <v>247</v>
      </c>
      <c r="L546" s="69"/>
      <c r="M546" s="69"/>
      <c r="N546" s="69"/>
      <c r="O546" s="69"/>
      <c r="P546" s="110">
        <f t="shared" si="11"/>
        <v>4207500</v>
      </c>
      <c r="Q546" s="69" t="s">
        <v>26</v>
      </c>
      <c r="R546" s="109"/>
      <c r="S546" s="69"/>
      <c r="T546" s="69"/>
      <c r="U546" s="69"/>
      <c r="V546" t="s">
        <v>27</v>
      </c>
    </row>
    <row r="547" spans="1:22" s="123" customFormat="1" ht="15" customHeight="1" x14ac:dyDescent="0.25">
      <c r="A547" s="69">
        <v>89</v>
      </c>
      <c r="B547" s="35" t="s">
        <v>1302</v>
      </c>
      <c r="C547" s="69" t="s">
        <v>1303</v>
      </c>
      <c r="D547" s="69" t="s">
        <v>821</v>
      </c>
      <c r="E547" s="104">
        <v>8415000</v>
      </c>
      <c r="F547" s="109">
        <v>2103750</v>
      </c>
      <c r="G547" s="96" t="s">
        <v>262</v>
      </c>
      <c r="H547" s="69"/>
      <c r="I547" s="69"/>
      <c r="J547" s="109">
        <v>2103750</v>
      </c>
      <c r="K547" s="96" t="s">
        <v>793</v>
      </c>
      <c r="L547" s="69"/>
      <c r="M547" s="69"/>
      <c r="N547" s="69"/>
      <c r="O547" s="69"/>
      <c r="P547" s="110">
        <f t="shared" si="11"/>
        <v>4207500</v>
      </c>
      <c r="Q547" s="69" t="s">
        <v>26</v>
      </c>
      <c r="R547" s="109"/>
      <c r="S547" s="69"/>
      <c r="T547" s="69"/>
      <c r="U547" s="69"/>
      <c r="V547" t="s">
        <v>27</v>
      </c>
    </row>
    <row r="548" spans="1:22" s="123" customFormat="1" ht="15" customHeight="1" x14ac:dyDescent="0.25">
      <c r="A548" s="69">
        <v>90</v>
      </c>
      <c r="B548" s="35" t="s">
        <v>1304</v>
      </c>
      <c r="C548" s="69" t="s">
        <v>1305</v>
      </c>
      <c r="D548" s="69" t="s">
        <v>1306</v>
      </c>
      <c r="E548" s="104">
        <v>8415000</v>
      </c>
      <c r="F548" s="109">
        <v>2103750</v>
      </c>
      <c r="G548" s="96" t="s">
        <v>262</v>
      </c>
      <c r="H548" s="69"/>
      <c r="I548" s="69"/>
      <c r="J548" s="109">
        <v>2103750</v>
      </c>
      <c r="K548" s="102" t="s">
        <v>263</v>
      </c>
      <c r="L548" s="69"/>
      <c r="M548" s="69"/>
      <c r="N548" s="69"/>
      <c r="O548" s="69"/>
      <c r="P548" s="110">
        <f t="shared" si="11"/>
        <v>4207500</v>
      </c>
      <c r="Q548" s="69" t="s">
        <v>26</v>
      </c>
      <c r="R548" s="109"/>
      <c r="S548" s="69"/>
      <c r="T548" s="69"/>
      <c r="U548" s="69"/>
      <c r="V548" t="s">
        <v>27</v>
      </c>
    </row>
    <row r="549" spans="1:22" s="123" customFormat="1" ht="15" customHeight="1" x14ac:dyDescent="0.25">
      <c r="A549" s="69">
        <v>97</v>
      </c>
      <c r="B549" s="35" t="s">
        <v>1307</v>
      </c>
      <c r="C549" s="69" t="s">
        <v>1308</v>
      </c>
      <c r="D549" s="69" t="s">
        <v>138</v>
      </c>
      <c r="E549" s="104">
        <v>8415000</v>
      </c>
      <c r="F549" s="109">
        <v>2103750</v>
      </c>
      <c r="G549" s="102" t="s">
        <v>373</v>
      </c>
      <c r="H549" s="69"/>
      <c r="I549" s="69"/>
      <c r="J549" s="109">
        <v>2103750</v>
      </c>
      <c r="K549" s="96" t="s">
        <v>296</v>
      </c>
      <c r="L549" s="69"/>
      <c r="M549" s="69"/>
      <c r="N549" s="69"/>
      <c r="O549" s="69"/>
      <c r="P549" s="110">
        <f t="shared" si="11"/>
        <v>4207500</v>
      </c>
      <c r="Q549" s="69" t="s">
        <v>26</v>
      </c>
      <c r="R549" s="109"/>
      <c r="S549" s="69"/>
      <c r="T549" s="69"/>
      <c r="U549" s="69"/>
      <c r="V549" t="s">
        <v>27</v>
      </c>
    </row>
    <row r="550" spans="1:22" s="123" customFormat="1" ht="15" customHeight="1" x14ac:dyDescent="0.25">
      <c r="A550" s="69">
        <v>182</v>
      </c>
      <c r="B550" s="35" t="s">
        <v>1309</v>
      </c>
      <c r="C550" s="69" t="s">
        <v>38</v>
      </c>
      <c r="D550" s="69" t="s">
        <v>1050</v>
      </c>
      <c r="E550" s="104">
        <v>8415000</v>
      </c>
      <c r="F550" s="109">
        <v>2103750</v>
      </c>
      <c r="G550" s="96" t="s">
        <v>31</v>
      </c>
      <c r="H550" s="69"/>
      <c r="I550" s="69"/>
      <c r="J550" s="109">
        <v>2103750</v>
      </c>
      <c r="K550" s="102" t="s">
        <v>314</v>
      </c>
      <c r="L550" s="69"/>
      <c r="M550" s="69"/>
      <c r="N550" s="69"/>
      <c r="O550" s="69"/>
      <c r="P550" s="110">
        <f t="shared" si="11"/>
        <v>4207500</v>
      </c>
      <c r="Q550" s="69" t="s">
        <v>26</v>
      </c>
      <c r="R550" s="109"/>
      <c r="S550" s="69"/>
      <c r="T550" s="69"/>
      <c r="U550" s="69"/>
      <c r="V550" t="s">
        <v>27</v>
      </c>
    </row>
    <row r="551" spans="1:22" s="123" customFormat="1" ht="15" customHeight="1" x14ac:dyDescent="0.25">
      <c r="A551" s="69">
        <v>195</v>
      </c>
      <c r="B551" s="35" t="s">
        <v>1310</v>
      </c>
      <c r="C551" s="69" t="s">
        <v>1311</v>
      </c>
      <c r="D551" s="69" t="s">
        <v>867</v>
      </c>
      <c r="E551" s="104">
        <v>8415000</v>
      </c>
      <c r="F551" s="109">
        <v>2103750</v>
      </c>
      <c r="G551" s="102" t="s">
        <v>276</v>
      </c>
      <c r="H551" s="69"/>
      <c r="I551" s="69"/>
      <c r="J551" s="109">
        <v>2103750</v>
      </c>
      <c r="K551" s="102" t="s">
        <v>263</v>
      </c>
      <c r="L551" s="69"/>
      <c r="M551" s="69"/>
      <c r="N551" s="69"/>
      <c r="O551" s="69"/>
      <c r="P551" s="110">
        <f t="shared" si="11"/>
        <v>4207500</v>
      </c>
      <c r="Q551" s="69" t="s">
        <v>26</v>
      </c>
      <c r="R551" s="109"/>
      <c r="S551" s="69"/>
      <c r="T551" s="69"/>
      <c r="U551" s="69"/>
      <c r="V551" t="s">
        <v>27</v>
      </c>
    </row>
    <row r="552" spans="1:22" s="123" customFormat="1" ht="15" customHeight="1" x14ac:dyDescent="0.25">
      <c r="A552" s="69">
        <v>203</v>
      </c>
      <c r="B552" s="35" t="s">
        <v>1312</v>
      </c>
      <c r="C552" s="69" t="s">
        <v>526</v>
      </c>
      <c r="D552" s="69" t="s">
        <v>421</v>
      </c>
      <c r="E552" s="104">
        <v>8415000</v>
      </c>
      <c r="F552" s="109">
        <v>2103750</v>
      </c>
      <c r="G552" s="102" t="s">
        <v>276</v>
      </c>
      <c r="H552" s="69"/>
      <c r="I552" s="69"/>
      <c r="J552" s="109">
        <v>2103750</v>
      </c>
      <c r="K552" s="102" t="s">
        <v>258</v>
      </c>
      <c r="L552" s="69"/>
      <c r="M552" s="69"/>
      <c r="N552" s="69"/>
      <c r="O552" s="69"/>
      <c r="P552" s="110">
        <f t="shared" si="11"/>
        <v>4207500</v>
      </c>
      <c r="Q552" s="69" t="s">
        <v>26</v>
      </c>
      <c r="R552" s="109"/>
      <c r="S552" s="69"/>
      <c r="T552" s="69"/>
      <c r="U552" s="69"/>
      <c r="V552" t="s">
        <v>27</v>
      </c>
    </row>
    <row r="553" spans="1:22" s="123" customFormat="1" ht="15" customHeight="1" x14ac:dyDescent="0.25">
      <c r="A553" s="69">
        <v>225</v>
      </c>
      <c r="B553" s="35" t="s">
        <v>1313</v>
      </c>
      <c r="C553" s="69" t="s">
        <v>1314</v>
      </c>
      <c r="D553" s="69" t="s">
        <v>104</v>
      </c>
      <c r="E553" s="104">
        <v>8415000</v>
      </c>
      <c r="F553" s="109">
        <v>2103750</v>
      </c>
      <c r="G553" s="102" t="s">
        <v>79</v>
      </c>
      <c r="H553" s="69"/>
      <c r="I553" s="69"/>
      <c r="J553" s="109">
        <v>2103750</v>
      </c>
      <c r="K553" s="96" t="s">
        <v>381</v>
      </c>
      <c r="L553" s="69"/>
      <c r="M553" s="69"/>
      <c r="N553" s="69"/>
      <c r="O553" s="69"/>
      <c r="P553" s="110">
        <f t="shared" si="11"/>
        <v>4207500</v>
      </c>
      <c r="Q553" s="69" t="s">
        <v>26</v>
      </c>
      <c r="R553" s="109"/>
      <c r="S553" s="69"/>
      <c r="T553" s="69"/>
      <c r="U553" s="69"/>
      <c r="V553" t="s">
        <v>27</v>
      </c>
    </row>
    <row r="554" spans="1:22" s="123" customFormat="1" ht="15" customHeight="1" x14ac:dyDescent="0.25">
      <c r="A554" s="69">
        <v>228</v>
      </c>
      <c r="B554" s="35" t="s">
        <v>1315</v>
      </c>
      <c r="C554" s="69" t="s">
        <v>687</v>
      </c>
      <c r="D554" s="69" t="s">
        <v>1235</v>
      </c>
      <c r="E554" s="104">
        <v>8415000</v>
      </c>
      <c r="F554" s="109">
        <v>2103750</v>
      </c>
      <c r="G554" s="102" t="s">
        <v>79</v>
      </c>
      <c r="H554" s="69"/>
      <c r="I554" s="69"/>
      <c r="J554" s="109">
        <v>2103750</v>
      </c>
      <c r="K554" s="102" t="s">
        <v>263</v>
      </c>
      <c r="L554" s="69"/>
      <c r="M554" s="69"/>
      <c r="N554" s="69"/>
      <c r="O554" s="69"/>
      <c r="P554" s="110">
        <f t="shared" si="11"/>
        <v>4207500</v>
      </c>
      <c r="Q554" s="69" t="s">
        <v>26</v>
      </c>
      <c r="R554" s="109"/>
      <c r="S554" s="69"/>
      <c r="T554" s="69"/>
      <c r="U554" s="69"/>
      <c r="V554" t="s">
        <v>27</v>
      </c>
    </row>
    <row r="555" spans="1:22" s="123" customFormat="1" ht="15" customHeight="1" x14ac:dyDescent="0.25">
      <c r="A555" s="69">
        <v>238</v>
      </c>
      <c r="B555" s="35" t="s">
        <v>1316</v>
      </c>
      <c r="C555" s="69" t="s">
        <v>1317</v>
      </c>
      <c r="D555" s="69" t="s">
        <v>376</v>
      </c>
      <c r="E555" s="104">
        <v>8415000</v>
      </c>
      <c r="F555" s="109">
        <v>2103750</v>
      </c>
      <c r="G555" s="96" t="s">
        <v>464</v>
      </c>
      <c r="H555" s="69"/>
      <c r="I555" s="69"/>
      <c r="J555" s="109">
        <v>2103750</v>
      </c>
      <c r="K555" s="96" t="s">
        <v>296</v>
      </c>
      <c r="L555" s="69"/>
      <c r="M555" s="69"/>
      <c r="N555" s="69"/>
      <c r="O555" s="69"/>
      <c r="P555" s="110">
        <f t="shared" si="11"/>
        <v>4207500</v>
      </c>
      <c r="Q555" s="69" t="s">
        <v>26</v>
      </c>
      <c r="R555" s="109"/>
      <c r="S555" s="69"/>
      <c r="T555" s="69"/>
      <c r="U555" s="69"/>
      <c r="V555" t="s">
        <v>27</v>
      </c>
    </row>
    <row r="556" spans="1:22" s="123" customFormat="1" ht="15" customHeight="1" x14ac:dyDescent="0.25">
      <c r="A556" s="69">
        <v>247</v>
      </c>
      <c r="B556" s="35" t="s">
        <v>1318</v>
      </c>
      <c r="C556" s="69" t="s">
        <v>1319</v>
      </c>
      <c r="D556" s="69" t="s">
        <v>111</v>
      </c>
      <c r="E556" s="104">
        <v>8415000</v>
      </c>
      <c r="F556" s="109">
        <v>2103750</v>
      </c>
      <c r="G556" s="96" t="s">
        <v>464</v>
      </c>
      <c r="H556" s="69"/>
      <c r="I556" s="69"/>
      <c r="J556" s="109">
        <v>2103750</v>
      </c>
      <c r="K556" s="96" t="s">
        <v>24</v>
      </c>
      <c r="L556" s="69"/>
      <c r="M556" s="69"/>
      <c r="N556" s="69"/>
      <c r="O556" s="69"/>
      <c r="P556" s="110">
        <f t="shared" si="11"/>
        <v>4207500</v>
      </c>
      <c r="Q556" s="69" t="s">
        <v>26</v>
      </c>
      <c r="R556" s="109"/>
      <c r="S556" s="69"/>
      <c r="T556" s="69"/>
      <c r="U556" s="69"/>
      <c r="V556" t="s">
        <v>27</v>
      </c>
    </row>
    <row r="557" spans="1:22" s="123" customFormat="1" ht="15" customHeight="1" x14ac:dyDescent="0.25">
      <c r="A557" s="69">
        <v>260</v>
      </c>
      <c r="B557" s="35" t="s">
        <v>1320</v>
      </c>
      <c r="C557" s="69" t="s">
        <v>1321</v>
      </c>
      <c r="D557" s="69" t="s">
        <v>166</v>
      </c>
      <c r="E557" s="104">
        <v>8415000</v>
      </c>
      <c r="F557" s="109">
        <v>2103750</v>
      </c>
      <c r="G557" s="102" t="s">
        <v>436</v>
      </c>
      <c r="H557" s="69"/>
      <c r="I557" s="69"/>
      <c r="J557" s="109">
        <v>2103750</v>
      </c>
      <c r="K557" s="96" t="s">
        <v>67</v>
      </c>
      <c r="L557" s="69"/>
      <c r="M557" s="69"/>
      <c r="N557" s="69"/>
      <c r="O557" s="69"/>
      <c r="P557" s="110">
        <f t="shared" si="11"/>
        <v>4207500</v>
      </c>
      <c r="Q557" s="69" t="s">
        <v>26</v>
      </c>
      <c r="R557" s="109"/>
      <c r="S557" s="69"/>
      <c r="T557" s="69"/>
      <c r="U557" s="69"/>
      <c r="V557" t="s">
        <v>27</v>
      </c>
    </row>
    <row r="558" spans="1:22" s="123" customFormat="1" ht="15" customHeight="1" x14ac:dyDescent="0.25">
      <c r="A558" s="69">
        <v>277</v>
      </c>
      <c r="B558" s="35" t="s">
        <v>1322</v>
      </c>
      <c r="C558" s="69" t="s">
        <v>1323</v>
      </c>
      <c r="D558" s="69" t="s">
        <v>207</v>
      </c>
      <c r="E558" s="104">
        <v>8415000</v>
      </c>
      <c r="F558" s="109">
        <v>2103750</v>
      </c>
      <c r="G558" s="96" t="s">
        <v>471</v>
      </c>
      <c r="H558" s="69"/>
      <c r="I558" s="69"/>
      <c r="J558" s="109">
        <v>2103750</v>
      </c>
      <c r="K558" s="102" t="s">
        <v>648</v>
      </c>
      <c r="L558" s="69"/>
      <c r="M558" s="69"/>
      <c r="N558" s="69"/>
      <c r="O558" s="69"/>
      <c r="P558" s="110">
        <f t="shared" si="11"/>
        <v>4207500</v>
      </c>
      <c r="Q558" s="69" t="s">
        <v>26</v>
      </c>
      <c r="R558" s="109"/>
      <c r="S558" s="69"/>
      <c r="T558" s="69"/>
      <c r="U558" s="69"/>
      <c r="V558" t="s">
        <v>27</v>
      </c>
    </row>
    <row r="559" spans="1:22" s="123" customFormat="1" ht="15" customHeight="1" x14ac:dyDescent="0.25">
      <c r="A559" s="69">
        <v>295</v>
      </c>
      <c r="B559" s="35" t="s">
        <v>1324</v>
      </c>
      <c r="C559" s="69" t="s">
        <v>103</v>
      </c>
      <c r="D559" s="69" t="s">
        <v>341</v>
      </c>
      <c r="E559" s="104">
        <v>8415000</v>
      </c>
      <c r="F559" s="109">
        <v>2103750</v>
      </c>
      <c r="G559" s="102" t="s">
        <v>853</v>
      </c>
      <c r="H559" s="69"/>
      <c r="I559" s="69"/>
      <c r="J559" s="109">
        <v>2103750</v>
      </c>
      <c r="K559" s="96" t="s">
        <v>868</v>
      </c>
      <c r="L559" s="69"/>
      <c r="M559" s="69"/>
      <c r="N559" s="69"/>
      <c r="O559" s="69"/>
      <c r="P559" s="110">
        <f t="shared" ref="P559:P622" si="12">E559-F559-H559-J559-L559-N559</f>
        <v>4207500</v>
      </c>
      <c r="Q559" s="69" t="s">
        <v>26</v>
      </c>
      <c r="R559" s="109"/>
      <c r="S559" s="69"/>
      <c r="T559" s="69"/>
      <c r="U559" s="69"/>
      <c r="V559" t="s">
        <v>27</v>
      </c>
    </row>
    <row r="560" spans="1:22" s="123" customFormat="1" ht="15" customHeight="1" x14ac:dyDescent="0.25">
      <c r="A560" s="69">
        <v>304</v>
      </c>
      <c r="B560" s="35" t="s">
        <v>1325</v>
      </c>
      <c r="C560" s="69" t="s">
        <v>162</v>
      </c>
      <c r="D560" s="69" t="s">
        <v>120</v>
      </c>
      <c r="E560" s="104">
        <v>8415000</v>
      </c>
      <c r="F560" s="109">
        <v>2103750</v>
      </c>
      <c r="G560" s="96" t="s">
        <v>806</v>
      </c>
      <c r="H560" s="69"/>
      <c r="I560" s="69"/>
      <c r="J560" s="109">
        <v>2103750</v>
      </c>
      <c r="K560" s="96" t="s">
        <v>133</v>
      </c>
      <c r="L560" s="69"/>
      <c r="M560" s="69"/>
      <c r="N560" s="69"/>
      <c r="O560" s="69"/>
      <c r="P560" s="110">
        <f t="shared" si="12"/>
        <v>4207500</v>
      </c>
      <c r="Q560" s="69" t="s">
        <v>26</v>
      </c>
      <c r="R560" s="109"/>
      <c r="S560" s="69"/>
      <c r="T560" s="69"/>
      <c r="U560" s="69"/>
      <c r="V560" t="s">
        <v>27</v>
      </c>
    </row>
    <row r="561" spans="1:22" s="123" customFormat="1" ht="15" customHeight="1" x14ac:dyDescent="0.25">
      <c r="A561" s="69">
        <v>309</v>
      </c>
      <c r="B561" s="35" t="s">
        <v>1326</v>
      </c>
      <c r="C561" s="69" t="s">
        <v>1076</v>
      </c>
      <c r="D561" s="69" t="s">
        <v>647</v>
      </c>
      <c r="E561" s="104">
        <v>8415000</v>
      </c>
      <c r="F561" s="109">
        <v>2103750</v>
      </c>
      <c r="G561" s="96" t="s">
        <v>806</v>
      </c>
      <c r="H561" s="69"/>
      <c r="I561" s="69"/>
      <c r="J561" s="109">
        <v>2103750</v>
      </c>
      <c r="K561" s="96" t="s">
        <v>868</v>
      </c>
      <c r="L561" s="69"/>
      <c r="M561" s="69"/>
      <c r="N561" s="69"/>
      <c r="O561" s="69"/>
      <c r="P561" s="110">
        <f t="shared" si="12"/>
        <v>4207500</v>
      </c>
      <c r="Q561" s="69" t="s">
        <v>26</v>
      </c>
      <c r="R561" s="109"/>
      <c r="S561" s="69"/>
      <c r="T561" s="69"/>
      <c r="U561" s="69"/>
      <c r="V561" t="s">
        <v>27</v>
      </c>
    </row>
    <row r="562" spans="1:22" s="123" customFormat="1" ht="15" customHeight="1" x14ac:dyDescent="0.25">
      <c r="A562" s="69">
        <v>315</v>
      </c>
      <c r="B562" s="35" t="s">
        <v>1327</v>
      </c>
      <c r="C562" s="69" t="s">
        <v>585</v>
      </c>
      <c r="D562" s="69" t="s">
        <v>157</v>
      </c>
      <c r="E562" s="104">
        <v>8415000</v>
      </c>
      <c r="F562" s="109">
        <v>2103750</v>
      </c>
      <c r="G562" s="96" t="s">
        <v>806</v>
      </c>
      <c r="H562" s="69"/>
      <c r="I562" s="69"/>
      <c r="J562" s="109">
        <v>2103750</v>
      </c>
      <c r="K562" s="102" t="s">
        <v>823</v>
      </c>
      <c r="L562" s="69"/>
      <c r="M562" s="69"/>
      <c r="N562" s="69"/>
      <c r="O562" s="69"/>
      <c r="P562" s="110">
        <f t="shared" si="12"/>
        <v>4207500</v>
      </c>
      <c r="Q562" s="69" t="s">
        <v>26</v>
      </c>
      <c r="R562" s="109">
        <v>2103750</v>
      </c>
      <c r="S562" s="100" t="s">
        <v>113</v>
      </c>
      <c r="T562" s="110">
        <f>E562-F562-J562-N562-R562</f>
        <v>2103750</v>
      </c>
      <c r="U562" s="69"/>
      <c r="V562" t="s">
        <v>27</v>
      </c>
    </row>
    <row r="563" spans="1:22" s="123" customFormat="1" ht="15" customHeight="1" x14ac:dyDescent="0.25">
      <c r="A563" s="69">
        <v>316</v>
      </c>
      <c r="B563" s="35" t="s">
        <v>1328</v>
      </c>
      <c r="C563" s="69" t="s">
        <v>1329</v>
      </c>
      <c r="D563" s="69" t="s">
        <v>1330</v>
      </c>
      <c r="E563" s="104">
        <v>8415000</v>
      </c>
      <c r="F563" s="109">
        <v>2103750</v>
      </c>
      <c r="G563" s="96" t="s">
        <v>806</v>
      </c>
      <c r="H563" s="69"/>
      <c r="I563" s="69"/>
      <c r="J563" s="109">
        <v>2103750</v>
      </c>
      <c r="K563" s="96" t="s">
        <v>873</v>
      </c>
      <c r="L563" s="69"/>
      <c r="M563" s="69"/>
      <c r="N563" s="69"/>
      <c r="O563" s="69"/>
      <c r="P563" s="110">
        <f t="shared" si="12"/>
        <v>4207500</v>
      </c>
      <c r="Q563" s="69" t="s">
        <v>26</v>
      </c>
      <c r="R563" s="109">
        <v>2103750</v>
      </c>
      <c r="S563" s="100" t="s">
        <v>40</v>
      </c>
      <c r="T563" s="110">
        <f>E563-F563-J563-R563</f>
        <v>2103750</v>
      </c>
      <c r="U563" s="69"/>
      <c r="V563" t="s">
        <v>27</v>
      </c>
    </row>
    <row r="564" spans="1:22" s="123" customFormat="1" ht="15" customHeight="1" x14ac:dyDescent="0.25">
      <c r="A564" s="69">
        <v>321</v>
      </c>
      <c r="B564" s="35" t="s">
        <v>1331</v>
      </c>
      <c r="C564" s="69" t="s">
        <v>1332</v>
      </c>
      <c r="D564" s="69" t="s">
        <v>160</v>
      </c>
      <c r="E564" s="104">
        <v>8415000</v>
      </c>
      <c r="F564" s="109">
        <v>2103750</v>
      </c>
      <c r="G564" s="102" t="s">
        <v>564</v>
      </c>
      <c r="H564" s="69"/>
      <c r="I564" s="69"/>
      <c r="J564" s="109">
        <v>2103750</v>
      </c>
      <c r="K564" s="96" t="s">
        <v>868</v>
      </c>
      <c r="L564" s="69"/>
      <c r="M564" s="69"/>
      <c r="N564" s="69"/>
      <c r="O564" s="69"/>
      <c r="P564" s="110">
        <f t="shared" si="12"/>
        <v>4207500</v>
      </c>
      <c r="Q564" s="69" t="s">
        <v>26</v>
      </c>
      <c r="R564" s="109"/>
      <c r="S564" s="69"/>
      <c r="T564" s="69"/>
      <c r="U564" s="69"/>
      <c r="V564" t="s">
        <v>27</v>
      </c>
    </row>
    <row r="565" spans="1:22" s="123" customFormat="1" ht="15" customHeight="1" x14ac:dyDescent="0.25">
      <c r="A565" s="69">
        <v>327</v>
      </c>
      <c r="B565" s="35" t="s">
        <v>1333</v>
      </c>
      <c r="C565" s="69" t="s">
        <v>1205</v>
      </c>
      <c r="D565" s="69" t="s">
        <v>515</v>
      </c>
      <c r="E565" s="104">
        <v>8415000</v>
      </c>
      <c r="F565" s="109">
        <v>2103750</v>
      </c>
      <c r="G565" s="102" t="s">
        <v>564</v>
      </c>
      <c r="H565" s="69"/>
      <c r="I565" s="69"/>
      <c r="J565" s="109">
        <v>2103750</v>
      </c>
      <c r="K565" s="96" t="s">
        <v>873</v>
      </c>
      <c r="L565" s="69"/>
      <c r="M565" s="69"/>
      <c r="N565" s="69"/>
      <c r="O565" s="69"/>
      <c r="P565" s="110">
        <f t="shared" si="12"/>
        <v>4207500</v>
      </c>
      <c r="Q565" s="69" t="s">
        <v>26</v>
      </c>
      <c r="R565" s="109"/>
      <c r="S565" s="69"/>
      <c r="T565" s="69"/>
      <c r="U565" s="69"/>
      <c r="V565" t="s">
        <v>27</v>
      </c>
    </row>
    <row r="566" spans="1:22" s="123" customFormat="1" ht="15" customHeight="1" x14ac:dyDescent="0.25">
      <c r="A566" s="69">
        <v>328</v>
      </c>
      <c r="B566" s="35" t="s">
        <v>1334</v>
      </c>
      <c r="C566" s="69" t="s">
        <v>1335</v>
      </c>
      <c r="D566" s="69" t="s">
        <v>595</v>
      </c>
      <c r="E566" s="104">
        <v>8415000</v>
      </c>
      <c r="F566" s="109">
        <v>2103750</v>
      </c>
      <c r="G566" s="102" t="s">
        <v>564</v>
      </c>
      <c r="H566" s="69"/>
      <c r="I566" s="69"/>
      <c r="J566" s="109">
        <v>2103750</v>
      </c>
      <c r="K566" s="102" t="s">
        <v>648</v>
      </c>
      <c r="L566" s="69"/>
      <c r="M566" s="69"/>
      <c r="N566" s="69"/>
      <c r="O566" s="69"/>
      <c r="P566" s="110">
        <f t="shared" si="12"/>
        <v>4207500</v>
      </c>
      <c r="Q566" s="69" t="s">
        <v>26</v>
      </c>
      <c r="R566" s="109"/>
      <c r="S566" s="69"/>
      <c r="T566" s="69"/>
      <c r="U566" s="69"/>
      <c r="V566" t="s">
        <v>27</v>
      </c>
    </row>
    <row r="567" spans="1:22" s="123" customFormat="1" ht="15" customHeight="1" x14ac:dyDescent="0.25">
      <c r="A567" s="69">
        <v>335</v>
      </c>
      <c r="B567" s="35" t="s">
        <v>1336</v>
      </c>
      <c r="C567" s="69" t="s">
        <v>830</v>
      </c>
      <c r="D567" s="69" t="s">
        <v>50</v>
      </c>
      <c r="E567" s="104">
        <v>8415000</v>
      </c>
      <c r="F567" s="109">
        <v>2103750</v>
      </c>
      <c r="G567" s="102" t="s">
        <v>564</v>
      </c>
      <c r="H567" s="69"/>
      <c r="I567" s="69"/>
      <c r="J567" s="109">
        <v>2103750</v>
      </c>
      <c r="K567" s="96" t="s">
        <v>133</v>
      </c>
      <c r="L567" s="69"/>
      <c r="M567" s="69"/>
      <c r="N567" s="69"/>
      <c r="O567" s="69"/>
      <c r="P567" s="110">
        <f t="shared" si="12"/>
        <v>4207500</v>
      </c>
      <c r="Q567" s="69" t="s">
        <v>26</v>
      </c>
      <c r="R567" s="109"/>
      <c r="S567" s="69"/>
      <c r="T567" s="69"/>
      <c r="U567" s="69"/>
      <c r="V567" t="s">
        <v>27</v>
      </c>
    </row>
    <row r="568" spans="1:22" s="123" customFormat="1" ht="15" customHeight="1" x14ac:dyDescent="0.25">
      <c r="A568" s="69">
        <v>354</v>
      </c>
      <c r="B568" s="35" t="s">
        <v>1337</v>
      </c>
      <c r="C568" s="69" t="s">
        <v>1338</v>
      </c>
      <c r="D568" s="69" t="s">
        <v>138</v>
      </c>
      <c r="E568" s="104">
        <v>8415000</v>
      </c>
      <c r="F568" s="109">
        <v>2103750</v>
      </c>
      <c r="G568" s="96" t="s">
        <v>721</v>
      </c>
      <c r="H568" s="69"/>
      <c r="I568" s="69"/>
      <c r="J568" s="109">
        <v>2103750</v>
      </c>
      <c r="K568" s="96" t="s">
        <v>793</v>
      </c>
      <c r="L568" s="69"/>
      <c r="M568" s="69"/>
      <c r="N568" s="69"/>
      <c r="O568" s="69"/>
      <c r="P568" s="110">
        <f t="shared" si="12"/>
        <v>4207500</v>
      </c>
      <c r="Q568" s="69" t="s">
        <v>26</v>
      </c>
      <c r="R568" s="109"/>
      <c r="S568" s="69"/>
      <c r="T568" s="69"/>
      <c r="U568" s="69"/>
      <c r="V568" t="s">
        <v>27</v>
      </c>
    </row>
    <row r="569" spans="1:22" s="123" customFormat="1" ht="15" customHeight="1" x14ac:dyDescent="0.25">
      <c r="A569" s="69">
        <v>373</v>
      </c>
      <c r="B569" s="35" t="s">
        <v>1339</v>
      </c>
      <c r="C569" s="69" t="s">
        <v>1340</v>
      </c>
      <c r="D569" s="69" t="s">
        <v>185</v>
      </c>
      <c r="E569" s="104">
        <v>8415000</v>
      </c>
      <c r="F569" s="109">
        <v>2103750</v>
      </c>
      <c r="G569" s="102" t="s">
        <v>328</v>
      </c>
      <c r="H569" s="69"/>
      <c r="I569" s="69"/>
      <c r="J569" s="109">
        <v>2103750</v>
      </c>
      <c r="K569" s="96" t="s">
        <v>873</v>
      </c>
      <c r="L569" s="69"/>
      <c r="M569" s="69"/>
      <c r="N569" s="69"/>
      <c r="O569" s="69"/>
      <c r="P569" s="110">
        <f t="shared" si="12"/>
        <v>4207500</v>
      </c>
      <c r="Q569" s="69" t="s">
        <v>26</v>
      </c>
      <c r="R569" s="109"/>
      <c r="S569" s="69"/>
      <c r="T569" s="69"/>
      <c r="U569" s="69"/>
      <c r="V569" t="s">
        <v>27</v>
      </c>
    </row>
    <row r="570" spans="1:22" s="123" customFormat="1" ht="15" customHeight="1" x14ac:dyDescent="0.25">
      <c r="A570" s="69">
        <v>393</v>
      </c>
      <c r="B570" s="35" t="s">
        <v>1341</v>
      </c>
      <c r="C570" s="69" t="s">
        <v>1342</v>
      </c>
      <c r="D570" s="69" t="s">
        <v>1015</v>
      </c>
      <c r="E570" s="104">
        <v>8415000</v>
      </c>
      <c r="F570" s="109">
        <v>2103750</v>
      </c>
      <c r="G570" s="96" t="s">
        <v>943</v>
      </c>
      <c r="H570" s="69"/>
      <c r="I570" s="69"/>
      <c r="J570" s="109">
        <v>2103750</v>
      </c>
      <c r="K570" s="102" t="s">
        <v>601</v>
      </c>
      <c r="L570" s="69"/>
      <c r="M570" s="69"/>
      <c r="N570" s="69"/>
      <c r="O570" s="69"/>
      <c r="P570" s="110">
        <f t="shared" si="12"/>
        <v>4207500</v>
      </c>
      <c r="Q570" s="69" t="s">
        <v>26</v>
      </c>
      <c r="R570" s="109"/>
      <c r="S570" s="69"/>
      <c r="T570" s="69"/>
      <c r="U570" s="69"/>
      <c r="V570" t="s">
        <v>27</v>
      </c>
    </row>
    <row r="571" spans="1:22" s="123" customFormat="1" ht="15" customHeight="1" x14ac:dyDescent="0.25">
      <c r="A571" s="69">
        <v>406</v>
      </c>
      <c r="B571" s="35" t="s">
        <v>1343</v>
      </c>
      <c r="C571" s="69" t="s">
        <v>1344</v>
      </c>
      <c r="D571" s="69" t="s">
        <v>311</v>
      </c>
      <c r="E571" s="104">
        <v>8415000</v>
      </c>
      <c r="F571" s="109">
        <v>2103750</v>
      </c>
      <c r="G571" s="102" t="s">
        <v>475</v>
      </c>
      <c r="H571" s="69"/>
      <c r="I571" s="69"/>
      <c r="J571" s="109">
        <v>2103750</v>
      </c>
      <c r="K571" s="96" t="s">
        <v>296</v>
      </c>
      <c r="L571" s="69"/>
      <c r="M571" s="69"/>
      <c r="N571" s="109">
        <v>2103750</v>
      </c>
      <c r="O571" s="102" t="s">
        <v>612</v>
      </c>
      <c r="P571" s="110">
        <f t="shared" si="12"/>
        <v>2103750</v>
      </c>
      <c r="Q571" s="69" t="s">
        <v>26</v>
      </c>
      <c r="R571" s="109"/>
      <c r="S571" s="69"/>
      <c r="T571" s="69"/>
      <c r="U571" s="69"/>
      <c r="V571" t="s">
        <v>27</v>
      </c>
    </row>
    <row r="572" spans="1:22" s="123" customFormat="1" ht="15" customHeight="1" x14ac:dyDescent="0.25">
      <c r="A572" s="69">
        <v>407</v>
      </c>
      <c r="B572" s="35" t="s">
        <v>1345</v>
      </c>
      <c r="C572" s="69" t="s">
        <v>687</v>
      </c>
      <c r="D572" s="69" t="s">
        <v>275</v>
      </c>
      <c r="E572" s="104">
        <v>8415000</v>
      </c>
      <c r="F572" s="109">
        <v>2103750</v>
      </c>
      <c r="G572" s="102" t="s">
        <v>475</v>
      </c>
      <c r="H572" s="69"/>
      <c r="I572" s="69"/>
      <c r="J572" s="109">
        <v>2103750</v>
      </c>
      <c r="K572" s="102" t="s">
        <v>601</v>
      </c>
      <c r="L572" s="69"/>
      <c r="M572" s="69"/>
      <c r="N572" s="69"/>
      <c r="O572" s="69"/>
      <c r="P572" s="110">
        <f t="shared" si="12"/>
        <v>4207500</v>
      </c>
      <c r="Q572" s="69" t="s">
        <v>26</v>
      </c>
      <c r="R572" s="109">
        <v>2103750</v>
      </c>
      <c r="S572" s="99" t="s">
        <v>244</v>
      </c>
      <c r="T572" s="110">
        <f>E572-F572-H572-J572-L572-R572</f>
        <v>2103750</v>
      </c>
      <c r="U572" s="69"/>
      <c r="V572" t="s">
        <v>27</v>
      </c>
    </row>
    <row r="573" spans="1:22" s="123" customFormat="1" ht="15" customHeight="1" x14ac:dyDescent="0.25">
      <c r="A573" s="69">
        <v>415</v>
      </c>
      <c r="B573" s="35" t="s">
        <v>1346</v>
      </c>
      <c r="C573" s="69" t="s">
        <v>1347</v>
      </c>
      <c r="D573" s="69" t="s">
        <v>842</v>
      </c>
      <c r="E573" s="104">
        <v>8415000</v>
      </c>
      <c r="F573" s="109">
        <v>2103750</v>
      </c>
      <c r="G573" s="96" t="s">
        <v>145</v>
      </c>
      <c r="H573" s="69"/>
      <c r="I573" s="69"/>
      <c r="J573" s="109">
        <v>2103750</v>
      </c>
      <c r="K573" s="96" t="s">
        <v>868</v>
      </c>
      <c r="L573" s="69"/>
      <c r="M573" s="69"/>
      <c r="N573" s="69"/>
      <c r="O573" s="69"/>
      <c r="P573" s="110">
        <f t="shared" si="12"/>
        <v>4207500</v>
      </c>
      <c r="Q573" s="69" t="s">
        <v>26</v>
      </c>
      <c r="R573" s="109"/>
      <c r="S573" s="69"/>
      <c r="T573" s="69"/>
      <c r="U573" s="69"/>
      <c r="V573" t="s">
        <v>27</v>
      </c>
    </row>
    <row r="574" spans="1:22" s="123" customFormat="1" ht="15" customHeight="1" x14ac:dyDescent="0.25">
      <c r="A574" s="69">
        <v>417</v>
      </c>
      <c r="B574" s="35" t="s">
        <v>1348</v>
      </c>
      <c r="C574" s="69" t="s">
        <v>1349</v>
      </c>
      <c r="D574" s="69" t="s">
        <v>484</v>
      </c>
      <c r="E574" s="104">
        <v>8415000</v>
      </c>
      <c r="F574" s="109">
        <v>2103750</v>
      </c>
      <c r="G574" s="96" t="s">
        <v>145</v>
      </c>
      <c r="H574" s="69"/>
      <c r="I574" s="69"/>
      <c r="J574" s="109">
        <v>2103750</v>
      </c>
      <c r="K574" s="102" t="s">
        <v>306</v>
      </c>
      <c r="L574" s="69"/>
      <c r="M574" s="69"/>
      <c r="N574" s="69"/>
      <c r="O574" s="69"/>
      <c r="P574" s="110">
        <f t="shared" si="12"/>
        <v>4207500</v>
      </c>
      <c r="Q574" s="69" t="s">
        <v>26</v>
      </c>
      <c r="R574" s="109"/>
      <c r="S574" s="69"/>
      <c r="T574" s="69"/>
      <c r="U574" s="69"/>
      <c r="V574" t="s">
        <v>27</v>
      </c>
    </row>
    <row r="575" spans="1:22" s="123" customFormat="1" ht="15" customHeight="1" x14ac:dyDescent="0.25">
      <c r="A575" s="69">
        <v>420</v>
      </c>
      <c r="B575" s="35" t="s">
        <v>1350</v>
      </c>
      <c r="C575" s="69" t="s">
        <v>1351</v>
      </c>
      <c r="D575" s="69" t="s">
        <v>484</v>
      </c>
      <c r="E575" s="104">
        <v>8415000</v>
      </c>
      <c r="F575" s="109">
        <v>2103750</v>
      </c>
      <c r="G575" s="96" t="s">
        <v>145</v>
      </c>
      <c r="H575" s="69"/>
      <c r="I575" s="69"/>
      <c r="J575" s="109">
        <v>2103750</v>
      </c>
      <c r="K575" s="96" t="s">
        <v>108</v>
      </c>
      <c r="L575" s="69"/>
      <c r="M575" s="69"/>
      <c r="N575" s="69"/>
      <c r="O575" s="69"/>
      <c r="P575" s="110">
        <f t="shared" si="12"/>
        <v>4207500</v>
      </c>
      <c r="Q575" s="69" t="s">
        <v>26</v>
      </c>
      <c r="R575" s="109"/>
      <c r="S575" s="69"/>
      <c r="T575" s="69"/>
      <c r="U575" s="69"/>
      <c r="V575" t="s">
        <v>27</v>
      </c>
    </row>
    <row r="576" spans="1:22" s="123" customFormat="1" ht="15" customHeight="1" x14ac:dyDescent="0.25">
      <c r="A576" s="69">
        <v>434</v>
      </c>
      <c r="B576" s="35" t="s">
        <v>1352</v>
      </c>
      <c r="C576" s="69" t="s">
        <v>1353</v>
      </c>
      <c r="D576" s="69" t="s">
        <v>1354</v>
      </c>
      <c r="E576" s="104">
        <v>8415000</v>
      </c>
      <c r="F576" s="109">
        <v>2103750</v>
      </c>
      <c r="G576" s="102" t="s">
        <v>479</v>
      </c>
      <c r="H576" s="69"/>
      <c r="I576" s="69"/>
      <c r="J576" s="109">
        <v>2103750</v>
      </c>
      <c r="K576" s="96" t="s">
        <v>389</v>
      </c>
      <c r="L576" s="69"/>
      <c r="M576" s="69"/>
      <c r="N576" s="69"/>
      <c r="O576" s="69"/>
      <c r="P576" s="110">
        <f t="shared" si="12"/>
        <v>4207500</v>
      </c>
      <c r="Q576" s="69" t="s">
        <v>26</v>
      </c>
      <c r="R576" s="109"/>
      <c r="S576" s="69"/>
      <c r="T576" s="69"/>
      <c r="U576" s="69"/>
      <c r="V576" t="s">
        <v>27</v>
      </c>
    </row>
    <row r="577" spans="1:22" ht="15" customHeight="1" x14ac:dyDescent="0.25">
      <c r="A577" s="69">
        <v>463</v>
      </c>
      <c r="B577" s="35" t="s">
        <v>1355</v>
      </c>
      <c r="C577" s="69" t="s">
        <v>1356</v>
      </c>
      <c r="D577" s="69" t="s">
        <v>1124</v>
      </c>
      <c r="E577" s="104">
        <v>8415000</v>
      </c>
      <c r="F577" s="109">
        <v>2103750</v>
      </c>
      <c r="G577" s="102" t="s">
        <v>822</v>
      </c>
      <c r="J577" s="109">
        <v>2103750</v>
      </c>
      <c r="K577" s="102" t="s">
        <v>112</v>
      </c>
      <c r="P577" s="110">
        <f t="shared" si="12"/>
        <v>4207500</v>
      </c>
      <c r="Q577" s="69" t="s">
        <v>26</v>
      </c>
      <c r="R577" s="109">
        <v>2103750</v>
      </c>
      <c r="S577" s="99" t="s">
        <v>287</v>
      </c>
      <c r="T577" s="110">
        <f>E577-F577-H577-J577-L577-N577-R577</f>
        <v>2103750</v>
      </c>
      <c r="V577" t="s">
        <v>27</v>
      </c>
    </row>
    <row r="578" spans="1:22" ht="15" customHeight="1" x14ac:dyDescent="0.25">
      <c r="A578" s="69">
        <v>493</v>
      </c>
      <c r="B578" s="35" t="s">
        <v>1357</v>
      </c>
      <c r="C578" s="69" t="s">
        <v>1358</v>
      </c>
      <c r="D578" s="69" t="s">
        <v>138</v>
      </c>
      <c r="E578" s="104">
        <v>8415000</v>
      </c>
      <c r="F578" s="109">
        <v>2103750</v>
      </c>
      <c r="G578" s="102" t="s">
        <v>833</v>
      </c>
      <c r="J578" s="109">
        <v>2103750</v>
      </c>
      <c r="K578" s="102" t="s">
        <v>823</v>
      </c>
      <c r="P578" s="110">
        <f t="shared" si="12"/>
        <v>4207500</v>
      </c>
      <c r="Q578" s="69" t="s">
        <v>26</v>
      </c>
      <c r="R578" s="109"/>
      <c r="V578" t="s">
        <v>27</v>
      </c>
    </row>
    <row r="579" spans="1:22" ht="15" customHeight="1" x14ac:dyDescent="0.25">
      <c r="A579" s="69">
        <v>536</v>
      </c>
      <c r="B579" s="35" t="s">
        <v>1359</v>
      </c>
      <c r="C579" s="69" t="s">
        <v>197</v>
      </c>
      <c r="D579" s="69" t="s">
        <v>1360</v>
      </c>
      <c r="E579" s="104">
        <v>8415000</v>
      </c>
      <c r="F579" s="109">
        <v>2103750</v>
      </c>
      <c r="G579" s="102" t="s">
        <v>332</v>
      </c>
      <c r="J579" s="109">
        <v>2103750</v>
      </c>
      <c r="K579" s="102" t="s">
        <v>314</v>
      </c>
      <c r="P579" s="110">
        <f t="shared" si="12"/>
        <v>4207500</v>
      </c>
      <c r="Q579" s="69" t="s">
        <v>26</v>
      </c>
      <c r="R579" s="109"/>
      <c r="V579" t="s">
        <v>27</v>
      </c>
    </row>
    <row r="580" spans="1:22" ht="15" customHeight="1" x14ac:dyDescent="0.25">
      <c r="A580" s="69">
        <v>550</v>
      </c>
      <c r="B580" s="35" t="s">
        <v>1361</v>
      </c>
      <c r="C580" s="69" t="s">
        <v>1362</v>
      </c>
      <c r="D580" s="69" t="s">
        <v>388</v>
      </c>
      <c r="E580" s="104">
        <v>8415000</v>
      </c>
      <c r="F580" s="109">
        <v>2103750</v>
      </c>
      <c r="G580" s="96" t="s">
        <v>482</v>
      </c>
      <c r="J580" s="109">
        <v>2103750</v>
      </c>
      <c r="K580" s="102" t="s">
        <v>85</v>
      </c>
      <c r="P580" s="110">
        <f t="shared" si="12"/>
        <v>4207500</v>
      </c>
      <c r="Q580" s="69" t="s">
        <v>26</v>
      </c>
      <c r="R580" s="109"/>
      <c r="V580" t="s">
        <v>27</v>
      </c>
    </row>
    <row r="581" spans="1:22" ht="15" customHeight="1" x14ac:dyDescent="0.25">
      <c r="A581" s="69">
        <v>565</v>
      </c>
      <c r="B581" s="35" t="s">
        <v>1363</v>
      </c>
      <c r="C581" s="69" t="s">
        <v>103</v>
      </c>
      <c r="D581" s="69" t="s">
        <v>54</v>
      </c>
      <c r="E581" s="104">
        <v>8415000</v>
      </c>
      <c r="F581" s="109">
        <v>2103750</v>
      </c>
      <c r="G581" s="102" t="s">
        <v>285</v>
      </c>
      <c r="J581" s="109">
        <v>2103750</v>
      </c>
      <c r="K581" s="96" t="s">
        <v>286</v>
      </c>
      <c r="N581" s="109">
        <v>2103750</v>
      </c>
      <c r="O581" s="102" t="s">
        <v>80</v>
      </c>
      <c r="P581" s="110">
        <f t="shared" si="12"/>
        <v>2103750</v>
      </c>
      <c r="Q581" s="69" t="s">
        <v>26</v>
      </c>
      <c r="R581" s="109"/>
      <c r="V581" t="s">
        <v>27</v>
      </c>
    </row>
    <row r="582" spans="1:22" ht="15" customHeight="1" x14ac:dyDescent="0.25">
      <c r="A582" s="69">
        <v>577</v>
      </c>
      <c r="B582" s="35" t="s">
        <v>1364</v>
      </c>
      <c r="C582" s="69" t="s">
        <v>1365</v>
      </c>
      <c r="D582" s="69" t="s">
        <v>207</v>
      </c>
      <c r="E582" s="104">
        <v>8415000</v>
      </c>
      <c r="F582" s="109">
        <v>2103750</v>
      </c>
      <c r="G582" s="96" t="s">
        <v>998</v>
      </c>
      <c r="J582" s="109">
        <v>2103750</v>
      </c>
      <c r="K582" s="96" t="s">
        <v>786</v>
      </c>
      <c r="P582" s="110">
        <f t="shared" si="12"/>
        <v>4207500</v>
      </c>
      <c r="Q582" s="69" t="s">
        <v>26</v>
      </c>
      <c r="R582" s="109"/>
      <c r="V582" t="s">
        <v>27</v>
      </c>
    </row>
    <row r="583" spans="1:22" ht="15" customHeight="1" x14ac:dyDescent="0.25">
      <c r="A583" s="69">
        <v>618</v>
      </c>
      <c r="B583" s="35" t="s">
        <v>1366</v>
      </c>
      <c r="C583" s="69" t="s">
        <v>100</v>
      </c>
      <c r="D583" s="69" t="s">
        <v>439</v>
      </c>
      <c r="E583" s="104">
        <v>9415000</v>
      </c>
      <c r="H583" s="109">
        <v>2103750</v>
      </c>
      <c r="I583" s="102" t="s">
        <v>487</v>
      </c>
      <c r="J583" s="109">
        <v>2103750</v>
      </c>
      <c r="K583" s="96" t="s">
        <v>24</v>
      </c>
      <c r="P583" s="110">
        <f t="shared" si="12"/>
        <v>5207500</v>
      </c>
      <c r="Q583" s="69" t="s">
        <v>26</v>
      </c>
      <c r="R583" s="109"/>
      <c r="V583" t="s">
        <v>27</v>
      </c>
    </row>
    <row r="584" spans="1:22" ht="15" customHeight="1" x14ac:dyDescent="0.25">
      <c r="A584" s="69">
        <v>638</v>
      </c>
      <c r="B584" s="35" t="s">
        <v>1367</v>
      </c>
      <c r="C584" s="69" t="s">
        <v>103</v>
      </c>
      <c r="D584" s="69" t="s">
        <v>1015</v>
      </c>
      <c r="E584" s="104">
        <v>8415000</v>
      </c>
      <c r="F584" s="109"/>
      <c r="H584" s="109">
        <v>2103750</v>
      </c>
      <c r="I584" s="96" t="s">
        <v>98</v>
      </c>
      <c r="J584" s="109">
        <v>2103750</v>
      </c>
      <c r="K584" s="102" t="s">
        <v>601</v>
      </c>
      <c r="P584" s="110">
        <f t="shared" si="12"/>
        <v>4207500</v>
      </c>
      <c r="Q584" s="69" t="s">
        <v>26</v>
      </c>
      <c r="R584" s="109"/>
      <c r="V584" t="s">
        <v>27</v>
      </c>
    </row>
    <row r="585" spans="1:22" ht="15" customHeight="1" x14ac:dyDescent="0.25">
      <c r="A585" s="69">
        <v>675</v>
      </c>
      <c r="B585" s="35" t="s">
        <v>1368</v>
      </c>
      <c r="C585" s="69" t="s">
        <v>269</v>
      </c>
      <c r="D585" s="69" t="s">
        <v>120</v>
      </c>
      <c r="E585" s="104">
        <v>7540000</v>
      </c>
      <c r="P585" s="110">
        <f t="shared" si="12"/>
        <v>7540000</v>
      </c>
      <c r="Q585" s="69" t="s">
        <v>26</v>
      </c>
      <c r="R585" s="109"/>
      <c r="V585" t="s">
        <v>27</v>
      </c>
    </row>
    <row r="586" spans="1:22" ht="15" customHeight="1" x14ac:dyDescent="0.25">
      <c r="A586" s="69">
        <v>690</v>
      </c>
      <c r="B586" s="35" t="s">
        <v>1369</v>
      </c>
      <c r="C586" s="96" t="s">
        <v>1370</v>
      </c>
      <c r="D586" s="96" t="s">
        <v>1371</v>
      </c>
      <c r="E586" s="104">
        <v>4940000</v>
      </c>
      <c r="K586" s="69" t="s">
        <v>177</v>
      </c>
      <c r="P586" s="110">
        <f t="shared" si="12"/>
        <v>4940000</v>
      </c>
      <c r="Q586" s="69" t="s">
        <v>26</v>
      </c>
      <c r="R586" s="109"/>
      <c r="V586" t="s">
        <v>27</v>
      </c>
    </row>
    <row r="587" spans="1:22" ht="15" customHeight="1" x14ac:dyDescent="0.25">
      <c r="A587" s="69">
        <v>13</v>
      </c>
      <c r="B587" s="35" t="s">
        <v>1372</v>
      </c>
      <c r="C587" s="69" t="s">
        <v>1373</v>
      </c>
      <c r="D587" s="69" t="s">
        <v>160</v>
      </c>
      <c r="E587" s="104">
        <v>4465000</v>
      </c>
      <c r="F587" s="109">
        <v>2232500</v>
      </c>
      <c r="G587" s="102" t="s">
        <v>226</v>
      </c>
      <c r="J587" s="109">
        <v>2232500</v>
      </c>
      <c r="K587" s="96" t="s">
        <v>133</v>
      </c>
      <c r="P587" s="110">
        <f t="shared" si="12"/>
        <v>0</v>
      </c>
      <c r="Q587" s="69" t="s">
        <v>26</v>
      </c>
      <c r="R587" s="109"/>
      <c r="V587" t="s">
        <v>27</v>
      </c>
    </row>
    <row r="588" spans="1:22" ht="15" customHeight="1" x14ac:dyDescent="0.25">
      <c r="A588" s="69">
        <v>14</v>
      </c>
      <c r="B588" s="35" t="s">
        <v>1374</v>
      </c>
      <c r="C588" s="69" t="s">
        <v>1375</v>
      </c>
      <c r="D588" s="69" t="s">
        <v>470</v>
      </c>
      <c r="E588" s="104">
        <v>4465000</v>
      </c>
      <c r="F588" s="109">
        <v>2232500</v>
      </c>
      <c r="G588" s="102" t="s">
        <v>226</v>
      </c>
      <c r="J588" s="109">
        <v>2232500</v>
      </c>
      <c r="K588" s="96" t="s">
        <v>296</v>
      </c>
      <c r="P588" s="110">
        <f t="shared" si="12"/>
        <v>0</v>
      </c>
      <c r="Q588" s="69" t="s">
        <v>26</v>
      </c>
      <c r="R588" s="109"/>
      <c r="V588" t="s">
        <v>27</v>
      </c>
    </row>
    <row r="589" spans="1:22" ht="15" customHeight="1" x14ac:dyDescent="0.25">
      <c r="A589" s="69">
        <v>15</v>
      </c>
      <c r="B589" s="35" t="s">
        <v>1376</v>
      </c>
      <c r="C589" s="69" t="s">
        <v>1377</v>
      </c>
      <c r="D589" s="69" t="s">
        <v>182</v>
      </c>
      <c r="E589" s="104">
        <v>4465000</v>
      </c>
      <c r="F589" s="109">
        <v>2232500</v>
      </c>
      <c r="G589" s="102" t="s">
        <v>226</v>
      </c>
      <c r="J589" s="109">
        <v>2232500</v>
      </c>
      <c r="K589" s="96" t="s">
        <v>117</v>
      </c>
      <c r="P589" s="110">
        <f t="shared" si="12"/>
        <v>0</v>
      </c>
      <c r="Q589" s="69" t="s">
        <v>26</v>
      </c>
      <c r="R589" s="109"/>
      <c r="V589" t="s">
        <v>27</v>
      </c>
    </row>
    <row r="590" spans="1:22" ht="15" customHeight="1" x14ac:dyDescent="0.25">
      <c r="A590" s="69">
        <v>16</v>
      </c>
      <c r="B590" s="35" t="s">
        <v>1378</v>
      </c>
      <c r="C590" s="69" t="s">
        <v>1379</v>
      </c>
      <c r="D590" s="69" t="s">
        <v>231</v>
      </c>
      <c r="E590" s="104">
        <v>2100000</v>
      </c>
      <c r="F590" s="109">
        <v>2100000</v>
      </c>
      <c r="G590" s="102" t="s">
        <v>226</v>
      </c>
      <c r="P590" s="110">
        <f t="shared" si="12"/>
        <v>0</v>
      </c>
      <c r="Q590" s="69" t="s">
        <v>26</v>
      </c>
      <c r="R590" s="109"/>
      <c r="V590" t="s">
        <v>27</v>
      </c>
    </row>
    <row r="591" spans="1:22" ht="15" customHeight="1" x14ac:dyDescent="0.25">
      <c r="A591" s="69">
        <v>19</v>
      </c>
      <c r="B591" s="35" t="s">
        <v>1380</v>
      </c>
      <c r="C591" s="69" t="s">
        <v>1381</v>
      </c>
      <c r="D591" s="69" t="s">
        <v>708</v>
      </c>
      <c r="E591" s="104">
        <v>8415000</v>
      </c>
      <c r="F591" s="109">
        <v>2103750</v>
      </c>
      <c r="G591" s="96" t="s">
        <v>132</v>
      </c>
      <c r="P591" s="110">
        <f t="shared" si="12"/>
        <v>6311250</v>
      </c>
      <c r="Q591" s="69" t="s">
        <v>26</v>
      </c>
      <c r="R591" s="109"/>
      <c r="V591" t="s">
        <v>27</v>
      </c>
    </row>
    <row r="592" spans="1:22" ht="15" customHeight="1" x14ac:dyDescent="0.25">
      <c r="A592" s="69">
        <v>24</v>
      </c>
      <c r="B592" s="35" t="s">
        <v>1382</v>
      </c>
      <c r="C592" s="35" t="s">
        <v>1383</v>
      </c>
      <c r="D592" s="35" t="s">
        <v>392</v>
      </c>
      <c r="E592" s="104">
        <v>8415000</v>
      </c>
      <c r="F592" s="109">
        <v>2103750</v>
      </c>
      <c r="G592" s="96" t="s">
        <v>132</v>
      </c>
      <c r="J592" s="109">
        <v>2103750</v>
      </c>
      <c r="K592" s="102" t="s">
        <v>272</v>
      </c>
      <c r="N592" s="104"/>
      <c r="O592" s="35"/>
      <c r="P592" s="110">
        <f t="shared" si="12"/>
        <v>4207500</v>
      </c>
      <c r="Q592" s="69" t="s">
        <v>26</v>
      </c>
      <c r="R592" s="109"/>
      <c r="V592" t="s">
        <v>27</v>
      </c>
    </row>
    <row r="593" spans="1:22" ht="15" customHeight="1" x14ac:dyDescent="0.25">
      <c r="A593" s="69">
        <v>32</v>
      </c>
      <c r="B593" s="35" t="s">
        <v>1384</v>
      </c>
      <c r="C593" s="69" t="s">
        <v>1385</v>
      </c>
      <c r="D593" s="69" t="s">
        <v>166</v>
      </c>
      <c r="E593" s="104">
        <v>4465000</v>
      </c>
      <c r="F593" s="109">
        <v>2232500</v>
      </c>
      <c r="G593" s="96" t="s">
        <v>132</v>
      </c>
      <c r="J593" s="109">
        <v>2232500</v>
      </c>
      <c r="K593" s="96" t="s">
        <v>67</v>
      </c>
      <c r="P593" s="110">
        <f t="shared" si="12"/>
        <v>0</v>
      </c>
      <c r="Q593" s="69" t="s">
        <v>26</v>
      </c>
      <c r="R593" s="109"/>
      <c r="V593" t="s">
        <v>27</v>
      </c>
    </row>
    <row r="594" spans="1:22" ht="15" customHeight="1" x14ac:dyDescent="0.25">
      <c r="A594" s="69">
        <v>47</v>
      </c>
      <c r="B594" s="35" t="s">
        <v>1386</v>
      </c>
      <c r="C594" s="69" t="s">
        <v>154</v>
      </c>
      <c r="D594" s="69" t="s">
        <v>1387</v>
      </c>
      <c r="E594" s="104">
        <v>4465000</v>
      </c>
      <c r="F594" s="109">
        <v>2232500</v>
      </c>
      <c r="G594" s="102" t="s">
        <v>243</v>
      </c>
      <c r="J594" s="110">
        <v>2232500</v>
      </c>
      <c r="K594" s="102" t="s">
        <v>348</v>
      </c>
      <c r="P594" s="110">
        <f t="shared" si="12"/>
        <v>0</v>
      </c>
      <c r="Q594" s="69" t="s">
        <v>26</v>
      </c>
      <c r="R594" s="109"/>
      <c r="V594" t="s">
        <v>27</v>
      </c>
    </row>
    <row r="595" spans="1:22" ht="15" customHeight="1" x14ac:dyDescent="0.25">
      <c r="A595" s="69">
        <v>57</v>
      </c>
      <c r="B595" s="35">
        <v>25808600109</v>
      </c>
      <c r="C595" s="69" t="s">
        <v>1388</v>
      </c>
      <c r="D595" s="69" t="s">
        <v>91</v>
      </c>
      <c r="E595" s="104">
        <v>8415000</v>
      </c>
      <c r="F595" s="109">
        <v>2103750</v>
      </c>
      <c r="G595" s="96" t="s">
        <v>253</v>
      </c>
      <c r="N595" s="109"/>
      <c r="O595" s="35"/>
      <c r="P595" s="110">
        <f t="shared" si="12"/>
        <v>6311250</v>
      </c>
      <c r="Q595" s="69" t="s">
        <v>26</v>
      </c>
      <c r="R595" s="109"/>
      <c r="V595" t="s">
        <v>27</v>
      </c>
    </row>
    <row r="596" spans="1:22" ht="15" customHeight="1" x14ac:dyDescent="0.25">
      <c r="A596" s="69">
        <v>61</v>
      </c>
      <c r="B596" s="35" t="s">
        <v>1389</v>
      </c>
      <c r="C596" s="69" t="s">
        <v>1090</v>
      </c>
      <c r="D596" s="69" t="s">
        <v>151</v>
      </c>
      <c r="E596" s="104">
        <v>4465000</v>
      </c>
      <c r="F596" s="109">
        <v>2232500</v>
      </c>
      <c r="G596" s="96" t="s">
        <v>253</v>
      </c>
      <c r="J596" s="109">
        <v>2232500</v>
      </c>
      <c r="K596" s="96" t="s">
        <v>381</v>
      </c>
      <c r="P596" s="110">
        <f t="shared" si="12"/>
        <v>0</v>
      </c>
      <c r="Q596" s="69" t="s">
        <v>26</v>
      </c>
      <c r="R596" s="109"/>
      <c r="V596" t="s">
        <v>27</v>
      </c>
    </row>
    <row r="597" spans="1:22" ht="15" customHeight="1" x14ac:dyDescent="0.25">
      <c r="A597" s="69">
        <v>62</v>
      </c>
      <c r="B597" s="35" t="s">
        <v>1390</v>
      </c>
      <c r="C597" s="69" t="s">
        <v>49</v>
      </c>
      <c r="D597" s="69" t="s">
        <v>182</v>
      </c>
      <c r="E597" s="104">
        <v>2100000</v>
      </c>
      <c r="F597" s="109">
        <v>2100000</v>
      </c>
      <c r="G597" s="96" t="s">
        <v>253</v>
      </c>
      <c r="K597" s="35"/>
      <c r="P597" s="110">
        <f t="shared" si="12"/>
        <v>0</v>
      </c>
      <c r="Q597" s="69" t="s">
        <v>26</v>
      </c>
      <c r="R597" s="109"/>
      <c r="V597" t="s">
        <v>27</v>
      </c>
    </row>
    <row r="598" spans="1:22" ht="15" customHeight="1" x14ac:dyDescent="0.25">
      <c r="A598" s="69">
        <v>74</v>
      </c>
      <c r="B598" s="35" t="s">
        <v>1391</v>
      </c>
      <c r="C598" s="35" t="s">
        <v>1392</v>
      </c>
      <c r="D598" s="35" t="s">
        <v>803</v>
      </c>
      <c r="E598" s="104">
        <v>5000000</v>
      </c>
      <c r="F598" s="109">
        <v>2232500</v>
      </c>
      <c r="G598" s="102" t="s">
        <v>257</v>
      </c>
      <c r="J598" s="109">
        <v>2232500</v>
      </c>
      <c r="K598" s="102" t="s">
        <v>263</v>
      </c>
      <c r="N598" s="35"/>
      <c r="O598" s="35"/>
      <c r="P598" s="116">
        <f t="shared" si="12"/>
        <v>535000</v>
      </c>
      <c r="Q598" s="35" t="s">
        <v>26</v>
      </c>
      <c r="R598" s="109"/>
      <c r="S598" s="35"/>
      <c r="T598" s="35"/>
      <c r="V598" t="s">
        <v>27</v>
      </c>
    </row>
    <row r="599" spans="1:22" ht="15" customHeight="1" x14ac:dyDescent="0.25">
      <c r="A599" s="69">
        <v>75</v>
      </c>
      <c r="B599" s="35" t="s">
        <v>1393</v>
      </c>
      <c r="C599" s="69" t="s">
        <v>400</v>
      </c>
      <c r="D599" s="69" t="s">
        <v>1394</v>
      </c>
      <c r="E599" s="104">
        <v>5000000</v>
      </c>
      <c r="F599" s="109">
        <v>2232500</v>
      </c>
      <c r="G599" s="102" t="s">
        <v>257</v>
      </c>
      <c r="J599" s="109">
        <v>2232500</v>
      </c>
      <c r="K599" s="102" t="s">
        <v>263</v>
      </c>
      <c r="P599" s="110">
        <f t="shared" si="12"/>
        <v>535000</v>
      </c>
      <c r="Q599" s="69" t="s">
        <v>26</v>
      </c>
      <c r="R599" s="109"/>
      <c r="V599" t="s">
        <v>27</v>
      </c>
    </row>
    <row r="600" spans="1:22" ht="15" customHeight="1" x14ac:dyDescent="0.25">
      <c r="A600" s="69">
        <v>76</v>
      </c>
      <c r="B600" s="35" t="s">
        <v>1395</v>
      </c>
      <c r="C600" s="69" t="s">
        <v>1396</v>
      </c>
      <c r="D600" s="69" t="s">
        <v>384</v>
      </c>
      <c r="E600" s="104">
        <v>4465000</v>
      </c>
      <c r="F600" s="109">
        <v>2232500</v>
      </c>
      <c r="G600" s="102" t="s">
        <v>257</v>
      </c>
      <c r="J600" s="110">
        <v>2232500</v>
      </c>
      <c r="K600" s="96" t="s">
        <v>24</v>
      </c>
      <c r="P600" s="110">
        <f t="shared" si="12"/>
        <v>0</v>
      </c>
      <c r="Q600" s="69" t="s">
        <v>26</v>
      </c>
      <c r="R600" s="109"/>
      <c r="V600" t="s">
        <v>27</v>
      </c>
    </row>
    <row r="601" spans="1:22" ht="15" customHeight="1" x14ac:dyDescent="0.25">
      <c r="A601" s="69">
        <v>77</v>
      </c>
      <c r="B601" s="35" t="s">
        <v>1397</v>
      </c>
      <c r="C601" s="69" t="s">
        <v>1398</v>
      </c>
      <c r="D601" s="69" t="s">
        <v>392</v>
      </c>
      <c r="E601" s="104">
        <v>4465000</v>
      </c>
      <c r="F601" s="109">
        <v>2232500</v>
      </c>
      <c r="G601" s="102" t="s">
        <v>257</v>
      </c>
      <c r="J601" s="109">
        <v>2232500</v>
      </c>
      <c r="K601" s="102" t="s">
        <v>258</v>
      </c>
      <c r="P601" s="110">
        <f t="shared" si="12"/>
        <v>0</v>
      </c>
      <c r="Q601" s="69" t="s">
        <v>26</v>
      </c>
      <c r="R601" s="109"/>
      <c r="V601" t="s">
        <v>27</v>
      </c>
    </row>
    <row r="602" spans="1:22" ht="15" customHeight="1" x14ac:dyDescent="0.25">
      <c r="A602" s="69">
        <v>78</v>
      </c>
      <c r="B602" s="35" t="s">
        <v>1399</v>
      </c>
      <c r="C602" s="69" t="s">
        <v>1400</v>
      </c>
      <c r="D602" s="69" t="s">
        <v>239</v>
      </c>
      <c r="E602" s="104">
        <v>4465000</v>
      </c>
      <c r="F602" s="109">
        <v>2232500</v>
      </c>
      <c r="G602" s="102" t="s">
        <v>257</v>
      </c>
      <c r="J602" s="109">
        <v>2232500</v>
      </c>
      <c r="K602" s="102" t="s">
        <v>258</v>
      </c>
      <c r="P602" s="110">
        <f t="shared" si="12"/>
        <v>0</v>
      </c>
      <c r="Q602" s="69" t="s">
        <v>26</v>
      </c>
      <c r="R602" s="109"/>
      <c r="V602" t="s">
        <v>27</v>
      </c>
    </row>
    <row r="603" spans="1:22" ht="15" customHeight="1" x14ac:dyDescent="0.25">
      <c r="A603" s="69">
        <v>82</v>
      </c>
      <c r="B603" s="35" t="s">
        <v>1401</v>
      </c>
      <c r="C603" s="35" t="s">
        <v>911</v>
      </c>
      <c r="D603" s="35" t="s">
        <v>239</v>
      </c>
      <c r="E603" s="104">
        <v>8415000</v>
      </c>
      <c r="F603" s="109">
        <v>2103750</v>
      </c>
      <c r="G603" s="96" t="s">
        <v>262</v>
      </c>
      <c r="J603" s="109">
        <v>2103750</v>
      </c>
      <c r="K603" s="96" t="s">
        <v>232</v>
      </c>
      <c r="N603" s="109"/>
      <c r="O603" s="35"/>
      <c r="P603" s="110">
        <f t="shared" si="12"/>
        <v>4207500</v>
      </c>
      <c r="Q603" s="69" t="s">
        <v>26</v>
      </c>
      <c r="R603" s="109"/>
      <c r="V603" t="s">
        <v>27</v>
      </c>
    </row>
    <row r="604" spans="1:22" ht="15" customHeight="1" x14ac:dyDescent="0.25">
      <c r="A604" s="69">
        <v>91</v>
      </c>
      <c r="B604" s="35" t="s">
        <v>1402</v>
      </c>
      <c r="C604" s="69" t="s">
        <v>839</v>
      </c>
      <c r="D604" s="69" t="s">
        <v>1403</v>
      </c>
      <c r="E604" s="104">
        <v>9405000</v>
      </c>
      <c r="F604" s="109">
        <v>2232500</v>
      </c>
      <c r="G604" s="96" t="s">
        <v>262</v>
      </c>
      <c r="J604" s="109">
        <v>2232500</v>
      </c>
      <c r="K604" s="97" t="s">
        <v>325</v>
      </c>
      <c r="N604" s="110"/>
      <c r="O604" s="35"/>
      <c r="P604" s="110">
        <f t="shared" si="12"/>
        <v>4940000</v>
      </c>
      <c r="Q604" s="69" t="s">
        <v>26</v>
      </c>
      <c r="R604" s="109"/>
      <c r="V604" t="s">
        <v>27</v>
      </c>
    </row>
    <row r="605" spans="1:22" ht="15" customHeight="1" x14ac:dyDescent="0.25">
      <c r="A605" s="69">
        <v>92</v>
      </c>
      <c r="B605" s="35" t="s">
        <v>1404</v>
      </c>
      <c r="C605" s="69" t="s">
        <v>1405</v>
      </c>
      <c r="D605" s="69" t="s">
        <v>1406</v>
      </c>
      <c r="E605" s="104">
        <v>4465000</v>
      </c>
      <c r="F605" s="109">
        <v>2232500</v>
      </c>
      <c r="G605" s="96" t="s">
        <v>262</v>
      </c>
      <c r="J605" s="110">
        <v>2232500</v>
      </c>
      <c r="K605" s="102" t="s">
        <v>272</v>
      </c>
      <c r="P605" s="110">
        <f t="shared" si="12"/>
        <v>0</v>
      </c>
      <c r="Q605" s="69" t="s">
        <v>26</v>
      </c>
      <c r="R605" s="109"/>
      <c r="V605" t="s">
        <v>27</v>
      </c>
    </row>
    <row r="606" spans="1:22" ht="15" customHeight="1" x14ac:dyDescent="0.25">
      <c r="A606" s="69">
        <v>93</v>
      </c>
      <c r="B606" s="35" t="s">
        <v>1407</v>
      </c>
      <c r="C606" s="69" t="s">
        <v>1408</v>
      </c>
      <c r="D606" s="69" t="s">
        <v>1011</v>
      </c>
      <c r="E606" s="104">
        <v>4465000</v>
      </c>
      <c r="F606" s="109">
        <v>2232500</v>
      </c>
      <c r="G606" s="96" t="s">
        <v>262</v>
      </c>
      <c r="J606" s="109">
        <v>2232500</v>
      </c>
      <c r="K606" s="97" t="s">
        <v>325</v>
      </c>
      <c r="P606" s="110">
        <f t="shared" si="12"/>
        <v>0</v>
      </c>
      <c r="Q606" s="69" t="s">
        <v>26</v>
      </c>
      <c r="R606" s="109"/>
      <c r="V606" t="s">
        <v>27</v>
      </c>
    </row>
    <row r="607" spans="1:22" ht="15" customHeight="1" x14ac:dyDescent="0.25">
      <c r="A607" s="69">
        <v>94</v>
      </c>
      <c r="B607" s="35" t="s">
        <v>1409</v>
      </c>
      <c r="C607" s="69" t="s">
        <v>38</v>
      </c>
      <c r="D607" s="69" t="s">
        <v>914</v>
      </c>
      <c r="E607" s="104">
        <v>2100000</v>
      </c>
      <c r="F607" s="109">
        <v>2100000</v>
      </c>
      <c r="G607" s="96" t="s">
        <v>262</v>
      </c>
      <c r="P607" s="110">
        <f t="shared" si="12"/>
        <v>0</v>
      </c>
      <c r="Q607" s="69" t="s">
        <v>26</v>
      </c>
      <c r="R607" s="109"/>
      <c r="V607" t="s">
        <v>27</v>
      </c>
    </row>
    <row r="608" spans="1:22" ht="15" customHeight="1" x14ac:dyDescent="0.25">
      <c r="A608" s="69">
        <v>102</v>
      </c>
      <c r="B608" s="35" t="s">
        <v>1410</v>
      </c>
      <c r="C608" s="69" t="s">
        <v>1411</v>
      </c>
      <c r="D608" s="69" t="s">
        <v>1412</v>
      </c>
      <c r="E608" s="104">
        <v>8415000</v>
      </c>
      <c r="F608" s="109">
        <v>2103750</v>
      </c>
      <c r="G608" s="102" t="s">
        <v>373</v>
      </c>
      <c r="J608" s="109">
        <v>2103750</v>
      </c>
      <c r="K608" s="96" t="s">
        <v>117</v>
      </c>
      <c r="N608" s="104"/>
      <c r="O608" s="35"/>
      <c r="P608" s="110">
        <f t="shared" si="12"/>
        <v>4207500</v>
      </c>
      <c r="Q608" s="69" t="s">
        <v>26</v>
      </c>
      <c r="R608" s="109">
        <v>2103750</v>
      </c>
      <c r="S608" s="99" t="s">
        <v>36</v>
      </c>
      <c r="T608" s="110">
        <f>E608-F608-H608-J608-L608-N608-R608</f>
        <v>2103750</v>
      </c>
      <c r="V608" t="s">
        <v>27</v>
      </c>
    </row>
    <row r="609" spans="1:22" ht="15" customHeight="1" x14ac:dyDescent="0.25">
      <c r="A609" s="69">
        <v>105</v>
      </c>
      <c r="B609" s="35" t="s">
        <v>1413</v>
      </c>
      <c r="C609" s="69" t="s">
        <v>1414</v>
      </c>
      <c r="D609" s="69" t="s">
        <v>57</v>
      </c>
      <c r="E609" s="104">
        <v>5000000</v>
      </c>
      <c r="F609" s="109">
        <v>2232500</v>
      </c>
      <c r="G609" s="102" t="s">
        <v>373</v>
      </c>
      <c r="J609" s="109">
        <v>2232500</v>
      </c>
      <c r="K609" s="96" t="s">
        <v>24</v>
      </c>
      <c r="O609" s="35"/>
      <c r="P609" s="110">
        <f t="shared" si="12"/>
        <v>535000</v>
      </c>
      <c r="Q609" s="69" t="s">
        <v>26</v>
      </c>
      <c r="R609" s="109"/>
      <c r="V609" t="s">
        <v>27</v>
      </c>
    </row>
    <row r="610" spans="1:22" ht="15" customHeight="1" x14ac:dyDescent="0.25">
      <c r="A610" s="69">
        <v>107</v>
      </c>
      <c r="B610" s="35" t="s">
        <v>1415</v>
      </c>
      <c r="C610" s="69" t="s">
        <v>1416</v>
      </c>
      <c r="D610" s="69" t="s">
        <v>676</v>
      </c>
      <c r="E610" s="104">
        <v>4465000</v>
      </c>
      <c r="F610" s="109">
        <v>2232500</v>
      </c>
      <c r="G610" s="102" t="s">
        <v>373</v>
      </c>
      <c r="J610" s="109">
        <v>2232500</v>
      </c>
      <c r="K610" s="96" t="s">
        <v>873</v>
      </c>
      <c r="P610" s="110">
        <f t="shared" si="12"/>
        <v>0</v>
      </c>
      <c r="Q610" s="69" t="s">
        <v>26</v>
      </c>
      <c r="R610" s="109"/>
      <c r="V610" t="s">
        <v>27</v>
      </c>
    </row>
    <row r="611" spans="1:22" ht="15" customHeight="1" x14ac:dyDescent="0.25">
      <c r="A611" s="69">
        <v>108</v>
      </c>
      <c r="B611" s="35" t="s">
        <v>1417</v>
      </c>
      <c r="C611" s="69" t="s">
        <v>830</v>
      </c>
      <c r="D611" s="69" t="s">
        <v>1418</v>
      </c>
      <c r="E611" s="104">
        <v>4465000</v>
      </c>
      <c r="F611" s="109">
        <v>2232500</v>
      </c>
      <c r="G611" s="102" t="s">
        <v>373</v>
      </c>
      <c r="J611" s="110">
        <v>2232500</v>
      </c>
      <c r="K611" s="96" t="s">
        <v>232</v>
      </c>
      <c r="P611" s="110">
        <f t="shared" si="12"/>
        <v>0</v>
      </c>
      <c r="Q611" s="69" t="s">
        <v>26</v>
      </c>
      <c r="R611" s="109"/>
      <c r="V611" t="s">
        <v>27</v>
      </c>
    </row>
    <row r="612" spans="1:22" ht="15" customHeight="1" x14ac:dyDescent="0.25">
      <c r="A612" s="69">
        <v>109</v>
      </c>
      <c r="B612" s="35" t="s">
        <v>1419</v>
      </c>
      <c r="C612" s="69" t="s">
        <v>154</v>
      </c>
      <c r="D612" s="69" t="s">
        <v>638</v>
      </c>
      <c r="E612" s="104">
        <v>4465000</v>
      </c>
      <c r="F612" s="109">
        <v>2232500</v>
      </c>
      <c r="G612" s="102" t="s">
        <v>373</v>
      </c>
      <c r="J612" s="109">
        <v>2232500</v>
      </c>
      <c r="K612" s="96" t="s">
        <v>296</v>
      </c>
      <c r="P612" s="110">
        <f t="shared" si="12"/>
        <v>0</v>
      </c>
      <c r="Q612" s="69" t="s">
        <v>26</v>
      </c>
      <c r="R612" s="109"/>
      <c r="V612" t="s">
        <v>27</v>
      </c>
    </row>
    <row r="613" spans="1:22" ht="15" customHeight="1" x14ac:dyDescent="0.25">
      <c r="A613" s="69">
        <v>110</v>
      </c>
      <c r="B613" s="35" t="s">
        <v>1420</v>
      </c>
      <c r="C613" s="69" t="s">
        <v>1421</v>
      </c>
      <c r="D613" s="69" t="s">
        <v>120</v>
      </c>
      <c r="E613" s="104">
        <v>4465000</v>
      </c>
      <c r="F613" s="109">
        <v>2232500</v>
      </c>
      <c r="G613" s="102" t="s">
        <v>373</v>
      </c>
      <c r="J613" s="109">
        <v>2232500</v>
      </c>
      <c r="K613" s="102" t="s">
        <v>272</v>
      </c>
      <c r="P613" s="110">
        <f t="shared" si="12"/>
        <v>0</v>
      </c>
      <c r="Q613" s="69" t="s">
        <v>26</v>
      </c>
      <c r="R613" s="109"/>
      <c r="V613" t="s">
        <v>27</v>
      </c>
    </row>
    <row r="614" spans="1:22" ht="15" customHeight="1" x14ac:dyDescent="0.25">
      <c r="A614" s="69">
        <v>126</v>
      </c>
      <c r="B614" s="35" t="s">
        <v>1422</v>
      </c>
      <c r="C614" s="69" t="s">
        <v>687</v>
      </c>
      <c r="D614" s="69" t="s">
        <v>615</v>
      </c>
      <c r="E614" s="104">
        <v>2100000</v>
      </c>
      <c r="F614" s="109">
        <v>2100000</v>
      </c>
      <c r="G614" s="96" t="s">
        <v>266</v>
      </c>
      <c r="P614" s="110">
        <f t="shared" si="12"/>
        <v>0</v>
      </c>
      <c r="Q614" s="69" t="s">
        <v>26</v>
      </c>
      <c r="R614" s="109"/>
      <c r="V614" t="s">
        <v>27</v>
      </c>
    </row>
    <row r="615" spans="1:22" ht="15" customHeight="1" x14ac:dyDescent="0.25">
      <c r="A615" s="69">
        <v>141</v>
      </c>
      <c r="B615" s="35" t="s">
        <v>1423</v>
      </c>
      <c r="C615" s="69" t="s">
        <v>1424</v>
      </c>
      <c r="D615" s="69" t="s">
        <v>1425</v>
      </c>
      <c r="E615" s="104">
        <v>4465000</v>
      </c>
      <c r="F615" s="109">
        <v>2232500</v>
      </c>
      <c r="G615" s="102" t="s">
        <v>424</v>
      </c>
      <c r="J615" s="109">
        <v>2232500</v>
      </c>
      <c r="K615" s="102" t="s">
        <v>267</v>
      </c>
      <c r="O615" s="35"/>
      <c r="P615" s="110">
        <f t="shared" si="12"/>
        <v>0</v>
      </c>
      <c r="Q615" s="69" t="s">
        <v>26</v>
      </c>
      <c r="R615" s="109"/>
      <c r="V615" t="s">
        <v>27</v>
      </c>
    </row>
    <row r="616" spans="1:22" ht="15" customHeight="1" x14ac:dyDescent="0.25">
      <c r="A616" s="69">
        <v>142</v>
      </c>
      <c r="B616" s="35" t="s">
        <v>1426</v>
      </c>
      <c r="C616" s="69" t="s">
        <v>1427</v>
      </c>
      <c r="D616" s="69" t="s">
        <v>1403</v>
      </c>
      <c r="E616" s="104">
        <v>2100000</v>
      </c>
      <c r="F616" s="109">
        <v>2100000</v>
      </c>
      <c r="G616" s="102" t="s">
        <v>424</v>
      </c>
      <c r="P616" s="110">
        <f t="shared" si="12"/>
        <v>0</v>
      </c>
      <c r="Q616" s="69" t="s">
        <v>26</v>
      </c>
      <c r="R616" s="109"/>
      <c r="V616" t="s">
        <v>27</v>
      </c>
    </row>
    <row r="617" spans="1:22" ht="15" customHeight="1" x14ac:dyDescent="0.25">
      <c r="A617" s="69">
        <v>151</v>
      </c>
      <c r="B617" s="35" t="s">
        <v>1428</v>
      </c>
      <c r="C617" s="69" t="s">
        <v>1429</v>
      </c>
      <c r="D617" s="69" t="s">
        <v>22</v>
      </c>
      <c r="E617" s="104">
        <v>8415000</v>
      </c>
      <c r="F617" s="109">
        <v>2103750</v>
      </c>
      <c r="G617" s="96" t="s">
        <v>23</v>
      </c>
      <c r="J617" s="109">
        <v>2103750</v>
      </c>
      <c r="K617" s="96" t="s">
        <v>67</v>
      </c>
      <c r="N617" s="104"/>
      <c r="O617" s="35"/>
      <c r="P617" s="110">
        <f t="shared" si="12"/>
        <v>4207500</v>
      </c>
      <c r="Q617" s="69" t="s">
        <v>26</v>
      </c>
      <c r="R617" s="109"/>
      <c r="V617" t="s">
        <v>27</v>
      </c>
    </row>
    <row r="618" spans="1:22" ht="15" customHeight="1" x14ac:dyDescent="0.25">
      <c r="A618" s="69">
        <v>155</v>
      </c>
      <c r="B618" s="35" t="s">
        <v>1430</v>
      </c>
      <c r="C618" s="69" t="s">
        <v>418</v>
      </c>
      <c r="D618" s="69" t="s">
        <v>897</v>
      </c>
      <c r="E618" s="104">
        <v>4465000</v>
      </c>
      <c r="F618" s="109">
        <v>2232500</v>
      </c>
      <c r="G618" s="96" t="s">
        <v>23</v>
      </c>
      <c r="J618" s="110">
        <v>2232500</v>
      </c>
      <c r="K618" s="102" t="s">
        <v>258</v>
      </c>
      <c r="P618" s="110">
        <f t="shared" si="12"/>
        <v>0</v>
      </c>
      <c r="Q618" s="69" t="s">
        <v>26</v>
      </c>
      <c r="R618" s="109"/>
      <c r="V618" t="s">
        <v>27</v>
      </c>
    </row>
    <row r="619" spans="1:22" ht="15" customHeight="1" x14ac:dyDescent="0.25">
      <c r="A619" s="69">
        <v>156</v>
      </c>
      <c r="B619" s="35" t="s">
        <v>1431</v>
      </c>
      <c r="C619" s="69" t="s">
        <v>1432</v>
      </c>
      <c r="D619" s="69" t="s">
        <v>78</v>
      </c>
      <c r="E619" s="104">
        <v>4465000</v>
      </c>
      <c r="F619" s="109">
        <v>2232500</v>
      </c>
      <c r="G619" s="96" t="s">
        <v>23</v>
      </c>
      <c r="J619" s="110">
        <v>2232500</v>
      </c>
      <c r="K619" s="96" t="s">
        <v>296</v>
      </c>
      <c r="P619" s="110">
        <f t="shared" si="12"/>
        <v>0</v>
      </c>
      <c r="Q619" s="69" t="s">
        <v>26</v>
      </c>
      <c r="R619" s="109"/>
      <c r="V619" t="s">
        <v>27</v>
      </c>
    </row>
    <row r="620" spans="1:22" ht="15" customHeight="1" x14ac:dyDescent="0.25">
      <c r="A620" s="69">
        <v>157</v>
      </c>
      <c r="B620" s="35" t="s">
        <v>1433</v>
      </c>
      <c r="C620" s="69" t="s">
        <v>143</v>
      </c>
      <c r="D620" s="69" t="s">
        <v>74</v>
      </c>
      <c r="E620" s="104">
        <v>4465000</v>
      </c>
      <c r="F620" s="109">
        <v>2232500</v>
      </c>
      <c r="G620" s="96" t="s">
        <v>23</v>
      </c>
      <c r="J620" s="109">
        <v>2232500</v>
      </c>
      <c r="K620" s="102" t="s">
        <v>263</v>
      </c>
      <c r="P620" s="110">
        <f t="shared" si="12"/>
        <v>0</v>
      </c>
      <c r="Q620" s="69" t="s">
        <v>26</v>
      </c>
      <c r="R620" s="109"/>
      <c r="V620" t="s">
        <v>27</v>
      </c>
    </row>
    <row r="621" spans="1:22" ht="15" customHeight="1" x14ac:dyDescent="0.25">
      <c r="A621" s="69">
        <v>158</v>
      </c>
      <c r="B621" s="35" t="s">
        <v>1434</v>
      </c>
      <c r="C621" s="69" t="s">
        <v>1435</v>
      </c>
      <c r="D621" s="69" t="s">
        <v>138</v>
      </c>
      <c r="E621" s="104">
        <v>4465000</v>
      </c>
      <c r="F621" s="109">
        <v>2232500</v>
      </c>
      <c r="G621" s="96" t="s">
        <v>23</v>
      </c>
      <c r="J621" s="110">
        <v>2232500</v>
      </c>
      <c r="K621" s="102" t="s">
        <v>306</v>
      </c>
      <c r="P621" s="110">
        <f t="shared" si="12"/>
        <v>0</v>
      </c>
      <c r="Q621" s="69" t="s">
        <v>26</v>
      </c>
      <c r="R621" s="109"/>
      <c r="V621" t="s">
        <v>27</v>
      </c>
    </row>
    <row r="622" spans="1:22" x14ac:dyDescent="0.25">
      <c r="A622" s="69">
        <v>162</v>
      </c>
      <c r="B622" s="35" t="s">
        <v>1436</v>
      </c>
      <c r="C622" s="69" t="s">
        <v>1437</v>
      </c>
      <c r="D622" s="69" t="s">
        <v>929</v>
      </c>
      <c r="E622" s="104">
        <v>8415000</v>
      </c>
      <c r="F622" s="109">
        <v>2103750</v>
      </c>
      <c r="G622" s="102" t="s">
        <v>271</v>
      </c>
      <c r="P622" s="110">
        <f t="shared" si="12"/>
        <v>6311250</v>
      </c>
      <c r="Q622" s="69" t="s">
        <v>26</v>
      </c>
      <c r="R622" s="109"/>
      <c r="V622" t="s">
        <v>27</v>
      </c>
    </row>
    <row r="623" spans="1:22" ht="15" customHeight="1" x14ac:dyDescent="0.25">
      <c r="A623" s="69">
        <v>166</v>
      </c>
      <c r="B623" s="35" t="s">
        <v>1438</v>
      </c>
      <c r="C623" s="69" t="s">
        <v>820</v>
      </c>
      <c r="D623" s="69" t="s">
        <v>1439</v>
      </c>
      <c r="E623" s="104">
        <v>8415000</v>
      </c>
      <c r="F623" s="109">
        <v>2103750</v>
      </c>
      <c r="G623" s="102" t="s">
        <v>271</v>
      </c>
      <c r="P623" s="110">
        <f t="shared" ref="P623:P666" si="13">E623-F623-H623-J623-L623-N623</f>
        <v>6311250</v>
      </c>
      <c r="Q623" s="69" t="s">
        <v>26</v>
      </c>
      <c r="R623" s="109"/>
      <c r="V623" t="s">
        <v>27</v>
      </c>
    </row>
    <row r="624" spans="1:22" ht="15" customHeight="1" x14ac:dyDescent="0.25">
      <c r="A624" s="69">
        <v>177</v>
      </c>
      <c r="B624" s="35" t="s">
        <v>1440</v>
      </c>
      <c r="C624" s="69" t="s">
        <v>1441</v>
      </c>
      <c r="D624" s="69" t="s">
        <v>120</v>
      </c>
      <c r="E624" s="104">
        <v>8415000</v>
      </c>
      <c r="F624" s="109">
        <v>2103750</v>
      </c>
      <c r="G624" s="96" t="s">
        <v>31</v>
      </c>
      <c r="P624" s="110">
        <f t="shared" si="13"/>
        <v>6311250</v>
      </c>
      <c r="Q624" s="69" t="s">
        <v>26</v>
      </c>
      <c r="R624" s="109"/>
      <c r="V624" t="s">
        <v>27</v>
      </c>
    </row>
    <row r="625" spans="1:22" ht="15" customHeight="1" x14ac:dyDescent="0.25">
      <c r="A625" s="69">
        <v>185</v>
      </c>
      <c r="B625" s="35" t="s">
        <v>1442</v>
      </c>
      <c r="C625" s="69" t="s">
        <v>1443</v>
      </c>
      <c r="D625" s="69" t="s">
        <v>638</v>
      </c>
      <c r="E625" s="104">
        <v>4465000</v>
      </c>
      <c r="F625" s="109">
        <v>2232500</v>
      </c>
      <c r="G625" s="96" t="s">
        <v>31</v>
      </c>
      <c r="J625" s="109">
        <v>2232500</v>
      </c>
      <c r="K625" s="96" t="s">
        <v>133</v>
      </c>
      <c r="P625" s="110">
        <f t="shared" si="13"/>
        <v>0</v>
      </c>
      <c r="Q625" s="69" t="s">
        <v>26</v>
      </c>
      <c r="R625" s="109"/>
      <c r="V625" t="s">
        <v>27</v>
      </c>
    </row>
    <row r="626" spans="1:22" ht="15" customHeight="1" x14ac:dyDescent="0.25">
      <c r="A626" s="69">
        <v>186</v>
      </c>
      <c r="B626" s="35" t="s">
        <v>1444</v>
      </c>
      <c r="C626" s="69" t="s">
        <v>1445</v>
      </c>
      <c r="D626" s="69" t="s">
        <v>239</v>
      </c>
      <c r="E626" s="104">
        <v>4465000</v>
      </c>
      <c r="F626" s="109">
        <v>2232500</v>
      </c>
      <c r="G626" s="96" t="s">
        <v>31</v>
      </c>
      <c r="J626" s="109">
        <v>2232500</v>
      </c>
      <c r="K626" s="96" t="s">
        <v>117</v>
      </c>
      <c r="P626" s="110">
        <f t="shared" si="13"/>
        <v>0</v>
      </c>
      <c r="Q626" s="69" t="s">
        <v>26</v>
      </c>
      <c r="R626" s="109"/>
      <c r="V626" t="s">
        <v>27</v>
      </c>
    </row>
    <row r="627" spans="1:22" ht="15" customHeight="1" x14ac:dyDescent="0.25">
      <c r="A627" s="69">
        <v>187</v>
      </c>
      <c r="B627" s="35" t="s">
        <v>1446</v>
      </c>
      <c r="C627" s="69" t="s">
        <v>1447</v>
      </c>
      <c r="D627" s="69" t="s">
        <v>408</v>
      </c>
      <c r="E627" s="104">
        <v>4465000</v>
      </c>
      <c r="F627" s="109">
        <v>2232500</v>
      </c>
      <c r="G627" s="96" t="s">
        <v>31</v>
      </c>
      <c r="J627" s="109">
        <v>2232500</v>
      </c>
      <c r="K627" s="102" t="s">
        <v>306</v>
      </c>
      <c r="P627" s="110">
        <f t="shared" si="13"/>
        <v>0</v>
      </c>
      <c r="Q627" s="69" t="s">
        <v>26</v>
      </c>
      <c r="R627" s="109"/>
      <c r="V627" t="s">
        <v>27</v>
      </c>
    </row>
    <row r="628" spans="1:22" ht="15" customHeight="1" x14ac:dyDescent="0.25">
      <c r="A628" s="69">
        <v>189</v>
      </c>
      <c r="B628" s="35" t="s">
        <v>1448</v>
      </c>
      <c r="C628" s="69" t="s">
        <v>1449</v>
      </c>
      <c r="D628" s="69" t="s">
        <v>347</v>
      </c>
      <c r="E628" s="104">
        <v>2100000</v>
      </c>
      <c r="F628" s="109">
        <v>2100000</v>
      </c>
      <c r="G628" s="96" t="s">
        <v>31</v>
      </c>
      <c r="P628" s="110">
        <f t="shared" si="13"/>
        <v>0</v>
      </c>
      <c r="Q628" s="69" t="s">
        <v>26</v>
      </c>
      <c r="R628" s="109"/>
      <c r="V628" t="s">
        <v>27</v>
      </c>
    </row>
    <row r="629" spans="1:22" ht="15" customHeight="1" x14ac:dyDescent="0.25">
      <c r="A629" s="69">
        <v>205</v>
      </c>
      <c r="B629" s="35" t="s">
        <v>1450</v>
      </c>
      <c r="C629" s="69" t="s">
        <v>1451</v>
      </c>
      <c r="D629" s="69" t="s">
        <v>116</v>
      </c>
      <c r="E629" s="104">
        <v>4465000</v>
      </c>
      <c r="F629" s="109">
        <v>2232500</v>
      </c>
      <c r="G629" s="102" t="s">
        <v>276</v>
      </c>
      <c r="J629" s="109">
        <v>2232500</v>
      </c>
      <c r="K629" s="96" t="s">
        <v>296</v>
      </c>
      <c r="P629" s="110">
        <f t="shared" si="13"/>
        <v>0</v>
      </c>
      <c r="Q629" s="69" t="s">
        <v>26</v>
      </c>
      <c r="R629" s="109"/>
      <c r="V629" t="s">
        <v>27</v>
      </c>
    </row>
    <row r="630" spans="1:22" ht="15" customHeight="1" x14ac:dyDescent="0.25">
      <c r="A630" s="69">
        <v>206</v>
      </c>
      <c r="B630" s="35" t="s">
        <v>1452</v>
      </c>
      <c r="C630" s="69" t="s">
        <v>1453</v>
      </c>
      <c r="D630" s="69" t="s">
        <v>450</v>
      </c>
      <c r="E630" s="104">
        <v>2100000</v>
      </c>
      <c r="F630" s="109">
        <v>2100000</v>
      </c>
      <c r="G630" s="102" t="s">
        <v>276</v>
      </c>
      <c r="P630" s="110">
        <f t="shared" si="13"/>
        <v>0</v>
      </c>
      <c r="Q630" s="69" t="s">
        <v>26</v>
      </c>
      <c r="R630" s="109"/>
      <c r="V630" t="s">
        <v>27</v>
      </c>
    </row>
    <row r="631" spans="1:22" ht="15" customHeight="1" x14ac:dyDescent="0.25">
      <c r="A631" s="69">
        <v>207</v>
      </c>
      <c r="B631" s="35" t="s">
        <v>1454</v>
      </c>
      <c r="C631" s="69" t="s">
        <v>1455</v>
      </c>
      <c r="D631" s="69" t="s">
        <v>160</v>
      </c>
      <c r="E631" s="104">
        <v>2100000</v>
      </c>
      <c r="F631" s="109">
        <v>2100000</v>
      </c>
      <c r="G631" s="102" t="s">
        <v>276</v>
      </c>
      <c r="P631" s="110">
        <f t="shared" si="13"/>
        <v>0</v>
      </c>
      <c r="Q631" s="69" t="s">
        <v>26</v>
      </c>
      <c r="R631" s="109"/>
      <c r="V631" t="s">
        <v>27</v>
      </c>
    </row>
    <row r="632" spans="1:22" ht="15" customHeight="1" x14ac:dyDescent="0.25">
      <c r="A632" s="69">
        <v>208</v>
      </c>
      <c r="B632" s="35" t="s">
        <v>1456</v>
      </c>
      <c r="C632" s="69" t="s">
        <v>130</v>
      </c>
      <c r="D632" s="69" t="s">
        <v>490</v>
      </c>
      <c r="E632" s="104">
        <v>8415000</v>
      </c>
      <c r="F632" s="109">
        <v>2103750</v>
      </c>
      <c r="G632" s="96" t="s">
        <v>295</v>
      </c>
      <c r="P632" s="110">
        <f t="shared" si="13"/>
        <v>6311250</v>
      </c>
      <c r="Q632" s="69" t="s">
        <v>26</v>
      </c>
      <c r="R632" s="109"/>
      <c r="V632" t="s">
        <v>27</v>
      </c>
    </row>
    <row r="633" spans="1:22" ht="15" customHeight="1" x14ac:dyDescent="0.25">
      <c r="A633" s="69">
        <v>211</v>
      </c>
      <c r="B633" s="35" t="s">
        <v>1457</v>
      </c>
      <c r="C633" s="69" t="s">
        <v>671</v>
      </c>
      <c r="D633" s="69" t="s">
        <v>1458</v>
      </c>
      <c r="E633" s="104">
        <v>8415000</v>
      </c>
      <c r="F633" s="109">
        <v>2103750</v>
      </c>
      <c r="G633" s="96" t="s">
        <v>295</v>
      </c>
      <c r="P633" s="110">
        <f t="shared" si="13"/>
        <v>6311250</v>
      </c>
      <c r="Q633" s="69" t="s">
        <v>26</v>
      </c>
      <c r="R633" s="109"/>
      <c r="V633" t="s">
        <v>27</v>
      </c>
    </row>
    <row r="634" spans="1:22" ht="15" customHeight="1" x14ac:dyDescent="0.25">
      <c r="A634" s="69">
        <v>213</v>
      </c>
      <c r="B634" s="35" t="s">
        <v>1459</v>
      </c>
      <c r="C634" s="69" t="s">
        <v>1392</v>
      </c>
      <c r="D634" s="69" t="s">
        <v>131</v>
      </c>
      <c r="E634" s="104">
        <v>8415000</v>
      </c>
      <c r="F634" s="109">
        <v>2103750</v>
      </c>
      <c r="G634" s="96" t="s">
        <v>295</v>
      </c>
      <c r="P634" s="110">
        <f t="shared" si="13"/>
        <v>6311250</v>
      </c>
      <c r="Q634" s="69" t="s">
        <v>26</v>
      </c>
      <c r="R634" s="109"/>
      <c r="V634" t="s">
        <v>27</v>
      </c>
    </row>
    <row r="635" spans="1:22" ht="15" customHeight="1" x14ac:dyDescent="0.25">
      <c r="A635" s="69">
        <v>219</v>
      </c>
      <c r="B635" s="35" t="s">
        <v>1460</v>
      </c>
      <c r="C635" s="69" t="s">
        <v>1461</v>
      </c>
      <c r="D635" s="69" t="s">
        <v>676</v>
      </c>
      <c r="E635" s="104">
        <v>4465000</v>
      </c>
      <c r="F635" s="109">
        <v>2232500</v>
      </c>
      <c r="G635" s="96" t="s">
        <v>295</v>
      </c>
      <c r="J635" s="110">
        <v>2232500</v>
      </c>
      <c r="K635" s="96" t="s">
        <v>381</v>
      </c>
      <c r="P635" s="110">
        <f t="shared" si="13"/>
        <v>0</v>
      </c>
      <c r="Q635" s="69" t="s">
        <v>26</v>
      </c>
      <c r="R635" s="109"/>
      <c r="V635" t="s">
        <v>27</v>
      </c>
    </row>
    <row r="636" spans="1:22" ht="15" customHeight="1" x14ac:dyDescent="0.25">
      <c r="A636" s="69">
        <v>220</v>
      </c>
      <c r="B636" s="35" t="s">
        <v>1462</v>
      </c>
      <c r="C636" s="69" t="s">
        <v>1463</v>
      </c>
      <c r="D636" s="69" t="s">
        <v>538</v>
      </c>
      <c r="E636" s="104">
        <v>4465000</v>
      </c>
      <c r="F636" s="109">
        <v>2232500</v>
      </c>
      <c r="G636" s="96" t="s">
        <v>295</v>
      </c>
      <c r="J636" s="109">
        <v>2232500</v>
      </c>
      <c r="K636" s="96" t="s">
        <v>232</v>
      </c>
      <c r="P636" s="110">
        <f t="shared" si="13"/>
        <v>0</v>
      </c>
      <c r="Q636" s="69" t="s">
        <v>26</v>
      </c>
      <c r="R636" s="109"/>
      <c r="V636" t="s">
        <v>27</v>
      </c>
    </row>
    <row r="637" spans="1:22" ht="15" customHeight="1" x14ac:dyDescent="0.25">
      <c r="A637" s="69">
        <v>231</v>
      </c>
      <c r="B637" s="35" t="s">
        <v>1464</v>
      </c>
      <c r="C637" s="69" t="s">
        <v>820</v>
      </c>
      <c r="D637" s="69" t="s">
        <v>1235</v>
      </c>
      <c r="E637" s="104">
        <v>5000000</v>
      </c>
      <c r="F637" s="109">
        <v>2232500</v>
      </c>
      <c r="G637" s="102" t="s">
        <v>79</v>
      </c>
      <c r="J637" s="109">
        <v>2232500</v>
      </c>
      <c r="K637" s="96" t="s">
        <v>232</v>
      </c>
      <c r="P637" s="110">
        <f t="shared" si="13"/>
        <v>535000</v>
      </c>
      <c r="Q637" s="69" t="s">
        <v>26</v>
      </c>
      <c r="R637" s="109"/>
      <c r="V637" t="s">
        <v>27</v>
      </c>
    </row>
    <row r="638" spans="1:22" ht="15" customHeight="1" x14ac:dyDescent="0.25">
      <c r="A638" s="69">
        <v>232</v>
      </c>
      <c r="B638" s="35" t="s">
        <v>1465</v>
      </c>
      <c r="C638" s="69" t="s">
        <v>1130</v>
      </c>
      <c r="D638" s="69" t="s">
        <v>1466</v>
      </c>
      <c r="E638" s="104">
        <v>4465000</v>
      </c>
      <c r="F638" s="109">
        <v>2232500</v>
      </c>
      <c r="G638" s="102" t="s">
        <v>79</v>
      </c>
      <c r="J638" s="109">
        <v>2232500</v>
      </c>
      <c r="K638" s="96" t="s">
        <v>793</v>
      </c>
      <c r="P638" s="110">
        <f t="shared" si="13"/>
        <v>0</v>
      </c>
      <c r="Q638" s="69" t="s">
        <v>26</v>
      </c>
      <c r="R638" s="109"/>
      <c r="V638" t="s">
        <v>27</v>
      </c>
    </row>
    <row r="639" spans="1:22" ht="15" customHeight="1" x14ac:dyDescent="0.25">
      <c r="A639" s="69">
        <v>233</v>
      </c>
      <c r="B639" s="35" t="s">
        <v>1467</v>
      </c>
      <c r="C639" s="69" t="s">
        <v>972</v>
      </c>
      <c r="D639" s="69" t="s">
        <v>120</v>
      </c>
      <c r="E639" s="104">
        <v>4465000</v>
      </c>
      <c r="F639" s="109">
        <v>2232500</v>
      </c>
      <c r="G639" s="102" t="s">
        <v>79</v>
      </c>
      <c r="J639" s="109">
        <v>2232500</v>
      </c>
      <c r="K639" s="96" t="s">
        <v>296</v>
      </c>
      <c r="O639" s="35"/>
      <c r="P639" s="110">
        <f t="shared" si="13"/>
        <v>0</v>
      </c>
      <c r="Q639" s="69" t="s">
        <v>26</v>
      </c>
      <c r="R639" s="109"/>
      <c r="V639" t="s">
        <v>27</v>
      </c>
    </row>
    <row r="640" spans="1:22" ht="15" customHeight="1" x14ac:dyDescent="0.25">
      <c r="A640" s="69">
        <v>234</v>
      </c>
      <c r="B640" s="35" t="s">
        <v>1468</v>
      </c>
      <c r="C640" s="69" t="s">
        <v>1335</v>
      </c>
      <c r="D640" s="69" t="s">
        <v>294</v>
      </c>
      <c r="E640" s="104">
        <v>4465000</v>
      </c>
      <c r="F640" s="109">
        <v>2232500</v>
      </c>
      <c r="G640" s="102" t="s">
        <v>79</v>
      </c>
      <c r="J640" s="110">
        <v>2232500</v>
      </c>
      <c r="K640" s="102" t="s">
        <v>823</v>
      </c>
      <c r="P640" s="110">
        <f t="shared" si="13"/>
        <v>0</v>
      </c>
      <c r="Q640" s="69" t="s">
        <v>26</v>
      </c>
      <c r="R640" s="109"/>
      <c r="V640" t="s">
        <v>27</v>
      </c>
    </row>
    <row r="641" spans="1:22" s="123" customFormat="1" ht="15" customHeight="1" x14ac:dyDescent="0.25">
      <c r="A641" s="69">
        <v>235</v>
      </c>
      <c r="B641" s="35" t="s">
        <v>1469</v>
      </c>
      <c r="C641" s="69" t="s">
        <v>1470</v>
      </c>
      <c r="D641" s="69" t="s">
        <v>1360</v>
      </c>
      <c r="E641" s="104">
        <v>2100000</v>
      </c>
      <c r="F641" s="109">
        <v>2100000</v>
      </c>
      <c r="G641" s="102" t="s">
        <v>79</v>
      </c>
      <c r="H641" s="69"/>
      <c r="I641" s="69"/>
      <c r="J641" s="69"/>
      <c r="K641" s="69"/>
      <c r="L641" s="69"/>
      <c r="M641" s="69"/>
      <c r="N641" s="69"/>
      <c r="O641" s="69"/>
      <c r="P641" s="110">
        <f t="shared" si="13"/>
        <v>0</v>
      </c>
      <c r="Q641" s="69" t="s">
        <v>26</v>
      </c>
      <c r="R641" s="109"/>
      <c r="S641" s="69"/>
      <c r="T641" s="69"/>
      <c r="U641" s="69"/>
      <c r="V641" t="s">
        <v>27</v>
      </c>
    </row>
    <row r="642" spans="1:22" s="123" customFormat="1" ht="15" customHeight="1" x14ac:dyDescent="0.25">
      <c r="A642" s="69">
        <v>236</v>
      </c>
      <c r="B642" s="35" t="s">
        <v>1471</v>
      </c>
      <c r="C642" s="69" t="s">
        <v>687</v>
      </c>
      <c r="D642" s="69" t="s">
        <v>494</v>
      </c>
      <c r="E642" s="104">
        <v>2100000</v>
      </c>
      <c r="F642" s="109">
        <v>2100000</v>
      </c>
      <c r="G642" s="102" t="s">
        <v>79</v>
      </c>
      <c r="H642" s="69"/>
      <c r="I642" s="69"/>
      <c r="J642" s="69"/>
      <c r="K642" s="69"/>
      <c r="L642" s="69"/>
      <c r="M642" s="69"/>
      <c r="N642" s="69"/>
      <c r="O642" s="69"/>
      <c r="P642" s="110">
        <f t="shared" si="13"/>
        <v>0</v>
      </c>
      <c r="Q642" s="69" t="s">
        <v>26</v>
      </c>
      <c r="R642" s="109"/>
      <c r="S642" s="69"/>
      <c r="T642" s="69"/>
      <c r="U642" s="69"/>
      <c r="V642" t="s">
        <v>27</v>
      </c>
    </row>
    <row r="643" spans="1:22" s="123" customFormat="1" ht="15" customHeight="1" x14ac:dyDescent="0.25">
      <c r="A643" s="69">
        <v>241</v>
      </c>
      <c r="B643" s="35" t="s">
        <v>1472</v>
      </c>
      <c r="C643" s="69" t="s">
        <v>683</v>
      </c>
      <c r="D643" s="69" t="s">
        <v>712</v>
      </c>
      <c r="E643" s="104">
        <v>8415000</v>
      </c>
      <c r="F643" s="109">
        <v>2103750</v>
      </c>
      <c r="G643" s="96" t="s">
        <v>464</v>
      </c>
      <c r="H643" s="69"/>
      <c r="I643" s="69"/>
      <c r="J643" s="69"/>
      <c r="K643" s="69"/>
      <c r="L643" s="69"/>
      <c r="M643" s="69"/>
      <c r="N643" s="69"/>
      <c r="O643" s="69"/>
      <c r="P643" s="110">
        <f t="shared" si="13"/>
        <v>6311250</v>
      </c>
      <c r="Q643" s="69" t="s">
        <v>26</v>
      </c>
      <c r="R643" s="109"/>
      <c r="S643" s="69"/>
      <c r="T643" s="69"/>
      <c r="U643" s="69"/>
      <c r="V643" t="s">
        <v>27</v>
      </c>
    </row>
    <row r="644" spans="1:22" s="123" customFormat="1" ht="15" customHeight="1" x14ac:dyDescent="0.25">
      <c r="A644" s="69">
        <v>248</v>
      </c>
      <c r="B644" s="35" t="s">
        <v>1473</v>
      </c>
      <c r="C644" s="69" t="s">
        <v>1474</v>
      </c>
      <c r="D644" s="69" t="s">
        <v>392</v>
      </c>
      <c r="E644" s="104">
        <v>8415000</v>
      </c>
      <c r="F644" s="109">
        <v>2103750</v>
      </c>
      <c r="G644" s="96" t="s">
        <v>464</v>
      </c>
      <c r="H644" s="69"/>
      <c r="I644" s="69"/>
      <c r="J644" s="69"/>
      <c r="K644" s="69"/>
      <c r="L644" s="69"/>
      <c r="M644" s="69"/>
      <c r="N644" s="69"/>
      <c r="O644" s="69"/>
      <c r="P644" s="110">
        <f t="shared" si="13"/>
        <v>6311250</v>
      </c>
      <c r="Q644" s="69" t="s">
        <v>26</v>
      </c>
      <c r="R644" s="109" t="s">
        <v>1475</v>
      </c>
      <c r="S644" s="69"/>
      <c r="T644" s="69"/>
      <c r="U644" s="69"/>
      <c r="V644" t="s">
        <v>27</v>
      </c>
    </row>
    <row r="645" spans="1:22" s="123" customFormat="1" ht="15" customHeight="1" x14ac:dyDescent="0.25">
      <c r="A645" s="69">
        <v>250</v>
      </c>
      <c r="B645" s="35" t="s">
        <v>1476</v>
      </c>
      <c r="C645" s="69" t="s">
        <v>1477</v>
      </c>
      <c r="D645" s="69" t="s">
        <v>217</v>
      </c>
      <c r="E645" s="104">
        <v>4465000</v>
      </c>
      <c r="F645" s="109">
        <v>2232500</v>
      </c>
      <c r="G645" s="96" t="s">
        <v>464</v>
      </c>
      <c r="H645" s="69"/>
      <c r="I645" s="69"/>
      <c r="J645" s="109">
        <v>2232500</v>
      </c>
      <c r="K645" s="96" t="s">
        <v>24</v>
      </c>
      <c r="L645" s="69"/>
      <c r="M645" s="69"/>
      <c r="N645" s="69"/>
      <c r="O645" s="69"/>
      <c r="P645" s="110">
        <f t="shared" si="13"/>
        <v>0</v>
      </c>
      <c r="Q645" s="69" t="s">
        <v>26</v>
      </c>
      <c r="R645" s="109"/>
      <c r="S645" s="69"/>
      <c r="T645" s="69"/>
      <c r="U645" s="69"/>
      <c r="V645" t="s">
        <v>27</v>
      </c>
    </row>
    <row r="646" spans="1:22" s="123" customFormat="1" ht="15" customHeight="1" x14ac:dyDescent="0.25">
      <c r="A646" s="69">
        <v>251</v>
      </c>
      <c r="B646" s="35" t="s">
        <v>1478</v>
      </c>
      <c r="C646" s="69" t="s">
        <v>1479</v>
      </c>
      <c r="D646" s="69" t="s">
        <v>338</v>
      </c>
      <c r="E646" s="104">
        <v>4465000</v>
      </c>
      <c r="F646" s="109">
        <v>2232500</v>
      </c>
      <c r="G646" s="96" t="s">
        <v>464</v>
      </c>
      <c r="H646" s="69"/>
      <c r="I646" s="69"/>
      <c r="J646" s="109">
        <v>2232500</v>
      </c>
      <c r="K646" s="102" t="s">
        <v>272</v>
      </c>
      <c r="L646" s="69"/>
      <c r="M646" s="69"/>
      <c r="N646" s="69"/>
      <c r="O646" s="69"/>
      <c r="P646" s="110">
        <f t="shared" si="13"/>
        <v>0</v>
      </c>
      <c r="Q646" s="69" t="s">
        <v>26</v>
      </c>
      <c r="R646" s="109"/>
      <c r="S646" s="69"/>
      <c r="T646" s="69"/>
      <c r="U646" s="69"/>
      <c r="V646" t="s">
        <v>27</v>
      </c>
    </row>
    <row r="647" spans="1:22" s="123" customFormat="1" ht="15" customHeight="1" x14ac:dyDescent="0.25">
      <c r="A647" s="69">
        <v>252</v>
      </c>
      <c r="B647" s="35" t="s">
        <v>1480</v>
      </c>
      <c r="C647" s="69" t="s">
        <v>87</v>
      </c>
      <c r="D647" s="69" t="s">
        <v>549</v>
      </c>
      <c r="E647" s="104">
        <v>2100000</v>
      </c>
      <c r="F647" s="109">
        <v>2100000</v>
      </c>
      <c r="G647" s="96" t="s">
        <v>464</v>
      </c>
      <c r="H647" s="69"/>
      <c r="I647" s="69"/>
      <c r="J647" s="69"/>
      <c r="K647" s="69"/>
      <c r="L647" s="69"/>
      <c r="M647" s="69"/>
      <c r="N647" s="69"/>
      <c r="O647" s="69"/>
      <c r="P647" s="110">
        <f t="shared" si="13"/>
        <v>0</v>
      </c>
      <c r="Q647" s="69" t="s">
        <v>26</v>
      </c>
      <c r="R647" s="109"/>
      <c r="S647" s="69"/>
      <c r="T647" s="69"/>
      <c r="U647" s="69"/>
      <c r="V647" t="s">
        <v>27</v>
      </c>
    </row>
    <row r="648" spans="1:22" s="123" customFormat="1" ht="15" customHeight="1" x14ac:dyDescent="0.25">
      <c r="A648" s="69">
        <v>253</v>
      </c>
      <c r="B648" s="35" t="s">
        <v>1481</v>
      </c>
      <c r="C648" s="69" t="s">
        <v>1482</v>
      </c>
      <c r="D648" s="69" t="s">
        <v>116</v>
      </c>
      <c r="E648" s="104">
        <v>2100000</v>
      </c>
      <c r="F648" s="109">
        <v>2100000</v>
      </c>
      <c r="G648" s="96" t="s">
        <v>464</v>
      </c>
      <c r="H648" s="69"/>
      <c r="I648" s="69"/>
      <c r="J648" s="69"/>
      <c r="K648" s="69"/>
      <c r="L648" s="69"/>
      <c r="M648" s="69"/>
      <c r="N648" s="69"/>
      <c r="O648" s="69"/>
      <c r="P648" s="110">
        <f t="shared" si="13"/>
        <v>0</v>
      </c>
      <c r="Q648" s="69" t="s">
        <v>26</v>
      </c>
      <c r="R648" s="109"/>
      <c r="S648" s="69"/>
      <c r="T648" s="69"/>
      <c r="U648" s="69"/>
      <c r="V648" t="s">
        <v>27</v>
      </c>
    </row>
    <row r="649" spans="1:22" s="123" customFormat="1" ht="15" customHeight="1" x14ac:dyDescent="0.25">
      <c r="A649" s="69">
        <v>254</v>
      </c>
      <c r="B649" s="35" t="s">
        <v>1483</v>
      </c>
      <c r="C649" s="69" t="s">
        <v>1484</v>
      </c>
      <c r="D649" s="69" t="s">
        <v>376</v>
      </c>
      <c r="E649" s="104">
        <v>4700000</v>
      </c>
      <c r="F649" s="109">
        <v>2100000</v>
      </c>
      <c r="G649" s="96" t="s">
        <v>464</v>
      </c>
      <c r="H649" s="69"/>
      <c r="I649" s="69"/>
      <c r="J649" s="69"/>
      <c r="K649" s="35"/>
      <c r="L649" s="69"/>
      <c r="M649" s="69"/>
      <c r="N649" s="69"/>
      <c r="O649" s="35"/>
      <c r="P649" s="110">
        <f t="shared" si="13"/>
        <v>2600000</v>
      </c>
      <c r="Q649" s="69" t="s">
        <v>26</v>
      </c>
      <c r="R649" s="109"/>
      <c r="S649" s="69"/>
      <c r="T649" s="69"/>
      <c r="U649" s="69"/>
      <c r="V649" t="s">
        <v>27</v>
      </c>
    </row>
    <row r="650" spans="1:22" s="123" customFormat="1" ht="15" customHeight="1" x14ac:dyDescent="0.25">
      <c r="A650" s="69">
        <v>257</v>
      </c>
      <c r="B650" s="35" t="s">
        <v>1485</v>
      </c>
      <c r="C650" s="69" t="s">
        <v>1486</v>
      </c>
      <c r="D650" s="69" t="s">
        <v>590</v>
      </c>
      <c r="E650" s="104">
        <v>8415000</v>
      </c>
      <c r="F650" s="109">
        <v>2103750</v>
      </c>
      <c r="G650" s="102" t="s">
        <v>436</v>
      </c>
      <c r="H650" s="69"/>
      <c r="I650" s="69"/>
      <c r="J650" s="109">
        <v>2103750</v>
      </c>
      <c r="K650" s="96" t="s">
        <v>836</v>
      </c>
      <c r="L650" s="69"/>
      <c r="M650" s="69"/>
      <c r="N650" s="104"/>
      <c r="O650" s="35"/>
      <c r="P650" s="110">
        <f t="shared" si="13"/>
        <v>4207500</v>
      </c>
      <c r="Q650" s="69" t="s">
        <v>26</v>
      </c>
      <c r="R650" s="109"/>
      <c r="S650" s="69"/>
      <c r="T650" s="69"/>
      <c r="U650" s="69"/>
      <c r="V650" t="s">
        <v>27</v>
      </c>
    </row>
    <row r="651" spans="1:22" s="123" customFormat="1" ht="15" customHeight="1" x14ac:dyDescent="0.25">
      <c r="A651" s="69">
        <v>263</v>
      </c>
      <c r="B651" s="35" t="s">
        <v>1487</v>
      </c>
      <c r="C651" s="69" t="s">
        <v>1488</v>
      </c>
      <c r="D651" s="69" t="s">
        <v>160</v>
      </c>
      <c r="E651" s="104">
        <v>4465000</v>
      </c>
      <c r="F651" s="109">
        <v>2232500</v>
      </c>
      <c r="G651" s="102" t="s">
        <v>436</v>
      </c>
      <c r="H651" s="69"/>
      <c r="I651" s="69"/>
      <c r="J651" s="109">
        <v>2232500</v>
      </c>
      <c r="K651" s="102" t="s">
        <v>272</v>
      </c>
      <c r="L651" s="69"/>
      <c r="M651" s="69"/>
      <c r="N651" s="69"/>
      <c r="O651" s="69"/>
      <c r="P651" s="110">
        <f t="shared" si="13"/>
        <v>0</v>
      </c>
      <c r="Q651" s="69" t="s">
        <v>26</v>
      </c>
      <c r="R651" s="109"/>
      <c r="S651" s="69"/>
      <c r="T651" s="69"/>
      <c r="U651" s="69"/>
      <c r="V651" t="s">
        <v>27</v>
      </c>
    </row>
    <row r="652" spans="1:22" s="123" customFormat="1" ht="15" customHeight="1" x14ac:dyDescent="0.25">
      <c r="A652" s="69">
        <v>264</v>
      </c>
      <c r="B652" s="35" t="s">
        <v>1489</v>
      </c>
      <c r="C652" s="69" t="s">
        <v>1490</v>
      </c>
      <c r="D652" s="69" t="s">
        <v>341</v>
      </c>
      <c r="E652" s="104">
        <v>4465000</v>
      </c>
      <c r="F652" s="109">
        <v>2232500</v>
      </c>
      <c r="G652" s="102" t="s">
        <v>436</v>
      </c>
      <c r="H652" s="69"/>
      <c r="I652" s="69"/>
      <c r="J652" s="109">
        <v>2232500</v>
      </c>
      <c r="K652" s="96" t="s">
        <v>381</v>
      </c>
      <c r="L652" s="69"/>
      <c r="M652" s="69"/>
      <c r="N652" s="69"/>
      <c r="O652" s="69"/>
      <c r="P652" s="110">
        <f t="shared" si="13"/>
        <v>0</v>
      </c>
      <c r="Q652" s="69" t="s">
        <v>26</v>
      </c>
      <c r="R652" s="109"/>
      <c r="S652" s="69"/>
      <c r="T652" s="69"/>
      <c r="U652" s="69"/>
      <c r="V652" t="s">
        <v>27</v>
      </c>
    </row>
    <row r="653" spans="1:22" s="123" customFormat="1" ht="15" customHeight="1" x14ac:dyDescent="0.25">
      <c r="A653" s="69">
        <v>265</v>
      </c>
      <c r="B653" s="35" t="s">
        <v>1491</v>
      </c>
      <c r="C653" s="69" t="s">
        <v>1492</v>
      </c>
      <c r="D653" s="69" t="s">
        <v>376</v>
      </c>
      <c r="E653" s="104">
        <v>4465000</v>
      </c>
      <c r="F653" s="109">
        <v>2232500</v>
      </c>
      <c r="G653" s="102" t="s">
        <v>436</v>
      </c>
      <c r="H653" s="69"/>
      <c r="I653" s="69"/>
      <c r="J653" s="109">
        <v>2232500</v>
      </c>
      <c r="K653" s="102" t="s">
        <v>306</v>
      </c>
      <c r="L653" s="69"/>
      <c r="M653" s="69"/>
      <c r="N653" s="69"/>
      <c r="O653" s="35"/>
      <c r="P653" s="110">
        <f t="shared" si="13"/>
        <v>0</v>
      </c>
      <c r="Q653" s="69" t="s">
        <v>26</v>
      </c>
      <c r="R653" s="109"/>
      <c r="S653" s="69"/>
      <c r="T653" s="69"/>
      <c r="U653" s="69"/>
      <c r="V653" t="s">
        <v>27</v>
      </c>
    </row>
    <row r="654" spans="1:22" s="123" customFormat="1" ht="15" customHeight="1" x14ac:dyDescent="0.25">
      <c r="A654" s="69">
        <v>266</v>
      </c>
      <c r="B654" s="35" t="s">
        <v>1493</v>
      </c>
      <c r="C654" s="69" t="s">
        <v>1494</v>
      </c>
      <c r="D654" s="69" t="s">
        <v>157</v>
      </c>
      <c r="E654" s="104">
        <v>4465000</v>
      </c>
      <c r="F654" s="109">
        <v>2232500</v>
      </c>
      <c r="G654" s="102" t="s">
        <v>436</v>
      </c>
      <c r="H654" s="69"/>
      <c r="I654" s="69"/>
      <c r="J654" s="109">
        <v>2232500</v>
      </c>
      <c r="K654" s="97" t="s">
        <v>325</v>
      </c>
      <c r="L654" s="69"/>
      <c r="M654" s="69"/>
      <c r="N654" s="69"/>
      <c r="O654" s="69"/>
      <c r="P654" s="110">
        <f t="shared" si="13"/>
        <v>0</v>
      </c>
      <c r="Q654" s="69" t="s">
        <v>26</v>
      </c>
      <c r="R654" s="109"/>
      <c r="S654" s="69"/>
      <c r="T654" s="69"/>
      <c r="U654" s="69"/>
      <c r="V654" t="s">
        <v>27</v>
      </c>
    </row>
    <row r="655" spans="1:22" s="123" customFormat="1" ht="15" customHeight="1" x14ac:dyDescent="0.25">
      <c r="A655" s="69">
        <v>267</v>
      </c>
      <c r="B655" s="35" t="s">
        <v>1495</v>
      </c>
      <c r="C655" s="69" t="s">
        <v>1496</v>
      </c>
      <c r="D655" s="69" t="s">
        <v>66</v>
      </c>
      <c r="E655" s="104">
        <v>4465000</v>
      </c>
      <c r="F655" s="109">
        <v>2232500</v>
      </c>
      <c r="G655" s="102" t="s">
        <v>436</v>
      </c>
      <c r="H655" s="69"/>
      <c r="I655" s="69"/>
      <c r="J655" s="109">
        <v>2232500</v>
      </c>
      <c r="K655" s="102" t="s">
        <v>267</v>
      </c>
      <c r="L655" s="69"/>
      <c r="M655" s="69"/>
      <c r="N655" s="69"/>
      <c r="O655" s="35"/>
      <c r="P655" s="110">
        <f t="shared" si="13"/>
        <v>0</v>
      </c>
      <c r="Q655" s="69" t="s">
        <v>26</v>
      </c>
      <c r="R655" s="109"/>
      <c r="S655" s="69"/>
      <c r="T655" s="69"/>
      <c r="U655" s="69"/>
      <c r="V655" t="s">
        <v>27</v>
      </c>
    </row>
    <row r="656" spans="1:22" s="123" customFormat="1" ht="15" customHeight="1" x14ac:dyDescent="0.25">
      <c r="A656" s="69">
        <v>268</v>
      </c>
      <c r="B656" s="35" t="s">
        <v>1497</v>
      </c>
      <c r="C656" s="69" t="s">
        <v>1498</v>
      </c>
      <c r="D656" s="69" t="s">
        <v>1499</v>
      </c>
      <c r="E656" s="104">
        <v>4465000</v>
      </c>
      <c r="F656" s="109">
        <v>2232500</v>
      </c>
      <c r="G656" s="102" t="s">
        <v>436</v>
      </c>
      <c r="H656" s="69"/>
      <c r="I656" s="69"/>
      <c r="J656" s="109">
        <v>2232500</v>
      </c>
      <c r="K656" s="102" t="s">
        <v>306</v>
      </c>
      <c r="L656" s="69"/>
      <c r="M656" s="69"/>
      <c r="N656" s="69"/>
      <c r="O656" s="69"/>
      <c r="P656" s="110">
        <f t="shared" si="13"/>
        <v>0</v>
      </c>
      <c r="Q656" s="69" t="s">
        <v>26</v>
      </c>
      <c r="R656" s="109"/>
      <c r="S656" s="69"/>
      <c r="T656" s="69"/>
      <c r="U656" s="69"/>
      <c r="V656" t="s">
        <v>27</v>
      </c>
    </row>
    <row r="657" spans="1:22" ht="15" customHeight="1" x14ac:dyDescent="0.25">
      <c r="A657" s="69">
        <v>270</v>
      </c>
      <c r="B657" s="35" t="s">
        <v>1500</v>
      </c>
      <c r="C657" s="69" t="s">
        <v>1501</v>
      </c>
      <c r="D657" s="69" t="s">
        <v>160</v>
      </c>
      <c r="E657" s="104">
        <v>2100000</v>
      </c>
      <c r="F657" s="109">
        <v>2100000</v>
      </c>
      <c r="G657" s="102" t="s">
        <v>436</v>
      </c>
      <c r="K657" s="35"/>
      <c r="P657" s="110">
        <f t="shared" si="13"/>
        <v>0</v>
      </c>
      <c r="Q657" s="69" t="s">
        <v>26</v>
      </c>
      <c r="R657" s="109"/>
      <c r="V657" t="s">
        <v>27</v>
      </c>
    </row>
    <row r="658" spans="1:22" ht="15" customHeight="1" x14ac:dyDescent="0.25">
      <c r="A658" s="69">
        <v>280</v>
      </c>
      <c r="B658" s="35" t="s">
        <v>1502</v>
      </c>
      <c r="C658" s="69" t="s">
        <v>1503</v>
      </c>
      <c r="D658" s="69" t="s">
        <v>97</v>
      </c>
      <c r="E658" s="104">
        <v>8415000</v>
      </c>
      <c r="F658" s="109">
        <v>2103750</v>
      </c>
      <c r="G658" s="96" t="s">
        <v>471</v>
      </c>
      <c r="P658" s="110">
        <f t="shared" si="13"/>
        <v>6311250</v>
      </c>
      <c r="Q658" s="69" t="s">
        <v>26</v>
      </c>
      <c r="R658" s="109"/>
      <c r="V658" t="s">
        <v>27</v>
      </c>
    </row>
    <row r="659" spans="1:22" ht="15" customHeight="1" x14ac:dyDescent="0.25">
      <c r="A659" s="69">
        <v>281</v>
      </c>
      <c r="B659" s="35" t="s">
        <v>1504</v>
      </c>
      <c r="C659" s="69" t="s">
        <v>1505</v>
      </c>
      <c r="D659" s="69" t="s">
        <v>138</v>
      </c>
      <c r="E659" s="104">
        <v>8415000</v>
      </c>
      <c r="F659" s="109">
        <v>2103750</v>
      </c>
      <c r="G659" s="96" t="s">
        <v>471</v>
      </c>
      <c r="P659" s="110">
        <f t="shared" si="13"/>
        <v>6311250</v>
      </c>
      <c r="Q659" s="69" t="s">
        <v>26</v>
      </c>
      <c r="R659" s="109"/>
      <c r="V659" t="s">
        <v>27</v>
      </c>
    </row>
    <row r="660" spans="1:22" ht="15" customHeight="1" x14ac:dyDescent="0.25">
      <c r="A660" s="69">
        <v>283</v>
      </c>
      <c r="B660" s="35" t="s">
        <v>1506</v>
      </c>
      <c r="C660" s="69" t="s">
        <v>179</v>
      </c>
      <c r="D660" s="69" t="s">
        <v>821</v>
      </c>
      <c r="E660" s="104">
        <v>5000000</v>
      </c>
      <c r="F660" s="109">
        <v>2232500</v>
      </c>
      <c r="G660" s="96" t="s">
        <v>471</v>
      </c>
      <c r="J660" s="109">
        <v>2232500</v>
      </c>
      <c r="K660" s="102" t="s">
        <v>823</v>
      </c>
      <c r="P660" s="110">
        <f t="shared" si="13"/>
        <v>535000</v>
      </c>
      <c r="Q660" s="69" t="s">
        <v>26</v>
      </c>
      <c r="R660" s="109"/>
      <c r="V660" t="s">
        <v>27</v>
      </c>
    </row>
    <row r="661" spans="1:22" ht="15" customHeight="1" x14ac:dyDescent="0.25">
      <c r="A661" s="69">
        <v>284</v>
      </c>
      <c r="B661" s="35" t="s">
        <v>1507</v>
      </c>
      <c r="C661" s="69" t="s">
        <v>1508</v>
      </c>
      <c r="D661" s="69" t="s">
        <v>239</v>
      </c>
      <c r="E661" s="104">
        <v>4465000</v>
      </c>
      <c r="F661" s="109">
        <v>2232500</v>
      </c>
      <c r="G661" s="96" t="s">
        <v>471</v>
      </c>
      <c r="J661" s="109">
        <v>2232500</v>
      </c>
      <c r="K661" s="102" t="s">
        <v>85</v>
      </c>
      <c r="P661" s="110">
        <f t="shared" si="13"/>
        <v>0</v>
      </c>
      <c r="Q661" s="69" t="s">
        <v>26</v>
      </c>
      <c r="R661" s="109"/>
      <c r="V661" t="s">
        <v>27</v>
      </c>
    </row>
    <row r="662" spans="1:22" ht="15" customHeight="1" x14ac:dyDescent="0.25">
      <c r="A662" s="69">
        <v>286</v>
      </c>
      <c r="B662" s="35" t="s">
        <v>1509</v>
      </c>
      <c r="C662" s="69" t="s">
        <v>1510</v>
      </c>
      <c r="D662" s="69" t="s">
        <v>1511</v>
      </c>
      <c r="E662" s="104">
        <v>2100000</v>
      </c>
      <c r="F662" s="109">
        <v>2100000</v>
      </c>
      <c r="G662" s="96" t="s">
        <v>471</v>
      </c>
      <c r="P662" s="110">
        <f t="shared" si="13"/>
        <v>0</v>
      </c>
      <c r="Q662" s="69" t="s">
        <v>26</v>
      </c>
      <c r="R662" s="109"/>
      <c r="V662" t="s">
        <v>27</v>
      </c>
    </row>
    <row r="663" spans="1:22" ht="15" customHeight="1" x14ac:dyDescent="0.25">
      <c r="A663" s="69">
        <v>294</v>
      </c>
      <c r="B663" s="35" t="s">
        <v>1512</v>
      </c>
      <c r="C663" s="69" t="s">
        <v>1513</v>
      </c>
      <c r="D663" s="69" t="s">
        <v>97</v>
      </c>
      <c r="E663" s="104">
        <v>8415000</v>
      </c>
      <c r="F663" s="109">
        <v>2103750</v>
      </c>
      <c r="G663" s="102" t="s">
        <v>853</v>
      </c>
      <c r="K663" s="118" t="s">
        <v>868</v>
      </c>
      <c r="N663" s="109"/>
      <c r="O663" s="35"/>
      <c r="P663" s="110">
        <f t="shared" si="13"/>
        <v>6311250</v>
      </c>
      <c r="Q663" s="69" t="s">
        <v>26</v>
      </c>
      <c r="R663" s="109"/>
      <c r="V663" t="s">
        <v>27</v>
      </c>
    </row>
    <row r="664" spans="1:22" ht="15" customHeight="1" x14ac:dyDescent="0.25">
      <c r="A664" s="69">
        <v>298</v>
      </c>
      <c r="B664" s="35" t="s">
        <v>1514</v>
      </c>
      <c r="C664" s="69" t="s">
        <v>1515</v>
      </c>
      <c r="D664" s="69" t="s">
        <v>116</v>
      </c>
      <c r="E664" s="104">
        <v>5000000</v>
      </c>
      <c r="F664" s="109">
        <v>2232500</v>
      </c>
      <c r="G664" s="102" t="s">
        <v>853</v>
      </c>
      <c r="J664" s="109">
        <v>2232500</v>
      </c>
      <c r="K664" s="96" t="s">
        <v>868</v>
      </c>
      <c r="O664" s="35"/>
      <c r="P664" s="110">
        <f t="shared" si="13"/>
        <v>535000</v>
      </c>
      <c r="Q664" s="69" t="s">
        <v>26</v>
      </c>
      <c r="R664" s="109"/>
      <c r="V664" t="s">
        <v>27</v>
      </c>
    </row>
    <row r="665" spans="1:22" ht="15" customHeight="1" x14ac:dyDescent="0.25">
      <c r="A665" s="69">
        <v>299</v>
      </c>
      <c r="B665" s="35" t="s">
        <v>1516</v>
      </c>
      <c r="C665" s="69" t="s">
        <v>1517</v>
      </c>
      <c r="D665" s="69" t="s">
        <v>484</v>
      </c>
      <c r="E665" s="104">
        <v>4465000</v>
      </c>
      <c r="F665" s="109">
        <v>2232500</v>
      </c>
      <c r="G665" s="102" t="s">
        <v>853</v>
      </c>
      <c r="J665" s="109">
        <v>2232500</v>
      </c>
      <c r="K665" s="96" t="s">
        <v>786</v>
      </c>
      <c r="P665" s="110">
        <f t="shared" si="13"/>
        <v>0</v>
      </c>
      <c r="Q665" s="69" t="s">
        <v>26</v>
      </c>
      <c r="R665" s="109"/>
      <c r="V665" t="s">
        <v>27</v>
      </c>
    </row>
    <row r="666" spans="1:22" ht="15" customHeight="1" x14ac:dyDescent="0.25">
      <c r="A666" s="69">
        <v>300</v>
      </c>
      <c r="B666" s="35" t="s">
        <v>1518</v>
      </c>
      <c r="C666" s="69" t="s">
        <v>1294</v>
      </c>
      <c r="D666" s="69" t="s">
        <v>78</v>
      </c>
      <c r="E666" s="104">
        <v>4465000</v>
      </c>
      <c r="F666" s="109">
        <v>2232500</v>
      </c>
      <c r="G666" s="102" t="s">
        <v>853</v>
      </c>
      <c r="J666" s="109">
        <v>2232500</v>
      </c>
      <c r="K666" s="102" t="s">
        <v>85</v>
      </c>
      <c r="P666" s="110">
        <f t="shared" si="13"/>
        <v>0</v>
      </c>
      <c r="Q666" s="69" t="s">
        <v>26</v>
      </c>
      <c r="R666" s="109"/>
      <c r="V666" t="s">
        <v>27</v>
      </c>
    </row>
    <row r="667" spans="1:22" ht="15" customHeight="1" x14ac:dyDescent="0.25">
      <c r="A667" s="69">
        <v>734</v>
      </c>
      <c r="B667" s="35" t="s">
        <v>1519</v>
      </c>
      <c r="C667" s="69" t="s">
        <v>1520</v>
      </c>
      <c r="D667" s="69" t="s">
        <v>1521</v>
      </c>
      <c r="E667" s="104">
        <f>1000000+7415000</f>
        <v>8415000</v>
      </c>
      <c r="J667" s="104"/>
      <c r="K667" s="35"/>
      <c r="N667" s="109"/>
      <c r="O667" s="35"/>
      <c r="P667" s="110"/>
      <c r="R667" s="109"/>
      <c r="V667" t="s">
        <v>27</v>
      </c>
    </row>
    <row r="668" spans="1:22" ht="15" customHeight="1" x14ac:dyDescent="0.25">
      <c r="A668" s="69">
        <v>305</v>
      </c>
      <c r="B668" s="35" t="s">
        <v>1522</v>
      </c>
      <c r="C668" s="69" t="s">
        <v>143</v>
      </c>
      <c r="D668" s="69" t="s">
        <v>1024</v>
      </c>
      <c r="E668" s="104">
        <v>8415000</v>
      </c>
      <c r="F668" s="109">
        <v>2103750</v>
      </c>
      <c r="G668" s="96" t="s">
        <v>806</v>
      </c>
      <c r="P668" s="110">
        <f t="shared" ref="P668:P699" si="14">E668-F668-H668-J668-L668-N668</f>
        <v>6311250</v>
      </c>
      <c r="Q668" s="69" t="s">
        <v>26</v>
      </c>
      <c r="R668" s="109"/>
      <c r="V668" t="s">
        <v>27</v>
      </c>
    </row>
    <row r="669" spans="1:22" ht="15" customHeight="1" x14ac:dyDescent="0.25">
      <c r="A669" s="69">
        <v>319</v>
      </c>
      <c r="B669" s="35" t="s">
        <v>1523</v>
      </c>
      <c r="C669" s="69" t="s">
        <v>1524</v>
      </c>
      <c r="D669" s="69" t="s">
        <v>182</v>
      </c>
      <c r="E669" s="104">
        <v>8415008</v>
      </c>
      <c r="F669" s="109">
        <v>2103750</v>
      </c>
      <c r="G669" s="102" t="s">
        <v>564</v>
      </c>
      <c r="P669" s="110">
        <f t="shared" si="14"/>
        <v>6311258</v>
      </c>
      <c r="Q669" s="69" t="s">
        <v>26</v>
      </c>
      <c r="R669" s="109"/>
      <c r="T669" s="110"/>
      <c r="V669" t="s">
        <v>27</v>
      </c>
    </row>
    <row r="670" spans="1:22" ht="15" customHeight="1" x14ac:dyDescent="0.25">
      <c r="A670" s="69">
        <v>330</v>
      </c>
      <c r="B670" s="35" t="s">
        <v>1525</v>
      </c>
      <c r="C670" s="69" t="s">
        <v>1526</v>
      </c>
      <c r="D670" s="69" t="s">
        <v>517</v>
      </c>
      <c r="E670" s="104">
        <v>8415000</v>
      </c>
      <c r="F670" s="109">
        <v>2103750</v>
      </c>
      <c r="G670" s="102" t="s">
        <v>564</v>
      </c>
      <c r="P670" s="110">
        <f t="shared" si="14"/>
        <v>6311250</v>
      </c>
      <c r="Q670" s="69" t="s">
        <v>26</v>
      </c>
      <c r="R670" s="109"/>
      <c r="V670" t="s">
        <v>27</v>
      </c>
    </row>
    <row r="671" spans="1:22" ht="15" customHeight="1" x14ac:dyDescent="0.25">
      <c r="A671" s="69">
        <v>340</v>
      </c>
      <c r="B671" s="35" t="s">
        <v>1527</v>
      </c>
      <c r="C671" s="35" t="s">
        <v>972</v>
      </c>
      <c r="D671" s="35" t="s">
        <v>34</v>
      </c>
      <c r="E671" s="104">
        <v>8415000</v>
      </c>
      <c r="F671" s="109">
        <v>2103750</v>
      </c>
      <c r="G671" s="102" t="s">
        <v>564</v>
      </c>
      <c r="J671" s="109">
        <v>2103750</v>
      </c>
      <c r="K671" s="102" t="s">
        <v>263</v>
      </c>
      <c r="N671" s="104"/>
      <c r="O671" s="35"/>
      <c r="P671" s="110">
        <f t="shared" si="14"/>
        <v>4207500</v>
      </c>
      <c r="Q671" s="69" t="s">
        <v>26</v>
      </c>
      <c r="R671" s="109"/>
      <c r="V671" t="s">
        <v>27</v>
      </c>
    </row>
    <row r="672" spans="1:22" ht="15" customHeight="1" x14ac:dyDescent="0.25">
      <c r="A672" s="69">
        <v>350</v>
      </c>
      <c r="B672" s="35" t="s">
        <v>1528</v>
      </c>
      <c r="C672" s="69" t="s">
        <v>1529</v>
      </c>
      <c r="D672" s="69" t="s">
        <v>47</v>
      </c>
      <c r="E672" s="104">
        <v>8415000</v>
      </c>
      <c r="F672" s="109">
        <v>2103750</v>
      </c>
      <c r="G672" s="96" t="s">
        <v>721</v>
      </c>
      <c r="K672" s="69" t="s">
        <v>177</v>
      </c>
      <c r="P672" s="110">
        <f t="shared" si="14"/>
        <v>6311250</v>
      </c>
      <c r="Q672" s="69" t="s">
        <v>280</v>
      </c>
      <c r="R672" s="109"/>
      <c r="V672" t="s">
        <v>27</v>
      </c>
    </row>
    <row r="673" spans="1:22" ht="15" customHeight="1" x14ac:dyDescent="0.25">
      <c r="A673" s="69">
        <v>360</v>
      </c>
      <c r="B673" s="35" t="s">
        <v>1530</v>
      </c>
      <c r="C673" s="69" t="s">
        <v>1531</v>
      </c>
      <c r="D673" s="69" t="s">
        <v>311</v>
      </c>
      <c r="E673" s="104">
        <v>5000000</v>
      </c>
      <c r="F673" s="109">
        <v>2232500</v>
      </c>
      <c r="G673" s="96" t="s">
        <v>721</v>
      </c>
      <c r="J673" s="109">
        <v>2232500</v>
      </c>
      <c r="K673" s="96" t="s">
        <v>793</v>
      </c>
      <c r="P673" s="110">
        <f t="shared" si="14"/>
        <v>535000</v>
      </c>
      <c r="Q673" s="69" t="s">
        <v>26</v>
      </c>
      <c r="R673" s="109"/>
      <c r="V673" t="s">
        <v>27</v>
      </c>
    </row>
    <row r="674" spans="1:22" ht="15" customHeight="1" x14ac:dyDescent="0.25">
      <c r="A674" s="69">
        <v>361</v>
      </c>
      <c r="B674" s="35" t="s">
        <v>1532</v>
      </c>
      <c r="C674" s="69" t="s">
        <v>1533</v>
      </c>
      <c r="D674" s="69" t="s">
        <v>535</v>
      </c>
      <c r="E674" s="104">
        <v>4465000</v>
      </c>
      <c r="F674" s="109">
        <v>2232500</v>
      </c>
      <c r="G674" s="96" t="s">
        <v>721</v>
      </c>
      <c r="J674" s="109">
        <v>2232500</v>
      </c>
      <c r="K674" s="96" t="s">
        <v>793</v>
      </c>
      <c r="P674" s="110">
        <f t="shared" si="14"/>
        <v>0</v>
      </c>
      <c r="Q674" s="69" t="s">
        <v>26</v>
      </c>
      <c r="R674" s="109"/>
      <c r="V674" t="s">
        <v>27</v>
      </c>
    </row>
    <row r="675" spans="1:22" ht="15" customHeight="1" x14ac:dyDescent="0.25">
      <c r="A675" s="69">
        <v>364</v>
      </c>
      <c r="B675" s="35" t="s">
        <v>1534</v>
      </c>
      <c r="C675" s="69" t="s">
        <v>573</v>
      </c>
      <c r="D675" s="69" t="s">
        <v>515</v>
      </c>
      <c r="E675" s="104">
        <v>4465000</v>
      </c>
      <c r="F675" s="109">
        <v>2232500</v>
      </c>
      <c r="G675" s="96" t="s">
        <v>721</v>
      </c>
      <c r="J675" s="109">
        <v>2232500</v>
      </c>
      <c r="K675" s="96" t="s">
        <v>836</v>
      </c>
      <c r="P675" s="110">
        <f t="shared" si="14"/>
        <v>0</v>
      </c>
      <c r="Q675" s="69" t="s">
        <v>26</v>
      </c>
      <c r="R675" s="109"/>
      <c r="V675" t="s">
        <v>27</v>
      </c>
    </row>
    <row r="676" spans="1:22" ht="15" customHeight="1" x14ac:dyDescent="0.25">
      <c r="A676" s="69">
        <v>375</v>
      </c>
      <c r="B676" s="35" t="s">
        <v>1535</v>
      </c>
      <c r="C676" s="69" t="s">
        <v>179</v>
      </c>
      <c r="D676" s="69" t="s">
        <v>658</v>
      </c>
      <c r="E676" s="104">
        <v>8415000</v>
      </c>
      <c r="F676" s="109">
        <v>2103750</v>
      </c>
      <c r="G676" s="102" t="s">
        <v>328</v>
      </c>
      <c r="P676" s="110">
        <f t="shared" si="14"/>
        <v>6311250</v>
      </c>
      <c r="Q676" s="69" t="s">
        <v>26</v>
      </c>
      <c r="R676" s="109"/>
      <c r="V676" t="s">
        <v>27</v>
      </c>
    </row>
    <row r="677" spans="1:22" ht="15" customHeight="1" x14ac:dyDescent="0.25">
      <c r="A677" s="69">
        <v>378</v>
      </c>
      <c r="B677" s="35" t="s">
        <v>1536</v>
      </c>
      <c r="C677" s="69" t="s">
        <v>1537</v>
      </c>
      <c r="D677" s="69" t="s">
        <v>157</v>
      </c>
      <c r="E677" s="104">
        <v>8415000</v>
      </c>
      <c r="F677" s="109">
        <v>2103750</v>
      </c>
      <c r="G677" s="102" t="s">
        <v>328</v>
      </c>
      <c r="P677" s="110">
        <f t="shared" si="14"/>
        <v>6311250</v>
      </c>
      <c r="Q677" s="69" t="s">
        <v>26</v>
      </c>
      <c r="R677" s="109"/>
      <c r="V677" t="s">
        <v>27</v>
      </c>
    </row>
    <row r="678" spans="1:22" ht="15" customHeight="1" x14ac:dyDescent="0.25">
      <c r="A678" s="69">
        <v>380</v>
      </c>
      <c r="B678" s="35" t="s">
        <v>1538</v>
      </c>
      <c r="C678" s="69" t="s">
        <v>820</v>
      </c>
      <c r="D678" s="69" t="s">
        <v>1011</v>
      </c>
      <c r="E678" s="104">
        <v>2100000</v>
      </c>
      <c r="F678" s="109">
        <v>2100000</v>
      </c>
      <c r="G678" s="102" t="s">
        <v>328</v>
      </c>
      <c r="P678" s="110">
        <f t="shared" si="14"/>
        <v>0</v>
      </c>
      <c r="Q678" s="69" t="s">
        <v>26</v>
      </c>
      <c r="R678" s="109"/>
      <c r="V678" t="s">
        <v>27</v>
      </c>
    </row>
    <row r="679" spans="1:22" ht="15" customHeight="1" x14ac:dyDescent="0.25">
      <c r="A679" s="69">
        <v>386</v>
      </c>
      <c r="B679" s="35" t="s">
        <v>1539</v>
      </c>
      <c r="C679" s="69" t="s">
        <v>1540</v>
      </c>
      <c r="D679" s="69" t="s">
        <v>1541</v>
      </c>
      <c r="E679" s="104">
        <v>8415000</v>
      </c>
      <c r="F679" s="109">
        <v>2103750</v>
      </c>
      <c r="G679" s="96" t="s">
        <v>943</v>
      </c>
      <c r="P679" s="110">
        <f t="shared" si="14"/>
        <v>6311250</v>
      </c>
      <c r="Q679" s="69" t="s">
        <v>26</v>
      </c>
      <c r="R679" s="109"/>
      <c r="V679" t="s">
        <v>27</v>
      </c>
    </row>
    <row r="680" spans="1:22" ht="15" customHeight="1" x14ac:dyDescent="0.25">
      <c r="A680" s="69">
        <v>387</v>
      </c>
      <c r="B680" s="35" t="s">
        <v>1542</v>
      </c>
      <c r="C680" s="69" t="s">
        <v>1543</v>
      </c>
      <c r="D680" s="69" t="s">
        <v>43</v>
      </c>
      <c r="E680" s="104">
        <v>8415000</v>
      </c>
      <c r="F680" s="109">
        <v>2103750</v>
      </c>
      <c r="G680" s="96" t="s">
        <v>943</v>
      </c>
      <c r="J680" s="109">
        <v>2103750</v>
      </c>
      <c r="K680" s="96" t="s">
        <v>389</v>
      </c>
      <c r="N680" s="104"/>
      <c r="O680" s="35"/>
      <c r="P680" s="110">
        <f t="shared" si="14"/>
        <v>4207500</v>
      </c>
      <c r="Q680" s="69" t="s">
        <v>26</v>
      </c>
      <c r="R680" s="109"/>
      <c r="V680" t="s">
        <v>27</v>
      </c>
    </row>
    <row r="681" spans="1:22" ht="15" customHeight="1" x14ac:dyDescent="0.25">
      <c r="A681" s="69">
        <v>395</v>
      </c>
      <c r="B681" s="35" t="s">
        <v>1544</v>
      </c>
      <c r="C681" s="69" t="s">
        <v>589</v>
      </c>
      <c r="D681" s="69" t="s">
        <v>294</v>
      </c>
      <c r="E681" s="104">
        <v>4465000</v>
      </c>
      <c r="F681" s="109">
        <v>2232500</v>
      </c>
      <c r="G681" s="96" t="s">
        <v>943</v>
      </c>
      <c r="J681" s="109">
        <v>2232500</v>
      </c>
      <c r="K681" s="96" t="s">
        <v>873</v>
      </c>
      <c r="P681" s="110">
        <f t="shared" si="14"/>
        <v>0</v>
      </c>
      <c r="Q681" s="69" t="s">
        <v>26</v>
      </c>
      <c r="R681" s="109"/>
      <c r="V681" t="s">
        <v>27</v>
      </c>
    </row>
    <row r="682" spans="1:22" ht="15" customHeight="1" x14ac:dyDescent="0.25">
      <c r="A682" s="69">
        <v>396</v>
      </c>
      <c r="B682" s="35" t="s">
        <v>1545</v>
      </c>
      <c r="C682" s="69" t="s">
        <v>1546</v>
      </c>
      <c r="D682" s="69" t="s">
        <v>1547</v>
      </c>
      <c r="E682" s="104">
        <v>2100000</v>
      </c>
      <c r="F682" s="109">
        <v>2100000</v>
      </c>
      <c r="G682" s="96" t="s">
        <v>943</v>
      </c>
      <c r="P682" s="110">
        <f t="shared" si="14"/>
        <v>0</v>
      </c>
      <c r="Q682" s="69" t="s">
        <v>26</v>
      </c>
      <c r="R682" s="109"/>
      <c r="V682" t="s">
        <v>27</v>
      </c>
    </row>
    <row r="683" spans="1:22" ht="15" customHeight="1" x14ac:dyDescent="0.25">
      <c r="A683" s="69">
        <v>410</v>
      </c>
      <c r="B683" s="35" t="s">
        <v>1548</v>
      </c>
      <c r="C683" s="69" t="s">
        <v>1549</v>
      </c>
      <c r="D683" s="69" t="s">
        <v>1550</v>
      </c>
      <c r="E683" s="104">
        <v>8145000</v>
      </c>
      <c r="F683" s="109">
        <v>2103750</v>
      </c>
      <c r="G683" s="102" t="s">
        <v>475</v>
      </c>
      <c r="K683" s="69" t="s">
        <v>177</v>
      </c>
      <c r="N683" s="109"/>
      <c r="O683" s="96"/>
      <c r="P683" s="110">
        <f t="shared" si="14"/>
        <v>6041250</v>
      </c>
      <c r="Q683" s="69" t="s">
        <v>280</v>
      </c>
      <c r="R683" s="109">
        <v>2103750</v>
      </c>
      <c r="S683" s="100" t="s">
        <v>40</v>
      </c>
      <c r="T683" s="110">
        <f>E683-F683-R683</f>
        <v>3937500</v>
      </c>
      <c r="V683" t="s">
        <v>27</v>
      </c>
    </row>
    <row r="684" spans="1:22" ht="15" customHeight="1" x14ac:dyDescent="0.25">
      <c r="A684" s="69">
        <v>412</v>
      </c>
      <c r="B684" s="35" t="s">
        <v>1551</v>
      </c>
      <c r="C684" s="69" t="s">
        <v>49</v>
      </c>
      <c r="D684" s="69" t="s">
        <v>160</v>
      </c>
      <c r="E684" s="104">
        <v>4465000</v>
      </c>
      <c r="F684" s="109">
        <v>2232500</v>
      </c>
      <c r="G684" s="102" t="s">
        <v>475</v>
      </c>
      <c r="J684" s="109"/>
      <c r="K684" s="35"/>
      <c r="P684" s="110">
        <f t="shared" si="14"/>
        <v>2232500</v>
      </c>
      <c r="Q684" s="69" t="s">
        <v>26</v>
      </c>
      <c r="R684" s="109"/>
      <c r="V684" t="s">
        <v>27</v>
      </c>
    </row>
    <row r="685" spans="1:22" ht="15" customHeight="1" x14ac:dyDescent="0.25">
      <c r="A685" s="69">
        <v>424</v>
      </c>
      <c r="B685" s="35" t="s">
        <v>1552</v>
      </c>
      <c r="C685" s="69" t="s">
        <v>1553</v>
      </c>
      <c r="D685" s="69" t="s">
        <v>22</v>
      </c>
      <c r="E685" s="104">
        <v>8415000</v>
      </c>
      <c r="F685" s="109">
        <v>2103750</v>
      </c>
      <c r="G685" s="96" t="s">
        <v>145</v>
      </c>
      <c r="P685" s="110">
        <f t="shared" si="14"/>
        <v>6311250</v>
      </c>
      <c r="Q685" s="69" t="s">
        <v>26</v>
      </c>
      <c r="R685" s="109"/>
      <c r="V685" t="s">
        <v>27</v>
      </c>
    </row>
    <row r="686" spans="1:22" ht="15" customHeight="1" x14ac:dyDescent="0.25">
      <c r="A686" s="69">
        <v>425</v>
      </c>
      <c r="B686" s="35" t="s">
        <v>1554</v>
      </c>
      <c r="C686" s="69" t="s">
        <v>269</v>
      </c>
      <c r="D686" s="69" t="s">
        <v>494</v>
      </c>
      <c r="E686" s="104">
        <v>4465000</v>
      </c>
      <c r="F686" s="109">
        <v>2232500</v>
      </c>
      <c r="G686" s="96" t="s">
        <v>145</v>
      </c>
      <c r="J686" s="110">
        <v>2232500</v>
      </c>
      <c r="K686" s="96" t="s">
        <v>868</v>
      </c>
      <c r="P686" s="110">
        <f t="shared" si="14"/>
        <v>0</v>
      </c>
      <c r="Q686" s="69" t="s">
        <v>26</v>
      </c>
      <c r="R686" s="109"/>
      <c r="V686" t="s">
        <v>27</v>
      </c>
    </row>
    <row r="687" spans="1:22" ht="15" customHeight="1" x14ac:dyDescent="0.25">
      <c r="A687" s="69">
        <v>427</v>
      </c>
      <c r="B687" s="35" t="s">
        <v>1555</v>
      </c>
      <c r="C687" s="69" t="s">
        <v>238</v>
      </c>
      <c r="D687" s="69" t="s">
        <v>175</v>
      </c>
      <c r="E687" s="104">
        <v>2100000</v>
      </c>
      <c r="F687" s="109">
        <v>2100000</v>
      </c>
      <c r="G687" s="96" t="s">
        <v>145</v>
      </c>
      <c r="P687" s="110">
        <f t="shared" si="14"/>
        <v>0</v>
      </c>
      <c r="Q687" s="69" t="s">
        <v>26</v>
      </c>
      <c r="R687" s="109"/>
      <c r="V687" t="s">
        <v>27</v>
      </c>
    </row>
    <row r="688" spans="1:22" ht="15" customHeight="1" x14ac:dyDescent="0.25">
      <c r="A688" s="69">
        <v>428</v>
      </c>
      <c r="B688" s="35" t="s">
        <v>1556</v>
      </c>
      <c r="C688" s="69" t="s">
        <v>1486</v>
      </c>
      <c r="D688" s="69" t="s">
        <v>120</v>
      </c>
      <c r="E688" s="104">
        <v>2100000</v>
      </c>
      <c r="F688" s="109">
        <v>2100000</v>
      </c>
      <c r="G688" s="96" t="s">
        <v>145</v>
      </c>
      <c r="P688" s="110">
        <f t="shared" si="14"/>
        <v>0</v>
      </c>
      <c r="Q688" s="69" t="s">
        <v>26</v>
      </c>
      <c r="R688" s="109"/>
      <c r="V688" t="s">
        <v>27</v>
      </c>
    </row>
    <row r="689" spans="1:22" ht="15" customHeight="1" x14ac:dyDescent="0.25">
      <c r="A689" s="69">
        <v>435</v>
      </c>
      <c r="B689" s="35" t="s">
        <v>1557</v>
      </c>
      <c r="C689" s="69" t="s">
        <v>1234</v>
      </c>
      <c r="D689" s="69" t="s">
        <v>494</v>
      </c>
      <c r="E689" s="104">
        <v>8415000</v>
      </c>
      <c r="F689" s="109">
        <v>2103750</v>
      </c>
      <c r="G689" s="102" t="s">
        <v>479</v>
      </c>
      <c r="P689" s="110">
        <f t="shared" si="14"/>
        <v>6311250</v>
      </c>
      <c r="Q689" s="69" t="s">
        <v>26</v>
      </c>
      <c r="R689" s="109"/>
      <c r="T689" s="110">
        <f>E689-F689</f>
        <v>6311250</v>
      </c>
      <c r="V689" t="s">
        <v>27</v>
      </c>
    </row>
    <row r="690" spans="1:22" ht="15" customHeight="1" x14ac:dyDescent="0.25">
      <c r="A690" s="69">
        <v>442</v>
      </c>
      <c r="B690" s="35" t="s">
        <v>1558</v>
      </c>
      <c r="C690" s="69" t="s">
        <v>671</v>
      </c>
      <c r="D690" s="69" t="s">
        <v>97</v>
      </c>
      <c r="E690" s="104">
        <v>4465000</v>
      </c>
      <c r="F690" s="109">
        <v>2232500</v>
      </c>
      <c r="G690" s="102" t="s">
        <v>479</v>
      </c>
      <c r="J690" s="109">
        <v>2232500</v>
      </c>
      <c r="K690" s="96" t="s">
        <v>389</v>
      </c>
      <c r="P690" s="110">
        <f t="shared" si="14"/>
        <v>0</v>
      </c>
      <c r="Q690" s="69" t="s">
        <v>26</v>
      </c>
      <c r="R690" s="109"/>
      <c r="V690" t="s">
        <v>27</v>
      </c>
    </row>
    <row r="691" spans="1:22" ht="15" customHeight="1" x14ac:dyDescent="0.25">
      <c r="A691" s="69">
        <v>443</v>
      </c>
      <c r="B691" s="35" t="s">
        <v>1559</v>
      </c>
      <c r="C691" s="69" t="s">
        <v>1038</v>
      </c>
      <c r="D691" s="69" t="s">
        <v>708</v>
      </c>
      <c r="E691" s="104">
        <v>4465000</v>
      </c>
      <c r="F691" s="109">
        <v>2232500</v>
      </c>
      <c r="G691" s="102" t="s">
        <v>479</v>
      </c>
      <c r="J691" s="109">
        <v>2232500</v>
      </c>
      <c r="K691" s="102" t="s">
        <v>112</v>
      </c>
      <c r="P691" s="110">
        <f t="shared" si="14"/>
        <v>0</v>
      </c>
      <c r="Q691" s="69" t="s">
        <v>26</v>
      </c>
      <c r="R691" s="109"/>
      <c r="V691" t="s">
        <v>27</v>
      </c>
    </row>
    <row r="692" spans="1:22" ht="15" customHeight="1" x14ac:dyDescent="0.25">
      <c r="A692" s="69">
        <v>444</v>
      </c>
      <c r="B692" s="35" t="s">
        <v>1560</v>
      </c>
      <c r="C692" s="69" t="s">
        <v>1561</v>
      </c>
      <c r="D692" s="69" t="s">
        <v>30</v>
      </c>
      <c r="E692" s="104">
        <v>4700000</v>
      </c>
      <c r="F692" s="109">
        <v>2100000</v>
      </c>
      <c r="G692" s="102" t="s">
        <v>479</v>
      </c>
      <c r="K692" s="35"/>
      <c r="P692" s="110">
        <f t="shared" si="14"/>
        <v>2600000</v>
      </c>
      <c r="Q692" s="69" t="s">
        <v>26</v>
      </c>
      <c r="R692" s="109"/>
      <c r="V692" t="s">
        <v>27</v>
      </c>
    </row>
    <row r="693" spans="1:22" ht="15" customHeight="1" x14ac:dyDescent="0.25">
      <c r="A693" s="69">
        <v>447</v>
      </c>
      <c r="B693" s="35" t="s">
        <v>1562</v>
      </c>
      <c r="C693" s="69" t="s">
        <v>1563</v>
      </c>
      <c r="D693" s="69" t="s">
        <v>116</v>
      </c>
      <c r="E693" s="104">
        <v>8415000</v>
      </c>
      <c r="F693" s="109">
        <v>2103750</v>
      </c>
      <c r="G693" s="96" t="s">
        <v>643</v>
      </c>
      <c r="P693" s="110">
        <f t="shared" si="14"/>
        <v>6311250</v>
      </c>
      <c r="Q693" s="69" t="s">
        <v>26</v>
      </c>
      <c r="R693" s="109"/>
      <c r="V693" t="s">
        <v>27</v>
      </c>
    </row>
    <row r="694" spans="1:22" ht="15" customHeight="1" x14ac:dyDescent="0.25">
      <c r="A694" s="69">
        <v>456</v>
      </c>
      <c r="B694" s="35" t="s">
        <v>1564</v>
      </c>
      <c r="C694" s="69" t="s">
        <v>1565</v>
      </c>
      <c r="D694" s="69" t="s">
        <v>535</v>
      </c>
      <c r="E694" s="104">
        <v>4465000</v>
      </c>
      <c r="F694" s="109">
        <v>2232500</v>
      </c>
      <c r="G694" s="96" t="s">
        <v>643</v>
      </c>
      <c r="J694" s="109">
        <v>2232500</v>
      </c>
      <c r="K694" s="102" t="s">
        <v>648</v>
      </c>
      <c r="P694" s="110">
        <f t="shared" si="14"/>
        <v>0</v>
      </c>
      <c r="Q694" s="69" t="s">
        <v>26</v>
      </c>
      <c r="R694" s="109"/>
      <c r="V694" t="s">
        <v>27</v>
      </c>
    </row>
    <row r="695" spans="1:22" ht="15" customHeight="1" x14ac:dyDescent="0.25">
      <c r="A695" s="69">
        <v>458</v>
      </c>
      <c r="B695" s="35" t="s">
        <v>1566</v>
      </c>
      <c r="C695" s="69" t="s">
        <v>372</v>
      </c>
      <c r="D695" s="69" t="s">
        <v>151</v>
      </c>
      <c r="E695" s="104">
        <v>4465000</v>
      </c>
      <c r="F695" s="109">
        <v>2232500</v>
      </c>
      <c r="G695" s="96" t="s">
        <v>643</v>
      </c>
      <c r="J695" s="109">
        <v>2232500</v>
      </c>
      <c r="K695" s="102" t="s">
        <v>644</v>
      </c>
      <c r="P695" s="110">
        <f t="shared" si="14"/>
        <v>0</v>
      </c>
      <c r="Q695" s="69" t="s">
        <v>26</v>
      </c>
      <c r="R695" s="109"/>
      <c r="V695" t="s">
        <v>27</v>
      </c>
    </row>
    <row r="696" spans="1:22" ht="15" customHeight="1" x14ac:dyDescent="0.25">
      <c r="A696" s="69">
        <v>459</v>
      </c>
      <c r="B696" s="35" t="s">
        <v>1567</v>
      </c>
      <c r="C696" s="69" t="s">
        <v>1568</v>
      </c>
      <c r="D696" s="69" t="s">
        <v>1569</v>
      </c>
      <c r="E696" s="104">
        <v>2100000</v>
      </c>
      <c r="F696" s="109">
        <v>2100000</v>
      </c>
      <c r="G696" s="96" t="s">
        <v>643</v>
      </c>
      <c r="P696" s="110">
        <f t="shared" si="14"/>
        <v>0</v>
      </c>
      <c r="Q696" s="69" t="s">
        <v>26</v>
      </c>
      <c r="R696" s="109"/>
      <c r="V696" t="s">
        <v>27</v>
      </c>
    </row>
    <row r="697" spans="1:22" ht="15" customHeight="1" x14ac:dyDescent="0.25">
      <c r="A697" s="69">
        <v>472</v>
      </c>
      <c r="B697" s="35" t="s">
        <v>1570</v>
      </c>
      <c r="C697" s="69" t="s">
        <v>1571</v>
      </c>
      <c r="D697" s="69" t="s">
        <v>185</v>
      </c>
      <c r="E697" s="104">
        <v>8415000</v>
      </c>
      <c r="F697" s="109">
        <v>2103750</v>
      </c>
      <c r="G697" s="102" t="s">
        <v>822</v>
      </c>
      <c r="P697" s="110">
        <f t="shared" si="14"/>
        <v>6311250</v>
      </c>
      <c r="Q697" s="69" t="s">
        <v>26</v>
      </c>
      <c r="R697" s="109"/>
      <c r="V697" t="s">
        <v>27</v>
      </c>
    </row>
    <row r="698" spans="1:22" ht="15" customHeight="1" x14ac:dyDescent="0.25">
      <c r="A698" s="69">
        <v>474</v>
      </c>
      <c r="B698" s="35" t="s">
        <v>1572</v>
      </c>
      <c r="C698" s="69" t="s">
        <v>1573</v>
      </c>
      <c r="D698" s="69" t="s">
        <v>252</v>
      </c>
      <c r="E698" s="104">
        <v>4465000</v>
      </c>
      <c r="F698" s="109">
        <v>2232500</v>
      </c>
      <c r="G698" s="102" t="s">
        <v>822</v>
      </c>
      <c r="J698" s="110">
        <v>2232500</v>
      </c>
      <c r="K698" s="102" t="s">
        <v>85</v>
      </c>
      <c r="P698" s="110">
        <f t="shared" si="14"/>
        <v>0</v>
      </c>
      <c r="Q698" s="69" t="s">
        <v>26</v>
      </c>
      <c r="R698" s="109"/>
      <c r="V698" t="s">
        <v>27</v>
      </c>
    </row>
    <row r="699" spans="1:22" ht="15" customHeight="1" x14ac:dyDescent="0.25">
      <c r="A699" s="69">
        <v>475</v>
      </c>
      <c r="B699" s="35" t="s">
        <v>1574</v>
      </c>
      <c r="C699" s="69" t="s">
        <v>38</v>
      </c>
      <c r="D699" s="69" t="s">
        <v>54</v>
      </c>
      <c r="E699" s="104">
        <v>4465000</v>
      </c>
      <c r="F699" s="109">
        <v>2232500</v>
      </c>
      <c r="G699" s="102" t="s">
        <v>822</v>
      </c>
      <c r="J699" s="109">
        <v>2232500</v>
      </c>
      <c r="K699" s="102" t="s">
        <v>112</v>
      </c>
      <c r="O699" s="35"/>
      <c r="P699" s="110">
        <f t="shared" si="14"/>
        <v>0</v>
      </c>
      <c r="Q699" s="69" t="s">
        <v>26</v>
      </c>
      <c r="R699" s="109"/>
      <c r="V699" t="s">
        <v>27</v>
      </c>
    </row>
    <row r="700" spans="1:22" ht="15" customHeight="1" x14ac:dyDescent="0.25">
      <c r="A700" s="69">
        <v>482</v>
      </c>
      <c r="B700" s="35" t="s">
        <v>1575</v>
      </c>
      <c r="C700" s="69" t="s">
        <v>1576</v>
      </c>
      <c r="D700" s="69" t="s">
        <v>676</v>
      </c>
      <c r="E700" s="104">
        <v>8415000</v>
      </c>
      <c r="F700" s="109">
        <v>2103750</v>
      </c>
      <c r="G700" s="96" t="s">
        <v>84</v>
      </c>
      <c r="P700" s="110">
        <f t="shared" ref="P700:P731" si="15">E700-F700-H700-J700-L700-N700</f>
        <v>6311250</v>
      </c>
      <c r="Q700" s="69" t="s">
        <v>26</v>
      </c>
      <c r="R700" s="109"/>
      <c r="T700" s="110">
        <f>E700-F700</f>
        <v>6311250</v>
      </c>
      <c r="V700" t="s">
        <v>27</v>
      </c>
    </row>
    <row r="701" spans="1:22" ht="15" customHeight="1" x14ac:dyDescent="0.25">
      <c r="A701" s="69">
        <v>491</v>
      </c>
      <c r="B701" s="35" t="s">
        <v>1577</v>
      </c>
      <c r="C701" s="69" t="s">
        <v>103</v>
      </c>
      <c r="D701" s="69" t="s">
        <v>242</v>
      </c>
      <c r="E701" s="104">
        <v>2100000</v>
      </c>
      <c r="F701" s="109">
        <v>2100000</v>
      </c>
      <c r="G701" s="96" t="s">
        <v>84</v>
      </c>
      <c r="K701" s="35"/>
      <c r="P701" s="110">
        <f t="shared" si="15"/>
        <v>0</v>
      </c>
      <c r="Q701" s="69" t="s">
        <v>26</v>
      </c>
      <c r="R701" s="109"/>
      <c r="V701" t="s">
        <v>27</v>
      </c>
    </row>
    <row r="702" spans="1:22" ht="15" customHeight="1" x14ac:dyDescent="0.25">
      <c r="A702" s="69">
        <v>492</v>
      </c>
      <c r="B702" s="35" t="s">
        <v>1578</v>
      </c>
      <c r="C702" s="35" t="s">
        <v>523</v>
      </c>
      <c r="D702" s="35" t="s">
        <v>275</v>
      </c>
      <c r="E702" s="104">
        <v>2100000</v>
      </c>
      <c r="F702" s="109">
        <v>2100000</v>
      </c>
      <c r="G702" s="96" t="s">
        <v>84</v>
      </c>
      <c r="N702" s="35"/>
      <c r="O702" s="35"/>
      <c r="P702" s="110">
        <f t="shared" si="15"/>
        <v>0</v>
      </c>
      <c r="Q702" s="69" t="s">
        <v>26</v>
      </c>
      <c r="R702" s="109"/>
      <c r="V702" t="s">
        <v>27</v>
      </c>
    </row>
    <row r="703" spans="1:22" ht="15" customHeight="1" x14ac:dyDescent="0.25">
      <c r="A703" s="69">
        <v>502</v>
      </c>
      <c r="B703" s="35" t="s">
        <v>1579</v>
      </c>
      <c r="C703" s="69" t="s">
        <v>38</v>
      </c>
      <c r="D703" s="69" t="s">
        <v>708</v>
      </c>
      <c r="E703" s="104">
        <v>8415000</v>
      </c>
      <c r="F703" s="109">
        <v>2103750</v>
      </c>
      <c r="G703" s="102" t="s">
        <v>833</v>
      </c>
      <c r="P703" s="110">
        <f t="shared" si="15"/>
        <v>6311250</v>
      </c>
      <c r="Q703" s="69" t="s">
        <v>26</v>
      </c>
      <c r="R703" s="109"/>
      <c r="V703" t="s">
        <v>27</v>
      </c>
    </row>
    <row r="704" spans="1:22" ht="15" customHeight="1" x14ac:dyDescent="0.25">
      <c r="A704" s="69">
        <v>507</v>
      </c>
      <c r="B704" s="35" t="s">
        <v>1580</v>
      </c>
      <c r="C704" s="69" t="s">
        <v>945</v>
      </c>
      <c r="D704" s="69" t="s">
        <v>138</v>
      </c>
      <c r="E704" s="104">
        <v>2100000</v>
      </c>
      <c r="F704" s="109">
        <v>2100000</v>
      </c>
      <c r="G704" s="102" t="s">
        <v>833</v>
      </c>
      <c r="P704" s="110">
        <f t="shared" si="15"/>
        <v>0</v>
      </c>
      <c r="Q704" s="69" t="s">
        <v>26</v>
      </c>
      <c r="R704" s="109"/>
      <c r="V704" t="s">
        <v>27</v>
      </c>
    </row>
    <row r="705" spans="1:22" ht="15" customHeight="1" x14ac:dyDescent="0.25">
      <c r="A705" s="69">
        <v>508</v>
      </c>
      <c r="B705" s="35" t="s">
        <v>1581</v>
      </c>
      <c r="C705" s="69" t="s">
        <v>1582</v>
      </c>
      <c r="D705" s="69" t="s">
        <v>175</v>
      </c>
      <c r="E705" s="104">
        <v>2100000</v>
      </c>
      <c r="F705" s="109">
        <v>2100000</v>
      </c>
      <c r="G705" s="102" t="s">
        <v>833</v>
      </c>
      <c r="P705" s="110">
        <f t="shared" si="15"/>
        <v>0</v>
      </c>
      <c r="Q705" s="69" t="s">
        <v>26</v>
      </c>
      <c r="R705" s="109"/>
      <c r="V705" t="s">
        <v>27</v>
      </c>
    </row>
    <row r="706" spans="1:22" ht="15" customHeight="1" x14ac:dyDescent="0.25">
      <c r="A706" s="69">
        <v>512</v>
      </c>
      <c r="B706" s="35" t="s">
        <v>1583</v>
      </c>
      <c r="C706" s="69" t="s">
        <v>1584</v>
      </c>
      <c r="D706" s="69" t="s">
        <v>1060</v>
      </c>
      <c r="E706" s="104">
        <v>8415000</v>
      </c>
      <c r="F706" s="109">
        <v>2103750</v>
      </c>
      <c r="G706" s="96" t="s">
        <v>951</v>
      </c>
      <c r="P706" s="110">
        <f t="shared" si="15"/>
        <v>6311250</v>
      </c>
      <c r="Q706" s="69" t="s">
        <v>26</v>
      </c>
      <c r="R706" s="109"/>
      <c r="V706" t="s">
        <v>27</v>
      </c>
    </row>
    <row r="707" spans="1:22" ht="15" customHeight="1" x14ac:dyDescent="0.25">
      <c r="A707" s="69">
        <v>519</v>
      </c>
      <c r="B707" s="35" t="s">
        <v>1585</v>
      </c>
      <c r="C707" s="69" t="s">
        <v>1586</v>
      </c>
      <c r="D707" s="69" t="s">
        <v>1354</v>
      </c>
      <c r="E707" s="104">
        <v>8415000</v>
      </c>
      <c r="F707" s="109">
        <v>2103750</v>
      </c>
      <c r="G707" s="96" t="s">
        <v>951</v>
      </c>
      <c r="P707" s="110">
        <f t="shared" si="15"/>
        <v>6311250</v>
      </c>
      <c r="Q707" s="69" t="s">
        <v>26</v>
      </c>
      <c r="R707" s="109"/>
      <c r="V707" t="s">
        <v>27</v>
      </c>
    </row>
    <row r="708" spans="1:22" ht="15" customHeight="1" x14ac:dyDescent="0.25">
      <c r="A708" s="69">
        <v>524</v>
      </c>
      <c r="B708" s="35">
        <v>25808500293</v>
      </c>
      <c r="C708" s="35" t="s">
        <v>1587</v>
      </c>
      <c r="D708" s="35" t="s">
        <v>252</v>
      </c>
      <c r="E708" s="104">
        <v>4465000</v>
      </c>
      <c r="F708" s="104">
        <v>2232500</v>
      </c>
      <c r="G708" s="35" t="s">
        <v>951</v>
      </c>
      <c r="H708" s="35"/>
      <c r="I708" s="35"/>
      <c r="J708" s="110">
        <v>2232500</v>
      </c>
      <c r="K708" s="102" t="s">
        <v>601</v>
      </c>
      <c r="L708" s="35"/>
      <c r="M708" s="35"/>
      <c r="N708" s="35"/>
      <c r="O708" s="35"/>
      <c r="P708" s="110">
        <f t="shared" si="15"/>
        <v>0</v>
      </c>
      <c r="Q708" s="35"/>
      <c r="R708" s="109"/>
      <c r="S708" s="35"/>
      <c r="T708" s="35"/>
      <c r="V708" t="s">
        <v>27</v>
      </c>
    </row>
    <row r="709" spans="1:22" ht="15" customHeight="1" x14ac:dyDescent="0.25">
      <c r="A709" s="69">
        <v>537</v>
      </c>
      <c r="B709" s="35" t="s">
        <v>1588</v>
      </c>
      <c r="C709" s="69" t="s">
        <v>103</v>
      </c>
      <c r="D709" s="69" t="s">
        <v>1360</v>
      </c>
      <c r="E709" s="104">
        <v>4465000</v>
      </c>
      <c r="F709" s="109">
        <v>2232500</v>
      </c>
      <c r="G709" s="102" t="s">
        <v>332</v>
      </c>
      <c r="J709" s="109">
        <v>2232500</v>
      </c>
      <c r="K709" s="102" t="s">
        <v>314</v>
      </c>
      <c r="P709" s="110">
        <f t="shared" si="15"/>
        <v>0</v>
      </c>
      <c r="Q709" s="69" t="s">
        <v>26</v>
      </c>
      <c r="R709" s="109"/>
      <c r="V709" t="s">
        <v>27</v>
      </c>
    </row>
    <row r="710" spans="1:22" ht="15" customHeight="1" x14ac:dyDescent="0.25">
      <c r="A710" s="69">
        <v>539</v>
      </c>
      <c r="B710" s="35" t="s">
        <v>1589</v>
      </c>
      <c r="C710" s="69" t="s">
        <v>1590</v>
      </c>
      <c r="D710" s="69" t="s">
        <v>474</v>
      </c>
      <c r="E710" s="104">
        <v>4465000</v>
      </c>
      <c r="F710" s="109">
        <v>2232500</v>
      </c>
      <c r="G710" s="102" t="s">
        <v>332</v>
      </c>
      <c r="J710" s="109">
        <v>2232500</v>
      </c>
      <c r="K710" s="96" t="s">
        <v>108</v>
      </c>
      <c r="P710" s="110">
        <f t="shared" si="15"/>
        <v>0</v>
      </c>
      <c r="Q710" s="69" t="s">
        <v>26</v>
      </c>
      <c r="R710" s="109"/>
      <c r="V710" t="s">
        <v>27</v>
      </c>
    </row>
    <row r="711" spans="1:22" ht="15" customHeight="1" x14ac:dyDescent="0.25">
      <c r="A711" s="69">
        <v>541</v>
      </c>
      <c r="B711" s="35" t="s">
        <v>1591</v>
      </c>
      <c r="C711" s="69" t="s">
        <v>383</v>
      </c>
      <c r="D711" s="69" t="s">
        <v>97</v>
      </c>
      <c r="E711" s="104">
        <v>8445000</v>
      </c>
      <c r="F711" s="109">
        <v>2103750</v>
      </c>
      <c r="G711" s="96" t="s">
        <v>482</v>
      </c>
      <c r="P711" s="110">
        <f t="shared" si="15"/>
        <v>6341250</v>
      </c>
      <c r="Q711" s="69" t="s">
        <v>26</v>
      </c>
      <c r="R711" s="109"/>
      <c r="V711" t="s">
        <v>27</v>
      </c>
    </row>
    <row r="712" spans="1:22" ht="15" customHeight="1" x14ac:dyDescent="0.25">
      <c r="A712" s="69">
        <v>552</v>
      </c>
      <c r="B712" s="35" t="s">
        <v>1592</v>
      </c>
      <c r="C712" s="69" t="s">
        <v>154</v>
      </c>
      <c r="D712" s="69" t="s">
        <v>347</v>
      </c>
      <c r="E712" s="104">
        <v>4465000</v>
      </c>
      <c r="F712" s="109">
        <v>2232500</v>
      </c>
      <c r="G712" s="96" t="s">
        <v>482</v>
      </c>
      <c r="J712" s="109">
        <v>2232500</v>
      </c>
      <c r="K712" s="102" t="s">
        <v>648</v>
      </c>
      <c r="P712" s="110">
        <f t="shared" si="15"/>
        <v>0</v>
      </c>
      <c r="Q712" s="69" t="s">
        <v>26</v>
      </c>
      <c r="R712" s="109"/>
      <c r="V712" t="s">
        <v>27</v>
      </c>
    </row>
    <row r="713" spans="1:22" ht="15" customHeight="1" x14ac:dyDescent="0.25">
      <c r="A713" s="69">
        <v>554</v>
      </c>
      <c r="B713" s="35" t="s">
        <v>1593</v>
      </c>
      <c r="C713" s="69" t="s">
        <v>100</v>
      </c>
      <c r="D713" s="69" t="s">
        <v>439</v>
      </c>
      <c r="E713" s="104">
        <v>4465000</v>
      </c>
      <c r="F713" s="109">
        <v>2232500</v>
      </c>
      <c r="G713" s="96" t="s">
        <v>482</v>
      </c>
      <c r="J713" s="109">
        <v>2232500</v>
      </c>
      <c r="K713" s="102" t="s">
        <v>648</v>
      </c>
      <c r="P713" s="110">
        <f t="shared" si="15"/>
        <v>0</v>
      </c>
      <c r="Q713" s="69" t="s">
        <v>26</v>
      </c>
      <c r="R713" s="109"/>
      <c r="V713" t="s">
        <v>27</v>
      </c>
    </row>
    <row r="714" spans="1:22" ht="15" customHeight="1" x14ac:dyDescent="0.25">
      <c r="A714" s="69">
        <v>555</v>
      </c>
      <c r="B714" s="35" t="s">
        <v>1594</v>
      </c>
      <c r="C714" s="69" t="s">
        <v>38</v>
      </c>
      <c r="D714" s="69" t="s">
        <v>34</v>
      </c>
      <c r="E714" s="104">
        <v>2100000</v>
      </c>
      <c r="F714" s="109">
        <v>2100000</v>
      </c>
      <c r="G714" s="96" t="s">
        <v>482</v>
      </c>
      <c r="P714" s="110">
        <f t="shared" si="15"/>
        <v>0</v>
      </c>
      <c r="Q714" s="69" t="s">
        <v>26</v>
      </c>
      <c r="R714" s="109"/>
      <c r="V714" t="s">
        <v>27</v>
      </c>
    </row>
    <row r="715" spans="1:22" ht="15" customHeight="1" x14ac:dyDescent="0.25">
      <c r="A715" s="69">
        <v>569</v>
      </c>
      <c r="B715" s="35" t="s">
        <v>1595</v>
      </c>
      <c r="C715" s="69" t="s">
        <v>1596</v>
      </c>
      <c r="D715" s="69" t="s">
        <v>484</v>
      </c>
      <c r="E715" s="104">
        <v>4465000</v>
      </c>
      <c r="F715" s="109">
        <v>2232500</v>
      </c>
      <c r="G715" s="102" t="s">
        <v>285</v>
      </c>
      <c r="J715" s="109">
        <v>2232500</v>
      </c>
      <c r="K715" s="96" t="s">
        <v>868</v>
      </c>
      <c r="P715" s="110">
        <f t="shared" si="15"/>
        <v>0</v>
      </c>
      <c r="Q715" s="69" t="s">
        <v>26</v>
      </c>
      <c r="R715" s="109"/>
      <c r="V715" t="s">
        <v>27</v>
      </c>
    </row>
    <row r="716" spans="1:22" ht="15" customHeight="1" x14ac:dyDescent="0.25">
      <c r="A716" s="69">
        <v>571</v>
      </c>
      <c r="B716" s="35" t="s">
        <v>1597</v>
      </c>
      <c r="C716" s="69" t="s">
        <v>1598</v>
      </c>
      <c r="D716" s="69" t="s">
        <v>131</v>
      </c>
      <c r="E716" s="104">
        <v>4465000</v>
      </c>
      <c r="F716" s="109">
        <v>2232500</v>
      </c>
      <c r="G716" s="102" t="s">
        <v>285</v>
      </c>
      <c r="J716" s="109">
        <v>2232500</v>
      </c>
      <c r="K716" s="96" t="s">
        <v>786</v>
      </c>
      <c r="P716" s="110">
        <f t="shared" si="15"/>
        <v>0</v>
      </c>
      <c r="Q716" s="69" t="s">
        <v>26</v>
      </c>
      <c r="R716" s="109"/>
      <c r="V716" t="s">
        <v>27</v>
      </c>
    </row>
    <row r="717" spans="1:22" ht="15" customHeight="1" x14ac:dyDescent="0.25">
      <c r="A717" s="69">
        <v>584</v>
      </c>
      <c r="B717" s="35" t="s">
        <v>1599</v>
      </c>
      <c r="C717" s="69" t="s">
        <v>1600</v>
      </c>
      <c r="D717" s="69" t="s">
        <v>1601</v>
      </c>
      <c r="E717" s="104">
        <v>4465000</v>
      </c>
      <c r="F717" s="109">
        <v>2232500</v>
      </c>
      <c r="G717" s="96" t="s">
        <v>998</v>
      </c>
      <c r="J717" s="109">
        <v>2232500</v>
      </c>
      <c r="K717" s="96" t="s">
        <v>286</v>
      </c>
      <c r="P717" s="110">
        <f t="shared" si="15"/>
        <v>0</v>
      </c>
      <c r="Q717" s="69" t="s">
        <v>26</v>
      </c>
      <c r="R717" s="109" t="s">
        <v>1602</v>
      </c>
      <c r="V717" t="s">
        <v>27</v>
      </c>
    </row>
    <row r="718" spans="1:22" ht="15" customHeight="1" x14ac:dyDescent="0.25">
      <c r="A718" s="69">
        <v>585</v>
      </c>
      <c r="B718" s="35" t="s">
        <v>1603</v>
      </c>
      <c r="C718" s="69" t="s">
        <v>696</v>
      </c>
      <c r="D718" s="69" t="s">
        <v>1604</v>
      </c>
      <c r="E718" s="104">
        <v>4700000</v>
      </c>
      <c r="F718" s="109">
        <v>2100000</v>
      </c>
      <c r="G718" s="96" t="s">
        <v>998</v>
      </c>
      <c r="K718" s="35"/>
      <c r="P718" s="110">
        <f t="shared" si="15"/>
        <v>2600000</v>
      </c>
      <c r="Q718" s="69" t="s">
        <v>26</v>
      </c>
      <c r="R718" s="109"/>
      <c r="V718" t="s">
        <v>27</v>
      </c>
    </row>
    <row r="719" spans="1:22" ht="15" customHeight="1" x14ac:dyDescent="0.25">
      <c r="A719" s="69">
        <v>586</v>
      </c>
      <c r="B719" s="35" t="s">
        <v>1605</v>
      </c>
      <c r="C719" s="69" t="s">
        <v>1606</v>
      </c>
      <c r="D719" s="69" t="s">
        <v>120</v>
      </c>
      <c r="E719" s="104">
        <v>2100000</v>
      </c>
      <c r="F719" s="109">
        <v>2100000</v>
      </c>
      <c r="G719" s="96" t="s">
        <v>998</v>
      </c>
      <c r="K719" s="35"/>
      <c r="P719" s="110">
        <f t="shared" si="15"/>
        <v>0</v>
      </c>
      <c r="Q719" s="69" t="s">
        <v>26</v>
      </c>
      <c r="R719" s="109"/>
      <c r="V719" t="s">
        <v>27</v>
      </c>
    </row>
    <row r="720" spans="1:22" ht="15" customHeight="1" x14ac:dyDescent="0.25">
      <c r="A720" s="69">
        <v>587</v>
      </c>
      <c r="B720" s="35" t="s">
        <v>1607</v>
      </c>
      <c r="C720" s="69" t="s">
        <v>1608</v>
      </c>
      <c r="D720" s="69" t="s">
        <v>30</v>
      </c>
      <c r="E720" s="104">
        <v>2100000</v>
      </c>
      <c r="F720" s="109">
        <v>2100000</v>
      </c>
      <c r="G720" s="96" t="s">
        <v>998</v>
      </c>
      <c r="P720" s="110">
        <f t="shared" si="15"/>
        <v>0</v>
      </c>
      <c r="Q720" s="69" t="s">
        <v>26</v>
      </c>
      <c r="R720" s="109"/>
      <c r="V720" t="s">
        <v>27</v>
      </c>
    </row>
    <row r="721" spans="1:22" ht="15" customHeight="1" x14ac:dyDescent="0.25">
      <c r="A721" s="69">
        <v>591</v>
      </c>
      <c r="B721" s="35" t="s">
        <v>1609</v>
      </c>
      <c r="C721" s="69" t="s">
        <v>1610</v>
      </c>
      <c r="D721" s="69" t="s">
        <v>408</v>
      </c>
      <c r="E721" s="104">
        <v>7120000</v>
      </c>
      <c r="F721" s="109">
        <v>1530000</v>
      </c>
      <c r="G721" s="102" t="s">
        <v>152</v>
      </c>
      <c r="J721" s="109">
        <v>1530000</v>
      </c>
      <c r="K721" s="101" t="s">
        <v>139</v>
      </c>
      <c r="L721" s="109">
        <v>1530000</v>
      </c>
      <c r="M721" s="102" t="s">
        <v>147</v>
      </c>
      <c r="N721" s="109"/>
      <c r="O721" s="35"/>
      <c r="P721" s="110">
        <f t="shared" si="15"/>
        <v>2530000</v>
      </c>
      <c r="Q721" s="69" t="s">
        <v>148</v>
      </c>
      <c r="R721" s="109"/>
      <c r="V721" t="s">
        <v>27</v>
      </c>
    </row>
    <row r="722" spans="1:22" ht="15" customHeight="1" x14ac:dyDescent="0.25">
      <c r="A722" s="69">
        <v>594</v>
      </c>
      <c r="B722" s="35" t="s">
        <v>1611</v>
      </c>
      <c r="C722" s="112" t="s">
        <v>1612</v>
      </c>
      <c r="D722" s="112" t="s">
        <v>1425</v>
      </c>
      <c r="E722" s="104">
        <v>6120000</v>
      </c>
      <c r="F722" s="109">
        <v>1530000</v>
      </c>
      <c r="G722" s="102" t="s">
        <v>152</v>
      </c>
      <c r="J722" s="109">
        <v>1530000</v>
      </c>
      <c r="K722" s="101" t="s">
        <v>139</v>
      </c>
      <c r="L722" s="109"/>
      <c r="M722" s="35"/>
      <c r="N722" s="104"/>
      <c r="O722" s="35"/>
      <c r="P722" s="110">
        <f t="shared" si="15"/>
        <v>3060000</v>
      </c>
      <c r="Q722" s="69" t="s">
        <v>148</v>
      </c>
      <c r="R722" s="109"/>
      <c r="V722" t="s">
        <v>27</v>
      </c>
    </row>
    <row r="723" spans="1:22" ht="15" customHeight="1" x14ac:dyDescent="0.25">
      <c r="A723" s="69">
        <v>602</v>
      </c>
      <c r="B723" s="35" t="s">
        <v>1613</v>
      </c>
      <c r="C723" s="69" t="s">
        <v>1614</v>
      </c>
      <c r="D723" s="69" t="s">
        <v>239</v>
      </c>
      <c r="E723" s="104">
        <v>1600000</v>
      </c>
      <c r="F723" s="109">
        <v>1600000</v>
      </c>
      <c r="G723" s="102" t="s">
        <v>152</v>
      </c>
      <c r="P723" s="110">
        <f t="shared" si="15"/>
        <v>0</v>
      </c>
      <c r="Q723" s="69" t="s">
        <v>148</v>
      </c>
      <c r="R723" s="109"/>
      <c r="V723" t="s">
        <v>27</v>
      </c>
    </row>
    <row r="724" spans="1:22" ht="15" customHeight="1" x14ac:dyDescent="0.25">
      <c r="A724" s="69">
        <v>616</v>
      </c>
      <c r="B724" s="35" t="s">
        <v>1615</v>
      </c>
      <c r="C724" s="111" t="s">
        <v>1616</v>
      </c>
      <c r="D724" s="111" t="s">
        <v>517</v>
      </c>
      <c r="E724" s="104">
        <v>5200000</v>
      </c>
      <c r="F724" s="109">
        <v>1600000</v>
      </c>
      <c r="G724" s="96" t="s">
        <v>169</v>
      </c>
      <c r="L724" s="109">
        <v>2000000</v>
      </c>
      <c r="M724" s="102" t="s">
        <v>147</v>
      </c>
      <c r="P724" s="110">
        <f t="shared" si="15"/>
        <v>1600000</v>
      </c>
      <c r="Q724" s="69" t="s">
        <v>148</v>
      </c>
      <c r="R724" s="109"/>
      <c r="V724" t="s">
        <v>27</v>
      </c>
    </row>
    <row r="725" spans="1:22" ht="15" customHeight="1" x14ac:dyDescent="0.25">
      <c r="A725" s="69">
        <v>617</v>
      </c>
      <c r="B725" s="35" t="s">
        <v>1617</v>
      </c>
      <c r="C725" s="69" t="s">
        <v>1618</v>
      </c>
      <c r="D725" s="69" t="s">
        <v>157</v>
      </c>
      <c r="E725" s="104">
        <v>1600000</v>
      </c>
      <c r="F725" s="109">
        <v>1600000</v>
      </c>
      <c r="G725" s="96" t="s">
        <v>169</v>
      </c>
      <c r="P725" s="110">
        <f t="shared" si="15"/>
        <v>0</v>
      </c>
      <c r="Q725" s="69" t="s">
        <v>148</v>
      </c>
      <c r="R725" s="109"/>
      <c r="V725" t="s">
        <v>27</v>
      </c>
    </row>
    <row r="726" spans="1:22" ht="15" customHeight="1" x14ac:dyDescent="0.25">
      <c r="A726" s="69">
        <v>620</v>
      </c>
      <c r="B726" s="35">
        <v>25801800005</v>
      </c>
      <c r="C726" s="69" t="s">
        <v>1619</v>
      </c>
      <c r="D726" s="69" t="s">
        <v>160</v>
      </c>
      <c r="E726" s="104">
        <v>8415000</v>
      </c>
      <c r="F726" s="109"/>
      <c r="H726" s="109">
        <v>2103750</v>
      </c>
      <c r="I726" s="102" t="s">
        <v>487</v>
      </c>
      <c r="P726" s="110">
        <f t="shared" si="15"/>
        <v>6311250</v>
      </c>
      <c r="Q726" s="69" t="s">
        <v>26</v>
      </c>
      <c r="R726" s="109"/>
      <c r="V726" t="s">
        <v>27</v>
      </c>
    </row>
    <row r="727" spans="1:22" ht="15" customHeight="1" x14ac:dyDescent="0.25">
      <c r="A727" s="69">
        <v>627</v>
      </c>
      <c r="B727" s="35" t="s">
        <v>1620</v>
      </c>
      <c r="C727" s="69" t="s">
        <v>852</v>
      </c>
      <c r="D727" s="69" t="s">
        <v>500</v>
      </c>
      <c r="E727" s="104">
        <v>8415000</v>
      </c>
      <c r="F727" s="109"/>
      <c r="H727" s="109"/>
      <c r="I727" s="35"/>
      <c r="P727" s="110">
        <f t="shared" si="15"/>
        <v>8415000</v>
      </c>
      <c r="Q727" s="69" t="s">
        <v>26</v>
      </c>
      <c r="R727" s="109"/>
      <c r="V727" t="s">
        <v>27</v>
      </c>
    </row>
    <row r="728" spans="1:22" ht="15" customHeight="1" x14ac:dyDescent="0.25">
      <c r="A728" s="69">
        <v>632</v>
      </c>
      <c r="B728" s="35" t="s">
        <v>1621</v>
      </c>
      <c r="C728" s="69" t="s">
        <v>130</v>
      </c>
      <c r="D728" s="69" t="s">
        <v>131</v>
      </c>
      <c r="E728" s="104">
        <v>8415000</v>
      </c>
      <c r="F728" s="109"/>
      <c r="H728" s="109"/>
      <c r="I728" s="35"/>
      <c r="J728" s="109">
        <v>2103750</v>
      </c>
      <c r="K728" s="98" t="s">
        <v>35</v>
      </c>
      <c r="N728" s="109"/>
      <c r="O728" s="35"/>
      <c r="P728" s="110">
        <f t="shared" si="15"/>
        <v>6311250</v>
      </c>
      <c r="Q728" s="69" t="s">
        <v>26</v>
      </c>
      <c r="R728" s="109"/>
      <c r="V728" t="s">
        <v>27</v>
      </c>
    </row>
    <row r="729" spans="1:22" ht="15" customHeight="1" x14ac:dyDescent="0.25">
      <c r="A729" s="69">
        <v>633</v>
      </c>
      <c r="B729" s="35">
        <v>25802700162</v>
      </c>
      <c r="C729" s="69" t="s">
        <v>1622</v>
      </c>
      <c r="D729" s="69" t="s">
        <v>239</v>
      </c>
      <c r="E729" s="104">
        <v>8415000</v>
      </c>
      <c r="F729" s="109"/>
      <c r="H729" s="109"/>
      <c r="I729" s="35"/>
      <c r="J729" s="109">
        <v>2103750</v>
      </c>
      <c r="K729" s="102" t="s">
        <v>85</v>
      </c>
      <c r="N729" s="109"/>
      <c r="O729" s="35"/>
      <c r="P729" s="110">
        <f t="shared" si="15"/>
        <v>6311250</v>
      </c>
      <c r="Q729" s="69" t="s">
        <v>26</v>
      </c>
      <c r="R729" s="109"/>
      <c r="V729" t="s">
        <v>27</v>
      </c>
    </row>
    <row r="730" spans="1:22" ht="15" customHeight="1" x14ac:dyDescent="0.25">
      <c r="A730" s="69">
        <v>644</v>
      </c>
      <c r="B730" s="35" t="s">
        <v>1623</v>
      </c>
      <c r="C730" s="69" t="s">
        <v>1624</v>
      </c>
      <c r="D730" s="69" t="s">
        <v>500</v>
      </c>
      <c r="E730" s="104">
        <v>8415000</v>
      </c>
      <c r="F730" s="109"/>
      <c r="J730" s="109">
        <v>2103750</v>
      </c>
      <c r="K730" s="98" t="s">
        <v>35</v>
      </c>
      <c r="N730" s="109">
        <v>2103750</v>
      </c>
      <c r="O730" s="102" t="s">
        <v>80</v>
      </c>
      <c r="P730" s="110">
        <f t="shared" si="15"/>
        <v>4207500</v>
      </c>
      <c r="Q730" s="69" t="s">
        <v>26</v>
      </c>
      <c r="R730" s="109">
        <v>2103750</v>
      </c>
      <c r="S730" s="100" t="s">
        <v>40</v>
      </c>
      <c r="T730" s="110">
        <f>E730-F730-H730-J730-L730-N730-R730</f>
        <v>2103750</v>
      </c>
      <c r="V730" t="s">
        <v>27</v>
      </c>
    </row>
    <row r="731" spans="1:22" ht="15" customHeight="1" x14ac:dyDescent="0.25">
      <c r="A731" s="69">
        <v>647</v>
      </c>
      <c r="B731" s="35" t="s">
        <v>1625</v>
      </c>
      <c r="C731" s="69" t="s">
        <v>526</v>
      </c>
      <c r="D731" s="69" t="s">
        <v>104</v>
      </c>
      <c r="E731" s="104">
        <v>8415000</v>
      </c>
      <c r="F731" s="109"/>
      <c r="J731" s="109">
        <v>2103750</v>
      </c>
      <c r="K731" s="101" t="s">
        <v>51</v>
      </c>
      <c r="N731" s="109"/>
      <c r="O731" s="35"/>
      <c r="P731" s="110">
        <f t="shared" si="15"/>
        <v>6311250</v>
      </c>
      <c r="Q731" s="69" t="s">
        <v>26</v>
      </c>
      <c r="R731" s="109"/>
      <c r="V731" t="s">
        <v>27</v>
      </c>
    </row>
    <row r="732" spans="1:22" ht="15" customHeight="1" x14ac:dyDescent="0.25">
      <c r="A732" s="69">
        <v>648</v>
      </c>
      <c r="B732" s="35" t="s">
        <v>1626</v>
      </c>
      <c r="C732" s="69" t="s">
        <v>452</v>
      </c>
      <c r="D732" s="69" t="s">
        <v>239</v>
      </c>
      <c r="E732" s="104">
        <v>8415000</v>
      </c>
      <c r="F732" s="109"/>
      <c r="P732" s="110">
        <f t="shared" ref="P732:P763" si="16">E732-F732-H732-J732-L732-N732</f>
        <v>8415000</v>
      </c>
      <c r="Q732" s="69" t="s">
        <v>26</v>
      </c>
      <c r="R732" s="109"/>
      <c r="V732" t="s">
        <v>27</v>
      </c>
    </row>
    <row r="733" spans="1:22" ht="15" customHeight="1" x14ac:dyDescent="0.25">
      <c r="A733" s="69">
        <v>649</v>
      </c>
      <c r="B733" s="35" t="s">
        <v>1627</v>
      </c>
      <c r="C733" s="69" t="s">
        <v>1628</v>
      </c>
      <c r="D733" s="69" t="s">
        <v>611</v>
      </c>
      <c r="E733" s="104">
        <v>8415000</v>
      </c>
      <c r="F733" s="109"/>
      <c r="P733" s="110">
        <f t="shared" si="16"/>
        <v>8415000</v>
      </c>
      <c r="Q733" s="69" t="s">
        <v>26</v>
      </c>
      <c r="R733" s="109"/>
      <c r="V733" t="s">
        <v>27</v>
      </c>
    </row>
    <row r="734" spans="1:22" ht="15" customHeight="1" x14ac:dyDescent="0.25">
      <c r="A734" s="69">
        <v>651</v>
      </c>
      <c r="B734" s="35" t="s">
        <v>1629</v>
      </c>
      <c r="C734" s="69" t="s">
        <v>1630</v>
      </c>
      <c r="D734" s="69" t="s">
        <v>157</v>
      </c>
      <c r="E734" s="104">
        <v>8415000</v>
      </c>
      <c r="F734" s="109"/>
      <c r="P734" s="110">
        <f t="shared" si="16"/>
        <v>8415000</v>
      </c>
      <c r="Q734" s="69" t="s">
        <v>26</v>
      </c>
      <c r="R734" s="109"/>
      <c r="V734" t="s">
        <v>27</v>
      </c>
    </row>
    <row r="735" spans="1:22" ht="15" customHeight="1" x14ac:dyDescent="0.25">
      <c r="A735" s="69">
        <v>652</v>
      </c>
      <c r="B735" s="35" t="s">
        <v>1631</v>
      </c>
      <c r="C735" s="69" t="s">
        <v>1632</v>
      </c>
      <c r="D735" s="69" t="s">
        <v>615</v>
      </c>
      <c r="E735" s="104">
        <v>8415000</v>
      </c>
      <c r="F735" s="109"/>
      <c r="P735" s="110">
        <f t="shared" si="16"/>
        <v>8415000</v>
      </c>
      <c r="Q735" s="69" t="s">
        <v>26</v>
      </c>
      <c r="R735" s="109"/>
      <c r="V735" t="s">
        <v>27</v>
      </c>
    </row>
    <row r="736" spans="1:22" ht="15" customHeight="1" x14ac:dyDescent="0.25">
      <c r="A736" s="69">
        <v>654</v>
      </c>
      <c r="B736" s="35" t="s">
        <v>1633</v>
      </c>
      <c r="C736" s="69" t="s">
        <v>1634</v>
      </c>
      <c r="D736" s="69" t="s">
        <v>22</v>
      </c>
      <c r="E736" s="104">
        <v>8415000</v>
      </c>
      <c r="F736" s="109"/>
      <c r="J736" s="109">
        <v>2103750</v>
      </c>
      <c r="K736" s="98" t="s">
        <v>35</v>
      </c>
      <c r="N736" s="109"/>
      <c r="O736" s="35"/>
      <c r="P736" s="110">
        <f t="shared" si="16"/>
        <v>6311250</v>
      </c>
      <c r="Q736" s="69" t="s">
        <v>26</v>
      </c>
      <c r="R736" s="109" t="s">
        <v>1635</v>
      </c>
      <c r="V736" t="s">
        <v>27</v>
      </c>
    </row>
    <row r="737" spans="1:22" ht="15" customHeight="1" x14ac:dyDescent="0.25">
      <c r="A737" s="69">
        <v>656</v>
      </c>
      <c r="B737" s="35" t="s">
        <v>1636</v>
      </c>
      <c r="C737" s="69" t="s">
        <v>1637</v>
      </c>
      <c r="D737" s="69" t="s">
        <v>1638</v>
      </c>
      <c r="E737" s="104">
        <v>8415000</v>
      </c>
      <c r="F737" s="109"/>
      <c r="P737" s="110">
        <f t="shared" si="16"/>
        <v>8415000</v>
      </c>
      <c r="Q737" s="69" t="s">
        <v>26</v>
      </c>
      <c r="R737" s="109"/>
      <c r="V737" t="s">
        <v>27</v>
      </c>
    </row>
    <row r="738" spans="1:22" ht="15" customHeight="1" x14ac:dyDescent="0.25">
      <c r="A738" s="69">
        <v>659</v>
      </c>
      <c r="B738" s="35" t="s">
        <v>1639</v>
      </c>
      <c r="C738" s="69" t="s">
        <v>1640</v>
      </c>
      <c r="D738" s="69" t="s">
        <v>138</v>
      </c>
      <c r="E738" s="104">
        <v>8415000</v>
      </c>
      <c r="F738" s="109"/>
      <c r="P738" s="110">
        <f t="shared" si="16"/>
        <v>8415000</v>
      </c>
      <c r="Q738" s="69" t="s">
        <v>26</v>
      </c>
      <c r="R738" s="109"/>
      <c r="V738" t="s">
        <v>27</v>
      </c>
    </row>
    <row r="739" spans="1:22" ht="15" customHeight="1" x14ac:dyDescent="0.25">
      <c r="A739" s="69">
        <v>661</v>
      </c>
      <c r="B739" s="35" t="s">
        <v>1641</v>
      </c>
      <c r="C739" s="69" t="s">
        <v>1642</v>
      </c>
      <c r="D739" s="69" t="s">
        <v>236</v>
      </c>
      <c r="E739" s="104">
        <v>8415000</v>
      </c>
      <c r="F739" s="109"/>
      <c r="P739" s="110">
        <f t="shared" si="16"/>
        <v>8415000</v>
      </c>
      <c r="Q739" s="69" t="s">
        <v>26</v>
      </c>
      <c r="R739" s="109"/>
      <c r="V739" t="s">
        <v>27</v>
      </c>
    </row>
    <row r="740" spans="1:22" ht="15" customHeight="1" x14ac:dyDescent="0.25">
      <c r="A740" s="69">
        <v>664</v>
      </c>
      <c r="B740" s="35" t="s">
        <v>1643</v>
      </c>
      <c r="C740" s="69" t="s">
        <v>1644</v>
      </c>
      <c r="D740" s="69" t="s">
        <v>47</v>
      </c>
      <c r="E740" s="104">
        <v>8415000</v>
      </c>
      <c r="F740" s="109"/>
      <c r="P740" s="110">
        <f t="shared" si="16"/>
        <v>8415000</v>
      </c>
      <c r="Q740" s="69" t="s">
        <v>26</v>
      </c>
      <c r="R740" s="109"/>
      <c r="V740" t="s">
        <v>27</v>
      </c>
    </row>
    <row r="741" spans="1:22" ht="15" customHeight="1" x14ac:dyDescent="0.25">
      <c r="A741" s="69">
        <v>665</v>
      </c>
      <c r="B741" s="35" t="s">
        <v>1645</v>
      </c>
      <c r="C741" s="69" t="s">
        <v>1646</v>
      </c>
      <c r="D741" s="69" t="s">
        <v>676</v>
      </c>
      <c r="E741" s="104">
        <v>8415000</v>
      </c>
      <c r="F741" s="109"/>
      <c r="I741" s="69" t="s">
        <v>701</v>
      </c>
      <c r="J741" s="109">
        <v>2103750</v>
      </c>
      <c r="K741" s="101" t="s">
        <v>51</v>
      </c>
      <c r="O741" s="35"/>
      <c r="P741" s="110">
        <f t="shared" si="16"/>
        <v>6311250</v>
      </c>
      <c r="Q741" s="69" t="s">
        <v>26</v>
      </c>
      <c r="R741" s="109"/>
      <c r="T741" s="110">
        <f>E741-J741</f>
        <v>6311250</v>
      </c>
      <c r="V741" t="s">
        <v>27</v>
      </c>
    </row>
    <row r="742" spans="1:22" ht="15" customHeight="1" x14ac:dyDescent="0.25">
      <c r="A742" s="69">
        <v>669</v>
      </c>
      <c r="B742" s="35" t="s">
        <v>1647</v>
      </c>
      <c r="C742" s="69" t="s">
        <v>526</v>
      </c>
      <c r="D742" s="69" t="s">
        <v>50</v>
      </c>
      <c r="E742" s="104">
        <v>8415000</v>
      </c>
      <c r="F742" s="109"/>
      <c r="P742" s="110">
        <f t="shared" si="16"/>
        <v>8415000</v>
      </c>
      <c r="Q742" s="69" t="s">
        <v>26</v>
      </c>
      <c r="R742" s="109"/>
      <c r="V742" t="s">
        <v>27</v>
      </c>
    </row>
    <row r="743" spans="1:22" ht="15" customHeight="1" x14ac:dyDescent="0.25">
      <c r="A743" s="69">
        <v>673</v>
      </c>
      <c r="B743" s="35" t="s">
        <v>1648</v>
      </c>
      <c r="C743" s="35" t="s">
        <v>1649</v>
      </c>
      <c r="D743" s="35" t="s">
        <v>563</v>
      </c>
      <c r="E743" s="104">
        <v>8415000</v>
      </c>
      <c r="F743" s="109"/>
      <c r="J743" s="109">
        <v>2103750</v>
      </c>
      <c r="K743" s="98" t="s">
        <v>35</v>
      </c>
      <c r="N743" s="109"/>
      <c r="O743" s="35"/>
      <c r="P743" s="110">
        <f t="shared" si="16"/>
        <v>6311250</v>
      </c>
      <c r="Q743" s="69" t="s">
        <v>26</v>
      </c>
      <c r="R743" s="109"/>
      <c r="V743" t="s">
        <v>27</v>
      </c>
    </row>
    <row r="744" spans="1:22" ht="15" customHeight="1" x14ac:dyDescent="0.25">
      <c r="A744" s="69">
        <v>681</v>
      </c>
      <c r="B744" s="35" t="s">
        <v>1650</v>
      </c>
      <c r="C744" s="112" t="s">
        <v>687</v>
      </c>
      <c r="D744" s="112" t="s">
        <v>474</v>
      </c>
      <c r="E744" s="104">
        <v>6120000</v>
      </c>
      <c r="P744" s="116">
        <f t="shared" si="16"/>
        <v>6120000</v>
      </c>
      <c r="Q744" s="69" t="s">
        <v>148</v>
      </c>
      <c r="R744" s="109"/>
      <c r="V744" t="s">
        <v>27</v>
      </c>
    </row>
    <row r="745" spans="1:22" ht="15" customHeight="1" x14ac:dyDescent="0.25">
      <c r="A745" s="69">
        <v>698</v>
      </c>
      <c r="B745" s="35" t="s">
        <v>1651</v>
      </c>
      <c r="C745" s="69" t="s">
        <v>318</v>
      </c>
      <c r="D745" s="69" t="s">
        <v>535</v>
      </c>
      <c r="E745" s="104">
        <v>4465000</v>
      </c>
      <c r="H745" s="109"/>
      <c r="I745" s="35"/>
      <c r="J745" s="109">
        <v>2232500</v>
      </c>
      <c r="K745" s="101" t="s">
        <v>51</v>
      </c>
      <c r="N745" s="109">
        <v>2232500</v>
      </c>
      <c r="O745" s="35"/>
      <c r="P745" s="110">
        <f t="shared" si="16"/>
        <v>0</v>
      </c>
      <c r="Q745" s="69" t="s">
        <v>26</v>
      </c>
      <c r="R745" s="109"/>
      <c r="V745" t="s">
        <v>27</v>
      </c>
    </row>
    <row r="746" spans="1:22" ht="15" customHeight="1" x14ac:dyDescent="0.25">
      <c r="A746" s="69">
        <v>699</v>
      </c>
      <c r="B746" s="35" t="s">
        <v>1652</v>
      </c>
      <c r="C746" s="69" t="s">
        <v>1653</v>
      </c>
      <c r="D746" s="69" t="s">
        <v>590</v>
      </c>
      <c r="E746" s="104">
        <v>4465000</v>
      </c>
      <c r="H746" s="109">
        <v>2232500</v>
      </c>
      <c r="I746" s="96" t="s">
        <v>98</v>
      </c>
      <c r="J746" s="110">
        <v>2232500</v>
      </c>
      <c r="K746" s="96" t="s">
        <v>108</v>
      </c>
      <c r="P746" s="110">
        <f t="shared" si="16"/>
        <v>0</v>
      </c>
      <c r="Q746" s="69" t="s">
        <v>26</v>
      </c>
      <c r="R746" s="109"/>
      <c r="V746" t="s">
        <v>27</v>
      </c>
    </row>
    <row r="747" spans="1:22" ht="15" customHeight="1" x14ac:dyDescent="0.25">
      <c r="A747" s="69">
        <v>700</v>
      </c>
      <c r="B747" s="35" t="s">
        <v>1654</v>
      </c>
      <c r="C747" s="69" t="s">
        <v>1655</v>
      </c>
      <c r="D747" s="69" t="s">
        <v>231</v>
      </c>
      <c r="E747" s="104">
        <v>4465000</v>
      </c>
      <c r="H747" s="109">
        <v>2232500</v>
      </c>
      <c r="I747" s="96" t="s">
        <v>98</v>
      </c>
      <c r="J747" s="109">
        <v>2232500</v>
      </c>
      <c r="K747" s="96" t="s">
        <v>286</v>
      </c>
      <c r="P747" s="110">
        <f t="shared" si="16"/>
        <v>0</v>
      </c>
      <c r="Q747" s="69" t="s">
        <v>26</v>
      </c>
      <c r="R747" s="109"/>
      <c r="V747" t="s">
        <v>27</v>
      </c>
    </row>
    <row r="748" spans="1:22" ht="15" customHeight="1" x14ac:dyDescent="0.25">
      <c r="A748" s="69">
        <v>702</v>
      </c>
      <c r="B748" s="35" t="s">
        <v>1656</v>
      </c>
      <c r="C748" s="69" t="s">
        <v>589</v>
      </c>
      <c r="D748" s="69" t="s">
        <v>131</v>
      </c>
      <c r="E748" s="104">
        <v>4465000</v>
      </c>
      <c r="F748" s="109"/>
      <c r="G748" s="35"/>
      <c r="P748" s="110">
        <f t="shared" si="16"/>
        <v>4465000</v>
      </c>
      <c r="Q748" s="69" t="s">
        <v>26</v>
      </c>
      <c r="R748" s="109"/>
      <c r="V748" t="s">
        <v>27</v>
      </c>
    </row>
    <row r="749" spans="1:22" ht="15" customHeight="1" x14ac:dyDescent="0.25">
      <c r="A749" s="69">
        <v>704</v>
      </c>
      <c r="B749" s="35" t="s">
        <v>1657</v>
      </c>
      <c r="C749" s="69" t="s">
        <v>1658</v>
      </c>
      <c r="D749" s="69" t="s">
        <v>517</v>
      </c>
      <c r="E749" s="104">
        <v>4465000</v>
      </c>
      <c r="F749" s="109"/>
      <c r="P749" s="110">
        <f t="shared" si="16"/>
        <v>4465000</v>
      </c>
      <c r="Q749" s="69" t="s">
        <v>26</v>
      </c>
      <c r="R749" s="109"/>
      <c r="V749" t="s">
        <v>27</v>
      </c>
    </row>
    <row r="750" spans="1:22" ht="15" customHeight="1" x14ac:dyDescent="0.25">
      <c r="A750" s="69">
        <v>705</v>
      </c>
      <c r="B750" s="35" t="s">
        <v>1659</v>
      </c>
      <c r="C750" s="69" t="s">
        <v>1660</v>
      </c>
      <c r="D750" s="69" t="s">
        <v>638</v>
      </c>
      <c r="E750" s="104">
        <v>4465000</v>
      </c>
      <c r="F750" s="109"/>
      <c r="J750" s="109">
        <v>2232500</v>
      </c>
      <c r="K750" s="98" t="s">
        <v>35</v>
      </c>
      <c r="N750" s="109"/>
      <c r="O750" s="35"/>
      <c r="P750" s="110">
        <f t="shared" si="16"/>
        <v>2232500</v>
      </c>
      <c r="Q750" s="69" t="s">
        <v>26</v>
      </c>
      <c r="R750" s="109"/>
      <c r="V750" t="s">
        <v>27</v>
      </c>
    </row>
    <row r="751" spans="1:22" ht="15" customHeight="1" x14ac:dyDescent="0.25">
      <c r="A751" s="69">
        <v>708</v>
      </c>
      <c r="B751" s="35" t="s">
        <v>1661</v>
      </c>
      <c r="C751" s="69" t="s">
        <v>1662</v>
      </c>
      <c r="D751" s="69" t="s">
        <v>1097</v>
      </c>
      <c r="E751" s="104">
        <v>4465000</v>
      </c>
      <c r="F751" s="109"/>
      <c r="P751" s="110">
        <f t="shared" si="16"/>
        <v>4465000</v>
      </c>
      <c r="Q751" s="69" t="s">
        <v>26</v>
      </c>
      <c r="R751" s="109"/>
      <c r="V751" t="s">
        <v>27</v>
      </c>
    </row>
    <row r="752" spans="1:22" ht="15" customHeight="1" x14ac:dyDescent="0.25">
      <c r="A752" s="69">
        <v>709</v>
      </c>
      <c r="B752" s="35" t="s">
        <v>1663</v>
      </c>
      <c r="C752" s="69" t="s">
        <v>265</v>
      </c>
      <c r="D752" s="69" t="s">
        <v>611</v>
      </c>
      <c r="E752" s="104">
        <v>4465000</v>
      </c>
      <c r="F752" s="109"/>
      <c r="H752" s="109">
        <v>2232500</v>
      </c>
      <c r="I752" s="96" t="s">
        <v>98</v>
      </c>
      <c r="J752" s="109">
        <v>2232500</v>
      </c>
      <c r="K752" s="97" t="s">
        <v>35</v>
      </c>
      <c r="N752" s="109"/>
      <c r="O752" s="35"/>
      <c r="P752" s="110">
        <f t="shared" si="16"/>
        <v>0</v>
      </c>
      <c r="Q752" s="69" t="s">
        <v>26</v>
      </c>
      <c r="R752" s="109"/>
      <c r="V752" t="s">
        <v>27</v>
      </c>
    </row>
    <row r="753" spans="1:22" ht="15" customHeight="1" x14ac:dyDescent="0.25">
      <c r="A753" s="69">
        <v>711</v>
      </c>
      <c r="B753" s="35" t="s">
        <v>1664</v>
      </c>
      <c r="C753" s="69" t="s">
        <v>1665</v>
      </c>
      <c r="D753" s="69" t="s">
        <v>88</v>
      </c>
      <c r="E753" s="104">
        <v>4465000</v>
      </c>
      <c r="F753" s="109"/>
      <c r="P753" s="110">
        <f t="shared" si="16"/>
        <v>4465000</v>
      </c>
      <c r="Q753" s="69" t="s">
        <v>26</v>
      </c>
      <c r="R753" s="109"/>
      <c r="V753" t="s">
        <v>27</v>
      </c>
    </row>
    <row r="754" spans="1:22" ht="15" customHeight="1" x14ac:dyDescent="0.25">
      <c r="A754" s="69">
        <v>712</v>
      </c>
      <c r="B754" s="35" t="s">
        <v>1666</v>
      </c>
      <c r="C754" s="69" t="s">
        <v>179</v>
      </c>
      <c r="D754" s="69" t="s">
        <v>252</v>
      </c>
      <c r="E754" s="104">
        <v>4465000</v>
      </c>
      <c r="F754" s="109"/>
      <c r="H754" s="109">
        <v>2232500</v>
      </c>
      <c r="I754" s="102" t="s">
        <v>487</v>
      </c>
      <c r="J754" s="109">
        <v>2232500</v>
      </c>
      <c r="K754" s="97" t="s">
        <v>325</v>
      </c>
      <c r="P754" s="110">
        <f t="shared" si="16"/>
        <v>0</v>
      </c>
      <c r="Q754" s="69" t="s">
        <v>26</v>
      </c>
      <c r="R754" s="109"/>
      <c r="V754" t="s">
        <v>27</v>
      </c>
    </row>
    <row r="755" spans="1:22" ht="15" customHeight="1" x14ac:dyDescent="0.25">
      <c r="A755" s="69">
        <v>713</v>
      </c>
      <c r="B755" s="35" t="s">
        <v>1667</v>
      </c>
      <c r="C755" s="69" t="s">
        <v>1668</v>
      </c>
      <c r="D755" s="69" t="s">
        <v>484</v>
      </c>
      <c r="E755" s="104">
        <v>4000000</v>
      </c>
      <c r="H755" s="109"/>
      <c r="I755" s="35"/>
      <c r="J755" s="104">
        <v>2100000</v>
      </c>
      <c r="K755" s="101" t="s">
        <v>51</v>
      </c>
      <c r="O755" s="35"/>
      <c r="P755" s="110">
        <f t="shared" si="16"/>
        <v>1900000</v>
      </c>
      <c r="Q755" s="69" t="s">
        <v>26</v>
      </c>
      <c r="R755" s="109"/>
      <c r="V755" t="s">
        <v>27</v>
      </c>
    </row>
    <row r="756" spans="1:22" ht="15" customHeight="1" x14ac:dyDescent="0.25">
      <c r="A756" s="69">
        <v>716</v>
      </c>
      <c r="B756" s="35" t="s">
        <v>1669</v>
      </c>
      <c r="C756" s="69" t="s">
        <v>1670</v>
      </c>
      <c r="D756" s="69" t="s">
        <v>116</v>
      </c>
      <c r="E756" s="104">
        <v>2600000</v>
      </c>
      <c r="F756" s="109"/>
      <c r="J756" s="104">
        <v>2600000</v>
      </c>
      <c r="K756" s="96" t="s">
        <v>786</v>
      </c>
      <c r="O756" s="35"/>
      <c r="P756" s="110">
        <f t="shared" si="16"/>
        <v>0</v>
      </c>
      <c r="Q756" s="69" t="s">
        <v>26</v>
      </c>
      <c r="R756" s="109"/>
      <c r="V756" t="s">
        <v>27</v>
      </c>
    </row>
    <row r="757" spans="1:22" ht="15" customHeight="1" x14ac:dyDescent="0.25">
      <c r="A757" s="69">
        <v>718</v>
      </c>
      <c r="B757" s="35" t="s">
        <v>1671</v>
      </c>
      <c r="C757" s="69" t="s">
        <v>179</v>
      </c>
      <c r="D757" s="69" t="s">
        <v>166</v>
      </c>
      <c r="E757" s="104">
        <v>2100000</v>
      </c>
      <c r="H757" s="109">
        <v>2100000</v>
      </c>
      <c r="I757" s="96" t="s">
        <v>98</v>
      </c>
      <c r="P757" s="110">
        <f t="shared" si="16"/>
        <v>0</v>
      </c>
      <c r="Q757" s="69" t="s">
        <v>26</v>
      </c>
      <c r="R757" s="109"/>
      <c r="V757" t="s">
        <v>27</v>
      </c>
    </row>
    <row r="758" spans="1:22" ht="15" customHeight="1" x14ac:dyDescent="0.25">
      <c r="A758" s="69">
        <v>719</v>
      </c>
      <c r="B758" s="35" t="s">
        <v>1672</v>
      </c>
      <c r="C758" s="69" t="s">
        <v>1673</v>
      </c>
      <c r="D758" s="69" t="s">
        <v>392</v>
      </c>
      <c r="E758" s="104">
        <v>4700000</v>
      </c>
      <c r="H758" s="109">
        <v>2100000</v>
      </c>
      <c r="I758" s="96" t="s">
        <v>98</v>
      </c>
      <c r="K758" s="35"/>
      <c r="P758" s="110">
        <f t="shared" si="16"/>
        <v>2600000</v>
      </c>
      <c r="Q758" s="69" t="s">
        <v>26</v>
      </c>
      <c r="R758" s="109"/>
      <c r="V758" t="s">
        <v>27</v>
      </c>
    </row>
    <row r="759" spans="1:22" ht="15" customHeight="1" x14ac:dyDescent="0.25">
      <c r="A759" s="69">
        <v>720</v>
      </c>
      <c r="B759" s="35" t="s">
        <v>1674</v>
      </c>
      <c r="C759" s="69" t="s">
        <v>1675</v>
      </c>
      <c r="D759" s="69" t="s">
        <v>1387</v>
      </c>
      <c r="E759" s="104">
        <v>2100000</v>
      </c>
      <c r="P759" s="110">
        <f t="shared" si="16"/>
        <v>2100000</v>
      </c>
      <c r="Q759" s="69" t="s">
        <v>26</v>
      </c>
      <c r="R759" s="109"/>
      <c r="V759" t="s">
        <v>27</v>
      </c>
    </row>
    <row r="760" spans="1:22" ht="15" customHeight="1" x14ac:dyDescent="0.25">
      <c r="A760" s="69">
        <v>721</v>
      </c>
      <c r="B760" s="35">
        <v>25803000333</v>
      </c>
      <c r="C760" s="69" t="s">
        <v>1676</v>
      </c>
      <c r="D760" s="69" t="s">
        <v>712</v>
      </c>
      <c r="E760" s="104">
        <v>2100000</v>
      </c>
      <c r="J760" s="104">
        <v>2100000</v>
      </c>
      <c r="K760" s="101" t="s">
        <v>51</v>
      </c>
      <c r="P760" s="110">
        <f t="shared" si="16"/>
        <v>0</v>
      </c>
      <c r="Q760" s="69" t="s">
        <v>26</v>
      </c>
      <c r="R760" s="109"/>
      <c r="V760" t="s">
        <v>27</v>
      </c>
    </row>
    <row r="761" spans="1:22" ht="15" customHeight="1" x14ac:dyDescent="0.25">
      <c r="A761" s="69">
        <v>722</v>
      </c>
      <c r="B761" s="35" t="s">
        <v>1677</v>
      </c>
      <c r="C761" s="35" t="s">
        <v>1678</v>
      </c>
      <c r="D761" s="35" t="s">
        <v>131</v>
      </c>
      <c r="E761" s="104">
        <v>4700000</v>
      </c>
      <c r="F761" s="35"/>
      <c r="G761" s="35"/>
      <c r="H761" s="104">
        <v>2100000</v>
      </c>
      <c r="I761" s="35" t="s">
        <v>487</v>
      </c>
      <c r="J761" s="35"/>
      <c r="K761" s="35"/>
      <c r="O761" s="35"/>
      <c r="P761" s="110">
        <f t="shared" si="16"/>
        <v>2600000</v>
      </c>
      <c r="Q761" s="69" t="s">
        <v>26</v>
      </c>
      <c r="R761" s="109"/>
      <c r="V761" t="s">
        <v>27</v>
      </c>
    </row>
    <row r="762" spans="1:22" ht="15" customHeight="1" x14ac:dyDescent="0.25">
      <c r="A762" s="69">
        <v>723</v>
      </c>
      <c r="B762" s="35" t="s">
        <v>1679</v>
      </c>
      <c r="C762" s="69" t="s">
        <v>100</v>
      </c>
      <c r="D762" s="69" t="s">
        <v>388</v>
      </c>
      <c r="E762" s="104">
        <v>2100000</v>
      </c>
      <c r="H762" s="104">
        <v>2100000</v>
      </c>
      <c r="I762" s="96" t="s">
        <v>98</v>
      </c>
      <c r="P762" s="110">
        <f t="shared" si="16"/>
        <v>0</v>
      </c>
      <c r="Q762" s="69" t="s">
        <v>26</v>
      </c>
      <c r="R762" s="109"/>
      <c r="V762" t="s">
        <v>27</v>
      </c>
    </row>
    <row r="763" spans="1:22" ht="15" customHeight="1" x14ac:dyDescent="0.25">
      <c r="A763" s="69">
        <v>724</v>
      </c>
      <c r="B763" s="35" t="s">
        <v>1680</v>
      </c>
      <c r="C763" s="69" t="s">
        <v>1681</v>
      </c>
      <c r="D763" s="69" t="s">
        <v>50</v>
      </c>
      <c r="E763" s="104">
        <v>2100000</v>
      </c>
      <c r="P763" s="110">
        <f t="shared" si="16"/>
        <v>2100000</v>
      </c>
      <c r="Q763" s="69" t="s">
        <v>26</v>
      </c>
      <c r="R763" s="109"/>
      <c r="V763" t="s">
        <v>27</v>
      </c>
    </row>
    <row r="764" spans="1:22" ht="15" customHeight="1" x14ac:dyDescent="0.25">
      <c r="A764" s="69">
        <v>725</v>
      </c>
      <c r="B764" s="35" t="s">
        <v>1682</v>
      </c>
      <c r="C764" s="69" t="s">
        <v>1683</v>
      </c>
      <c r="D764" s="69" t="s">
        <v>78</v>
      </c>
      <c r="E764" s="104">
        <v>2100000</v>
      </c>
      <c r="J764" s="104">
        <v>2100000</v>
      </c>
      <c r="K764" s="97" t="s">
        <v>35</v>
      </c>
      <c r="P764" s="110">
        <f t="shared" ref="P764:P795" si="17">E764-F764-H764-J764-L764-N764</f>
        <v>0</v>
      </c>
      <c r="Q764" s="69" t="s">
        <v>26</v>
      </c>
      <c r="R764" s="109"/>
      <c r="V764" t="s">
        <v>27</v>
      </c>
    </row>
    <row r="765" spans="1:22" ht="15" customHeight="1" x14ac:dyDescent="0.25">
      <c r="A765" s="69">
        <v>726</v>
      </c>
      <c r="B765" s="35" t="s">
        <v>1684</v>
      </c>
      <c r="C765" s="69" t="s">
        <v>1685</v>
      </c>
      <c r="D765" s="69" t="s">
        <v>435</v>
      </c>
      <c r="E765" s="104">
        <v>2000000</v>
      </c>
      <c r="P765" s="110">
        <f t="shared" si="17"/>
        <v>2000000</v>
      </c>
      <c r="Q765" s="69" t="s">
        <v>26</v>
      </c>
      <c r="R765" s="109"/>
      <c r="V765" t="s">
        <v>27</v>
      </c>
    </row>
    <row r="766" spans="1:22" ht="15" customHeight="1" x14ac:dyDescent="0.25">
      <c r="A766" s="69">
        <v>727</v>
      </c>
      <c r="B766" s="35" t="s">
        <v>1686</v>
      </c>
      <c r="C766" s="69" t="s">
        <v>1687</v>
      </c>
      <c r="D766" s="69" t="s">
        <v>204</v>
      </c>
      <c r="E766" s="104">
        <v>2000000</v>
      </c>
      <c r="P766" s="110">
        <f t="shared" si="17"/>
        <v>2000000</v>
      </c>
      <c r="Q766" s="69" t="s">
        <v>26</v>
      </c>
      <c r="R766" s="109"/>
      <c r="S766" s="35"/>
      <c r="T766" s="35"/>
      <c r="V766" t="s">
        <v>27</v>
      </c>
    </row>
    <row r="767" spans="1:22" ht="15" customHeight="1" x14ac:dyDescent="0.25">
      <c r="A767" s="69">
        <v>728</v>
      </c>
      <c r="B767" s="35" t="s">
        <v>1688</v>
      </c>
      <c r="C767" s="112" t="s">
        <v>1689</v>
      </c>
      <c r="D767" s="112" t="s">
        <v>1690</v>
      </c>
      <c r="E767" s="104">
        <v>1600000</v>
      </c>
      <c r="G767" s="35"/>
      <c r="J767" s="104">
        <v>1600000</v>
      </c>
      <c r="K767" s="101" t="s">
        <v>139</v>
      </c>
      <c r="P767" s="110">
        <f t="shared" si="17"/>
        <v>0</v>
      </c>
      <c r="Q767" s="69" t="s">
        <v>148</v>
      </c>
      <c r="R767" s="109"/>
      <c r="V767" t="s">
        <v>27</v>
      </c>
    </row>
    <row r="768" spans="1:22" ht="15" customHeight="1" x14ac:dyDescent="0.25">
      <c r="A768" s="69">
        <v>730</v>
      </c>
      <c r="B768" s="35" t="s">
        <v>1691</v>
      </c>
      <c r="C768" s="111" t="s">
        <v>1692</v>
      </c>
      <c r="D768" s="111" t="s">
        <v>341</v>
      </c>
      <c r="E768" s="104">
        <v>1600000</v>
      </c>
      <c r="G768" s="35"/>
      <c r="J768" s="104">
        <v>1600000</v>
      </c>
      <c r="K768" s="101" t="s">
        <v>139</v>
      </c>
      <c r="P768" s="110">
        <f t="shared" si="17"/>
        <v>0</v>
      </c>
      <c r="Q768" s="69" t="s">
        <v>148</v>
      </c>
      <c r="R768" s="109"/>
      <c r="V768" t="s">
        <v>27</v>
      </c>
    </row>
    <row r="769" spans="1:22" ht="15" customHeight="1" x14ac:dyDescent="0.25">
      <c r="A769" s="69">
        <v>731</v>
      </c>
      <c r="B769" s="35" t="s">
        <v>1693</v>
      </c>
      <c r="C769" s="111" t="s">
        <v>1694</v>
      </c>
      <c r="D769" s="111" t="s">
        <v>1695</v>
      </c>
      <c r="E769" s="104">
        <v>1600000</v>
      </c>
      <c r="G769" s="35"/>
      <c r="J769" s="104">
        <v>1600000</v>
      </c>
      <c r="K769" s="101" t="s">
        <v>139</v>
      </c>
      <c r="P769" s="110">
        <f t="shared" si="17"/>
        <v>0</v>
      </c>
      <c r="Q769" s="69" t="s">
        <v>148</v>
      </c>
      <c r="R769" s="109"/>
      <c r="V769" t="s">
        <v>27</v>
      </c>
    </row>
    <row r="770" spans="1:22" ht="15" customHeight="1" x14ac:dyDescent="0.25">
      <c r="A770" s="69">
        <v>732</v>
      </c>
      <c r="B770" s="35" t="s">
        <v>1696</v>
      </c>
      <c r="C770" s="69" t="s">
        <v>418</v>
      </c>
      <c r="D770" s="69" t="s">
        <v>1354</v>
      </c>
      <c r="E770" s="104">
        <v>1465000</v>
      </c>
      <c r="P770" s="110">
        <f t="shared" si="17"/>
        <v>1465000</v>
      </c>
      <c r="Q770" s="69" t="s">
        <v>26</v>
      </c>
      <c r="R770" s="109"/>
      <c r="V770" t="s">
        <v>27</v>
      </c>
    </row>
    <row r="771" spans="1:22" ht="15" customHeight="1" x14ac:dyDescent="0.25">
      <c r="A771" s="69">
        <v>733</v>
      </c>
      <c r="B771" s="35" t="s">
        <v>1697</v>
      </c>
      <c r="C771" s="69" t="s">
        <v>197</v>
      </c>
      <c r="D771" s="69" t="s">
        <v>116</v>
      </c>
      <c r="E771" s="104">
        <v>1000000</v>
      </c>
      <c r="P771" s="110">
        <f t="shared" si="17"/>
        <v>1000000</v>
      </c>
      <c r="Q771" s="69" t="s">
        <v>1698</v>
      </c>
      <c r="R771" s="109"/>
      <c r="V771" t="s">
        <v>27</v>
      </c>
    </row>
    <row r="772" spans="1:22" ht="15" customHeight="1" x14ac:dyDescent="0.25">
      <c r="A772" s="69">
        <v>736</v>
      </c>
      <c r="B772" s="35" t="s">
        <v>1699</v>
      </c>
      <c r="C772" s="69" t="s">
        <v>1700</v>
      </c>
      <c r="D772" s="69" t="s">
        <v>160</v>
      </c>
      <c r="E772" s="104">
        <v>1000000</v>
      </c>
      <c r="P772" s="110">
        <f t="shared" si="17"/>
        <v>1000000</v>
      </c>
      <c r="Q772" s="69" t="s">
        <v>1698</v>
      </c>
      <c r="R772" s="109"/>
      <c r="V772" t="s">
        <v>27</v>
      </c>
    </row>
    <row r="773" spans="1:22" ht="15" customHeight="1" x14ac:dyDescent="0.25">
      <c r="A773" s="69">
        <v>737</v>
      </c>
      <c r="B773" s="35" t="s">
        <v>1701</v>
      </c>
      <c r="C773" s="69" t="s">
        <v>1234</v>
      </c>
      <c r="D773" s="69" t="s">
        <v>887</v>
      </c>
      <c r="E773" s="104">
        <v>1000000</v>
      </c>
      <c r="P773" s="110">
        <f t="shared" si="17"/>
        <v>1000000</v>
      </c>
      <c r="Q773" s="69" t="s">
        <v>1698</v>
      </c>
      <c r="R773" s="109"/>
      <c r="V773" t="s">
        <v>27</v>
      </c>
    </row>
    <row r="774" spans="1:22" ht="15" customHeight="1" x14ac:dyDescent="0.25">
      <c r="A774" s="69">
        <v>738</v>
      </c>
      <c r="B774" s="35" t="s">
        <v>1702</v>
      </c>
      <c r="C774" s="69" t="s">
        <v>1703</v>
      </c>
      <c r="D774" s="69" t="s">
        <v>435</v>
      </c>
      <c r="E774" s="104">
        <v>1000000</v>
      </c>
      <c r="P774" s="110">
        <f t="shared" si="17"/>
        <v>1000000</v>
      </c>
      <c r="Q774" s="69" t="s">
        <v>1698</v>
      </c>
      <c r="R774" s="109"/>
      <c r="V774" t="s">
        <v>27</v>
      </c>
    </row>
    <row r="775" spans="1:22" ht="15" customHeight="1" x14ac:dyDescent="0.25">
      <c r="A775" s="69">
        <v>739</v>
      </c>
      <c r="B775" s="35" t="s">
        <v>1704</v>
      </c>
      <c r="C775" s="69" t="s">
        <v>1705</v>
      </c>
      <c r="D775" s="69" t="s">
        <v>484</v>
      </c>
      <c r="E775" s="104">
        <v>1000000</v>
      </c>
      <c r="P775" s="110">
        <f t="shared" si="17"/>
        <v>1000000</v>
      </c>
      <c r="Q775" s="69" t="s">
        <v>1698</v>
      </c>
      <c r="R775" s="109"/>
      <c r="V775" t="s">
        <v>27</v>
      </c>
    </row>
    <row r="776" spans="1:22" ht="18" customHeight="1" x14ac:dyDescent="0.25">
      <c r="A776" s="69">
        <v>740</v>
      </c>
      <c r="B776" s="35" t="s">
        <v>1706</v>
      </c>
      <c r="C776" s="69" t="s">
        <v>1707</v>
      </c>
      <c r="D776" s="69" t="s">
        <v>1708</v>
      </c>
      <c r="E776" s="104">
        <v>1000000</v>
      </c>
      <c r="P776" s="110">
        <f t="shared" si="17"/>
        <v>1000000</v>
      </c>
      <c r="Q776" s="69" t="s">
        <v>1698</v>
      </c>
      <c r="R776" s="109"/>
      <c r="V776" t="s">
        <v>126</v>
      </c>
    </row>
    <row r="777" spans="1:22" ht="15" customHeight="1" x14ac:dyDescent="0.25">
      <c r="A777" s="69">
        <v>741</v>
      </c>
      <c r="B777" s="35" t="s">
        <v>1709</v>
      </c>
      <c r="C777" s="69" t="s">
        <v>629</v>
      </c>
      <c r="D777" s="69" t="s">
        <v>239</v>
      </c>
      <c r="E777" s="104">
        <v>1000000</v>
      </c>
      <c r="P777" s="110">
        <f t="shared" si="17"/>
        <v>1000000</v>
      </c>
      <c r="Q777" s="69" t="s">
        <v>1698</v>
      </c>
      <c r="R777" s="109"/>
      <c r="V777" t="s">
        <v>27</v>
      </c>
    </row>
    <row r="778" spans="1:22" ht="15" customHeight="1" x14ac:dyDescent="0.25">
      <c r="A778" s="69">
        <v>743</v>
      </c>
      <c r="B778" s="35" t="s">
        <v>1710</v>
      </c>
      <c r="C778" s="69" t="s">
        <v>1205</v>
      </c>
      <c r="D778" s="69" t="s">
        <v>1074</v>
      </c>
      <c r="E778" s="104">
        <v>4000000</v>
      </c>
      <c r="J778" s="109">
        <v>2600000</v>
      </c>
      <c r="K778" s="102" t="s">
        <v>263</v>
      </c>
      <c r="P778" s="110">
        <f t="shared" si="17"/>
        <v>1400000</v>
      </c>
      <c r="R778" s="109"/>
      <c r="V778" t="s">
        <v>27</v>
      </c>
    </row>
    <row r="779" spans="1:22" ht="15" customHeight="1" x14ac:dyDescent="0.25">
      <c r="A779" s="69">
        <v>744</v>
      </c>
      <c r="B779" s="35" t="s">
        <v>1711</v>
      </c>
      <c r="C779" s="69" t="s">
        <v>1712</v>
      </c>
      <c r="D779" s="69" t="s">
        <v>1713</v>
      </c>
      <c r="E779" s="104">
        <v>1000000</v>
      </c>
      <c r="P779" s="110">
        <f t="shared" si="17"/>
        <v>1000000</v>
      </c>
      <c r="Q779" s="69" t="s">
        <v>1698</v>
      </c>
      <c r="R779" s="109"/>
      <c r="V779" t="s">
        <v>27</v>
      </c>
    </row>
    <row r="780" spans="1:22" ht="15" customHeight="1" x14ac:dyDescent="0.25">
      <c r="A780" s="69">
        <v>745</v>
      </c>
      <c r="B780" s="35" t="s">
        <v>1714</v>
      </c>
      <c r="C780" s="69" t="s">
        <v>1715</v>
      </c>
      <c r="D780" s="69" t="s">
        <v>54</v>
      </c>
      <c r="E780" s="104">
        <v>1000000</v>
      </c>
      <c r="P780" s="110">
        <f t="shared" si="17"/>
        <v>1000000</v>
      </c>
      <c r="Q780" s="69" t="s">
        <v>1698</v>
      </c>
      <c r="R780" s="109"/>
      <c r="V780" t="s">
        <v>27</v>
      </c>
    </row>
    <row r="781" spans="1:22" ht="15" customHeight="1" x14ac:dyDescent="0.25">
      <c r="A781" s="69">
        <v>746</v>
      </c>
      <c r="B781" s="35" t="s">
        <v>1716</v>
      </c>
      <c r="C781" s="69" t="s">
        <v>197</v>
      </c>
      <c r="D781" s="69" t="s">
        <v>97</v>
      </c>
      <c r="E781" s="104">
        <v>1000000</v>
      </c>
      <c r="P781" s="110">
        <f t="shared" si="17"/>
        <v>1000000</v>
      </c>
      <c r="Q781" s="69" t="s">
        <v>1698</v>
      </c>
      <c r="R781" s="109"/>
      <c r="V781" t="s">
        <v>27</v>
      </c>
    </row>
    <row r="782" spans="1:22" ht="15" customHeight="1" x14ac:dyDescent="0.25">
      <c r="A782" s="69">
        <v>747</v>
      </c>
      <c r="B782" s="35" t="s">
        <v>1717</v>
      </c>
      <c r="C782" s="69" t="s">
        <v>1718</v>
      </c>
      <c r="D782" s="69" t="s">
        <v>207</v>
      </c>
      <c r="E782" s="104">
        <v>1000000</v>
      </c>
      <c r="P782" s="110">
        <f t="shared" si="17"/>
        <v>1000000</v>
      </c>
      <c r="Q782" s="69" t="s">
        <v>1698</v>
      </c>
      <c r="R782" s="109"/>
      <c r="V782" t="s">
        <v>27</v>
      </c>
    </row>
    <row r="783" spans="1:22" ht="15" customHeight="1" x14ac:dyDescent="0.25">
      <c r="A783" s="69">
        <v>748</v>
      </c>
      <c r="B783" s="35" t="s">
        <v>1719</v>
      </c>
      <c r="C783" s="69" t="s">
        <v>197</v>
      </c>
      <c r="D783" s="69" t="s">
        <v>484</v>
      </c>
      <c r="E783" s="104">
        <v>1000000</v>
      </c>
      <c r="P783" s="110">
        <f t="shared" si="17"/>
        <v>1000000</v>
      </c>
      <c r="Q783" s="69" t="s">
        <v>1698</v>
      </c>
      <c r="R783" s="109"/>
      <c r="V783" t="s">
        <v>27</v>
      </c>
    </row>
    <row r="784" spans="1:22" ht="15" customHeight="1" x14ac:dyDescent="0.25">
      <c r="A784" s="69">
        <v>749</v>
      </c>
      <c r="B784" s="35" t="s">
        <v>1720</v>
      </c>
      <c r="C784" s="69" t="s">
        <v>1721</v>
      </c>
      <c r="D784" s="69" t="s">
        <v>338</v>
      </c>
      <c r="E784" s="104">
        <v>1000000</v>
      </c>
      <c r="P784" s="110">
        <f t="shared" si="17"/>
        <v>1000000</v>
      </c>
      <c r="Q784" s="69" t="s">
        <v>1698</v>
      </c>
      <c r="R784" s="109"/>
      <c r="V784" t="s">
        <v>27</v>
      </c>
    </row>
    <row r="785" spans="1:22" ht="15" customHeight="1" x14ac:dyDescent="0.25">
      <c r="A785" s="69">
        <v>750</v>
      </c>
      <c r="B785" s="35" t="s">
        <v>1722</v>
      </c>
      <c r="C785" s="69" t="s">
        <v>777</v>
      </c>
      <c r="D785" s="69" t="s">
        <v>160</v>
      </c>
      <c r="E785" s="104">
        <v>1000000</v>
      </c>
      <c r="P785" s="110">
        <f t="shared" si="17"/>
        <v>1000000</v>
      </c>
      <c r="Q785" s="69" t="s">
        <v>1698</v>
      </c>
      <c r="R785" s="109"/>
      <c r="V785" t="s">
        <v>27</v>
      </c>
    </row>
    <row r="786" spans="1:22" ht="15" customHeight="1" x14ac:dyDescent="0.25">
      <c r="A786" s="69">
        <v>751</v>
      </c>
      <c r="B786" s="35" t="s">
        <v>1723</v>
      </c>
      <c r="C786" s="69" t="s">
        <v>1724</v>
      </c>
      <c r="D786" s="69" t="s">
        <v>535</v>
      </c>
      <c r="E786" s="104">
        <v>1000000</v>
      </c>
      <c r="P786" s="110">
        <f t="shared" si="17"/>
        <v>1000000</v>
      </c>
      <c r="Q786" s="69" t="s">
        <v>1698</v>
      </c>
      <c r="R786" s="109"/>
      <c r="V786" t="s">
        <v>27</v>
      </c>
    </row>
    <row r="787" spans="1:22" ht="15" customHeight="1" x14ac:dyDescent="0.25">
      <c r="A787" s="69">
        <v>752</v>
      </c>
      <c r="B787" s="35" t="s">
        <v>1725</v>
      </c>
      <c r="C787" s="69" t="s">
        <v>1726</v>
      </c>
      <c r="D787" s="69" t="s">
        <v>1027</v>
      </c>
      <c r="E787" s="104">
        <v>1000000</v>
      </c>
      <c r="P787" s="110">
        <f t="shared" si="17"/>
        <v>1000000</v>
      </c>
      <c r="Q787" s="69" t="s">
        <v>1698</v>
      </c>
      <c r="R787" s="109"/>
      <c r="V787" t="s">
        <v>27</v>
      </c>
    </row>
    <row r="788" spans="1:22" ht="15" customHeight="1" x14ac:dyDescent="0.25">
      <c r="A788" s="69">
        <v>754</v>
      </c>
      <c r="B788" s="35" t="s">
        <v>1727</v>
      </c>
      <c r="C788" s="69" t="s">
        <v>1728</v>
      </c>
      <c r="D788" s="69" t="s">
        <v>252</v>
      </c>
      <c r="E788" s="104">
        <v>1000000</v>
      </c>
      <c r="P788" s="110">
        <f t="shared" si="17"/>
        <v>1000000</v>
      </c>
      <c r="Q788" s="69" t="s">
        <v>1698</v>
      </c>
      <c r="R788" s="109"/>
      <c r="V788" t="s">
        <v>27</v>
      </c>
    </row>
    <row r="789" spans="1:22" ht="15" customHeight="1" x14ac:dyDescent="0.25">
      <c r="A789" s="69">
        <v>755</v>
      </c>
      <c r="B789" s="35" t="s">
        <v>1729</v>
      </c>
      <c r="C789" s="69" t="s">
        <v>1673</v>
      </c>
      <c r="D789" s="69" t="s">
        <v>929</v>
      </c>
      <c r="E789" s="104">
        <v>1000000</v>
      </c>
      <c r="P789" s="110">
        <f t="shared" si="17"/>
        <v>1000000</v>
      </c>
      <c r="Q789" s="69" t="s">
        <v>1698</v>
      </c>
      <c r="R789" s="109"/>
      <c r="V789" t="s">
        <v>27</v>
      </c>
    </row>
    <row r="790" spans="1:22" ht="15" customHeight="1" x14ac:dyDescent="0.25">
      <c r="A790" s="69">
        <v>756</v>
      </c>
      <c r="B790" s="35" t="s">
        <v>1730</v>
      </c>
      <c r="C790" s="69" t="s">
        <v>1731</v>
      </c>
      <c r="D790" s="69" t="s">
        <v>421</v>
      </c>
      <c r="E790" s="104">
        <v>1000000</v>
      </c>
      <c r="P790" s="110">
        <f t="shared" si="17"/>
        <v>1000000</v>
      </c>
      <c r="Q790" s="69" t="s">
        <v>1698</v>
      </c>
      <c r="R790" s="109"/>
      <c r="V790" t="s">
        <v>27</v>
      </c>
    </row>
    <row r="791" spans="1:22" ht="15" customHeight="1" x14ac:dyDescent="0.25">
      <c r="A791" s="69">
        <v>757</v>
      </c>
      <c r="B791" s="35" t="s">
        <v>1732</v>
      </c>
      <c r="C791" s="69" t="s">
        <v>197</v>
      </c>
      <c r="D791" s="69" t="s">
        <v>450</v>
      </c>
      <c r="E791" s="104">
        <v>1000000</v>
      </c>
      <c r="P791" s="110">
        <f t="shared" si="17"/>
        <v>1000000</v>
      </c>
      <c r="Q791" s="69" t="s">
        <v>1698</v>
      </c>
      <c r="R791" s="109"/>
      <c r="V791" t="s">
        <v>27</v>
      </c>
    </row>
    <row r="792" spans="1:22" ht="15" customHeight="1" x14ac:dyDescent="0.25">
      <c r="A792" s="69">
        <v>758</v>
      </c>
      <c r="B792" s="35" t="s">
        <v>1733</v>
      </c>
      <c r="C792" s="69" t="s">
        <v>1734</v>
      </c>
      <c r="D792" s="69" t="s">
        <v>1425</v>
      </c>
      <c r="E792" s="104">
        <v>1000000</v>
      </c>
      <c r="P792" s="110">
        <f t="shared" si="17"/>
        <v>1000000</v>
      </c>
      <c r="Q792" s="69" t="s">
        <v>1698</v>
      </c>
      <c r="R792" s="109"/>
      <c r="V792" t="s">
        <v>27</v>
      </c>
    </row>
    <row r="793" spans="1:22" ht="15" customHeight="1" x14ac:dyDescent="0.25">
      <c r="A793" s="69">
        <v>759</v>
      </c>
      <c r="B793" s="35" t="s">
        <v>1735</v>
      </c>
      <c r="C793" s="69" t="s">
        <v>1736</v>
      </c>
      <c r="D793" s="69" t="s">
        <v>638</v>
      </c>
      <c r="E793" s="104">
        <v>2600000</v>
      </c>
      <c r="J793" s="104">
        <v>2600000</v>
      </c>
      <c r="K793" s="96" t="s">
        <v>133</v>
      </c>
      <c r="P793" s="110">
        <f t="shared" si="17"/>
        <v>0</v>
      </c>
      <c r="Q793" s="69" t="s">
        <v>1698</v>
      </c>
      <c r="R793" s="109"/>
      <c r="V793" t="s">
        <v>27</v>
      </c>
    </row>
    <row r="794" spans="1:22" ht="15" customHeight="1" x14ac:dyDescent="0.25">
      <c r="A794" s="69">
        <v>761</v>
      </c>
      <c r="B794" s="35" t="s">
        <v>1737</v>
      </c>
      <c r="C794" s="69" t="s">
        <v>1738</v>
      </c>
      <c r="D794" s="69" t="s">
        <v>1739</v>
      </c>
      <c r="E794" s="104">
        <v>1000000</v>
      </c>
      <c r="P794" s="110">
        <f t="shared" si="17"/>
        <v>1000000</v>
      </c>
      <c r="Q794" s="69" t="s">
        <v>1698</v>
      </c>
      <c r="R794" s="109"/>
      <c r="V794" t="s">
        <v>27</v>
      </c>
    </row>
    <row r="795" spans="1:22" ht="15" customHeight="1" x14ac:dyDescent="0.25">
      <c r="A795" s="69">
        <v>762</v>
      </c>
      <c r="B795" s="35" t="s">
        <v>1740</v>
      </c>
      <c r="C795" s="69" t="s">
        <v>1741</v>
      </c>
      <c r="D795" s="69" t="s">
        <v>500</v>
      </c>
      <c r="E795" s="104">
        <v>1000000</v>
      </c>
      <c r="P795" s="110">
        <f t="shared" si="17"/>
        <v>1000000</v>
      </c>
      <c r="Q795" s="69" t="s">
        <v>1698</v>
      </c>
      <c r="R795" s="109"/>
      <c r="V795" t="s">
        <v>27</v>
      </c>
    </row>
    <row r="796" spans="1:22" ht="15" customHeight="1" x14ac:dyDescent="0.25">
      <c r="A796" s="69">
        <v>764</v>
      </c>
      <c r="B796" s="35" t="s">
        <v>1742</v>
      </c>
      <c r="C796" s="69" t="s">
        <v>1743</v>
      </c>
      <c r="D796" s="69" t="s">
        <v>30</v>
      </c>
      <c r="E796" s="104">
        <v>1000000</v>
      </c>
      <c r="P796" s="110">
        <f t="shared" ref="P796:P827" si="18">E796-F796-H796-J796-L796-N796</f>
        <v>1000000</v>
      </c>
      <c r="Q796" s="69" t="s">
        <v>1698</v>
      </c>
      <c r="R796" s="109"/>
      <c r="V796" t="s">
        <v>27</v>
      </c>
    </row>
    <row r="797" spans="1:22" ht="15" customHeight="1" x14ac:dyDescent="0.25">
      <c r="A797" s="69">
        <v>765</v>
      </c>
      <c r="B797" s="35" t="s">
        <v>1744</v>
      </c>
      <c r="C797" s="69" t="s">
        <v>1745</v>
      </c>
      <c r="D797" s="69" t="s">
        <v>1746</v>
      </c>
      <c r="E797" s="104">
        <v>1000000</v>
      </c>
      <c r="P797" s="110">
        <f t="shared" si="18"/>
        <v>1000000</v>
      </c>
      <c r="Q797" s="69" t="s">
        <v>1698</v>
      </c>
      <c r="R797" s="109"/>
      <c r="V797" t="s">
        <v>27</v>
      </c>
    </row>
    <row r="798" spans="1:22" ht="15" customHeight="1" x14ac:dyDescent="0.25">
      <c r="A798" s="69">
        <v>766</v>
      </c>
      <c r="B798" s="35" t="s">
        <v>1747</v>
      </c>
      <c r="C798" s="69" t="s">
        <v>950</v>
      </c>
      <c r="D798" s="69" t="s">
        <v>39</v>
      </c>
      <c r="E798" s="104">
        <v>1000000</v>
      </c>
      <c r="P798" s="110">
        <f t="shared" si="18"/>
        <v>1000000</v>
      </c>
      <c r="Q798" s="69" t="s">
        <v>1698</v>
      </c>
      <c r="R798" s="109"/>
      <c r="V798" t="s">
        <v>27</v>
      </c>
    </row>
    <row r="799" spans="1:22" ht="15" customHeight="1" x14ac:dyDescent="0.25">
      <c r="A799" s="69">
        <v>767</v>
      </c>
      <c r="B799" s="35" t="s">
        <v>1748</v>
      </c>
      <c r="C799" s="69" t="s">
        <v>238</v>
      </c>
      <c r="D799" s="69" t="s">
        <v>294</v>
      </c>
      <c r="E799" s="104">
        <v>1000000</v>
      </c>
      <c r="P799" s="110">
        <f t="shared" si="18"/>
        <v>1000000</v>
      </c>
      <c r="Q799" s="69" t="s">
        <v>1698</v>
      </c>
      <c r="R799" s="109"/>
      <c r="V799" t="s">
        <v>27</v>
      </c>
    </row>
    <row r="800" spans="1:22" ht="15" customHeight="1" x14ac:dyDescent="0.25">
      <c r="A800" s="69">
        <v>768</v>
      </c>
      <c r="B800" s="35" t="s">
        <v>1749</v>
      </c>
      <c r="C800" s="69" t="s">
        <v>750</v>
      </c>
      <c r="D800" s="69" t="s">
        <v>515</v>
      </c>
      <c r="E800" s="104">
        <v>1000000</v>
      </c>
      <c r="P800" s="110">
        <f t="shared" si="18"/>
        <v>1000000</v>
      </c>
      <c r="Q800" s="69" t="s">
        <v>1698</v>
      </c>
      <c r="R800" s="109"/>
      <c r="V800" t="s">
        <v>27</v>
      </c>
    </row>
    <row r="801" spans="1:22" ht="15" customHeight="1" x14ac:dyDescent="0.25">
      <c r="A801" s="69">
        <v>769</v>
      </c>
      <c r="B801" s="35" t="s">
        <v>1750</v>
      </c>
      <c r="C801" s="69" t="s">
        <v>1751</v>
      </c>
      <c r="D801" s="69" t="s">
        <v>484</v>
      </c>
      <c r="E801" s="104">
        <v>1000000</v>
      </c>
      <c r="P801" s="110">
        <f t="shared" si="18"/>
        <v>1000000</v>
      </c>
      <c r="Q801" s="69" t="s">
        <v>1698</v>
      </c>
      <c r="R801" s="109"/>
      <c r="V801" t="s">
        <v>27</v>
      </c>
    </row>
    <row r="802" spans="1:22" ht="15" customHeight="1" x14ac:dyDescent="0.25">
      <c r="A802" s="69">
        <v>770</v>
      </c>
      <c r="B802" s="35" t="s">
        <v>1752</v>
      </c>
      <c r="C802" s="69" t="s">
        <v>1753</v>
      </c>
      <c r="D802" s="69" t="s">
        <v>160</v>
      </c>
      <c r="E802" s="104">
        <v>8415000</v>
      </c>
      <c r="J802" s="109">
        <v>2103750</v>
      </c>
      <c r="K802" s="102" t="s">
        <v>247</v>
      </c>
      <c r="P802" s="110">
        <f t="shared" si="18"/>
        <v>6311250</v>
      </c>
      <c r="R802" s="109"/>
      <c r="V802" t="s">
        <v>27</v>
      </c>
    </row>
    <row r="803" spans="1:22" ht="15" customHeight="1" x14ac:dyDescent="0.25">
      <c r="A803" s="69">
        <v>771</v>
      </c>
      <c r="B803" s="35" t="s">
        <v>1754</v>
      </c>
      <c r="C803" s="69" t="s">
        <v>1755</v>
      </c>
      <c r="D803" s="69" t="s">
        <v>474</v>
      </c>
      <c r="E803" s="104">
        <v>4465000</v>
      </c>
      <c r="J803" s="109">
        <v>2232500</v>
      </c>
      <c r="K803" s="98" t="s">
        <v>35</v>
      </c>
      <c r="N803" s="109"/>
      <c r="O803" s="35"/>
      <c r="P803" s="110">
        <f t="shared" si="18"/>
        <v>2232500</v>
      </c>
      <c r="Q803" s="69" t="s">
        <v>26</v>
      </c>
      <c r="R803" s="109"/>
      <c r="V803" t="s">
        <v>27</v>
      </c>
    </row>
    <row r="804" spans="1:22" ht="15" customHeight="1" x14ac:dyDescent="0.25">
      <c r="A804" s="69">
        <v>773</v>
      </c>
      <c r="B804" s="35" t="s">
        <v>1756</v>
      </c>
      <c r="C804" s="69" t="s">
        <v>534</v>
      </c>
      <c r="D804" s="69" t="s">
        <v>1757</v>
      </c>
      <c r="E804" s="104">
        <v>1000000</v>
      </c>
      <c r="P804" s="110">
        <f t="shared" si="18"/>
        <v>1000000</v>
      </c>
      <c r="Q804" s="69" t="s">
        <v>1698</v>
      </c>
      <c r="R804" s="109"/>
      <c r="V804" t="s">
        <v>27</v>
      </c>
    </row>
    <row r="805" spans="1:22" ht="15" customHeight="1" x14ac:dyDescent="0.25">
      <c r="A805" s="69">
        <v>774</v>
      </c>
      <c r="B805" s="35" t="s">
        <v>1758</v>
      </c>
      <c r="C805" s="69" t="s">
        <v>1024</v>
      </c>
      <c r="D805" s="69" t="s">
        <v>88</v>
      </c>
      <c r="E805" s="104">
        <v>1000000</v>
      </c>
      <c r="P805" s="110">
        <f t="shared" si="18"/>
        <v>1000000</v>
      </c>
      <c r="Q805" s="69" t="s">
        <v>1698</v>
      </c>
      <c r="R805" s="109"/>
      <c r="V805" t="s">
        <v>27</v>
      </c>
    </row>
    <row r="806" spans="1:22" ht="15" customHeight="1" x14ac:dyDescent="0.25">
      <c r="A806" s="69">
        <v>775</v>
      </c>
      <c r="B806" s="35" t="s">
        <v>1759</v>
      </c>
      <c r="C806" s="69" t="s">
        <v>783</v>
      </c>
      <c r="D806" s="69" t="s">
        <v>1760</v>
      </c>
      <c r="E806" s="104">
        <v>1000000</v>
      </c>
      <c r="P806" s="110">
        <f t="shared" si="18"/>
        <v>1000000</v>
      </c>
      <c r="Q806" s="69" t="s">
        <v>1698</v>
      </c>
      <c r="R806" s="109"/>
      <c r="V806" t="s">
        <v>27</v>
      </c>
    </row>
    <row r="807" spans="1:22" ht="15" customHeight="1" x14ac:dyDescent="0.25">
      <c r="A807" s="69">
        <v>777</v>
      </c>
      <c r="B807" s="35" t="s">
        <v>1761</v>
      </c>
      <c r="C807" s="69" t="s">
        <v>730</v>
      </c>
      <c r="D807" s="69" t="s">
        <v>157</v>
      </c>
      <c r="E807" s="104">
        <v>1000000</v>
      </c>
      <c r="P807" s="110">
        <f t="shared" si="18"/>
        <v>1000000</v>
      </c>
      <c r="Q807" s="69" t="s">
        <v>1698</v>
      </c>
      <c r="R807" s="109"/>
      <c r="V807" t="s">
        <v>27</v>
      </c>
    </row>
    <row r="808" spans="1:22" ht="15" customHeight="1" x14ac:dyDescent="0.25">
      <c r="A808" s="69">
        <v>778</v>
      </c>
      <c r="B808" s="35" t="s">
        <v>1762</v>
      </c>
      <c r="C808" s="69" t="s">
        <v>293</v>
      </c>
      <c r="D808" s="69" t="s">
        <v>74</v>
      </c>
      <c r="E808" s="104">
        <v>1000000</v>
      </c>
      <c r="P808" s="110">
        <f t="shared" si="18"/>
        <v>1000000</v>
      </c>
      <c r="Q808" s="69" t="s">
        <v>1698</v>
      </c>
      <c r="R808" s="109"/>
      <c r="V808" t="s">
        <v>27</v>
      </c>
    </row>
    <row r="809" spans="1:22" ht="15" customHeight="1" x14ac:dyDescent="0.25">
      <c r="A809" s="69">
        <v>779</v>
      </c>
      <c r="B809" s="35" t="s">
        <v>1763</v>
      </c>
      <c r="C809" s="69" t="s">
        <v>1764</v>
      </c>
      <c r="D809" s="69" t="s">
        <v>1765</v>
      </c>
      <c r="E809" s="104">
        <v>1000000</v>
      </c>
      <c r="P809" s="110">
        <f t="shared" si="18"/>
        <v>1000000</v>
      </c>
      <c r="Q809" s="69" t="s">
        <v>1698</v>
      </c>
      <c r="R809" s="109"/>
      <c r="V809" t="s">
        <v>27</v>
      </c>
    </row>
    <row r="810" spans="1:22" ht="15" customHeight="1" x14ac:dyDescent="0.25">
      <c r="A810" s="69">
        <v>780</v>
      </c>
      <c r="B810" s="35" t="s">
        <v>1766</v>
      </c>
      <c r="C810" s="69" t="s">
        <v>1767</v>
      </c>
      <c r="D810" s="69" t="s">
        <v>490</v>
      </c>
      <c r="E810" s="104">
        <v>1000000</v>
      </c>
      <c r="P810" s="110">
        <f t="shared" si="18"/>
        <v>1000000</v>
      </c>
      <c r="Q810" s="69" t="s">
        <v>1698</v>
      </c>
      <c r="R810" s="109"/>
      <c r="V810" t="s">
        <v>27</v>
      </c>
    </row>
    <row r="811" spans="1:22" ht="15" customHeight="1" x14ac:dyDescent="0.25">
      <c r="A811" s="69">
        <v>782</v>
      </c>
      <c r="B811" s="35" t="s">
        <v>1768</v>
      </c>
      <c r="C811" s="69" t="s">
        <v>418</v>
      </c>
      <c r="D811" s="69" t="s">
        <v>50</v>
      </c>
      <c r="E811" s="104">
        <v>1000000</v>
      </c>
      <c r="P811" s="110">
        <f t="shared" si="18"/>
        <v>1000000</v>
      </c>
      <c r="Q811" s="69" t="s">
        <v>1698</v>
      </c>
      <c r="R811" s="109"/>
      <c r="V811" t="s">
        <v>27</v>
      </c>
    </row>
    <row r="812" spans="1:22" ht="15" customHeight="1" x14ac:dyDescent="0.25">
      <c r="A812" s="69">
        <v>783</v>
      </c>
      <c r="B812" s="35" t="s">
        <v>1769</v>
      </c>
      <c r="C812" s="69" t="s">
        <v>1770</v>
      </c>
      <c r="D812" s="69" t="s">
        <v>120</v>
      </c>
      <c r="E812" s="104">
        <v>8415000</v>
      </c>
      <c r="J812" s="109">
        <v>2103750</v>
      </c>
      <c r="K812" s="97" t="s">
        <v>325</v>
      </c>
      <c r="N812" s="109"/>
      <c r="O812" s="35"/>
      <c r="P812" s="110">
        <f t="shared" si="18"/>
        <v>6311250</v>
      </c>
      <c r="Q812" s="69" t="s">
        <v>26</v>
      </c>
      <c r="R812" s="109">
        <v>2103750</v>
      </c>
      <c r="S812" s="100" t="s">
        <v>113</v>
      </c>
      <c r="T812" s="110">
        <f>E812-F812-J812-N812-R812</f>
        <v>4207500</v>
      </c>
      <c r="V812" t="s">
        <v>27</v>
      </c>
    </row>
    <row r="813" spans="1:22" ht="15" customHeight="1" x14ac:dyDescent="0.25">
      <c r="A813" s="69">
        <v>784</v>
      </c>
      <c r="B813" s="35" t="s">
        <v>1771</v>
      </c>
      <c r="C813" s="69" t="s">
        <v>1772</v>
      </c>
      <c r="D813" s="69" t="s">
        <v>341</v>
      </c>
      <c r="E813" s="104">
        <v>1000000</v>
      </c>
      <c r="P813" s="110">
        <f t="shared" si="18"/>
        <v>1000000</v>
      </c>
      <c r="Q813" s="69" t="s">
        <v>1698</v>
      </c>
      <c r="R813" s="109"/>
      <c r="V813" t="s">
        <v>27</v>
      </c>
    </row>
    <row r="814" spans="1:22" ht="15" customHeight="1" x14ac:dyDescent="0.25">
      <c r="A814" s="69">
        <v>785</v>
      </c>
      <c r="B814" s="35" t="s">
        <v>1773</v>
      </c>
      <c r="C814" s="69" t="s">
        <v>1774</v>
      </c>
      <c r="D814" s="69" t="s">
        <v>803</v>
      </c>
      <c r="E814" s="104">
        <v>1000000</v>
      </c>
      <c r="P814" s="110">
        <f t="shared" si="18"/>
        <v>1000000</v>
      </c>
      <c r="Q814" s="69" t="s">
        <v>1698</v>
      </c>
      <c r="R814" s="109"/>
      <c r="V814" t="s">
        <v>27</v>
      </c>
    </row>
    <row r="815" spans="1:22" ht="15" customHeight="1" x14ac:dyDescent="0.25">
      <c r="A815" s="69">
        <v>786</v>
      </c>
      <c r="B815" s="35" t="s">
        <v>1775</v>
      </c>
      <c r="C815" s="69" t="s">
        <v>154</v>
      </c>
      <c r="D815" s="69" t="s">
        <v>1690</v>
      </c>
      <c r="E815" s="104">
        <v>1000000</v>
      </c>
      <c r="P815" s="110">
        <f t="shared" si="18"/>
        <v>1000000</v>
      </c>
      <c r="Q815" s="69" t="s">
        <v>1698</v>
      </c>
      <c r="R815" s="109"/>
      <c r="V815" t="s">
        <v>27</v>
      </c>
    </row>
    <row r="816" spans="1:22" ht="15" customHeight="1" x14ac:dyDescent="0.25">
      <c r="A816" s="69">
        <v>787</v>
      </c>
      <c r="B816" s="35" t="s">
        <v>1776</v>
      </c>
      <c r="C816" s="69" t="s">
        <v>1777</v>
      </c>
      <c r="D816" s="69" t="s">
        <v>392</v>
      </c>
      <c r="E816" s="104">
        <v>1000000</v>
      </c>
      <c r="P816" s="110">
        <f t="shared" si="18"/>
        <v>1000000</v>
      </c>
      <c r="Q816" s="69" t="s">
        <v>1698</v>
      </c>
      <c r="R816" s="109"/>
      <c r="V816" t="s">
        <v>27</v>
      </c>
    </row>
    <row r="817" spans="1:22" ht="15" customHeight="1" x14ac:dyDescent="0.25">
      <c r="A817" s="69">
        <v>788</v>
      </c>
      <c r="B817" s="35" t="s">
        <v>1778</v>
      </c>
      <c r="C817" s="69" t="s">
        <v>334</v>
      </c>
      <c r="D817" s="69" t="s">
        <v>57</v>
      </c>
      <c r="E817" s="104">
        <v>1000000</v>
      </c>
      <c r="P817" s="110">
        <f t="shared" si="18"/>
        <v>1000000</v>
      </c>
      <c r="Q817" s="69" t="s">
        <v>1698</v>
      </c>
      <c r="R817" s="109"/>
      <c r="V817" t="s">
        <v>27</v>
      </c>
    </row>
    <row r="818" spans="1:22" ht="15" customHeight="1" x14ac:dyDescent="0.25">
      <c r="A818" s="69">
        <v>789</v>
      </c>
      <c r="B818" s="35" t="s">
        <v>1779</v>
      </c>
      <c r="C818" s="69" t="s">
        <v>859</v>
      </c>
      <c r="D818" s="69" t="s">
        <v>207</v>
      </c>
      <c r="E818" s="104">
        <v>8415000</v>
      </c>
      <c r="J818" s="109">
        <v>2103750</v>
      </c>
      <c r="K818" s="102" t="s">
        <v>601</v>
      </c>
      <c r="P818" s="110">
        <f t="shared" si="18"/>
        <v>6311250</v>
      </c>
      <c r="R818" s="109">
        <v>2103750</v>
      </c>
      <c r="S818" s="99" t="s">
        <v>287</v>
      </c>
      <c r="T818" s="110">
        <f>E818-F818-H818-J818-L818-N818-R818</f>
        <v>4207500</v>
      </c>
      <c r="V818" t="s">
        <v>27</v>
      </c>
    </row>
    <row r="819" spans="1:22" ht="15" customHeight="1" x14ac:dyDescent="0.25">
      <c r="A819" s="69">
        <v>791</v>
      </c>
      <c r="B819" s="35" t="s">
        <v>1780</v>
      </c>
      <c r="C819" s="69" t="s">
        <v>1781</v>
      </c>
      <c r="D819" s="69" t="s">
        <v>151</v>
      </c>
      <c r="E819" s="104">
        <v>1000000</v>
      </c>
      <c r="P819" s="110">
        <f t="shared" si="18"/>
        <v>1000000</v>
      </c>
      <c r="Q819" s="69" t="s">
        <v>1698</v>
      </c>
      <c r="R819" s="109"/>
      <c r="V819" t="s">
        <v>27</v>
      </c>
    </row>
    <row r="820" spans="1:22" ht="15" customHeight="1" x14ac:dyDescent="0.25">
      <c r="A820" s="105">
        <v>793</v>
      </c>
      <c r="B820" s="105">
        <v>25808800046</v>
      </c>
      <c r="C820" s="105" t="s">
        <v>1658</v>
      </c>
      <c r="D820" s="105" t="s">
        <v>270</v>
      </c>
      <c r="E820" s="106">
        <v>4465000</v>
      </c>
      <c r="F820" s="105"/>
      <c r="G820" s="105"/>
      <c r="H820" s="105"/>
      <c r="I820" s="105"/>
      <c r="J820" s="105"/>
      <c r="K820" s="105"/>
      <c r="L820" s="105"/>
      <c r="M820" s="105"/>
      <c r="N820" s="106">
        <v>2232500</v>
      </c>
      <c r="O820" s="105" t="s">
        <v>25</v>
      </c>
      <c r="P820" s="117">
        <f t="shared" si="18"/>
        <v>2232500</v>
      </c>
      <c r="Q820" s="105" t="s">
        <v>26</v>
      </c>
      <c r="R820" s="109"/>
      <c r="S820" s="105"/>
      <c r="T820" s="105"/>
      <c r="V820" t="s">
        <v>27</v>
      </c>
    </row>
    <row r="821" spans="1:22" ht="15" customHeight="1" x14ac:dyDescent="0.25">
      <c r="A821" s="69">
        <v>794</v>
      </c>
      <c r="B821" s="35" t="s">
        <v>1782</v>
      </c>
      <c r="C821" s="69" t="s">
        <v>1783</v>
      </c>
      <c r="D821" s="69" t="s">
        <v>120</v>
      </c>
      <c r="E821" s="104">
        <v>1000000</v>
      </c>
      <c r="P821" s="110">
        <f t="shared" si="18"/>
        <v>1000000</v>
      </c>
      <c r="Q821" s="69" t="s">
        <v>1698</v>
      </c>
      <c r="R821" s="109"/>
      <c r="V821" t="s">
        <v>27</v>
      </c>
    </row>
    <row r="822" spans="1:22" ht="15" customHeight="1" x14ac:dyDescent="0.25">
      <c r="A822" s="69">
        <v>795</v>
      </c>
      <c r="B822" s="35" t="s">
        <v>1784</v>
      </c>
      <c r="C822" s="69" t="s">
        <v>181</v>
      </c>
      <c r="D822" s="69" t="s">
        <v>39</v>
      </c>
      <c r="E822" s="104">
        <v>1000000</v>
      </c>
      <c r="P822" s="110">
        <f t="shared" si="18"/>
        <v>1000000</v>
      </c>
      <c r="Q822" s="69" t="s">
        <v>1698</v>
      </c>
      <c r="R822" s="109"/>
      <c r="V822" t="s">
        <v>27</v>
      </c>
    </row>
    <row r="823" spans="1:22" ht="15" customHeight="1" x14ac:dyDescent="0.25">
      <c r="A823" s="69">
        <v>796</v>
      </c>
      <c r="B823" s="35" t="s">
        <v>1785</v>
      </c>
      <c r="C823" s="69" t="s">
        <v>1786</v>
      </c>
      <c r="D823" s="69" t="s">
        <v>1787</v>
      </c>
      <c r="E823" s="104">
        <v>1000000</v>
      </c>
      <c r="P823" s="110">
        <f t="shared" si="18"/>
        <v>1000000</v>
      </c>
      <c r="Q823" s="69" t="s">
        <v>1698</v>
      </c>
      <c r="R823" s="109"/>
      <c r="V823" t="s">
        <v>27</v>
      </c>
    </row>
    <row r="824" spans="1:22" ht="15" customHeight="1" x14ac:dyDescent="0.25">
      <c r="A824" s="69">
        <v>797</v>
      </c>
      <c r="B824" s="35" t="s">
        <v>1788</v>
      </c>
      <c r="C824" s="69" t="s">
        <v>1176</v>
      </c>
      <c r="D824" s="69" t="s">
        <v>175</v>
      </c>
      <c r="E824" s="104">
        <v>1000000</v>
      </c>
      <c r="P824" s="110">
        <f t="shared" si="18"/>
        <v>1000000</v>
      </c>
      <c r="Q824" s="69" t="s">
        <v>1698</v>
      </c>
      <c r="R824" s="109"/>
      <c r="V824" t="s">
        <v>27</v>
      </c>
    </row>
    <row r="825" spans="1:22" ht="15" customHeight="1" x14ac:dyDescent="0.25">
      <c r="A825" s="69">
        <v>798</v>
      </c>
      <c r="B825" s="35" t="s">
        <v>1789</v>
      </c>
      <c r="C825" s="69" t="s">
        <v>38</v>
      </c>
      <c r="D825" s="69" t="s">
        <v>1790</v>
      </c>
      <c r="E825" s="104">
        <v>3000000</v>
      </c>
      <c r="J825" s="109">
        <v>2600000</v>
      </c>
      <c r="K825" s="102" t="s">
        <v>601</v>
      </c>
      <c r="P825" s="110">
        <f t="shared" si="18"/>
        <v>400000</v>
      </c>
      <c r="Q825" s="69" t="s">
        <v>1698</v>
      </c>
      <c r="R825" s="109"/>
      <c r="V825" t="s">
        <v>27</v>
      </c>
    </row>
    <row r="826" spans="1:22" ht="15" customHeight="1" x14ac:dyDescent="0.25">
      <c r="A826" s="69">
        <v>799</v>
      </c>
      <c r="B826" s="35" t="s">
        <v>1791</v>
      </c>
      <c r="C826" s="69" t="s">
        <v>1335</v>
      </c>
      <c r="D826" s="69" t="s">
        <v>270</v>
      </c>
      <c r="E826" s="104">
        <v>1000000</v>
      </c>
      <c r="K826" s="35"/>
      <c r="P826" s="110">
        <f t="shared" si="18"/>
        <v>1000000</v>
      </c>
      <c r="Q826" s="69" t="s">
        <v>1698</v>
      </c>
      <c r="R826" s="109"/>
      <c r="V826" t="s">
        <v>27</v>
      </c>
    </row>
    <row r="827" spans="1:22" ht="15" customHeight="1" x14ac:dyDescent="0.25">
      <c r="A827" s="69">
        <v>801</v>
      </c>
      <c r="B827" s="35" t="s">
        <v>1792</v>
      </c>
      <c r="C827" s="69" t="s">
        <v>293</v>
      </c>
      <c r="D827" s="69" t="s">
        <v>151</v>
      </c>
      <c r="E827" s="104">
        <v>1000000</v>
      </c>
      <c r="P827" s="110">
        <f t="shared" si="18"/>
        <v>1000000</v>
      </c>
      <c r="Q827" s="69" t="s">
        <v>1698</v>
      </c>
      <c r="R827" s="109"/>
      <c r="V827" t="s">
        <v>27</v>
      </c>
    </row>
    <row r="828" spans="1:22" ht="15" customHeight="1" x14ac:dyDescent="0.25">
      <c r="A828" s="69">
        <v>802</v>
      </c>
      <c r="B828" s="35" t="s">
        <v>1793</v>
      </c>
      <c r="C828" s="69" t="s">
        <v>1794</v>
      </c>
      <c r="D828" s="69" t="s">
        <v>160</v>
      </c>
      <c r="E828" s="104">
        <v>1000000</v>
      </c>
      <c r="P828" s="110">
        <f t="shared" ref="P828:P853" si="19">E828-F828-H828-J828-L828-N828</f>
        <v>1000000</v>
      </c>
      <c r="Q828" s="69" t="s">
        <v>1698</v>
      </c>
      <c r="R828" s="109"/>
      <c r="V828" t="s">
        <v>27</v>
      </c>
    </row>
    <row r="829" spans="1:22" ht="15" customHeight="1" x14ac:dyDescent="0.25">
      <c r="A829" s="69">
        <v>803</v>
      </c>
      <c r="B829" s="35" t="s">
        <v>1795</v>
      </c>
      <c r="C829" s="69" t="s">
        <v>1796</v>
      </c>
      <c r="D829" s="69" t="s">
        <v>131</v>
      </c>
      <c r="E829" s="104">
        <v>1000000</v>
      </c>
      <c r="P829" s="110">
        <f t="shared" si="19"/>
        <v>1000000</v>
      </c>
      <c r="Q829" s="69" t="s">
        <v>1698</v>
      </c>
      <c r="R829" s="109"/>
      <c r="V829" t="s">
        <v>27</v>
      </c>
    </row>
    <row r="830" spans="1:22" ht="15" customHeight="1" x14ac:dyDescent="0.25">
      <c r="A830" s="69">
        <v>804</v>
      </c>
      <c r="B830" s="35" t="s">
        <v>1797</v>
      </c>
      <c r="C830" s="69" t="s">
        <v>1798</v>
      </c>
      <c r="D830" s="69" t="s">
        <v>290</v>
      </c>
      <c r="E830" s="104">
        <v>1000000</v>
      </c>
      <c r="P830" s="110">
        <f t="shared" si="19"/>
        <v>1000000</v>
      </c>
      <c r="Q830" s="69" t="s">
        <v>1698</v>
      </c>
      <c r="R830" s="109"/>
      <c r="V830" t="s">
        <v>27</v>
      </c>
    </row>
    <row r="831" spans="1:22" ht="15" customHeight="1" x14ac:dyDescent="0.25">
      <c r="A831" s="69">
        <v>805</v>
      </c>
      <c r="B831" s="35" t="s">
        <v>1799</v>
      </c>
      <c r="C831" s="69" t="s">
        <v>1405</v>
      </c>
      <c r="D831" s="69" t="s">
        <v>1800</v>
      </c>
      <c r="E831" s="104">
        <v>1000000</v>
      </c>
      <c r="P831" s="110">
        <f t="shared" si="19"/>
        <v>1000000</v>
      </c>
      <c r="Q831" s="69" t="s">
        <v>1698</v>
      </c>
      <c r="R831" s="109"/>
      <c r="V831" t="s">
        <v>27</v>
      </c>
    </row>
    <row r="832" spans="1:22" ht="15" customHeight="1" x14ac:dyDescent="0.25">
      <c r="A832" s="69">
        <v>806</v>
      </c>
      <c r="B832" s="35" t="s">
        <v>1801</v>
      </c>
      <c r="C832" s="69" t="s">
        <v>1802</v>
      </c>
      <c r="D832" s="69" t="s">
        <v>138</v>
      </c>
      <c r="E832" s="104">
        <v>1000000</v>
      </c>
      <c r="P832" s="110">
        <f t="shared" si="19"/>
        <v>1000000</v>
      </c>
      <c r="Q832" s="69" t="s">
        <v>1698</v>
      </c>
      <c r="R832" s="109"/>
      <c r="V832" t="s">
        <v>27</v>
      </c>
    </row>
    <row r="833" spans="1:22" ht="15" customHeight="1" x14ac:dyDescent="0.25">
      <c r="A833" s="69">
        <v>807</v>
      </c>
      <c r="B833" s="35" t="s">
        <v>1803</v>
      </c>
      <c r="C833" s="69" t="s">
        <v>154</v>
      </c>
      <c r="D833" s="69" t="s">
        <v>494</v>
      </c>
      <c r="E833" s="104">
        <v>1000000</v>
      </c>
      <c r="P833" s="110">
        <f t="shared" si="19"/>
        <v>1000000</v>
      </c>
      <c r="Q833" s="69" t="s">
        <v>1698</v>
      </c>
      <c r="R833" s="109"/>
      <c r="V833" t="s">
        <v>27</v>
      </c>
    </row>
    <row r="834" spans="1:22" ht="15" customHeight="1" x14ac:dyDescent="0.25">
      <c r="A834" s="69">
        <v>808</v>
      </c>
      <c r="B834" s="35" t="s">
        <v>1804</v>
      </c>
      <c r="C834" s="69" t="s">
        <v>1805</v>
      </c>
      <c r="D834" s="69" t="s">
        <v>217</v>
      </c>
      <c r="E834" s="104">
        <v>1000000</v>
      </c>
      <c r="P834" s="110">
        <f t="shared" si="19"/>
        <v>1000000</v>
      </c>
      <c r="Q834" s="69" t="s">
        <v>1698</v>
      </c>
      <c r="R834" s="109"/>
      <c r="V834" t="s">
        <v>27</v>
      </c>
    </row>
    <row r="835" spans="1:22" ht="15" customHeight="1" x14ac:dyDescent="0.25">
      <c r="A835" s="69">
        <v>809</v>
      </c>
      <c r="B835" s="35" t="s">
        <v>1806</v>
      </c>
      <c r="C835" s="69" t="s">
        <v>1807</v>
      </c>
      <c r="D835" s="69" t="s">
        <v>204</v>
      </c>
      <c r="E835" s="104">
        <v>1000000</v>
      </c>
      <c r="P835" s="110">
        <f t="shared" si="19"/>
        <v>1000000</v>
      </c>
      <c r="Q835" s="69" t="s">
        <v>1698</v>
      </c>
      <c r="R835" s="109"/>
      <c r="V835" t="s">
        <v>27</v>
      </c>
    </row>
    <row r="836" spans="1:22" ht="15" customHeight="1" x14ac:dyDescent="0.25">
      <c r="A836" s="69">
        <v>810</v>
      </c>
      <c r="B836" s="35" t="s">
        <v>1808</v>
      </c>
      <c r="C836" s="69" t="s">
        <v>1809</v>
      </c>
      <c r="D836" s="69" t="s">
        <v>151</v>
      </c>
      <c r="E836" s="104">
        <v>1000000</v>
      </c>
      <c r="P836" s="110">
        <f t="shared" si="19"/>
        <v>1000000</v>
      </c>
      <c r="Q836" s="69" t="s">
        <v>1698</v>
      </c>
      <c r="R836" s="109"/>
      <c r="V836" t="s">
        <v>27</v>
      </c>
    </row>
    <row r="837" spans="1:22" ht="15" customHeight="1" x14ac:dyDescent="0.25">
      <c r="A837" s="69">
        <v>812</v>
      </c>
      <c r="B837" s="35" t="s">
        <v>1810</v>
      </c>
      <c r="C837" s="69" t="s">
        <v>877</v>
      </c>
      <c r="D837" s="69" t="s">
        <v>270</v>
      </c>
      <c r="E837" s="104">
        <v>1000000</v>
      </c>
      <c r="P837" s="110">
        <f t="shared" si="19"/>
        <v>1000000</v>
      </c>
      <c r="Q837" s="69" t="s">
        <v>1698</v>
      </c>
      <c r="R837" s="109"/>
      <c r="V837" t="s">
        <v>27</v>
      </c>
    </row>
    <row r="838" spans="1:22" ht="15" customHeight="1" x14ac:dyDescent="0.25">
      <c r="A838" s="69">
        <v>813</v>
      </c>
      <c r="B838" s="35" t="s">
        <v>1811</v>
      </c>
      <c r="C838" s="69" t="s">
        <v>1812</v>
      </c>
      <c r="D838" s="69" t="s">
        <v>175</v>
      </c>
      <c r="E838" s="104">
        <v>1000000</v>
      </c>
      <c r="P838" s="110">
        <f t="shared" si="19"/>
        <v>1000000</v>
      </c>
      <c r="Q838" s="69" t="s">
        <v>1698</v>
      </c>
      <c r="R838" s="109"/>
      <c r="V838" t="s">
        <v>27</v>
      </c>
    </row>
    <row r="839" spans="1:22" ht="15" customHeight="1" x14ac:dyDescent="0.25">
      <c r="A839" s="69">
        <v>814</v>
      </c>
      <c r="B839" s="35" t="s">
        <v>1813</v>
      </c>
      <c r="C839" s="69" t="s">
        <v>1568</v>
      </c>
      <c r="D839" s="69" t="s">
        <v>157</v>
      </c>
      <c r="E839" s="104">
        <v>1000000</v>
      </c>
      <c r="P839" s="110">
        <f t="shared" si="19"/>
        <v>1000000</v>
      </c>
      <c r="Q839" s="69" t="s">
        <v>1698</v>
      </c>
      <c r="R839" s="109"/>
      <c r="V839" t="s">
        <v>27</v>
      </c>
    </row>
    <row r="840" spans="1:22" ht="15" customHeight="1" x14ac:dyDescent="0.25">
      <c r="A840" s="69">
        <v>815</v>
      </c>
      <c r="B840" s="35" t="s">
        <v>1814</v>
      </c>
      <c r="C840" s="69" t="s">
        <v>1815</v>
      </c>
      <c r="D840" s="69" t="s">
        <v>57</v>
      </c>
      <c r="E840" s="104">
        <v>1000000</v>
      </c>
      <c r="P840" s="110">
        <f t="shared" si="19"/>
        <v>1000000</v>
      </c>
      <c r="Q840" s="69" t="s">
        <v>1698</v>
      </c>
      <c r="R840" s="109"/>
      <c r="V840" t="s">
        <v>27</v>
      </c>
    </row>
    <row r="841" spans="1:22" ht="15" customHeight="1" x14ac:dyDescent="0.25">
      <c r="A841" s="69">
        <v>816</v>
      </c>
      <c r="B841" s="35" t="s">
        <v>1816</v>
      </c>
      <c r="C841" s="69" t="s">
        <v>1817</v>
      </c>
      <c r="D841" s="69" t="s">
        <v>166</v>
      </c>
      <c r="E841" s="104">
        <v>8415000</v>
      </c>
      <c r="J841" s="109">
        <v>2103750</v>
      </c>
      <c r="K841" s="101" t="s">
        <v>51</v>
      </c>
      <c r="P841" s="110">
        <f t="shared" si="19"/>
        <v>6311250</v>
      </c>
      <c r="R841" s="109"/>
      <c r="V841" t="s">
        <v>27</v>
      </c>
    </row>
    <row r="842" spans="1:22" ht="15" customHeight="1" x14ac:dyDescent="0.25">
      <c r="A842" s="69">
        <v>817</v>
      </c>
      <c r="B842" s="35" t="s">
        <v>1818</v>
      </c>
      <c r="C842" s="69" t="s">
        <v>418</v>
      </c>
      <c r="D842" s="69" t="s">
        <v>294</v>
      </c>
      <c r="E842" s="104">
        <v>1000000</v>
      </c>
      <c r="P842" s="110">
        <f t="shared" si="19"/>
        <v>1000000</v>
      </c>
      <c r="Q842" s="69" t="s">
        <v>1698</v>
      </c>
      <c r="R842" s="109"/>
      <c r="V842" t="s">
        <v>27</v>
      </c>
    </row>
    <row r="843" spans="1:22" ht="15" customHeight="1" x14ac:dyDescent="0.25">
      <c r="A843" s="69">
        <v>818</v>
      </c>
      <c r="B843" s="35" t="s">
        <v>1819</v>
      </c>
      <c r="C843" s="69" t="s">
        <v>1820</v>
      </c>
      <c r="D843" s="69" t="s">
        <v>611</v>
      </c>
      <c r="E843" s="104">
        <v>1000000</v>
      </c>
      <c r="P843" s="110">
        <f t="shared" si="19"/>
        <v>1000000</v>
      </c>
      <c r="Q843" s="69" t="s">
        <v>1698</v>
      </c>
      <c r="R843" s="109"/>
      <c r="V843" t="s">
        <v>27</v>
      </c>
    </row>
    <row r="844" spans="1:22" ht="15" customHeight="1" x14ac:dyDescent="0.25">
      <c r="A844" s="69">
        <v>819</v>
      </c>
      <c r="B844" s="35" t="s">
        <v>1821</v>
      </c>
      <c r="C844" s="111" t="s">
        <v>1119</v>
      </c>
      <c r="D844" s="111" t="s">
        <v>120</v>
      </c>
      <c r="E844" s="104">
        <v>1000000</v>
      </c>
      <c r="P844" s="110">
        <f t="shared" si="19"/>
        <v>1000000</v>
      </c>
      <c r="R844" s="109"/>
      <c r="V844" t="s">
        <v>27</v>
      </c>
    </row>
    <row r="845" spans="1:22" ht="15" customHeight="1" x14ac:dyDescent="0.25">
      <c r="A845" s="69">
        <v>820</v>
      </c>
      <c r="B845" s="35" t="s">
        <v>1822</v>
      </c>
      <c r="C845" s="111" t="s">
        <v>1634</v>
      </c>
      <c r="D845" s="111" t="s">
        <v>22</v>
      </c>
      <c r="E845" s="104">
        <v>1000000</v>
      </c>
      <c r="P845" s="110">
        <f t="shared" si="19"/>
        <v>1000000</v>
      </c>
      <c r="R845" s="109"/>
      <c r="V845" t="s">
        <v>27</v>
      </c>
    </row>
    <row r="846" spans="1:22" ht="15" customHeight="1" x14ac:dyDescent="0.25">
      <c r="A846" s="69">
        <v>822</v>
      </c>
      <c r="B846" s="35" t="s">
        <v>1823</v>
      </c>
      <c r="C846" s="111" t="s">
        <v>1824</v>
      </c>
      <c r="D846" s="111" t="s">
        <v>47</v>
      </c>
      <c r="E846" s="104">
        <v>1000000</v>
      </c>
      <c r="P846" s="110">
        <f t="shared" si="19"/>
        <v>1000000</v>
      </c>
      <c r="R846" s="109"/>
      <c r="V846" t="s">
        <v>27</v>
      </c>
    </row>
    <row r="847" spans="1:22" ht="15" customHeight="1" x14ac:dyDescent="0.25">
      <c r="A847" s="69">
        <v>823</v>
      </c>
      <c r="B847" s="35" t="s">
        <v>1825</v>
      </c>
      <c r="C847" s="111" t="s">
        <v>73</v>
      </c>
      <c r="D847" s="111" t="s">
        <v>74</v>
      </c>
      <c r="E847" s="104">
        <v>1000000</v>
      </c>
      <c r="P847" s="110">
        <f t="shared" si="19"/>
        <v>1000000</v>
      </c>
      <c r="R847" s="109"/>
      <c r="V847" t="s">
        <v>27</v>
      </c>
    </row>
    <row r="848" spans="1:22" ht="15" customHeight="1" x14ac:dyDescent="0.25">
      <c r="A848" s="69">
        <v>824</v>
      </c>
      <c r="B848" s="35" t="s">
        <v>1826</v>
      </c>
      <c r="C848" s="111" t="s">
        <v>1670</v>
      </c>
      <c r="D848" s="111" t="s">
        <v>151</v>
      </c>
      <c r="E848" s="104">
        <v>1000000</v>
      </c>
      <c r="P848" s="110">
        <f t="shared" si="19"/>
        <v>1000000</v>
      </c>
      <c r="R848" s="109"/>
      <c r="V848" t="s">
        <v>27</v>
      </c>
    </row>
    <row r="849" spans="1:22" ht="15" customHeight="1" x14ac:dyDescent="0.25">
      <c r="A849" s="69">
        <v>825</v>
      </c>
      <c r="B849" s="35" t="s">
        <v>1827</v>
      </c>
      <c r="C849" s="111" t="s">
        <v>1828</v>
      </c>
      <c r="D849" s="111" t="s">
        <v>712</v>
      </c>
      <c r="E849" s="104">
        <v>1000000</v>
      </c>
      <c r="P849" s="110">
        <f t="shared" si="19"/>
        <v>1000000</v>
      </c>
      <c r="R849" s="109"/>
      <c r="V849" t="s">
        <v>27</v>
      </c>
    </row>
    <row r="850" spans="1:22" ht="15" customHeight="1" x14ac:dyDescent="0.25">
      <c r="A850" s="69">
        <v>827</v>
      </c>
      <c r="B850" s="35" t="s">
        <v>1829</v>
      </c>
      <c r="C850" s="69" t="s">
        <v>879</v>
      </c>
      <c r="D850" s="69" t="s">
        <v>478</v>
      </c>
      <c r="E850" s="104">
        <v>500000</v>
      </c>
      <c r="P850" s="110">
        <f t="shared" si="19"/>
        <v>500000</v>
      </c>
      <c r="Q850" s="69" t="s">
        <v>1698</v>
      </c>
      <c r="R850" s="109"/>
      <c r="V850" t="s">
        <v>27</v>
      </c>
    </row>
    <row r="851" spans="1:22" ht="15" customHeight="1" x14ac:dyDescent="0.25">
      <c r="A851" s="69">
        <v>828</v>
      </c>
      <c r="B851" s="35" t="s">
        <v>1830</v>
      </c>
      <c r="C851" s="69" t="s">
        <v>1606</v>
      </c>
      <c r="D851" s="69" t="s">
        <v>887</v>
      </c>
      <c r="E851" s="104">
        <v>500000</v>
      </c>
      <c r="P851" s="110">
        <f t="shared" si="19"/>
        <v>500000</v>
      </c>
      <c r="Q851" s="69" t="s">
        <v>1698</v>
      </c>
      <c r="R851" s="109"/>
      <c r="V851" t="s">
        <v>27</v>
      </c>
    </row>
    <row r="852" spans="1:22" ht="15" customHeight="1" x14ac:dyDescent="0.25">
      <c r="A852" s="69">
        <v>830</v>
      </c>
      <c r="B852" s="69">
        <v>963600420</v>
      </c>
      <c r="C852" s="69" t="s">
        <v>1831</v>
      </c>
      <c r="D852" s="69" t="s">
        <v>39</v>
      </c>
      <c r="E852" s="104">
        <v>2100000</v>
      </c>
      <c r="J852" s="104">
        <v>2100000</v>
      </c>
      <c r="K852" s="101" t="s">
        <v>51</v>
      </c>
      <c r="P852" s="110">
        <f t="shared" si="19"/>
        <v>0</v>
      </c>
      <c r="Q852" s="69" t="s">
        <v>1832</v>
      </c>
      <c r="R852" s="109"/>
      <c r="V852" t="s">
        <v>27</v>
      </c>
    </row>
    <row r="853" spans="1:22" ht="15" customHeight="1" x14ac:dyDescent="0.25">
      <c r="A853" s="69">
        <v>831</v>
      </c>
      <c r="B853" s="35" t="s">
        <v>1833</v>
      </c>
      <c r="C853" s="69" t="s">
        <v>1834</v>
      </c>
      <c r="D853" s="69" t="s">
        <v>157</v>
      </c>
      <c r="E853" s="104">
        <v>8415000</v>
      </c>
      <c r="J853" s="109">
        <v>2103750</v>
      </c>
      <c r="K853" s="96" t="s">
        <v>232</v>
      </c>
      <c r="P853" s="110">
        <f t="shared" si="19"/>
        <v>6311250</v>
      </c>
      <c r="R853" s="109">
        <v>2103750</v>
      </c>
      <c r="S853" s="100" t="s">
        <v>422</v>
      </c>
      <c r="T853" s="110">
        <f>E853-F853-J853-N853-R853</f>
        <v>4207500</v>
      </c>
      <c r="V853" t="s">
        <v>27</v>
      </c>
    </row>
    <row r="854" spans="1:22" x14ac:dyDescent="0.25">
      <c r="A854" s="69">
        <v>832</v>
      </c>
      <c r="B854" s="69">
        <v>25800600346</v>
      </c>
      <c r="C854" s="69" t="s">
        <v>168</v>
      </c>
      <c r="D854" s="69" t="s">
        <v>57</v>
      </c>
      <c r="E854" s="104">
        <v>2600000</v>
      </c>
      <c r="R854" s="109">
        <v>2600000</v>
      </c>
      <c r="S854" s="100" t="s">
        <v>40</v>
      </c>
      <c r="T854" s="110">
        <f>E854-F854-J854-N854-R854</f>
        <v>0</v>
      </c>
      <c r="V854" t="s">
        <v>126</v>
      </c>
    </row>
    <row r="855" spans="1:22" x14ac:dyDescent="0.25">
      <c r="R855" s="109"/>
      <c r="V855"/>
    </row>
    <row r="856" spans="1:22" x14ac:dyDescent="0.25">
      <c r="R856" s="109"/>
      <c r="V856"/>
    </row>
    <row r="857" spans="1:22" x14ac:dyDescent="0.25">
      <c r="R857" s="109"/>
      <c r="V857"/>
    </row>
    <row r="858" spans="1:22" x14ac:dyDescent="0.25">
      <c r="R858" s="109"/>
      <c r="V858"/>
    </row>
    <row r="859" spans="1:22" x14ac:dyDescent="0.25">
      <c r="R859" s="109"/>
      <c r="V859"/>
    </row>
    <row r="860" spans="1:22" x14ac:dyDescent="0.25">
      <c r="R860" s="109"/>
      <c r="V860"/>
    </row>
    <row r="861" spans="1:22" x14ac:dyDescent="0.25">
      <c r="R861" s="109"/>
      <c r="V861"/>
    </row>
    <row r="862" spans="1:22" x14ac:dyDescent="0.25">
      <c r="R862" s="109"/>
      <c r="V862"/>
    </row>
    <row r="863" spans="1:22" x14ac:dyDescent="0.25">
      <c r="R863" s="109"/>
      <c r="V863"/>
    </row>
    <row r="864" spans="1:22" x14ac:dyDescent="0.25">
      <c r="R864" s="109"/>
      <c r="V864"/>
    </row>
    <row r="865" spans="18:22" x14ac:dyDescent="0.25">
      <c r="R865" s="109"/>
      <c r="V865"/>
    </row>
    <row r="866" spans="18:22" x14ac:dyDescent="0.25">
      <c r="R866" s="109"/>
      <c r="V866"/>
    </row>
    <row r="867" spans="18:22" x14ac:dyDescent="0.25">
      <c r="R867" s="109"/>
      <c r="V867"/>
    </row>
    <row r="868" spans="18:22" x14ac:dyDescent="0.25">
      <c r="R868" s="109"/>
      <c r="V868"/>
    </row>
    <row r="869" spans="18:22" x14ac:dyDescent="0.25">
      <c r="R869" s="109"/>
      <c r="V869"/>
    </row>
    <row r="870" spans="18:22" x14ac:dyDescent="0.25">
      <c r="R870" s="109"/>
      <c r="V870"/>
    </row>
    <row r="871" spans="18:22" x14ac:dyDescent="0.25">
      <c r="R871" s="109"/>
      <c r="V871"/>
    </row>
    <row r="872" spans="18:22" x14ac:dyDescent="0.25">
      <c r="R872" s="109"/>
      <c r="V872"/>
    </row>
    <row r="873" spans="18:22" x14ac:dyDescent="0.25">
      <c r="R873" s="109"/>
      <c r="V873"/>
    </row>
    <row r="874" spans="18:22" x14ac:dyDescent="0.25">
      <c r="R874" s="109"/>
      <c r="V874"/>
    </row>
    <row r="875" spans="18:22" x14ac:dyDescent="0.25">
      <c r="R875" s="109"/>
      <c r="V875"/>
    </row>
    <row r="876" spans="18:22" x14ac:dyDescent="0.25">
      <c r="R876" s="109"/>
      <c r="V876"/>
    </row>
    <row r="877" spans="18:22" x14ac:dyDescent="0.25">
      <c r="R877" s="109"/>
      <c r="V877"/>
    </row>
    <row r="878" spans="18:22" x14ac:dyDescent="0.25">
      <c r="R878" s="109"/>
      <c r="V878"/>
    </row>
    <row r="879" spans="18:22" x14ac:dyDescent="0.25">
      <c r="R879" s="109"/>
      <c r="V879"/>
    </row>
    <row r="880" spans="18:22" x14ac:dyDescent="0.25">
      <c r="R880" s="109"/>
      <c r="V880"/>
    </row>
    <row r="881" spans="18:22" x14ac:dyDescent="0.25">
      <c r="R881" s="109"/>
      <c r="V881"/>
    </row>
    <row r="882" spans="18:22" x14ac:dyDescent="0.25">
      <c r="R882" s="109"/>
      <c r="V882"/>
    </row>
    <row r="883" spans="18:22" x14ac:dyDescent="0.25">
      <c r="R883" s="109"/>
      <c r="V883"/>
    </row>
    <row r="884" spans="18:22" x14ac:dyDescent="0.25">
      <c r="R884" s="109"/>
      <c r="V884"/>
    </row>
    <row r="885" spans="18:22" x14ac:dyDescent="0.25">
      <c r="R885" s="109"/>
      <c r="V885"/>
    </row>
    <row r="886" spans="18:22" x14ac:dyDescent="0.25">
      <c r="R886" s="109"/>
      <c r="V886"/>
    </row>
    <row r="887" spans="18:22" x14ac:dyDescent="0.25">
      <c r="R887" s="109"/>
      <c r="V887"/>
    </row>
    <row r="888" spans="18:22" x14ac:dyDescent="0.25">
      <c r="R888" s="109"/>
      <c r="V888"/>
    </row>
    <row r="889" spans="18:22" x14ac:dyDescent="0.25">
      <c r="R889" s="109"/>
      <c r="V889"/>
    </row>
    <row r="890" spans="18:22" x14ac:dyDescent="0.25">
      <c r="R890" s="109"/>
      <c r="V890"/>
    </row>
    <row r="891" spans="18:22" x14ac:dyDescent="0.25">
      <c r="R891" s="109"/>
      <c r="V891"/>
    </row>
    <row r="892" spans="18:22" x14ac:dyDescent="0.25">
      <c r="R892" s="109"/>
      <c r="V892"/>
    </row>
    <row r="893" spans="18:22" x14ac:dyDescent="0.25">
      <c r="R893" s="109"/>
      <c r="V893"/>
    </row>
    <row r="894" spans="18:22" x14ac:dyDescent="0.25">
      <c r="R894" s="109"/>
      <c r="V894"/>
    </row>
    <row r="895" spans="18:22" x14ac:dyDescent="0.25">
      <c r="R895" s="109"/>
      <c r="V895"/>
    </row>
    <row r="896" spans="18:22" x14ac:dyDescent="0.25">
      <c r="R896" s="109"/>
      <c r="V896"/>
    </row>
    <row r="897" spans="18:22" x14ac:dyDescent="0.25">
      <c r="R897" s="109"/>
      <c r="V897"/>
    </row>
    <row r="898" spans="18:22" x14ac:dyDescent="0.25">
      <c r="R898" s="109"/>
      <c r="V898"/>
    </row>
    <row r="899" spans="18:22" x14ac:dyDescent="0.25">
      <c r="R899" s="109"/>
      <c r="V899"/>
    </row>
    <row r="900" spans="18:22" x14ac:dyDescent="0.25">
      <c r="R900" s="109"/>
      <c r="V900"/>
    </row>
    <row r="901" spans="18:22" x14ac:dyDescent="0.25">
      <c r="R901" s="109"/>
      <c r="V901"/>
    </row>
    <row r="902" spans="18:22" x14ac:dyDescent="0.25">
      <c r="R902" s="109"/>
      <c r="V902"/>
    </row>
    <row r="903" spans="18:22" x14ac:dyDescent="0.25">
      <c r="R903" s="109"/>
      <c r="V903"/>
    </row>
    <row r="904" spans="18:22" x14ac:dyDescent="0.25">
      <c r="R904" s="109"/>
      <c r="V904"/>
    </row>
    <row r="905" spans="18:22" x14ac:dyDescent="0.25">
      <c r="R905" s="109"/>
      <c r="V905"/>
    </row>
    <row r="906" spans="18:22" x14ac:dyDescent="0.25">
      <c r="R906" s="109"/>
      <c r="V906"/>
    </row>
    <row r="907" spans="18:22" x14ac:dyDescent="0.25">
      <c r="R907" s="109"/>
      <c r="V907"/>
    </row>
    <row r="908" spans="18:22" x14ac:dyDescent="0.25">
      <c r="R908" s="109"/>
      <c r="V908"/>
    </row>
    <row r="909" spans="18:22" x14ac:dyDescent="0.25">
      <c r="R909" s="109"/>
      <c r="V909"/>
    </row>
    <row r="910" spans="18:22" x14ac:dyDescent="0.25">
      <c r="R910" s="109"/>
      <c r="V910"/>
    </row>
    <row r="911" spans="18:22" x14ac:dyDescent="0.25">
      <c r="R911" s="109"/>
      <c r="V911"/>
    </row>
    <row r="912" spans="18:22" x14ac:dyDescent="0.25">
      <c r="R912" s="109"/>
      <c r="V912"/>
    </row>
    <row r="913" spans="18:22" x14ac:dyDescent="0.25">
      <c r="R913" s="109"/>
      <c r="V913"/>
    </row>
    <row r="914" spans="18:22" x14ac:dyDescent="0.25">
      <c r="R914" s="109"/>
      <c r="V914"/>
    </row>
    <row r="915" spans="18:22" x14ac:dyDescent="0.25">
      <c r="R915" s="109"/>
      <c r="V915"/>
    </row>
    <row r="916" spans="18:22" x14ac:dyDescent="0.25">
      <c r="R916" s="109"/>
      <c r="V916"/>
    </row>
    <row r="917" spans="18:22" x14ac:dyDescent="0.25">
      <c r="R917" s="109"/>
      <c r="V917"/>
    </row>
    <row r="918" spans="18:22" x14ac:dyDescent="0.25">
      <c r="R918" s="109"/>
      <c r="V918"/>
    </row>
    <row r="919" spans="18:22" x14ac:dyDescent="0.25">
      <c r="R919" s="109"/>
      <c r="V919"/>
    </row>
    <row r="920" spans="18:22" x14ac:dyDescent="0.25">
      <c r="R920" s="109"/>
      <c r="V920"/>
    </row>
    <row r="921" spans="18:22" x14ac:dyDescent="0.25">
      <c r="R921" s="109"/>
      <c r="V921"/>
    </row>
    <row r="922" spans="18:22" x14ac:dyDescent="0.25">
      <c r="R922" s="109"/>
      <c r="V922"/>
    </row>
    <row r="923" spans="18:22" x14ac:dyDescent="0.25">
      <c r="R923" s="109"/>
      <c r="V923"/>
    </row>
    <row r="924" spans="18:22" x14ac:dyDescent="0.25">
      <c r="R924" s="109"/>
      <c r="V924"/>
    </row>
    <row r="925" spans="18:22" x14ac:dyDescent="0.25">
      <c r="R925" s="109"/>
      <c r="V925"/>
    </row>
    <row r="926" spans="18:22" x14ac:dyDescent="0.25">
      <c r="R926" s="109"/>
      <c r="V926"/>
    </row>
    <row r="927" spans="18:22" x14ac:dyDescent="0.25">
      <c r="R927" s="109"/>
      <c r="V927"/>
    </row>
    <row r="928" spans="18:22" x14ac:dyDescent="0.25">
      <c r="R928" s="109"/>
      <c r="V928"/>
    </row>
    <row r="929" spans="18:22" x14ac:dyDescent="0.25">
      <c r="R929" s="109"/>
      <c r="V929"/>
    </row>
    <row r="930" spans="18:22" x14ac:dyDescent="0.25">
      <c r="R930" s="109"/>
      <c r="V930"/>
    </row>
    <row r="931" spans="18:22" x14ac:dyDescent="0.25">
      <c r="R931" s="109"/>
      <c r="V931"/>
    </row>
    <row r="932" spans="18:22" x14ac:dyDescent="0.25">
      <c r="R932" s="109"/>
      <c r="V932"/>
    </row>
    <row r="933" spans="18:22" x14ac:dyDescent="0.25">
      <c r="R933" s="109"/>
      <c r="V933"/>
    </row>
    <row r="934" spans="18:22" x14ac:dyDescent="0.25">
      <c r="R934" s="109"/>
      <c r="V934"/>
    </row>
    <row r="935" spans="18:22" x14ac:dyDescent="0.25">
      <c r="R935" s="109"/>
      <c r="V935"/>
    </row>
    <row r="936" spans="18:22" x14ac:dyDescent="0.25">
      <c r="R936" s="109"/>
      <c r="V936"/>
    </row>
    <row r="937" spans="18:22" x14ac:dyDescent="0.25">
      <c r="R937" s="109"/>
      <c r="V937"/>
    </row>
    <row r="938" spans="18:22" x14ac:dyDescent="0.25">
      <c r="R938" s="109"/>
      <c r="V938"/>
    </row>
    <row r="939" spans="18:22" x14ac:dyDescent="0.25">
      <c r="R939" s="109"/>
      <c r="V939"/>
    </row>
    <row r="940" spans="18:22" x14ac:dyDescent="0.25">
      <c r="R940" s="109"/>
      <c r="V940"/>
    </row>
    <row r="941" spans="18:22" x14ac:dyDescent="0.25">
      <c r="R941" s="109"/>
      <c r="V941"/>
    </row>
    <row r="942" spans="18:22" x14ac:dyDescent="0.25">
      <c r="R942" s="109"/>
      <c r="V942"/>
    </row>
    <row r="943" spans="18:22" x14ac:dyDescent="0.25">
      <c r="R943" s="109"/>
      <c r="V943"/>
    </row>
    <row r="944" spans="18:22" x14ac:dyDescent="0.25">
      <c r="R944" s="109"/>
      <c r="V944"/>
    </row>
    <row r="945" spans="18:22" x14ac:dyDescent="0.25">
      <c r="R945" s="109"/>
      <c r="V945"/>
    </row>
    <row r="946" spans="18:22" x14ac:dyDescent="0.25">
      <c r="R946" s="109"/>
      <c r="V946"/>
    </row>
    <row r="947" spans="18:22" x14ac:dyDescent="0.25">
      <c r="R947" s="109"/>
      <c r="V947"/>
    </row>
    <row r="948" spans="18:22" x14ac:dyDescent="0.25">
      <c r="R948" s="109"/>
      <c r="V948"/>
    </row>
    <row r="949" spans="18:22" x14ac:dyDescent="0.25">
      <c r="R949" s="109"/>
      <c r="V949"/>
    </row>
    <row r="950" spans="18:22" x14ac:dyDescent="0.25">
      <c r="R950" s="109"/>
      <c r="V950"/>
    </row>
    <row r="951" spans="18:22" x14ac:dyDescent="0.25">
      <c r="R951" s="109"/>
      <c r="V951"/>
    </row>
    <row r="952" spans="18:22" x14ac:dyDescent="0.25">
      <c r="R952" s="109"/>
      <c r="V952"/>
    </row>
    <row r="953" spans="18:22" x14ac:dyDescent="0.25">
      <c r="R953" s="109"/>
      <c r="V953"/>
    </row>
    <row r="954" spans="18:22" x14ac:dyDescent="0.25">
      <c r="R954" s="109"/>
      <c r="V954"/>
    </row>
    <row r="955" spans="18:22" x14ac:dyDescent="0.25">
      <c r="R955" s="109"/>
      <c r="V955"/>
    </row>
    <row r="956" spans="18:22" x14ac:dyDescent="0.25">
      <c r="R956" s="109"/>
      <c r="V956"/>
    </row>
    <row r="957" spans="18:22" x14ac:dyDescent="0.25">
      <c r="R957" s="109"/>
      <c r="V957"/>
    </row>
    <row r="958" spans="18:22" x14ac:dyDescent="0.25">
      <c r="R958" s="109"/>
      <c r="V958"/>
    </row>
    <row r="959" spans="18:22" x14ac:dyDescent="0.25">
      <c r="R959" s="109"/>
      <c r="V959"/>
    </row>
    <row r="960" spans="18:22" x14ac:dyDescent="0.25">
      <c r="R960" s="109"/>
      <c r="V960"/>
    </row>
    <row r="961" spans="18:22" x14ac:dyDescent="0.25">
      <c r="R961" s="109"/>
      <c r="V961"/>
    </row>
    <row r="962" spans="18:22" x14ac:dyDescent="0.25">
      <c r="R962" s="109"/>
      <c r="V962"/>
    </row>
    <row r="963" spans="18:22" x14ac:dyDescent="0.25">
      <c r="R963" s="109"/>
      <c r="V963"/>
    </row>
    <row r="964" spans="18:22" x14ac:dyDescent="0.25">
      <c r="R964" s="109"/>
      <c r="V964"/>
    </row>
    <row r="965" spans="18:22" x14ac:dyDescent="0.25">
      <c r="R965" s="109"/>
      <c r="V965"/>
    </row>
    <row r="966" spans="18:22" x14ac:dyDescent="0.25">
      <c r="R966" s="109"/>
      <c r="V966"/>
    </row>
    <row r="967" spans="18:22" x14ac:dyDescent="0.25">
      <c r="R967" s="109"/>
      <c r="V967"/>
    </row>
    <row r="968" spans="18:22" x14ac:dyDescent="0.25">
      <c r="R968" s="109"/>
      <c r="V968"/>
    </row>
    <row r="969" spans="18:22" x14ac:dyDescent="0.25">
      <c r="R969" s="109"/>
      <c r="V969"/>
    </row>
    <row r="970" spans="18:22" x14ac:dyDescent="0.25">
      <c r="R970" s="109"/>
      <c r="V970"/>
    </row>
    <row r="971" spans="18:22" x14ac:dyDescent="0.25">
      <c r="R971" s="109"/>
      <c r="V971"/>
    </row>
    <row r="972" spans="18:22" x14ac:dyDescent="0.25">
      <c r="R972" s="109"/>
      <c r="V972"/>
    </row>
    <row r="973" spans="18:22" x14ac:dyDescent="0.25">
      <c r="R973" s="109"/>
      <c r="V973"/>
    </row>
    <row r="974" spans="18:22" x14ac:dyDescent="0.25">
      <c r="R974" s="109"/>
      <c r="V974"/>
    </row>
    <row r="975" spans="18:22" x14ac:dyDescent="0.25">
      <c r="R975" s="109"/>
      <c r="V975"/>
    </row>
    <row r="976" spans="18:22" x14ac:dyDescent="0.25">
      <c r="R976" s="109"/>
      <c r="V976"/>
    </row>
    <row r="977" spans="18:22" x14ac:dyDescent="0.25">
      <c r="R977" s="109"/>
      <c r="V977"/>
    </row>
    <row r="978" spans="18:22" x14ac:dyDescent="0.25">
      <c r="R978" s="109"/>
      <c r="V978"/>
    </row>
    <row r="979" spans="18:22" x14ac:dyDescent="0.25">
      <c r="R979" s="109"/>
      <c r="V979"/>
    </row>
    <row r="980" spans="18:22" x14ac:dyDescent="0.25">
      <c r="R980" s="109"/>
      <c r="V980"/>
    </row>
    <row r="981" spans="18:22" x14ac:dyDescent="0.25">
      <c r="R981" s="109"/>
      <c r="V981"/>
    </row>
    <row r="982" spans="18:22" x14ac:dyDescent="0.25">
      <c r="R982" s="109"/>
      <c r="V982"/>
    </row>
    <row r="983" spans="18:22" x14ac:dyDescent="0.25">
      <c r="R983" s="109"/>
      <c r="V983"/>
    </row>
    <row r="984" spans="18:22" x14ac:dyDescent="0.25">
      <c r="R984" s="109"/>
      <c r="V984"/>
    </row>
    <row r="985" spans="18:22" x14ac:dyDescent="0.25">
      <c r="R985" s="109"/>
      <c r="V985"/>
    </row>
    <row r="986" spans="18:22" x14ac:dyDescent="0.25">
      <c r="R986" s="109"/>
      <c r="V986"/>
    </row>
    <row r="987" spans="18:22" x14ac:dyDescent="0.25">
      <c r="R987" s="109"/>
      <c r="V987"/>
    </row>
    <row r="988" spans="18:22" x14ac:dyDescent="0.25">
      <c r="R988" s="109"/>
      <c r="V988"/>
    </row>
    <row r="989" spans="18:22" x14ac:dyDescent="0.25">
      <c r="R989" s="109"/>
      <c r="V989"/>
    </row>
    <row r="990" spans="18:22" x14ac:dyDescent="0.25">
      <c r="R990" s="109"/>
      <c r="V990"/>
    </row>
    <row r="991" spans="18:22" x14ac:dyDescent="0.25">
      <c r="R991" s="109"/>
      <c r="V991"/>
    </row>
    <row r="992" spans="18:22" x14ac:dyDescent="0.25">
      <c r="R992" s="109"/>
      <c r="V992"/>
    </row>
    <row r="993" spans="18:22" x14ac:dyDescent="0.25">
      <c r="R993" s="109"/>
      <c r="V993"/>
    </row>
    <row r="994" spans="18:22" x14ac:dyDescent="0.25">
      <c r="R994" s="109"/>
      <c r="V994"/>
    </row>
    <row r="995" spans="18:22" x14ac:dyDescent="0.25">
      <c r="R995" s="109"/>
      <c r="V995"/>
    </row>
    <row r="996" spans="18:22" x14ac:dyDescent="0.25">
      <c r="R996" s="109"/>
      <c r="V996"/>
    </row>
    <row r="997" spans="18:22" x14ac:dyDescent="0.25">
      <c r="R997" s="109"/>
      <c r="V997"/>
    </row>
    <row r="998" spans="18:22" x14ac:dyDescent="0.25">
      <c r="R998" s="109"/>
      <c r="V998"/>
    </row>
    <row r="999" spans="18:22" x14ac:dyDescent="0.25">
      <c r="R999" s="109"/>
      <c r="V999"/>
    </row>
    <row r="1000" spans="18:22" x14ac:dyDescent="0.25">
      <c r="R1000" s="109"/>
      <c r="V1000"/>
    </row>
    <row r="1001" spans="18:22" x14ac:dyDescent="0.25">
      <c r="R1001" s="109"/>
      <c r="V1001"/>
    </row>
    <row r="1002" spans="18:22" x14ac:dyDescent="0.25">
      <c r="R1002" s="109"/>
      <c r="V1002"/>
    </row>
    <row r="1003" spans="18:22" x14ac:dyDescent="0.25">
      <c r="R1003" s="109"/>
      <c r="V1003"/>
    </row>
    <row r="1004" spans="18:22" x14ac:dyDescent="0.25">
      <c r="R1004" s="109"/>
      <c r="V1004"/>
    </row>
    <row r="1005" spans="18:22" x14ac:dyDescent="0.25">
      <c r="R1005" s="109"/>
      <c r="V1005"/>
    </row>
    <row r="1006" spans="18:22" x14ac:dyDescent="0.25">
      <c r="R1006" s="109"/>
      <c r="V1006"/>
    </row>
    <row r="1007" spans="18:22" x14ac:dyDescent="0.25">
      <c r="R1007" s="109"/>
      <c r="V1007"/>
    </row>
    <row r="1008" spans="18:22" x14ac:dyDescent="0.25">
      <c r="R1008" s="109"/>
      <c r="V1008"/>
    </row>
    <row r="1009" spans="18:22" x14ac:dyDescent="0.25">
      <c r="R1009" s="109"/>
      <c r="V1009"/>
    </row>
    <row r="1010" spans="18:22" x14ac:dyDescent="0.25">
      <c r="R1010" s="109"/>
      <c r="V1010"/>
    </row>
    <row r="1011" spans="18:22" x14ac:dyDescent="0.25">
      <c r="R1011" s="109"/>
      <c r="V1011"/>
    </row>
    <row r="1012" spans="18:22" x14ac:dyDescent="0.25">
      <c r="R1012" s="109"/>
      <c r="V1012"/>
    </row>
    <row r="1013" spans="18:22" x14ac:dyDescent="0.25">
      <c r="R1013" s="109"/>
      <c r="V1013"/>
    </row>
    <row r="1014" spans="18:22" x14ac:dyDescent="0.25">
      <c r="R1014" s="109"/>
      <c r="V1014"/>
    </row>
    <row r="1015" spans="18:22" x14ac:dyDescent="0.25">
      <c r="R1015" s="109"/>
      <c r="V1015"/>
    </row>
    <row r="1016" spans="18:22" x14ac:dyDescent="0.25">
      <c r="R1016" s="109"/>
      <c r="V1016"/>
    </row>
    <row r="1017" spans="18:22" x14ac:dyDescent="0.25">
      <c r="R1017" s="109"/>
      <c r="V1017"/>
    </row>
    <row r="1018" spans="18:22" x14ac:dyDescent="0.25">
      <c r="R1018" s="109"/>
      <c r="V1018"/>
    </row>
    <row r="1019" spans="18:22" x14ac:dyDescent="0.25">
      <c r="R1019" s="109"/>
      <c r="V1019"/>
    </row>
    <row r="1020" spans="18:22" x14ac:dyDescent="0.25">
      <c r="R1020" s="109"/>
      <c r="V1020"/>
    </row>
    <row r="1021" spans="18:22" x14ac:dyDescent="0.25">
      <c r="R1021" s="109"/>
      <c r="V1021"/>
    </row>
    <row r="1022" spans="18:22" x14ac:dyDescent="0.25">
      <c r="R1022" s="109"/>
      <c r="V1022"/>
    </row>
    <row r="1023" spans="18:22" x14ac:dyDescent="0.25">
      <c r="R1023" s="109"/>
      <c r="V1023"/>
    </row>
    <row r="1024" spans="18:22" x14ac:dyDescent="0.25">
      <c r="R1024" s="109"/>
      <c r="V1024"/>
    </row>
    <row r="1025" spans="18:22" x14ac:dyDescent="0.25">
      <c r="R1025" s="109"/>
      <c r="V1025"/>
    </row>
    <row r="1026" spans="18:22" x14ac:dyDescent="0.25">
      <c r="R1026" s="109"/>
      <c r="V1026"/>
    </row>
    <row r="1027" spans="18:22" x14ac:dyDescent="0.25">
      <c r="R1027" s="109"/>
      <c r="V1027"/>
    </row>
    <row r="1028" spans="18:22" x14ac:dyDescent="0.25">
      <c r="R1028" s="109"/>
      <c r="V1028"/>
    </row>
    <row r="1029" spans="18:22" x14ac:dyDescent="0.25">
      <c r="R1029" s="109"/>
      <c r="V1029"/>
    </row>
    <row r="1030" spans="18:22" x14ac:dyDescent="0.25">
      <c r="R1030" s="109"/>
      <c r="V1030"/>
    </row>
    <row r="1031" spans="18:22" x14ac:dyDescent="0.25">
      <c r="R1031" s="109"/>
      <c r="V1031"/>
    </row>
    <row r="1032" spans="18:22" x14ac:dyDescent="0.25">
      <c r="R1032" s="109"/>
      <c r="V1032"/>
    </row>
    <row r="1033" spans="18:22" x14ac:dyDescent="0.25">
      <c r="R1033" s="109"/>
      <c r="V1033"/>
    </row>
    <row r="1034" spans="18:22" x14ac:dyDescent="0.25">
      <c r="R1034" s="109"/>
      <c r="V1034"/>
    </row>
    <row r="1035" spans="18:22" x14ac:dyDescent="0.25">
      <c r="R1035" s="109"/>
      <c r="V1035"/>
    </row>
    <row r="1036" spans="18:22" x14ac:dyDescent="0.25">
      <c r="R1036" s="109"/>
      <c r="V1036"/>
    </row>
    <row r="1037" spans="18:22" x14ac:dyDescent="0.25">
      <c r="R1037" s="109"/>
      <c r="V1037"/>
    </row>
    <row r="1038" spans="18:22" x14ac:dyDescent="0.25">
      <c r="R1038" s="109"/>
      <c r="V1038"/>
    </row>
    <row r="1039" spans="18:22" x14ac:dyDescent="0.25">
      <c r="R1039" s="109"/>
      <c r="V1039"/>
    </row>
    <row r="1040" spans="18:22" x14ac:dyDescent="0.25">
      <c r="R1040" s="109"/>
      <c r="V1040"/>
    </row>
    <row r="1041" spans="18:22" x14ac:dyDescent="0.25">
      <c r="R1041" s="109"/>
      <c r="V1041"/>
    </row>
    <row r="1042" spans="18:22" x14ac:dyDescent="0.25">
      <c r="R1042" s="109"/>
      <c r="V1042"/>
    </row>
    <row r="1043" spans="18:22" x14ac:dyDescent="0.25">
      <c r="R1043" s="109"/>
      <c r="V1043"/>
    </row>
    <row r="1044" spans="18:22" x14ac:dyDescent="0.25">
      <c r="R1044" s="109"/>
      <c r="V1044"/>
    </row>
    <row r="1045" spans="18:22" x14ac:dyDescent="0.25">
      <c r="R1045" s="109"/>
      <c r="V1045"/>
    </row>
    <row r="1046" spans="18:22" x14ac:dyDescent="0.25">
      <c r="R1046" s="109"/>
      <c r="V1046"/>
    </row>
    <row r="1047" spans="18:22" x14ac:dyDescent="0.25">
      <c r="R1047" s="109"/>
      <c r="V1047"/>
    </row>
    <row r="1048" spans="18:22" x14ac:dyDescent="0.25">
      <c r="R1048" s="109"/>
      <c r="V1048"/>
    </row>
    <row r="1049" spans="18:22" x14ac:dyDescent="0.25">
      <c r="R1049" s="109"/>
      <c r="V1049"/>
    </row>
    <row r="1050" spans="18:22" x14ac:dyDescent="0.25">
      <c r="R1050" s="109"/>
      <c r="V1050"/>
    </row>
    <row r="1051" spans="18:22" x14ac:dyDescent="0.25">
      <c r="R1051" s="109"/>
      <c r="V1051"/>
    </row>
    <row r="1052" spans="18:22" x14ac:dyDescent="0.25">
      <c r="R1052" s="109"/>
      <c r="V1052"/>
    </row>
    <row r="1053" spans="18:22" x14ac:dyDescent="0.25">
      <c r="R1053" s="109"/>
      <c r="V1053"/>
    </row>
    <row r="1054" spans="18:22" x14ac:dyDescent="0.25">
      <c r="R1054" s="109"/>
      <c r="V1054"/>
    </row>
    <row r="1055" spans="18:22" x14ac:dyDescent="0.25">
      <c r="R1055" s="109"/>
      <c r="V1055"/>
    </row>
    <row r="1056" spans="18:22" x14ac:dyDescent="0.25">
      <c r="R1056" s="109"/>
      <c r="V1056"/>
    </row>
    <row r="1057" spans="18:22" x14ac:dyDescent="0.25">
      <c r="R1057" s="109"/>
      <c r="V1057"/>
    </row>
    <row r="1058" spans="18:22" x14ac:dyDescent="0.25">
      <c r="R1058" s="109"/>
      <c r="V1058"/>
    </row>
    <row r="1059" spans="18:22" x14ac:dyDescent="0.25">
      <c r="R1059" s="109"/>
      <c r="V1059"/>
    </row>
    <row r="1060" spans="18:22" x14ac:dyDescent="0.25">
      <c r="R1060" s="109"/>
      <c r="V1060"/>
    </row>
    <row r="1061" spans="18:22" x14ac:dyDescent="0.25">
      <c r="R1061" s="109"/>
      <c r="V1061"/>
    </row>
    <row r="1062" spans="18:22" x14ac:dyDescent="0.25">
      <c r="R1062" s="109"/>
      <c r="V1062"/>
    </row>
    <row r="1063" spans="18:22" x14ac:dyDescent="0.25">
      <c r="R1063" s="109"/>
      <c r="V1063"/>
    </row>
    <row r="1064" spans="18:22" x14ac:dyDescent="0.25">
      <c r="R1064" s="109"/>
      <c r="V1064"/>
    </row>
    <row r="1065" spans="18:22" x14ac:dyDescent="0.25">
      <c r="R1065" s="109"/>
      <c r="V1065"/>
    </row>
    <row r="1066" spans="18:22" x14ac:dyDescent="0.25">
      <c r="R1066" s="109"/>
      <c r="V1066"/>
    </row>
    <row r="1067" spans="18:22" x14ac:dyDescent="0.25">
      <c r="R1067" s="109"/>
      <c r="V1067"/>
    </row>
    <row r="1068" spans="18:22" x14ac:dyDescent="0.25">
      <c r="R1068" s="109"/>
      <c r="V1068"/>
    </row>
    <row r="1069" spans="18:22" x14ac:dyDescent="0.25">
      <c r="R1069" s="109"/>
      <c r="V1069"/>
    </row>
    <row r="1070" spans="18:22" x14ac:dyDescent="0.25">
      <c r="R1070" s="109"/>
      <c r="V1070"/>
    </row>
    <row r="1071" spans="18:22" x14ac:dyDescent="0.25">
      <c r="R1071" s="109"/>
      <c r="V1071"/>
    </row>
    <row r="1072" spans="18:22" x14ac:dyDescent="0.25">
      <c r="R1072" s="109"/>
      <c r="V1072"/>
    </row>
    <row r="1073" spans="18:22" x14ac:dyDescent="0.25">
      <c r="R1073" s="109"/>
      <c r="V1073"/>
    </row>
    <row r="1074" spans="18:22" x14ac:dyDescent="0.25">
      <c r="R1074" s="109"/>
      <c r="V1074"/>
    </row>
    <row r="1075" spans="18:22" x14ac:dyDescent="0.25">
      <c r="R1075" s="109"/>
      <c r="V1075"/>
    </row>
    <row r="1076" spans="18:22" x14ac:dyDescent="0.25">
      <c r="R1076" s="109"/>
      <c r="V1076"/>
    </row>
    <row r="1077" spans="18:22" x14ac:dyDescent="0.25">
      <c r="R1077" s="109"/>
      <c r="V1077"/>
    </row>
    <row r="1078" spans="18:22" x14ac:dyDescent="0.25">
      <c r="R1078" s="109"/>
      <c r="V1078"/>
    </row>
    <row r="1079" spans="18:22" x14ac:dyDescent="0.25">
      <c r="R1079" s="109"/>
      <c r="V1079"/>
    </row>
    <row r="1080" spans="18:22" x14ac:dyDescent="0.25">
      <c r="R1080" s="109"/>
      <c r="V1080"/>
    </row>
    <row r="1081" spans="18:22" x14ac:dyDescent="0.25">
      <c r="R1081" s="109"/>
      <c r="V1081"/>
    </row>
    <row r="1082" spans="18:22" x14ac:dyDescent="0.25">
      <c r="R1082" s="109"/>
      <c r="V1082"/>
    </row>
    <row r="1083" spans="18:22" x14ac:dyDescent="0.25">
      <c r="R1083" s="109"/>
      <c r="V1083"/>
    </row>
    <row r="1084" spans="18:22" x14ac:dyDescent="0.25">
      <c r="R1084" s="109"/>
      <c r="V1084"/>
    </row>
    <row r="1085" spans="18:22" x14ac:dyDescent="0.25">
      <c r="R1085" s="109"/>
      <c r="V1085"/>
    </row>
    <row r="1086" spans="18:22" x14ac:dyDescent="0.25">
      <c r="R1086" s="109"/>
      <c r="V1086"/>
    </row>
    <row r="1087" spans="18:22" x14ac:dyDescent="0.25">
      <c r="R1087" s="109"/>
      <c r="V1087"/>
    </row>
    <row r="1088" spans="18:22" x14ac:dyDescent="0.25">
      <c r="R1088" s="109"/>
      <c r="V1088"/>
    </row>
    <row r="1089" spans="18:22" x14ac:dyDescent="0.25">
      <c r="R1089" s="109"/>
      <c r="V1089"/>
    </row>
    <row r="1090" spans="18:22" x14ac:dyDescent="0.25">
      <c r="R1090" s="109"/>
      <c r="V1090"/>
    </row>
    <row r="1091" spans="18:22" x14ac:dyDescent="0.25">
      <c r="R1091" s="109"/>
      <c r="V1091"/>
    </row>
    <row r="1092" spans="18:22" x14ac:dyDescent="0.25">
      <c r="R1092" s="109"/>
      <c r="V1092"/>
    </row>
    <row r="1093" spans="18:22" x14ac:dyDescent="0.25">
      <c r="R1093" s="109"/>
      <c r="V1093"/>
    </row>
    <row r="1094" spans="18:22" x14ac:dyDescent="0.25">
      <c r="R1094" s="109"/>
      <c r="V1094"/>
    </row>
    <row r="1095" spans="18:22" x14ac:dyDescent="0.25">
      <c r="R1095" s="109"/>
      <c r="V1095"/>
    </row>
    <row r="1096" spans="18:22" x14ac:dyDescent="0.25">
      <c r="R1096" s="109"/>
      <c r="V1096"/>
    </row>
    <row r="1097" spans="18:22" x14ac:dyDescent="0.25">
      <c r="R1097" s="109"/>
      <c r="V1097"/>
    </row>
    <row r="1098" spans="18:22" x14ac:dyDescent="0.25">
      <c r="R1098" s="109"/>
      <c r="V1098"/>
    </row>
    <row r="1099" spans="18:22" x14ac:dyDescent="0.25">
      <c r="R1099" s="109"/>
      <c r="V1099"/>
    </row>
    <row r="1100" spans="18:22" x14ac:dyDescent="0.25">
      <c r="R1100" s="109"/>
      <c r="V1100"/>
    </row>
    <row r="1101" spans="18:22" x14ac:dyDescent="0.25">
      <c r="R1101" s="109"/>
      <c r="V1101"/>
    </row>
    <row r="1102" spans="18:22" x14ac:dyDescent="0.25">
      <c r="R1102" s="109"/>
      <c r="V1102"/>
    </row>
    <row r="1103" spans="18:22" x14ac:dyDescent="0.25">
      <c r="R1103" s="109"/>
      <c r="V1103"/>
    </row>
    <row r="1104" spans="18:22" x14ac:dyDescent="0.25">
      <c r="R1104" s="109"/>
      <c r="V1104"/>
    </row>
    <row r="1105" spans="18:22" x14ac:dyDescent="0.25">
      <c r="R1105" s="109"/>
      <c r="V1105"/>
    </row>
    <row r="1106" spans="18:22" x14ac:dyDescent="0.25">
      <c r="R1106" s="109"/>
      <c r="V1106"/>
    </row>
    <row r="1107" spans="18:22" x14ac:dyDescent="0.25">
      <c r="R1107" s="109"/>
      <c r="V1107"/>
    </row>
    <row r="1108" spans="18:22" x14ac:dyDescent="0.25">
      <c r="R1108" s="109"/>
      <c r="V1108"/>
    </row>
    <row r="1109" spans="18:22" x14ac:dyDescent="0.25">
      <c r="R1109" s="109"/>
      <c r="V1109"/>
    </row>
    <row r="1110" spans="18:22" x14ac:dyDescent="0.25">
      <c r="R1110" s="109"/>
      <c r="V1110"/>
    </row>
    <row r="1111" spans="18:22" x14ac:dyDescent="0.25">
      <c r="R1111" s="109"/>
      <c r="V1111"/>
    </row>
    <row r="1112" spans="18:22" x14ac:dyDescent="0.25">
      <c r="R1112" s="109"/>
      <c r="V1112"/>
    </row>
    <row r="1113" spans="18:22" x14ac:dyDescent="0.25">
      <c r="R1113" s="109"/>
      <c r="V1113"/>
    </row>
    <row r="1114" spans="18:22" x14ac:dyDescent="0.25">
      <c r="R1114" s="109"/>
      <c r="V1114"/>
    </row>
    <row r="1115" spans="18:22" x14ac:dyDescent="0.25">
      <c r="R1115" s="109"/>
      <c r="V1115"/>
    </row>
    <row r="1116" spans="18:22" x14ac:dyDescent="0.25">
      <c r="R1116" s="109"/>
    </row>
    <row r="1117" spans="18:22" x14ac:dyDescent="0.25">
      <c r="R1117" s="109"/>
    </row>
    <row r="1118" spans="18:22" x14ac:dyDescent="0.25">
      <c r="R1118" s="109"/>
    </row>
    <row r="1119" spans="18:22" x14ac:dyDescent="0.25">
      <c r="R1119" s="109"/>
    </row>
    <row r="1120" spans="18:22" x14ac:dyDescent="0.25">
      <c r="R1120" s="109"/>
    </row>
    <row r="1121" spans="18:18" x14ac:dyDescent="0.25">
      <c r="R1121" s="109"/>
    </row>
    <row r="1122" spans="18:18" x14ac:dyDescent="0.25">
      <c r="R1122" s="109"/>
    </row>
    <row r="1123" spans="18:18" x14ac:dyDescent="0.25">
      <c r="R1123" s="109"/>
    </row>
    <row r="1124" spans="18:18" x14ac:dyDescent="0.25">
      <c r="R1124" s="109"/>
    </row>
    <row r="1125" spans="18:18" x14ac:dyDescent="0.25">
      <c r="R1125" s="109"/>
    </row>
    <row r="1126" spans="18:18" x14ac:dyDescent="0.25">
      <c r="R1126" s="109"/>
    </row>
    <row r="1127" spans="18:18" x14ac:dyDescent="0.25">
      <c r="R1127" s="109"/>
    </row>
    <row r="1128" spans="18:18" x14ac:dyDescent="0.25">
      <c r="R1128" s="109"/>
    </row>
    <row r="1129" spans="18:18" x14ac:dyDescent="0.25">
      <c r="R1129" s="109"/>
    </row>
    <row r="1130" spans="18:18" x14ac:dyDescent="0.25">
      <c r="R1130" s="109"/>
    </row>
    <row r="1131" spans="18:18" x14ac:dyDescent="0.25">
      <c r="R1131" s="109"/>
    </row>
    <row r="1132" spans="18:18" x14ac:dyDescent="0.25">
      <c r="R1132" s="109"/>
    </row>
    <row r="1133" spans="18:18" x14ac:dyDescent="0.25">
      <c r="R1133" s="109"/>
    </row>
    <row r="1134" spans="18:18" x14ac:dyDescent="0.25">
      <c r="R1134" s="109"/>
    </row>
    <row r="1135" spans="18:18" x14ac:dyDescent="0.25">
      <c r="R1135" s="109"/>
    </row>
    <row r="1136" spans="18:18" x14ac:dyDescent="0.25">
      <c r="R1136" s="109"/>
    </row>
    <row r="1137" spans="18:18" x14ac:dyDescent="0.25">
      <c r="R1137" s="109"/>
    </row>
    <row r="1138" spans="18:18" x14ac:dyDescent="0.25">
      <c r="R1138" s="109"/>
    </row>
    <row r="1139" spans="18:18" x14ac:dyDescent="0.25">
      <c r="R1139" s="109"/>
    </row>
    <row r="1140" spans="18:18" x14ac:dyDescent="0.25">
      <c r="R1140" s="109"/>
    </row>
    <row r="1141" spans="18:18" x14ac:dyDescent="0.25">
      <c r="R1141" s="109"/>
    </row>
    <row r="1142" spans="18:18" x14ac:dyDescent="0.25">
      <c r="R1142" s="109"/>
    </row>
    <row r="1143" spans="18:18" x14ac:dyDescent="0.25">
      <c r="R1143" s="109"/>
    </row>
    <row r="1144" spans="18:18" x14ac:dyDescent="0.25">
      <c r="R1144" s="109"/>
    </row>
    <row r="1145" spans="18:18" x14ac:dyDescent="0.25">
      <c r="R1145" s="109"/>
    </row>
    <row r="1146" spans="18:18" x14ac:dyDescent="0.25">
      <c r="R1146" s="109"/>
    </row>
    <row r="1147" spans="18:18" x14ac:dyDescent="0.25">
      <c r="R1147" s="109"/>
    </row>
    <row r="1148" spans="18:18" x14ac:dyDescent="0.25">
      <c r="R1148" s="109"/>
    </row>
    <row r="1149" spans="18:18" x14ac:dyDescent="0.25">
      <c r="R1149" s="109"/>
    </row>
    <row r="1150" spans="18:18" x14ac:dyDescent="0.25">
      <c r="R1150" s="109"/>
    </row>
    <row r="1151" spans="18:18" x14ac:dyDescent="0.25">
      <c r="R1151" s="109"/>
    </row>
    <row r="1152" spans="18:18" x14ac:dyDescent="0.25">
      <c r="R1152" s="109"/>
    </row>
    <row r="1153" spans="18:18" x14ac:dyDescent="0.25">
      <c r="R1153" s="109"/>
    </row>
    <row r="1154" spans="18:18" x14ac:dyDescent="0.25">
      <c r="R1154" s="109"/>
    </row>
    <row r="1155" spans="18:18" x14ac:dyDescent="0.25">
      <c r="R1155" s="109"/>
    </row>
    <row r="1156" spans="18:18" x14ac:dyDescent="0.25">
      <c r="R1156" s="109"/>
    </row>
    <row r="1157" spans="18:18" x14ac:dyDescent="0.25">
      <c r="R1157" s="109"/>
    </row>
    <row r="1158" spans="18:18" x14ac:dyDescent="0.25">
      <c r="R1158" s="109"/>
    </row>
    <row r="1159" spans="18:18" x14ac:dyDescent="0.25">
      <c r="R1159" s="109"/>
    </row>
    <row r="1160" spans="18:18" x14ac:dyDescent="0.25">
      <c r="R1160" s="109"/>
    </row>
    <row r="1161" spans="18:18" x14ac:dyDescent="0.25">
      <c r="R1161" s="109"/>
    </row>
    <row r="1162" spans="18:18" x14ac:dyDescent="0.25">
      <c r="R1162" s="109"/>
    </row>
    <row r="1163" spans="18:18" x14ac:dyDescent="0.25">
      <c r="R1163" s="109"/>
    </row>
    <row r="1164" spans="18:18" x14ac:dyDescent="0.25">
      <c r="R1164" s="109"/>
    </row>
    <row r="1165" spans="18:18" x14ac:dyDescent="0.25">
      <c r="R1165" s="109"/>
    </row>
    <row r="1166" spans="18:18" x14ac:dyDescent="0.25">
      <c r="R1166" s="109"/>
    </row>
    <row r="1167" spans="18:18" x14ac:dyDescent="0.25">
      <c r="R1167" s="109"/>
    </row>
    <row r="1168" spans="18:18" x14ac:dyDescent="0.25">
      <c r="R1168" s="109"/>
    </row>
    <row r="1169" spans="18:18" x14ac:dyDescent="0.25">
      <c r="R1169" s="109"/>
    </row>
    <row r="1170" spans="18:18" x14ac:dyDescent="0.25">
      <c r="R1170" s="109"/>
    </row>
    <row r="1171" spans="18:18" x14ac:dyDescent="0.25">
      <c r="R1171" s="109"/>
    </row>
    <row r="1172" spans="18:18" x14ac:dyDescent="0.25">
      <c r="R1172" s="109"/>
    </row>
    <row r="1173" spans="18:18" x14ac:dyDescent="0.25">
      <c r="R1173" s="109"/>
    </row>
    <row r="1174" spans="18:18" x14ac:dyDescent="0.25">
      <c r="R1174" s="109"/>
    </row>
    <row r="1175" spans="18:18" x14ac:dyDescent="0.25">
      <c r="R1175" s="109"/>
    </row>
    <row r="1176" spans="18:18" x14ac:dyDescent="0.25">
      <c r="R1176" s="109"/>
    </row>
    <row r="1177" spans="18:18" x14ac:dyDescent="0.25">
      <c r="R1177" s="109"/>
    </row>
    <row r="1178" spans="18:18" x14ac:dyDescent="0.25">
      <c r="R1178" s="109"/>
    </row>
    <row r="1179" spans="18:18" x14ac:dyDescent="0.25">
      <c r="R1179" s="109"/>
    </row>
    <row r="1180" spans="18:18" x14ac:dyDescent="0.25">
      <c r="R1180" s="109"/>
    </row>
    <row r="1181" spans="18:18" x14ac:dyDescent="0.25">
      <c r="R1181" s="109"/>
    </row>
    <row r="1182" spans="18:18" x14ac:dyDescent="0.25">
      <c r="R1182" s="109"/>
    </row>
    <row r="1183" spans="18:18" x14ac:dyDescent="0.25">
      <c r="R1183" s="109"/>
    </row>
    <row r="1184" spans="18:18" x14ac:dyDescent="0.25">
      <c r="R1184" s="109"/>
    </row>
    <row r="1185" spans="18:18" x14ac:dyDescent="0.25">
      <c r="R1185" s="109"/>
    </row>
    <row r="1186" spans="18:18" x14ac:dyDescent="0.25">
      <c r="R1186" s="109"/>
    </row>
    <row r="1187" spans="18:18" x14ac:dyDescent="0.25">
      <c r="R1187" s="109"/>
    </row>
    <row r="1188" spans="18:18" x14ac:dyDescent="0.25">
      <c r="R1188" s="109"/>
    </row>
    <row r="1189" spans="18:18" x14ac:dyDescent="0.25">
      <c r="R1189" s="109"/>
    </row>
    <row r="1190" spans="18:18" x14ac:dyDescent="0.25">
      <c r="R1190" s="109"/>
    </row>
    <row r="1191" spans="18:18" x14ac:dyDescent="0.25">
      <c r="R1191" s="109"/>
    </row>
    <row r="1192" spans="18:18" x14ac:dyDescent="0.25">
      <c r="R1192" s="109"/>
    </row>
    <row r="1193" spans="18:18" x14ac:dyDescent="0.25">
      <c r="R1193" s="109"/>
    </row>
    <row r="1194" spans="18:18" x14ac:dyDescent="0.25">
      <c r="R1194" s="109"/>
    </row>
    <row r="1195" spans="18:18" x14ac:dyDescent="0.25">
      <c r="R1195" s="109"/>
    </row>
    <row r="1196" spans="18:18" x14ac:dyDescent="0.25">
      <c r="R1196" s="109"/>
    </row>
    <row r="1197" spans="18:18" x14ac:dyDescent="0.25">
      <c r="R1197" s="109"/>
    </row>
    <row r="1198" spans="18:18" x14ac:dyDescent="0.25">
      <c r="R1198" s="109"/>
    </row>
    <row r="1199" spans="18:18" x14ac:dyDescent="0.25">
      <c r="R1199" s="109"/>
    </row>
    <row r="1200" spans="18:18" x14ac:dyDescent="0.25">
      <c r="R1200" s="109"/>
    </row>
    <row r="1201" spans="18:18" x14ac:dyDescent="0.25">
      <c r="R1201" s="109"/>
    </row>
    <row r="1202" spans="18:18" x14ac:dyDescent="0.25">
      <c r="R1202" s="109"/>
    </row>
    <row r="1203" spans="18:18" x14ac:dyDescent="0.25">
      <c r="R1203" s="109"/>
    </row>
    <row r="1204" spans="18:18" x14ac:dyDescent="0.25">
      <c r="R1204" s="109"/>
    </row>
    <row r="1205" spans="18:18" x14ac:dyDescent="0.25">
      <c r="R1205" s="109"/>
    </row>
    <row r="1206" spans="18:18" x14ac:dyDescent="0.25">
      <c r="R1206" s="109"/>
    </row>
    <row r="1207" spans="18:18" x14ac:dyDescent="0.25">
      <c r="R1207" s="109"/>
    </row>
    <row r="1208" spans="18:18" x14ac:dyDescent="0.25">
      <c r="R1208" s="109"/>
    </row>
    <row r="1209" spans="18:18" x14ac:dyDescent="0.25">
      <c r="R1209" s="109"/>
    </row>
    <row r="1210" spans="18:18" x14ac:dyDescent="0.25">
      <c r="R1210" s="109"/>
    </row>
    <row r="1211" spans="18:18" x14ac:dyDescent="0.25">
      <c r="R1211" s="109"/>
    </row>
    <row r="1212" spans="18:18" x14ac:dyDescent="0.25">
      <c r="R1212" s="109"/>
    </row>
    <row r="1213" spans="18:18" x14ac:dyDescent="0.25">
      <c r="R1213" s="109"/>
    </row>
    <row r="1214" spans="18:18" x14ac:dyDescent="0.25">
      <c r="R1214" s="109"/>
    </row>
    <row r="1215" spans="18:18" x14ac:dyDescent="0.25">
      <c r="R1215" s="109"/>
    </row>
    <row r="1216" spans="18:18" x14ac:dyDescent="0.25">
      <c r="R1216" s="109"/>
    </row>
    <row r="1217" spans="18:18" x14ac:dyDescent="0.25">
      <c r="R1217" s="109"/>
    </row>
    <row r="1218" spans="18:18" x14ac:dyDescent="0.25">
      <c r="R1218" s="109"/>
    </row>
    <row r="1219" spans="18:18" x14ac:dyDescent="0.25">
      <c r="R1219" s="109"/>
    </row>
    <row r="1220" spans="18:18" x14ac:dyDescent="0.25">
      <c r="R1220" s="109"/>
    </row>
    <row r="1221" spans="18:18" x14ac:dyDescent="0.25">
      <c r="R1221" s="109"/>
    </row>
    <row r="1222" spans="18:18" x14ac:dyDescent="0.25">
      <c r="R1222" s="109"/>
    </row>
    <row r="1223" spans="18:18" x14ac:dyDescent="0.25">
      <c r="R1223" s="109"/>
    </row>
    <row r="1224" spans="18:18" x14ac:dyDescent="0.25">
      <c r="R1224" s="109"/>
    </row>
    <row r="1225" spans="18:18" x14ac:dyDescent="0.25">
      <c r="R1225" s="109"/>
    </row>
    <row r="1226" spans="18:18" x14ac:dyDescent="0.25">
      <c r="R1226" s="109"/>
    </row>
    <row r="1227" spans="18:18" x14ac:dyDescent="0.25">
      <c r="R1227" s="109"/>
    </row>
    <row r="1228" spans="18:18" x14ac:dyDescent="0.25">
      <c r="R1228" s="109"/>
    </row>
    <row r="1229" spans="18:18" x14ac:dyDescent="0.25">
      <c r="R1229" s="109"/>
    </row>
    <row r="1230" spans="18:18" x14ac:dyDescent="0.25">
      <c r="R1230" s="109"/>
    </row>
    <row r="1231" spans="18:18" x14ac:dyDescent="0.25">
      <c r="R1231" s="109"/>
    </row>
    <row r="1232" spans="18:18" x14ac:dyDescent="0.25">
      <c r="R1232" s="109"/>
    </row>
    <row r="1233" spans="18:18" x14ac:dyDescent="0.25">
      <c r="R1233" s="109"/>
    </row>
    <row r="1234" spans="18:18" x14ac:dyDescent="0.25">
      <c r="R1234" s="109"/>
    </row>
    <row r="1235" spans="18:18" x14ac:dyDescent="0.25">
      <c r="R1235" s="109"/>
    </row>
    <row r="1236" spans="18:18" x14ac:dyDescent="0.25">
      <c r="R1236" s="109"/>
    </row>
    <row r="1237" spans="18:18" x14ac:dyDescent="0.25">
      <c r="R1237" s="109"/>
    </row>
    <row r="1238" spans="18:18" x14ac:dyDescent="0.25">
      <c r="R1238" s="109"/>
    </row>
    <row r="1239" spans="18:18" x14ac:dyDescent="0.25">
      <c r="R1239" s="109"/>
    </row>
    <row r="1240" spans="18:18" x14ac:dyDescent="0.25">
      <c r="R1240" s="109"/>
    </row>
    <row r="1241" spans="18:18" x14ac:dyDescent="0.25">
      <c r="R1241" s="109"/>
    </row>
    <row r="1242" spans="18:18" x14ac:dyDescent="0.25">
      <c r="R1242" s="109"/>
    </row>
    <row r="1243" spans="18:18" x14ac:dyDescent="0.25">
      <c r="R1243" s="109"/>
    </row>
    <row r="1244" spans="18:18" x14ac:dyDescent="0.25">
      <c r="R1244" s="109"/>
    </row>
    <row r="1245" spans="18:18" x14ac:dyDescent="0.25">
      <c r="R1245" s="109"/>
    </row>
    <row r="1246" spans="18:18" x14ac:dyDescent="0.25">
      <c r="R1246" s="109"/>
    </row>
    <row r="1247" spans="18:18" x14ac:dyDescent="0.25">
      <c r="R1247" s="109"/>
    </row>
  </sheetData>
  <autoFilter ref="A4:V854" xr:uid="{00000000-0009-0000-0000-000002000000}"/>
  <conditionalFormatting sqref="B1:B659 B660:C660 B661:B831 B835:B853 B855:B1048576">
    <cfRule type="duplicateValues" dxfId="65" priority="18"/>
  </conditionalFormatting>
  <conditionalFormatting sqref="B1:B659 B660:C660 B661:B853 B855:B1048576">
    <cfRule type="duplicateValues" dxfId="64" priority="19"/>
  </conditionalFormatting>
  <conditionalFormatting sqref="B1:B853 B855:B1048576">
    <cfRule type="duplicateValues" dxfId="63" priority="2"/>
    <cfRule type="duplicateValues" dxfId="62" priority="11"/>
    <cfRule type="duplicateValues" dxfId="61" priority="12"/>
  </conditionalFormatting>
  <conditionalFormatting sqref="B4">
    <cfRule type="duplicateValues" dxfId="60" priority="3"/>
    <cfRule type="duplicateValues" dxfId="59" priority="4"/>
    <cfRule type="duplicateValues" dxfId="58" priority="5"/>
    <cfRule type="duplicateValues" dxfId="57" priority="6"/>
    <cfRule type="timePeriod" dxfId="56" priority="7" timePeriod="yesterday">
      <formula>FLOOR(B4,1)=TODAY()-1</formula>
    </cfRule>
    <cfRule type="duplicateValues" dxfId="55" priority="8"/>
    <cfRule type="duplicateValues" dxfId="54" priority="9"/>
    <cfRule type="duplicateValues" dxfId="53" priority="10"/>
  </conditionalFormatting>
  <conditionalFormatting sqref="B835:B853 B855:B1048576">
    <cfRule type="duplicateValues" dxfId="52" priority="17"/>
  </conditionalFormatting>
  <conditionalFormatting sqref="B838:B853 B855:B1048576">
    <cfRule type="duplicateValues" dxfId="51" priority="14"/>
  </conditionalFormatting>
  <conditionalFormatting sqref="B839:B853 B855:B1048576">
    <cfRule type="duplicateValues" dxfId="50" priority="13"/>
  </conditionalFormatting>
  <conditionalFormatting sqref="B848:B853 B855:B1048576">
    <cfRule type="duplicateValues" dxfId="49" priority="22"/>
  </conditionalFormatting>
  <conditionalFormatting sqref="B849:B853 B855:B1048576">
    <cfRule type="duplicateValues" dxfId="48" priority="23"/>
  </conditionalFormatting>
  <conditionalFormatting sqref="B851:B853 B855:B1048576">
    <cfRule type="duplicateValues" dxfId="47" priority="21"/>
  </conditionalFormatting>
  <conditionalFormatting sqref="B852:B853 B855:B1048576">
    <cfRule type="duplicateValues" dxfId="46" priority="1"/>
  </conditionalFormatting>
  <pageMargins left="0.7" right="0.7" top="0.75" bottom="0.75" header="0.3" footer="0.3"/>
  <pageSetup scale="54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366"/>
  <sheetViews>
    <sheetView workbookViewId="0">
      <selection activeCell="H7" sqref="H7"/>
    </sheetView>
  </sheetViews>
  <sheetFormatPr defaultColWidth="8.85546875" defaultRowHeight="26.25" x14ac:dyDescent="0.4"/>
  <cols>
    <col min="1" max="1" width="17.140625" style="1" customWidth="1"/>
    <col min="2" max="2" width="15.85546875" style="1" customWidth="1"/>
    <col min="3" max="3" width="33.42578125" customWidth="1"/>
    <col min="4" max="4" width="26.42578125" customWidth="1"/>
    <col min="5" max="5" width="21" style="41" customWidth="1"/>
    <col min="6" max="6" width="21.28515625" style="1" customWidth="1"/>
    <col min="7" max="7" width="13.140625" customWidth="1"/>
    <col min="8" max="8" width="9.140625" style="46" customWidth="1"/>
  </cols>
  <sheetData>
    <row r="1" spans="1:10" ht="16.5" customHeight="1" x14ac:dyDescent="0.25">
      <c r="A1" s="36" t="s">
        <v>0</v>
      </c>
      <c r="B1" s="37" t="s">
        <v>1</v>
      </c>
      <c r="C1" s="27" t="s">
        <v>2</v>
      </c>
      <c r="D1" s="27" t="s">
        <v>1836</v>
      </c>
      <c r="E1" s="6" t="s">
        <v>1837</v>
      </c>
      <c r="F1" s="7" t="s">
        <v>13</v>
      </c>
      <c r="G1" s="81" t="s">
        <v>1853</v>
      </c>
      <c r="H1" s="82" t="s">
        <v>1854</v>
      </c>
      <c r="I1" s="38"/>
      <c r="J1" s="38"/>
    </row>
    <row r="2" spans="1:10" ht="15" customHeight="1" x14ac:dyDescent="0.25">
      <c r="A2" s="1">
        <v>1</v>
      </c>
      <c r="B2" s="28">
        <v>25802800055</v>
      </c>
      <c r="C2" t="s">
        <v>230</v>
      </c>
      <c r="D2" t="s">
        <v>231</v>
      </c>
      <c r="E2" s="51">
        <v>2103750</v>
      </c>
      <c r="F2" s="44" t="s">
        <v>233</v>
      </c>
      <c r="G2" s="64" t="s">
        <v>1855</v>
      </c>
      <c r="H2" s="62">
        <v>9</v>
      </c>
    </row>
    <row r="3" spans="1:10" ht="15" customHeight="1" x14ac:dyDescent="0.25">
      <c r="A3" s="1">
        <v>2</v>
      </c>
      <c r="B3" s="29">
        <v>25802800133</v>
      </c>
      <c r="C3" t="s">
        <v>235</v>
      </c>
      <c r="D3" t="s">
        <v>236</v>
      </c>
      <c r="E3" s="51">
        <v>2103750</v>
      </c>
      <c r="F3" s="44" t="s">
        <v>233</v>
      </c>
      <c r="H3" s="62"/>
    </row>
    <row r="4" spans="1:10" ht="15" customHeight="1" x14ac:dyDescent="0.25">
      <c r="A4" s="1">
        <v>3</v>
      </c>
      <c r="B4" s="28">
        <v>25805900043</v>
      </c>
      <c r="C4" t="s">
        <v>1856</v>
      </c>
      <c r="D4" t="s">
        <v>638</v>
      </c>
      <c r="E4" s="51">
        <v>2103750</v>
      </c>
      <c r="F4" s="44" t="s">
        <v>233</v>
      </c>
      <c r="H4" s="62"/>
    </row>
    <row r="5" spans="1:10" ht="15" customHeight="1" x14ac:dyDescent="0.25">
      <c r="A5" s="1">
        <v>4</v>
      </c>
      <c r="B5" s="35">
        <v>25802600089</v>
      </c>
      <c r="C5" t="s">
        <v>407</v>
      </c>
      <c r="D5" t="s">
        <v>408</v>
      </c>
      <c r="E5" s="51">
        <v>2103750</v>
      </c>
      <c r="F5" s="44" t="s">
        <v>233</v>
      </c>
      <c r="H5" s="62"/>
    </row>
    <row r="6" spans="1:10" ht="15" customHeight="1" x14ac:dyDescent="0.25">
      <c r="A6" s="1">
        <v>5</v>
      </c>
      <c r="B6" s="28">
        <v>25820500009</v>
      </c>
      <c r="C6" t="s">
        <v>1857</v>
      </c>
      <c r="D6" t="s">
        <v>338</v>
      </c>
      <c r="E6" s="52">
        <v>2470000</v>
      </c>
      <c r="F6" s="44" t="s">
        <v>233</v>
      </c>
      <c r="H6" s="62"/>
    </row>
    <row r="7" spans="1:10" ht="15" customHeight="1" x14ac:dyDescent="0.25">
      <c r="A7" s="1">
        <v>6</v>
      </c>
      <c r="B7" s="28">
        <v>25802600031</v>
      </c>
      <c r="C7" t="s">
        <v>316</v>
      </c>
      <c r="D7" t="s">
        <v>131</v>
      </c>
      <c r="E7" s="51">
        <v>2103750</v>
      </c>
      <c r="F7" s="44" t="s">
        <v>233</v>
      </c>
      <c r="H7" s="62"/>
    </row>
    <row r="8" spans="1:10" ht="15" customHeight="1" x14ac:dyDescent="0.25">
      <c r="A8" s="1">
        <v>7</v>
      </c>
      <c r="B8" s="30">
        <v>25808500042</v>
      </c>
      <c r="C8" t="s">
        <v>426</v>
      </c>
      <c r="D8" t="s">
        <v>427</v>
      </c>
      <c r="E8" s="51">
        <v>2103750</v>
      </c>
      <c r="F8" s="44" t="s">
        <v>233</v>
      </c>
      <c r="H8" s="62"/>
    </row>
    <row r="9" spans="1:10" ht="15" customHeight="1" x14ac:dyDescent="0.25">
      <c r="A9" s="1">
        <v>8</v>
      </c>
      <c r="B9" s="31">
        <v>25808900053</v>
      </c>
      <c r="C9" t="s">
        <v>49</v>
      </c>
      <c r="D9" t="s">
        <v>175</v>
      </c>
      <c r="E9" s="51">
        <v>2103750</v>
      </c>
      <c r="F9" s="44" t="s">
        <v>233</v>
      </c>
      <c r="H9" s="62"/>
    </row>
    <row r="10" spans="1:10" ht="15" customHeight="1" x14ac:dyDescent="0.25">
      <c r="A10" s="1">
        <v>9</v>
      </c>
      <c r="B10" s="33">
        <v>25801900288</v>
      </c>
      <c r="C10" s="34" t="s">
        <v>265</v>
      </c>
      <c r="D10" s="34" t="s">
        <v>239</v>
      </c>
      <c r="E10" s="53">
        <v>2103750</v>
      </c>
      <c r="F10" s="45" t="s">
        <v>233</v>
      </c>
      <c r="H10" s="62"/>
    </row>
    <row r="11" spans="1:10" ht="15" customHeight="1" x14ac:dyDescent="0.25">
      <c r="A11" s="1">
        <v>10</v>
      </c>
      <c r="B11" s="1">
        <v>25802800245</v>
      </c>
      <c r="C11" t="s">
        <v>334</v>
      </c>
      <c r="D11" t="s">
        <v>335</v>
      </c>
      <c r="E11" s="52">
        <v>2470000</v>
      </c>
      <c r="F11" s="42" t="s">
        <v>240</v>
      </c>
      <c r="G11" s="64" t="s">
        <v>1858</v>
      </c>
      <c r="H11" s="62">
        <v>15</v>
      </c>
      <c r="I11" s="41"/>
    </row>
    <row r="12" spans="1:10" ht="15" customHeight="1" x14ac:dyDescent="0.25">
      <c r="A12" s="1">
        <v>11</v>
      </c>
      <c r="B12" s="1">
        <v>25801700022</v>
      </c>
      <c r="C12" t="s">
        <v>1859</v>
      </c>
      <c r="D12" t="s">
        <v>175</v>
      </c>
      <c r="E12" s="52">
        <v>2600000</v>
      </c>
      <c r="F12" s="42" t="s">
        <v>240</v>
      </c>
      <c r="H12" s="62"/>
      <c r="I12" s="41"/>
    </row>
    <row r="13" spans="1:10" ht="15" customHeight="1" x14ac:dyDescent="0.25">
      <c r="A13" s="1">
        <v>12</v>
      </c>
      <c r="B13" s="1">
        <v>25802800392</v>
      </c>
      <c r="C13" t="s">
        <v>671</v>
      </c>
      <c r="D13" t="s">
        <v>91</v>
      </c>
      <c r="E13" s="51">
        <v>2103750</v>
      </c>
      <c r="F13" s="42" t="s">
        <v>240</v>
      </c>
      <c r="H13" s="62"/>
      <c r="I13" s="41"/>
    </row>
    <row r="14" spans="1:10" ht="15" customHeight="1" x14ac:dyDescent="0.25">
      <c r="A14" s="1">
        <v>13</v>
      </c>
      <c r="B14" s="1">
        <v>25801700057</v>
      </c>
      <c r="C14" t="s">
        <v>1860</v>
      </c>
      <c r="D14" t="s">
        <v>521</v>
      </c>
      <c r="E14" s="51">
        <v>2103750</v>
      </c>
      <c r="F14" s="42" t="s">
        <v>240</v>
      </c>
      <c r="H14" s="62"/>
      <c r="I14" s="41"/>
    </row>
    <row r="15" spans="1:10" ht="15" customHeight="1" x14ac:dyDescent="0.25">
      <c r="A15" s="1">
        <v>14</v>
      </c>
      <c r="B15" s="1">
        <v>25808600245</v>
      </c>
      <c r="C15" t="s">
        <v>1861</v>
      </c>
      <c r="D15" t="s">
        <v>239</v>
      </c>
      <c r="E15" s="51">
        <v>2103750</v>
      </c>
      <c r="F15" s="42" t="s">
        <v>240</v>
      </c>
      <c r="H15" s="62"/>
      <c r="I15" s="41"/>
    </row>
    <row r="16" spans="1:10" ht="15" customHeight="1" x14ac:dyDescent="0.25">
      <c r="A16" s="1">
        <v>15</v>
      </c>
      <c r="B16" s="1">
        <v>25808600253</v>
      </c>
      <c r="C16" t="s">
        <v>402</v>
      </c>
      <c r="D16" t="s">
        <v>22</v>
      </c>
      <c r="E16" s="51">
        <v>2103750</v>
      </c>
      <c r="F16" s="42" t="s">
        <v>240</v>
      </c>
      <c r="H16" s="62"/>
      <c r="I16" s="41"/>
    </row>
    <row r="17" spans="1:9" ht="15" customHeight="1" x14ac:dyDescent="0.25">
      <c r="A17" s="1">
        <v>16</v>
      </c>
      <c r="B17" s="1">
        <v>25801800161</v>
      </c>
      <c r="C17" t="s">
        <v>1862</v>
      </c>
      <c r="D17" t="s">
        <v>376</v>
      </c>
      <c r="E17" s="51">
        <v>2103750</v>
      </c>
      <c r="F17" s="42" t="s">
        <v>240</v>
      </c>
      <c r="H17" s="62"/>
      <c r="I17" s="41"/>
    </row>
    <row r="18" spans="1:9" ht="15" customHeight="1" x14ac:dyDescent="0.25">
      <c r="A18" s="1">
        <v>17</v>
      </c>
      <c r="B18" s="1">
        <v>25805800025</v>
      </c>
      <c r="C18" t="s">
        <v>660</v>
      </c>
      <c r="D18" t="s">
        <v>204</v>
      </c>
      <c r="E18" s="51">
        <v>2103750</v>
      </c>
      <c r="F18" s="42" t="s">
        <v>240</v>
      </c>
      <c r="H18" s="62"/>
      <c r="I18" s="41"/>
    </row>
    <row r="19" spans="1:9" ht="15" customHeight="1" x14ac:dyDescent="0.25">
      <c r="A19" s="1">
        <v>18</v>
      </c>
      <c r="B19" s="1">
        <v>25808600135</v>
      </c>
      <c r="C19" t="s">
        <v>1863</v>
      </c>
      <c r="D19" t="s">
        <v>311</v>
      </c>
      <c r="E19" s="51">
        <v>2103750</v>
      </c>
      <c r="F19" s="42" t="s">
        <v>240</v>
      </c>
      <c r="H19" s="62"/>
      <c r="I19" s="41"/>
    </row>
    <row r="20" spans="1:9" ht="15" customHeight="1" x14ac:dyDescent="0.25">
      <c r="A20" s="1">
        <v>19</v>
      </c>
      <c r="B20" s="1">
        <v>25802600010</v>
      </c>
      <c r="C20" t="s">
        <v>1864</v>
      </c>
      <c r="D20" t="s">
        <v>160</v>
      </c>
      <c r="E20" s="63">
        <v>2600000</v>
      </c>
      <c r="F20" s="42" t="s">
        <v>240</v>
      </c>
      <c r="H20" s="62"/>
      <c r="I20" s="41"/>
    </row>
    <row r="21" spans="1:9" ht="15" customHeight="1" x14ac:dyDescent="0.25">
      <c r="A21" s="1">
        <v>20</v>
      </c>
      <c r="B21" s="1">
        <v>25808600039</v>
      </c>
      <c r="C21" t="s">
        <v>1865</v>
      </c>
      <c r="D21" t="s">
        <v>157</v>
      </c>
      <c r="E21" s="51">
        <v>2103750</v>
      </c>
      <c r="F21" s="42" t="s">
        <v>240</v>
      </c>
      <c r="H21" s="62"/>
      <c r="I21" s="41"/>
    </row>
    <row r="22" spans="1:9" ht="15" customHeight="1" x14ac:dyDescent="0.25">
      <c r="A22" s="1">
        <v>21</v>
      </c>
      <c r="B22" s="1">
        <v>25801700102</v>
      </c>
      <c r="C22" t="s">
        <v>400</v>
      </c>
      <c r="D22" t="s">
        <v>392</v>
      </c>
      <c r="E22" s="51">
        <v>2103750</v>
      </c>
      <c r="F22" s="42" t="s">
        <v>240</v>
      </c>
      <c r="H22" s="62"/>
      <c r="I22" s="41"/>
    </row>
    <row r="23" spans="1:9" ht="15" customHeight="1" x14ac:dyDescent="0.25">
      <c r="A23" s="1">
        <v>22</v>
      </c>
      <c r="B23" s="1">
        <v>25802800399</v>
      </c>
      <c r="C23" t="s">
        <v>562</v>
      </c>
      <c r="D23" t="s">
        <v>275</v>
      </c>
      <c r="E23" s="51">
        <v>2103750</v>
      </c>
      <c r="F23" s="42" t="s">
        <v>240</v>
      </c>
      <c r="H23" s="62"/>
      <c r="I23" s="41"/>
    </row>
    <row r="24" spans="1:9" ht="15" customHeight="1" x14ac:dyDescent="0.25">
      <c r="A24" s="1">
        <v>23</v>
      </c>
      <c r="B24" s="32">
        <v>25802800199</v>
      </c>
      <c r="C24" s="34" t="s">
        <v>723</v>
      </c>
      <c r="D24" s="34" t="s">
        <v>294</v>
      </c>
      <c r="E24" s="53">
        <v>2103750</v>
      </c>
      <c r="F24" s="43" t="s">
        <v>240</v>
      </c>
      <c r="H24" s="62"/>
      <c r="I24" s="41"/>
    </row>
    <row r="25" spans="1:9" ht="15" customHeight="1" x14ac:dyDescent="0.25">
      <c r="A25" s="1">
        <v>24</v>
      </c>
      <c r="B25" s="1">
        <v>25802800144</v>
      </c>
      <c r="C25" t="s">
        <v>711</v>
      </c>
      <c r="D25" t="s">
        <v>712</v>
      </c>
      <c r="E25" s="51">
        <v>2103750</v>
      </c>
      <c r="F25" s="44" t="s">
        <v>228</v>
      </c>
      <c r="G25" s="64" t="s">
        <v>1866</v>
      </c>
      <c r="H25" s="62">
        <v>10</v>
      </c>
    </row>
    <row r="26" spans="1:9" ht="15" customHeight="1" x14ac:dyDescent="0.25">
      <c r="A26" s="1">
        <v>25</v>
      </c>
      <c r="B26" s="1">
        <v>25802800140</v>
      </c>
      <c r="C26" t="s">
        <v>378</v>
      </c>
      <c r="D26" t="s">
        <v>70</v>
      </c>
      <c r="E26" s="51">
        <v>2103750</v>
      </c>
      <c r="F26" s="44" t="s">
        <v>228</v>
      </c>
      <c r="H26" s="62"/>
    </row>
    <row r="27" spans="1:9" ht="15" customHeight="1" x14ac:dyDescent="0.25">
      <c r="A27" s="1">
        <v>26</v>
      </c>
      <c r="B27" s="1">
        <v>25802800167</v>
      </c>
      <c r="C27" t="s">
        <v>725</v>
      </c>
      <c r="D27" t="s">
        <v>185</v>
      </c>
      <c r="E27" s="52">
        <v>2470000</v>
      </c>
      <c r="F27" s="44" t="s">
        <v>228</v>
      </c>
      <c r="H27" s="62"/>
    </row>
    <row r="28" spans="1:9" ht="15" customHeight="1" x14ac:dyDescent="0.25">
      <c r="A28" s="1">
        <v>27</v>
      </c>
      <c r="B28" s="1">
        <v>25802800155</v>
      </c>
      <c r="C28" t="s">
        <v>656</v>
      </c>
      <c r="D28" t="s">
        <v>408</v>
      </c>
      <c r="E28" s="51">
        <v>2103750</v>
      </c>
      <c r="F28" s="44" t="s">
        <v>228</v>
      </c>
      <c r="H28" s="62"/>
    </row>
    <row r="29" spans="1:9" ht="15" customHeight="1" x14ac:dyDescent="0.25">
      <c r="A29" s="1">
        <v>28</v>
      </c>
      <c r="B29" s="1">
        <v>25808500106</v>
      </c>
      <c r="C29" t="s">
        <v>662</v>
      </c>
      <c r="D29" t="s">
        <v>384</v>
      </c>
      <c r="E29" s="51">
        <v>2103750</v>
      </c>
      <c r="F29" s="44" t="s">
        <v>228</v>
      </c>
      <c r="H29" s="62"/>
    </row>
    <row r="30" spans="1:9" ht="15" customHeight="1" x14ac:dyDescent="0.25">
      <c r="A30" s="1">
        <v>29</v>
      </c>
      <c r="B30" s="1">
        <v>25802800025</v>
      </c>
      <c r="C30" t="s">
        <v>719</v>
      </c>
      <c r="D30" t="s">
        <v>720</v>
      </c>
      <c r="E30" s="52">
        <v>2470000</v>
      </c>
      <c r="F30" s="44" t="s">
        <v>228</v>
      </c>
      <c r="H30" s="62"/>
    </row>
    <row r="31" spans="1:9" ht="15" customHeight="1" x14ac:dyDescent="0.25">
      <c r="A31" s="1">
        <v>30</v>
      </c>
      <c r="B31" s="1">
        <v>25801700020</v>
      </c>
      <c r="C31" t="s">
        <v>877</v>
      </c>
      <c r="D31" t="s">
        <v>157</v>
      </c>
      <c r="E31" s="52">
        <v>2103750</v>
      </c>
      <c r="F31" s="44" t="s">
        <v>228</v>
      </c>
      <c r="H31" s="62"/>
    </row>
    <row r="32" spans="1:9" ht="15" customHeight="1" x14ac:dyDescent="0.25">
      <c r="A32" s="1">
        <v>31</v>
      </c>
      <c r="B32" s="1">
        <v>25802300384</v>
      </c>
      <c r="C32" t="s">
        <v>1867</v>
      </c>
      <c r="D32" t="s">
        <v>681</v>
      </c>
      <c r="E32" s="52">
        <v>2103750</v>
      </c>
      <c r="F32" s="44" t="s">
        <v>228</v>
      </c>
      <c r="H32" s="62"/>
    </row>
    <row r="33" spans="1:8" ht="15" customHeight="1" x14ac:dyDescent="0.25">
      <c r="A33" s="1">
        <v>32</v>
      </c>
      <c r="B33" s="1">
        <v>25807500079</v>
      </c>
      <c r="C33" t="s">
        <v>1193</v>
      </c>
      <c r="D33" t="s">
        <v>138</v>
      </c>
      <c r="E33" s="52">
        <v>2103750</v>
      </c>
      <c r="F33" s="44" t="s">
        <v>228</v>
      </c>
      <c r="H33" s="62"/>
    </row>
    <row r="34" spans="1:8" ht="15" customHeight="1" x14ac:dyDescent="0.25">
      <c r="A34" s="1">
        <v>33</v>
      </c>
      <c r="B34" s="32">
        <v>25802300306</v>
      </c>
      <c r="C34" s="34" t="s">
        <v>375</v>
      </c>
      <c r="D34" s="34" t="s">
        <v>376</v>
      </c>
      <c r="E34" s="57">
        <v>2103750</v>
      </c>
      <c r="F34" s="45" t="s">
        <v>228</v>
      </c>
      <c r="H34" s="62"/>
    </row>
    <row r="35" spans="1:8" ht="15" customHeight="1" x14ac:dyDescent="0.25">
      <c r="A35" s="1">
        <v>34</v>
      </c>
      <c r="B35" s="1">
        <v>25808600158</v>
      </c>
      <c r="C35" t="s">
        <v>560</v>
      </c>
      <c r="D35" t="s">
        <v>376</v>
      </c>
      <c r="E35" s="63">
        <v>2600000</v>
      </c>
      <c r="F35" s="42" t="s">
        <v>443</v>
      </c>
      <c r="G35" s="64" t="s">
        <v>1868</v>
      </c>
      <c r="H35" s="62">
        <v>18</v>
      </c>
    </row>
    <row r="36" spans="1:8" ht="15" customHeight="1" x14ac:dyDescent="0.25">
      <c r="A36" s="1">
        <v>35</v>
      </c>
      <c r="B36" s="1">
        <v>25805900064</v>
      </c>
      <c r="C36" t="s">
        <v>1869</v>
      </c>
      <c r="D36" t="s">
        <v>1870</v>
      </c>
      <c r="E36" s="52">
        <v>2103750</v>
      </c>
      <c r="F36" s="42" t="s">
        <v>443</v>
      </c>
      <c r="H36" s="62"/>
    </row>
    <row r="37" spans="1:8" ht="15" customHeight="1" x14ac:dyDescent="0.25">
      <c r="A37" s="1">
        <v>36</v>
      </c>
      <c r="B37" s="1">
        <v>25802800258</v>
      </c>
      <c r="C37" t="s">
        <v>1871</v>
      </c>
      <c r="D37" t="s">
        <v>1872</v>
      </c>
      <c r="E37" s="52">
        <v>2103750</v>
      </c>
      <c r="F37" s="42" t="s">
        <v>443</v>
      </c>
      <c r="H37" s="62"/>
    </row>
    <row r="38" spans="1:8" ht="15" customHeight="1" x14ac:dyDescent="0.25">
      <c r="A38" s="1">
        <v>37</v>
      </c>
      <c r="B38" s="1">
        <v>25806000038</v>
      </c>
      <c r="C38" t="s">
        <v>766</v>
      </c>
      <c r="D38" t="s">
        <v>767</v>
      </c>
      <c r="E38" s="52">
        <v>2103750</v>
      </c>
      <c r="F38" s="42" t="s">
        <v>443</v>
      </c>
      <c r="H38" s="62"/>
    </row>
    <row r="39" spans="1:8" ht="15" customHeight="1" x14ac:dyDescent="0.25">
      <c r="A39" s="1">
        <v>38</v>
      </c>
      <c r="B39" s="1">
        <v>25801100082</v>
      </c>
      <c r="C39" t="s">
        <v>1873</v>
      </c>
      <c r="D39" t="s">
        <v>376</v>
      </c>
      <c r="E39" s="52">
        <v>2103750</v>
      </c>
      <c r="F39" s="42" t="s">
        <v>443</v>
      </c>
      <c r="H39" s="62"/>
    </row>
    <row r="40" spans="1:8" ht="15" customHeight="1" x14ac:dyDescent="0.25">
      <c r="A40" s="1">
        <v>39</v>
      </c>
      <c r="B40" s="1">
        <v>25802100030</v>
      </c>
      <c r="C40" t="s">
        <v>445</v>
      </c>
      <c r="D40" t="s">
        <v>294</v>
      </c>
      <c r="E40" s="52">
        <v>2103750</v>
      </c>
      <c r="F40" s="42" t="s">
        <v>443</v>
      </c>
      <c r="H40" s="62"/>
    </row>
    <row r="41" spans="1:8" ht="15" customHeight="1" x14ac:dyDescent="0.25">
      <c r="A41" s="1">
        <v>40</v>
      </c>
      <c r="B41" s="1">
        <v>25801100107</v>
      </c>
      <c r="C41" t="s">
        <v>1874</v>
      </c>
      <c r="D41" t="s">
        <v>359</v>
      </c>
      <c r="E41" s="52">
        <v>2103750</v>
      </c>
      <c r="F41" s="42" t="s">
        <v>443</v>
      </c>
      <c r="H41" s="62"/>
    </row>
    <row r="42" spans="1:8" ht="15" customHeight="1" x14ac:dyDescent="0.25">
      <c r="A42" s="1">
        <v>41</v>
      </c>
      <c r="B42" s="1">
        <v>25406800040</v>
      </c>
      <c r="C42" t="s">
        <v>466</v>
      </c>
      <c r="D42" t="s">
        <v>338</v>
      </c>
      <c r="E42" s="52">
        <v>2103750</v>
      </c>
      <c r="F42" s="42" t="s">
        <v>443</v>
      </c>
      <c r="H42" s="62"/>
    </row>
    <row r="43" spans="1:8" ht="15" customHeight="1" x14ac:dyDescent="0.25">
      <c r="A43" s="1">
        <v>42</v>
      </c>
      <c r="B43" s="1">
        <v>25800500215</v>
      </c>
      <c r="C43" t="s">
        <v>46</v>
      </c>
      <c r="D43" t="s">
        <v>47</v>
      </c>
      <c r="E43" s="52">
        <v>2103750</v>
      </c>
      <c r="F43" s="42" t="s">
        <v>443</v>
      </c>
      <c r="H43" s="62"/>
    </row>
    <row r="44" spans="1:8" ht="15" customHeight="1" x14ac:dyDescent="0.25">
      <c r="A44" s="1">
        <v>43</v>
      </c>
      <c r="B44" s="1">
        <v>25801200058</v>
      </c>
      <c r="C44" t="s">
        <v>1856</v>
      </c>
      <c r="D44" t="s">
        <v>1875</v>
      </c>
      <c r="E44" s="52">
        <v>2103750</v>
      </c>
      <c r="F44" s="42" t="s">
        <v>443</v>
      </c>
      <c r="H44" s="62"/>
    </row>
    <row r="45" spans="1:8" ht="15" customHeight="1" x14ac:dyDescent="0.25">
      <c r="A45" s="1">
        <v>44</v>
      </c>
      <c r="B45" s="1">
        <v>25805800017</v>
      </c>
      <c r="C45" t="s">
        <v>1199</v>
      </c>
      <c r="D45" t="s">
        <v>50</v>
      </c>
      <c r="E45" s="52">
        <v>2470000</v>
      </c>
      <c r="F45" s="42" t="s">
        <v>443</v>
      </c>
      <c r="H45" s="62"/>
    </row>
    <row r="46" spans="1:8" ht="15" customHeight="1" x14ac:dyDescent="0.25">
      <c r="A46" s="1">
        <v>45</v>
      </c>
      <c r="B46" s="1">
        <v>25806100301</v>
      </c>
      <c r="C46" t="s">
        <v>1649</v>
      </c>
      <c r="D46" t="s">
        <v>563</v>
      </c>
      <c r="E46" s="52">
        <v>2103750</v>
      </c>
      <c r="F46" s="42" t="s">
        <v>443</v>
      </c>
      <c r="H46" s="62"/>
    </row>
    <row r="47" spans="1:8" ht="15" customHeight="1" x14ac:dyDescent="0.25">
      <c r="A47" s="1">
        <v>46</v>
      </c>
      <c r="B47" s="1">
        <v>25802800290</v>
      </c>
      <c r="C47" t="s">
        <v>510</v>
      </c>
      <c r="D47" t="s">
        <v>450</v>
      </c>
      <c r="E47" s="52">
        <v>2103750</v>
      </c>
      <c r="F47" s="42" t="s">
        <v>443</v>
      </c>
      <c r="H47" s="62"/>
    </row>
    <row r="48" spans="1:8" ht="15" customHeight="1" x14ac:dyDescent="0.25">
      <c r="A48" s="1">
        <v>47</v>
      </c>
      <c r="B48" s="1">
        <v>25805900036</v>
      </c>
      <c r="C48" t="s">
        <v>463</v>
      </c>
      <c r="D48" t="s">
        <v>261</v>
      </c>
      <c r="E48" s="52">
        <v>2103750</v>
      </c>
      <c r="F48" s="42" t="s">
        <v>443</v>
      </c>
      <c r="H48" s="62"/>
    </row>
    <row r="49" spans="1:8" ht="16.5" customHeight="1" x14ac:dyDescent="0.25">
      <c r="A49" s="1">
        <v>48</v>
      </c>
      <c r="B49" s="69">
        <v>25806000112</v>
      </c>
      <c r="C49" s="41" t="s">
        <v>1876</v>
      </c>
      <c r="D49" s="41" t="s">
        <v>1877</v>
      </c>
      <c r="E49" s="52">
        <v>2103750</v>
      </c>
      <c r="F49" s="42" t="s">
        <v>443</v>
      </c>
      <c r="H49" s="62"/>
    </row>
    <row r="50" spans="1:8" ht="16.5" customHeight="1" x14ac:dyDescent="0.25">
      <c r="A50" s="1">
        <v>49</v>
      </c>
      <c r="B50" s="69">
        <v>25806000015</v>
      </c>
      <c r="C50" s="41" t="s">
        <v>1878</v>
      </c>
      <c r="D50" s="41" t="s">
        <v>392</v>
      </c>
      <c r="E50" s="52">
        <v>2103750</v>
      </c>
      <c r="F50" s="42" t="s">
        <v>443</v>
      </c>
      <c r="H50" s="62"/>
    </row>
    <row r="51" spans="1:8" ht="16.5" customHeight="1" x14ac:dyDescent="0.25">
      <c r="A51" s="1">
        <v>50</v>
      </c>
      <c r="B51" s="2" t="s">
        <v>547</v>
      </c>
      <c r="C51" s="41" t="s">
        <v>548</v>
      </c>
      <c r="D51" s="41" t="s">
        <v>549</v>
      </c>
      <c r="E51" s="52">
        <v>2103750</v>
      </c>
      <c r="F51" s="42" t="s">
        <v>443</v>
      </c>
      <c r="H51" s="62"/>
    </row>
    <row r="52" spans="1:8" ht="18" customHeight="1" x14ac:dyDescent="0.25">
      <c r="A52" s="1">
        <v>51</v>
      </c>
      <c r="B52" s="47">
        <v>25805900012</v>
      </c>
      <c r="C52" s="48" t="s">
        <v>557</v>
      </c>
      <c r="D52" s="48" t="s">
        <v>66</v>
      </c>
      <c r="E52" s="57">
        <v>2103750</v>
      </c>
      <c r="F52" s="49" t="s">
        <v>443</v>
      </c>
      <c r="H52" s="62"/>
    </row>
    <row r="53" spans="1:8" ht="15" customHeight="1" x14ac:dyDescent="0.25">
      <c r="A53" s="1">
        <v>52</v>
      </c>
      <c r="B53" s="1">
        <v>25802800177</v>
      </c>
      <c r="C53" t="s">
        <v>581</v>
      </c>
      <c r="D53" t="s">
        <v>138</v>
      </c>
      <c r="E53" s="52">
        <v>2103750</v>
      </c>
      <c r="F53" s="42" t="s">
        <v>579</v>
      </c>
      <c r="G53" s="12" t="s">
        <v>1868</v>
      </c>
      <c r="H53" s="62">
        <v>17</v>
      </c>
    </row>
    <row r="54" spans="1:8" ht="15" customHeight="1" x14ac:dyDescent="0.25">
      <c r="A54" s="1">
        <v>53</v>
      </c>
      <c r="B54" s="1">
        <v>25808900152</v>
      </c>
      <c r="C54" t="s">
        <v>589</v>
      </c>
      <c r="D54" t="s">
        <v>590</v>
      </c>
      <c r="E54" s="52">
        <v>2103750</v>
      </c>
      <c r="F54" s="42" t="s">
        <v>579</v>
      </c>
      <c r="G54" s="12"/>
      <c r="H54" s="62"/>
    </row>
    <row r="55" spans="1:8" ht="15" customHeight="1" x14ac:dyDescent="0.25">
      <c r="A55" s="1">
        <v>54</v>
      </c>
      <c r="B55" s="1">
        <v>25802800198</v>
      </c>
      <c r="C55" t="s">
        <v>1879</v>
      </c>
      <c r="D55" t="s">
        <v>294</v>
      </c>
      <c r="E55" s="52">
        <v>2103750</v>
      </c>
      <c r="F55" s="42" t="s">
        <v>579</v>
      </c>
      <c r="G55" s="12"/>
      <c r="H55" s="62"/>
    </row>
    <row r="56" spans="1:8" ht="15" customHeight="1" x14ac:dyDescent="0.25">
      <c r="A56" s="1">
        <v>55</v>
      </c>
      <c r="B56" s="1">
        <v>25801100076</v>
      </c>
      <c r="C56" t="s">
        <v>575</v>
      </c>
      <c r="D56" t="s">
        <v>341</v>
      </c>
      <c r="E56" s="52">
        <v>2103750</v>
      </c>
      <c r="F56" s="42" t="s">
        <v>579</v>
      </c>
      <c r="G56" s="12"/>
      <c r="H56" s="62"/>
    </row>
    <row r="57" spans="1:8" ht="15" customHeight="1" x14ac:dyDescent="0.25">
      <c r="A57" s="1">
        <v>56</v>
      </c>
      <c r="B57" s="1">
        <v>25820200008</v>
      </c>
      <c r="C57" t="s">
        <v>1880</v>
      </c>
      <c r="D57" t="s">
        <v>427</v>
      </c>
      <c r="E57" s="52">
        <v>2103750</v>
      </c>
      <c r="F57" s="42" t="s">
        <v>579</v>
      </c>
      <c r="G57" s="12"/>
      <c r="H57" s="62"/>
    </row>
    <row r="58" spans="1:8" ht="15" customHeight="1" x14ac:dyDescent="0.25">
      <c r="A58" s="1">
        <v>57</v>
      </c>
      <c r="B58" s="1">
        <v>25805900063</v>
      </c>
      <c r="C58" t="s">
        <v>583</v>
      </c>
      <c r="D58" t="s">
        <v>1870</v>
      </c>
      <c r="E58" s="52">
        <v>2103750</v>
      </c>
      <c r="F58" s="42" t="s">
        <v>579</v>
      </c>
      <c r="G58" s="12"/>
      <c r="H58" s="62"/>
    </row>
    <row r="59" spans="1:8" ht="15" customHeight="1" x14ac:dyDescent="0.25">
      <c r="A59" s="1">
        <v>58</v>
      </c>
      <c r="B59" s="1">
        <v>25802800047</v>
      </c>
      <c r="C59" t="s">
        <v>100</v>
      </c>
      <c r="D59" t="s">
        <v>439</v>
      </c>
      <c r="E59" s="52">
        <v>2103750</v>
      </c>
      <c r="F59" s="42" t="s">
        <v>579</v>
      </c>
      <c r="G59" s="12"/>
      <c r="H59" s="62"/>
    </row>
    <row r="60" spans="1:8" ht="15" customHeight="1" x14ac:dyDescent="0.25">
      <c r="A60" s="1">
        <v>59</v>
      </c>
      <c r="B60" s="1">
        <v>25802600064</v>
      </c>
      <c r="C60" t="s">
        <v>577</v>
      </c>
      <c r="D60" t="s">
        <v>578</v>
      </c>
      <c r="E60" s="52">
        <v>2103750</v>
      </c>
      <c r="F60" s="42" t="s">
        <v>579</v>
      </c>
      <c r="G60" s="12"/>
      <c r="H60" s="62"/>
    </row>
    <row r="61" spans="1:8" ht="15" customHeight="1" x14ac:dyDescent="0.25">
      <c r="A61" s="1">
        <v>60</v>
      </c>
      <c r="B61" s="1">
        <v>25801800082</v>
      </c>
      <c r="C61" t="s">
        <v>571</v>
      </c>
      <c r="D61" t="s">
        <v>78</v>
      </c>
      <c r="E61" s="52">
        <v>2103750</v>
      </c>
      <c r="F61" s="42" t="s">
        <v>579</v>
      </c>
      <c r="G61" s="12"/>
      <c r="H61" s="62"/>
    </row>
    <row r="62" spans="1:8" ht="15" customHeight="1" x14ac:dyDescent="0.25">
      <c r="A62" s="1">
        <v>61</v>
      </c>
      <c r="B62" s="1">
        <v>25808100017</v>
      </c>
      <c r="C62" t="s">
        <v>585</v>
      </c>
      <c r="D62" t="s">
        <v>157</v>
      </c>
      <c r="E62" s="52">
        <v>2103750</v>
      </c>
      <c r="F62" s="42" t="s">
        <v>579</v>
      </c>
      <c r="G62" s="12"/>
      <c r="H62" s="62"/>
    </row>
    <row r="63" spans="1:8" ht="15" customHeight="1" x14ac:dyDescent="0.25">
      <c r="A63" s="1">
        <v>62</v>
      </c>
      <c r="B63" s="1">
        <v>25808500347</v>
      </c>
      <c r="C63" t="s">
        <v>587</v>
      </c>
      <c r="D63" t="s">
        <v>30</v>
      </c>
      <c r="E63" s="52">
        <v>2103750</v>
      </c>
      <c r="F63" s="42" t="s">
        <v>579</v>
      </c>
      <c r="G63" s="12"/>
      <c r="H63" s="62"/>
    </row>
    <row r="64" spans="1:8" ht="15" customHeight="1" x14ac:dyDescent="0.25">
      <c r="A64" s="1">
        <v>63</v>
      </c>
      <c r="B64" s="1">
        <v>25808600137</v>
      </c>
      <c r="C64" t="s">
        <v>1096</v>
      </c>
      <c r="D64" t="s">
        <v>1097</v>
      </c>
      <c r="E64" s="52">
        <v>2103750</v>
      </c>
      <c r="F64" s="42" t="s">
        <v>579</v>
      </c>
      <c r="G64" s="12"/>
      <c r="H64" s="62"/>
    </row>
    <row r="65" spans="1:8" ht="15" customHeight="1" x14ac:dyDescent="0.25">
      <c r="A65" s="1">
        <v>64</v>
      </c>
      <c r="B65" s="1">
        <v>25805800021</v>
      </c>
      <c r="C65" t="s">
        <v>1881</v>
      </c>
      <c r="D65" t="s">
        <v>22</v>
      </c>
      <c r="E65" s="52">
        <v>2103750</v>
      </c>
      <c r="F65" s="42" t="s">
        <v>579</v>
      </c>
      <c r="G65" s="12"/>
      <c r="H65" s="62"/>
    </row>
    <row r="66" spans="1:8" ht="15" customHeight="1" x14ac:dyDescent="0.25">
      <c r="A66" s="1">
        <v>65</v>
      </c>
      <c r="B66" s="69">
        <v>25802800274</v>
      </c>
      <c r="C66" s="41" t="s">
        <v>410</v>
      </c>
      <c r="D66" s="41" t="s">
        <v>311</v>
      </c>
      <c r="E66" s="52">
        <v>2103750</v>
      </c>
      <c r="F66" s="42" t="s">
        <v>579</v>
      </c>
      <c r="G66" s="12"/>
      <c r="H66" s="62"/>
    </row>
    <row r="67" spans="1:8" ht="15" customHeight="1" x14ac:dyDescent="0.25">
      <c r="A67" s="1">
        <v>66</v>
      </c>
      <c r="B67" s="70">
        <v>25808900055</v>
      </c>
      <c r="C67" s="71" t="s">
        <v>594</v>
      </c>
      <c r="D67" s="71" t="s">
        <v>595</v>
      </c>
      <c r="E67" s="60">
        <v>2600000</v>
      </c>
      <c r="F67" s="42" t="s">
        <v>579</v>
      </c>
      <c r="G67" s="12"/>
      <c r="H67" s="62"/>
    </row>
    <row r="68" spans="1:8" ht="15" customHeight="1" x14ac:dyDescent="0.25">
      <c r="A68" s="1">
        <v>67</v>
      </c>
      <c r="B68" s="47">
        <v>25806000099</v>
      </c>
      <c r="C68" s="48" t="s">
        <v>1882</v>
      </c>
      <c r="D68" s="48" t="s">
        <v>111</v>
      </c>
      <c r="E68" s="57">
        <v>2103750</v>
      </c>
      <c r="F68" s="49" t="s">
        <v>579</v>
      </c>
      <c r="G68" s="12"/>
      <c r="H68" s="62"/>
    </row>
    <row r="69" spans="1:8" ht="15" customHeight="1" x14ac:dyDescent="0.25">
      <c r="A69" s="1">
        <v>68</v>
      </c>
      <c r="B69" s="1">
        <v>25806800047</v>
      </c>
      <c r="C69" t="s">
        <v>434</v>
      </c>
      <c r="D69" t="s">
        <v>435</v>
      </c>
      <c r="E69" s="52">
        <v>2103750</v>
      </c>
      <c r="F69" s="44" t="s">
        <v>416</v>
      </c>
      <c r="G69" t="s">
        <v>1868</v>
      </c>
      <c r="H69" s="62">
        <v>17</v>
      </c>
    </row>
    <row r="70" spans="1:8" ht="15" customHeight="1" x14ac:dyDescent="0.25">
      <c r="A70" s="1">
        <v>69</v>
      </c>
      <c r="B70" s="1">
        <v>25808600180</v>
      </c>
      <c r="C70" t="s">
        <v>506</v>
      </c>
      <c r="D70" t="s">
        <v>392</v>
      </c>
      <c r="E70" s="52">
        <v>2103750</v>
      </c>
      <c r="F70" s="44" t="s">
        <v>416</v>
      </c>
      <c r="H70" s="62"/>
    </row>
    <row r="71" spans="1:8" ht="15" customHeight="1" x14ac:dyDescent="0.25">
      <c r="A71" s="1">
        <v>70</v>
      </c>
      <c r="B71" s="1">
        <v>25807000021</v>
      </c>
      <c r="C71" t="s">
        <v>551</v>
      </c>
      <c r="D71" t="s">
        <v>294</v>
      </c>
      <c r="E71" s="52">
        <v>2103750</v>
      </c>
      <c r="F71" s="44" t="s">
        <v>416</v>
      </c>
      <c r="H71" s="62"/>
    </row>
    <row r="72" spans="1:8" ht="15" customHeight="1" x14ac:dyDescent="0.25">
      <c r="A72" s="1">
        <v>71</v>
      </c>
      <c r="B72" s="1">
        <v>25802800300</v>
      </c>
      <c r="C72" t="s">
        <v>568</v>
      </c>
      <c r="D72" t="s">
        <v>376</v>
      </c>
      <c r="E72" s="52">
        <v>2103750</v>
      </c>
      <c r="F72" s="44" t="s">
        <v>416</v>
      </c>
      <c r="H72" s="62"/>
    </row>
    <row r="73" spans="1:8" ht="15" customHeight="1" x14ac:dyDescent="0.25">
      <c r="A73" s="1">
        <v>72</v>
      </c>
      <c r="B73" s="1">
        <v>25806800008</v>
      </c>
      <c r="C73" t="s">
        <v>495</v>
      </c>
      <c r="D73" t="s">
        <v>120</v>
      </c>
      <c r="E73" s="52">
        <v>2470000</v>
      </c>
      <c r="F73" s="44" t="s">
        <v>416</v>
      </c>
      <c r="H73" s="62"/>
    </row>
    <row r="74" spans="1:8" ht="15" customHeight="1" x14ac:dyDescent="0.25">
      <c r="A74" s="1">
        <v>73</v>
      </c>
      <c r="B74" s="1">
        <v>25805900117</v>
      </c>
      <c r="C74" t="s">
        <v>835</v>
      </c>
      <c r="D74" t="s">
        <v>111</v>
      </c>
      <c r="E74" s="52">
        <v>2103750</v>
      </c>
      <c r="F74" s="44" t="s">
        <v>416</v>
      </c>
      <c r="H74" s="62"/>
    </row>
    <row r="75" spans="1:8" ht="15" customHeight="1" x14ac:dyDescent="0.25">
      <c r="A75" s="1">
        <v>74</v>
      </c>
      <c r="B75" s="1">
        <v>25808700011</v>
      </c>
      <c r="C75" t="s">
        <v>1883</v>
      </c>
      <c r="D75" t="s">
        <v>474</v>
      </c>
      <c r="E75" s="52">
        <v>2103750</v>
      </c>
      <c r="F75" s="44" t="s">
        <v>416</v>
      </c>
      <c r="H75" s="62"/>
    </row>
    <row r="76" spans="1:8" ht="15" customHeight="1" x14ac:dyDescent="0.25">
      <c r="A76" s="1">
        <v>75</v>
      </c>
      <c r="B76" s="1">
        <v>25805800015</v>
      </c>
      <c r="C76" t="s">
        <v>415</v>
      </c>
      <c r="D76" t="s">
        <v>57</v>
      </c>
      <c r="E76" s="52">
        <v>2103750</v>
      </c>
      <c r="F76" s="44" t="s">
        <v>416</v>
      </c>
      <c r="H76" s="62"/>
    </row>
    <row r="77" spans="1:8" ht="15" customHeight="1" x14ac:dyDescent="0.25">
      <c r="A77" s="1">
        <v>76</v>
      </c>
      <c r="B77" s="1">
        <v>25801700029</v>
      </c>
      <c r="C77" t="s">
        <v>514</v>
      </c>
      <c r="D77" t="s">
        <v>515</v>
      </c>
      <c r="E77" s="52">
        <v>2103750</v>
      </c>
      <c r="F77" s="44" t="s">
        <v>416</v>
      </c>
      <c r="H77" s="62"/>
    </row>
    <row r="78" spans="1:8" ht="15" customHeight="1" x14ac:dyDescent="0.25">
      <c r="A78" s="1">
        <v>77</v>
      </c>
      <c r="B78" s="1">
        <v>25801400451</v>
      </c>
      <c r="C78" t="s">
        <v>181</v>
      </c>
      <c r="D78" t="s">
        <v>60</v>
      </c>
      <c r="E78" s="52">
        <v>2103750</v>
      </c>
      <c r="F78" s="44" t="s">
        <v>416</v>
      </c>
      <c r="H78" s="62"/>
    </row>
    <row r="79" spans="1:8" ht="15" customHeight="1" x14ac:dyDescent="0.25">
      <c r="A79" s="1">
        <v>78</v>
      </c>
      <c r="B79" s="1">
        <v>25820100019</v>
      </c>
      <c r="C79" t="s">
        <v>477</v>
      </c>
      <c r="D79" t="s">
        <v>478</v>
      </c>
      <c r="E79" s="52">
        <v>2103750</v>
      </c>
      <c r="F79" s="44" t="s">
        <v>416</v>
      </c>
      <c r="H79" s="62"/>
    </row>
    <row r="80" spans="1:8" ht="15" customHeight="1" x14ac:dyDescent="0.25">
      <c r="A80" s="1">
        <v>79</v>
      </c>
      <c r="B80" s="1">
        <v>25801200021</v>
      </c>
      <c r="C80" t="s">
        <v>730</v>
      </c>
      <c r="D80" t="s">
        <v>484</v>
      </c>
      <c r="E80" s="52">
        <v>2103750</v>
      </c>
      <c r="F80" s="44" t="s">
        <v>416</v>
      </c>
      <c r="G80" s="12"/>
      <c r="H80" s="62"/>
    </row>
    <row r="81" spans="1:8" ht="15" customHeight="1" x14ac:dyDescent="0.25">
      <c r="A81" s="1">
        <v>80</v>
      </c>
      <c r="B81" s="1">
        <v>25808700221</v>
      </c>
      <c r="C81" t="s">
        <v>1107</v>
      </c>
      <c r="D81" t="s">
        <v>942</v>
      </c>
      <c r="E81" s="52">
        <v>2103750</v>
      </c>
      <c r="F81" s="44" t="s">
        <v>416</v>
      </c>
      <c r="H81" s="62"/>
    </row>
    <row r="82" spans="1:8" ht="14.25" customHeight="1" x14ac:dyDescent="0.25">
      <c r="A82" s="1">
        <v>81</v>
      </c>
      <c r="B82" s="1">
        <v>25820500001</v>
      </c>
      <c r="C82" t="s">
        <v>456</v>
      </c>
      <c r="D82" t="s">
        <v>120</v>
      </c>
      <c r="E82" s="52">
        <v>2103750</v>
      </c>
      <c r="F82" s="44" t="s">
        <v>416</v>
      </c>
      <c r="G82" s="12"/>
      <c r="H82" s="62"/>
    </row>
    <row r="83" spans="1:8" ht="15.75" customHeight="1" x14ac:dyDescent="0.25">
      <c r="A83" s="1">
        <v>82</v>
      </c>
      <c r="B83" s="1">
        <v>25806800005</v>
      </c>
      <c r="C83" t="s">
        <v>493</v>
      </c>
      <c r="D83" t="s">
        <v>494</v>
      </c>
      <c r="E83" s="52">
        <v>2103750</v>
      </c>
      <c r="F83" s="44" t="s">
        <v>416</v>
      </c>
      <c r="G83" s="12"/>
      <c r="H83" s="62"/>
    </row>
    <row r="84" spans="1:8" ht="15.75" customHeight="1" x14ac:dyDescent="0.25">
      <c r="A84" s="1">
        <v>83</v>
      </c>
      <c r="B84" s="1">
        <v>25800400125</v>
      </c>
      <c r="C84" t="s">
        <v>46</v>
      </c>
      <c r="D84" t="s">
        <v>204</v>
      </c>
      <c r="E84" s="52">
        <v>2103750</v>
      </c>
      <c r="F84" s="44" t="s">
        <v>416</v>
      </c>
      <c r="G84" s="12"/>
      <c r="H84" s="62"/>
    </row>
    <row r="85" spans="1:8" ht="15.75" customHeight="1" x14ac:dyDescent="0.25">
      <c r="A85" s="1">
        <v>84</v>
      </c>
      <c r="B85" s="1" t="s">
        <v>417</v>
      </c>
      <c r="C85" t="s">
        <v>418</v>
      </c>
      <c r="D85" t="s">
        <v>91</v>
      </c>
      <c r="E85" s="52">
        <v>2103750</v>
      </c>
      <c r="F85" s="44" t="s">
        <v>416</v>
      </c>
      <c r="G85" s="12"/>
      <c r="H85" s="62"/>
    </row>
    <row r="86" spans="1:8" ht="15" customHeight="1" x14ac:dyDescent="0.25">
      <c r="A86" s="1">
        <v>85</v>
      </c>
      <c r="B86" s="39">
        <v>25805900008</v>
      </c>
      <c r="C86" s="40" t="s">
        <v>499</v>
      </c>
      <c r="D86" s="40" t="s">
        <v>517</v>
      </c>
      <c r="E86" s="58">
        <v>2103750</v>
      </c>
      <c r="F86" s="50" t="s">
        <v>416</v>
      </c>
      <c r="H86" s="62"/>
    </row>
    <row r="87" spans="1:8" ht="15" customHeight="1" x14ac:dyDescent="0.25">
      <c r="A87" s="1">
        <v>86</v>
      </c>
      <c r="B87" s="1">
        <v>25808700110</v>
      </c>
      <c r="C87" t="s">
        <v>1344</v>
      </c>
      <c r="D87" t="s">
        <v>311</v>
      </c>
      <c r="E87" s="52">
        <v>2103750</v>
      </c>
      <c r="F87" s="42" t="s">
        <v>244</v>
      </c>
      <c r="G87" t="s">
        <v>1884</v>
      </c>
      <c r="H87" s="62">
        <v>20</v>
      </c>
    </row>
    <row r="88" spans="1:8" ht="15" customHeight="1" x14ac:dyDescent="0.25">
      <c r="A88" s="1">
        <v>87</v>
      </c>
      <c r="B88" s="1">
        <v>25808900243</v>
      </c>
      <c r="C88" t="s">
        <v>781</v>
      </c>
      <c r="D88" t="s">
        <v>494</v>
      </c>
      <c r="E88" s="52">
        <v>2103750</v>
      </c>
      <c r="F88" s="42" t="s">
        <v>244</v>
      </c>
      <c r="H88" s="62"/>
    </row>
    <row r="89" spans="1:8" ht="15" customHeight="1" x14ac:dyDescent="0.25">
      <c r="A89" s="1">
        <v>88</v>
      </c>
      <c r="B89" s="1">
        <v>25801500098</v>
      </c>
      <c r="C89" t="s">
        <v>1885</v>
      </c>
      <c r="D89" t="s">
        <v>341</v>
      </c>
      <c r="E89" s="52">
        <v>2103750</v>
      </c>
      <c r="F89" s="42" t="s">
        <v>244</v>
      </c>
      <c r="H89" s="62"/>
    </row>
    <row r="90" spans="1:8" ht="15" customHeight="1" x14ac:dyDescent="0.25">
      <c r="A90" s="1">
        <v>89</v>
      </c>
      <c r="B90" s="1">
        <v>25808300040</v>
      </c>
      <c r="C90" t="s">
        <v>274</v>
      </c>
      <c r="D90" t="s">
        <v>275</v>
      </c>
      <c r="E90" s="52">
        <v>2103750</v>
      </c>
      <c r="F90" s="42" t="s">
        <v>244</v>
      </c>
      <c r="H90" s="62"/>
    </row>
    <row r="91" spans="1:8" ht="15" customHeight="1" x14ac:dyDescent="0.25">
      <c r="A91" s="1">
        <v>90</v>
      </c>
      <c r="B91" s="1">
        <v>25802800145</v>
      </c>
      <c r="C91" t="s">
        <v>532</v>
      </c>
      <c r="D91" t="s">
        <v>484</v>
      </c>
      <c r="E91" s="52">
        <v>2103750</v>
      </c>
      <c r="F91" s="42" t="s">
        <v>244</v>
      </c>
      <c r="H91" s="62"/>
    </row>
    <row r="92" spans="1:8" ht="15" customHeight="1" x14ac:dyDescent="0.25">
      <c r="A92" s="1">
        <v>91</v>
      </c>
      <c r="B92" s="1">
        <v>25808200100</v>
      </c>
      <c r="C92" t="s">
        <v>627</v>
      </c>
      <c r="D92" t="s">
        <v>294</v>
      </c>
      <c r="E92" s="52">
        <v>2103750</v>
      </c>
      <c r="F92" s="42" t="s">
        <v>244</v>
      </c>
      <c r="H92" s="62"/>
    </row>
    <row r="93" spans="1:8" ht="15" customHeight="1" x14ac:dyDescent="0.25">
      <c r="A93" s="1">
        <v>92</v>
      </c>
      <c r="B93" s="1">
        <v>25808300049</v>
      </c>
      <c r="C93" t="s">
        <v>452</v>
      </c>
      <c r="D93" t="s">
        <v>239</v>
      </c>
      <c r="E93" s="52">
        <v>2103750</v>
      </c>
      <c r="F93" s="42" t="s">
        <v>244</v>
      </c>
      <c r="H93" s="62"/>
    </row>
    <row r="94" spans="1:8" ht="15" customHeight="1" x14ac:dyDescent="0.25">
      <c r="A94" s="1">
        <v>93</v>
      </c>
      <c r="B94" s="1">
        <v>25807600039</v>
      </c>
      <c r="C94" t="s">
        <v>1886</v>
      </c>
      <c r="D94" t="s">
        <v>207</v>
      </c>
      <c r="E94" s="52">
        <v>2103750</v>
      </c>
      <c r="F94" s="42" t="s">
        <v>244</v>
      </c>
      <c r="H94" s="62"/>
    </row>
    <row r="95" spans="1:8" ht="15" customHeight="1" x14ac:dyDescent="0.25">
      <c r="A95" s="1">
        <v>94</v>
      </c>
      <c r="B95" s="1">
        <v>25805800005</v>
      </c>
      <c r="C95" t="s">
        <v>1887</v>
      </c>
      <c r="D95" t="s">
        <v>413</v>
      </c>
      <c r="E95" s="52">
        <v>2103750</v>
      </c>
      <c r="F95" s="42" t="s">
        <v>244</v>
      </c>
      <c r="H95" s="62"/>
    </row>
    <row r="96" spans="1:8" ht="15" customHeight="1" x14ac:dyDescent="0.25">
      <c r="A96" s="1">
        <v>95</v>
      </c>
      <c r="B96" s="1">
        <v>25808900095</v>
      </c>
      <c r="C96" t="s">
        <v>293</v>
      </c>
      <c r="D96" t="s">
        <v>294</v>
      </c>
      <c r="E96" s="52">
        <v>2470000</v>
      </c>
      <c r="F96" s="42" t="s">
        <v>244</v>
      </c>
      <c r="H96" s="62"/>
    </row>
    <row r="97" spans="1:9" ht="15" customHeight="1" x14ac:dyDescent="0.25">
      <c r="A97" s="1">
        <v>96</v>
      </c>
      <c r="B97" s="1">
        <v>25809600059</v>
      </c>
      <c r="C97" t="s">
        <v>687</v>
      </c>
      <c r="D97" t="s">
        <v>275</v>
      </c>
      <c r="E97" s="52">
        <v>2103750</v>
      </c>
      <c r="F97" s="42" t="s">
        <v>244</v>
      </c>
      <c r="H97" s="62"/>
    </row>
    <row r="98" spans="1:9" ht="15" customHeight="1" x14ac:dyDescent="0.25">
      <c r="A98" s="1">
        <v>97</v>
      </c>
      <c r="B98" s="1">
        <v>25801800061</v>
      </c>
      <c r="C98" t="s">
        <v>197</v>
      </c>
      <c r="D98" t="s">
        <v>242</v>
      </c>
      <c r="E98" s="52">
        <v>2103750</v>
      </c>
      <c r="F98" s="42" t="s">
        <v>244</v>
      </c>
      <c r="H98" s="62"/>
    </row>
    <row r="99" spans="1:9" ht="15" customHeight="1" x14ac:dyDescent="0.25">
      <c r="A99" s="1">
        <v>98</v>
      </c>
      <c r="B99" s="1">
        <v>25809600068</v>
      </c>
      <c r="C99" t="s">
        <v>669</v>
      </c>
      <c r="D99" t="s">
        <v>341</v>
      </c>
      <c r="E99" s="52">
        <v>2103750</v>
      </c>
      <c r="F99" s="42" t="s">
        <v>244</v>
      </c>
      <c r="H99" s="62"/>
    </row>
    <row r="100" spans="1:9" ht="15" customHeight="1" x14ac:dyDescent="0.25">
      <c r="A100" s="1">
        <v>99</v>
      </c>
      <c r="B100" s="1">
        <v>25808900057</v>
      </c>
      <c r="C100" t="s">
        <v>629</v>
      </c>
      <c r="D100" t="s">
        <v>57</v>
      </c>
      <c r="E100" s="52">
        <v>2103750</v>
      </c>
      <c r="F100" s="42" t="s">
        <v>244</v>
      </c>
      <c r="H100" s="62"/>
      <c r="I100" s="38"/>
    </row>
    <row r="101" spans="1:9" ht="15" customHeight="1" x14ac:dyDescent="0.25">
      <c r="A101" s="1">
        <v>100</v>
      </c>
      <c r="B101" s="1">
        <v>25801800021</v>
      </c>
      <c r="C101" t="s">
        <v>640</v>
      </c>
      <c r="D101" t="s">
        <v>641</v>
      </c>
      <c r="E101" s="52">
        <v>2103750</v>
      </c>
      <c r="F101" s="42" t="s">
        <v>244</v>
      </c>
      <c r="H101" s="62"/>
    </row>
    <row r="102" spans="1:9" ht="15" customHeight="1" x14ac:dyDescent="0.25">
      <c r="A102" s="1">
        <v>101</v>
      </c>
      <c r="B102" s="1">
        <v>25805800009</v>
      </c>
      <c r="C102" t="s">
        <v>625</v>
      </c>
      <c r="D102" t="s">
        <v>231</v>
      </c>
      <c r="E102" s="52">
        <v>2103750</v>
      </c>
      <c r="F102" s="42" t="s">
        <v>244</v>
      </c>
      <c r="H102" s="62"/>
    </row>
    <row r="103" spans="1:9" ht="15" customHeight="1" x14ac:dyDescent="0.25">
      <c r="A103" s="1">
        <v>102</v>
      </c>
      <c r="B103" s="1">
        <v>25808900091</v>
      </c>
      <c r="C103" t="s">
        <v>678</v>
      </c>
      <c r="D103" t="s">
        <v>207</v>
      </c>
      <c r="E103" s="52">
        <v>2103750</v>
      </c>
      <c r="F103" s="42" t="s">
        <v>244</v>
      </c>
      <c r="H103" s="62"/>
    </row>
    <row r="104" spans="1:9" ht="15" customHeight="1" x14ac:dyDescent="0.25">
      <c r="A104" s="1">
        <v>103</v>
      </c>
      <c r="B104" s="1">
        <v>25802800347</v>
      </c>
      <c r="C104" t="s">
        <v>251</v>
      </c>
      <c r="D104" t="s">
        <v>252</v>
      </c>
      <c r="E104" s="52">
        <v>2103750</v>
      </c>
      <c r="F104" s="42" t="s">
        <v>244</v>
      </c>
      <c r="H104" s="62"/>
    </row>
    <row r="105" spans="1:9" ht="15" customHeight="1" x14ac:dyDescent="0.25">
      <c r="A105" s="1">
        <v>104</v>
      </c>
      <c r="B105" s="1">
        <v>25801800183</v>
      </c>
      <c r="C105" t="s">
        <v>610</v>
      </c>
      <c r="D105" t="s">
        <v>611</v>
      </c>
      <c r="E105" s="52">
        <v>2103750</v>
      </c>
      <c r="F105" s="42" t="s">
        <v>244</v>
      </c>
      <c r="H105" s="62"/>
    </row>
    <row r="106" spans="1:9" ht="15" customHeight="1" x14ac:dyDescent="0.25">
      <c r="A106" s="1">
        <v>105</v>
      </c>
      <c r="B106" s="47">
        <v>25802800351</v>
      </c>
      <c r="C106" s="48" t="s">
        <v>1888</v>
      </c>
      <c r="D106" s="48" t="s">
        <v>1889</v>
      </c>
      <c r="E106" s="57">
        <v>2103750</v>
      </c>
      <c r="F106" s="49" t="s">
        <v>244</v>
      </c>
      <c r="H106" s="62"/>
    </row>
    <row r="107" spans="1:9" ht="15" customHeight="1" x14ac:dyDescent="0.25">
      <c r="A107" s="1">
        <v>106</v>
      </c>
      <c r="B107" s="1">
        <v>25808900004</v>
      </c>
      <c r="C107" t="s">
        <v>673</v>
      </c>
      <c r="D107" t="s">
        <v>160</v>
      </c>
      <c r="E107" s="52">
        <v>2103750</v>
      </c>
      <c r="F107" s="44" t="s">
        <v>422</v>
      </c>
      <c r="G107" t="s">
        <v>1890</v>
      </c>
      <c r="H107" s="62">
        <v>15</v>
      </c>
    </row>
    <row r="108" spans="1:9" ht="15" customHeight="1" x14ac:dyDescent="0.25">
      <c r="A108" s="1">
        <v>107</v>
      </c>
      <c r="B108" s="1">
        <v>25806000007</v>
      </c>
      <c r="C108" t="s">
        <v>1891</v>
      </c>
      <c r="D108" t="s">
        <v>116</v>
      </c>
      <c r="E108" s="52">
        <v>2103750</v>
      </c>
      <c r="F108" s="44" t="s">
        <v>422</v>
      </c>
      <c r="H108" s="62"/>
    </row>
    <row r="109" spans="1:9" ht="15" customHeight="1" x14ac:dyDescent="0.25">
      <c r="A109" s="1">
        <v>108</v>
      </c>
      <c r="B109" s="1">
        <v>25808900240</v>
      </c>
      <c r="C109" t="s">
        <v>696</v>
      </c>
      <c r="D109" t="s">
        <v>91</v>
      </c>
      <c r="E109" s="52">
        <v>2103750</v>
      </c>
      <c r="F109" s="44" t="s">
        <v>422</v>
      </c>
      <c r="H109" s="62"/>
    </row>
    <row r="110" spans="1:9" ht="15" customHeight="1" x14ac:dyDescent="0.25">
      <c r="A110" s="1">
        <v>109</v>
      </c>
      <c r="B110" s="1">
        <v>25808900043</v>
      </c>
      <c r="C110" t="s">
        <v>694</v>
      </c>
      <c r="D110" t="s">
        <v>490</v>
      </c>
      <c r="E110" s="52">
        <v>2103750</v>
      </c>
      <c r="F110" s="44" t="s">
        <v>422</v>
      </c>
      <c r="H110" s="62"/>
    </row>
    <row r="111" spans="1:9" ht="15" customHeight="1" x14ac:dyDescent="0.25">
      <c r="A111" s="1">
        <v>110</v>
      </c>
      <c r="B111" s="1">
        <v>25808600134</v>
      </c>
      <c r="C111" t="s">
        <v>310</v>
      </c>
      <c r="D111" t="s">
        <v>311</v>
      </c>
      <c r="E111" s="52">
        <v>2103750</v>
      </c>
      <c r="F111" s="44" t="s">
        <v>422</v>
      </c>
      <c r="H111" s="62"/>
    </row>
    <row r="112" spans="1:9" ht="15" customHeight="1" x14ac:dyDescent="0.25">
      <c r="A112" s="1">
        <v>111</v>
      </c>
      <c r="B112" s="1">
        <v>25802400028</v>
      </c>
      <c r="C112" t="s">
        <v>683</v>
      </c>
      <c r="D112" t="s">
        <v>638</v>
      </c>
      <c r="E112" s="52">
        <v>2103750</v>
      </c>
      <c r="F112" s="44" t="s">
        <v>422</v>
      </c>
      <c r="H112" s="62"/>
    </row>
    <row r="113" spans="1:8" ht="15" customHeight="1" x14ac:dyDescent="0.25">
      <c r="A113" s="1">
        <v>112</v>
      </c>
      <c r="B113" s="1">
        <v>25801800089</v>
      </c>
      <c r="C113" t="s">
        <v>635</v>
      </c>
      <c r="D113" t="s">
        <v>636</v>
      </c>
      <c r="E113" s="52">
        <v>2103750</v>
      </c>
      <c r="F113" s="44" t="s">
        <v>422</v>
      </c>
      <c r="H113" s="62"/>
    </row>
    <row r="114" spans="1:8" ht="15" customHeight="1" x14ac:dyDescent="0.25">
      <c r="A114" s="1">
        <v>113</v>
      </c>
      <c r="B114" s="1">
        <v>25802800096</v>
      </c>
      <c r="C114" t="s">
        <v>750</v>
      </c>
      <c r="D114" t="s">
        <v>157</v>
      </c>
      <c r="E114" s="52">
        <v>2103750</v>
      </c>
      <c r="F114" s="44" t="s">
        <v>422</v>
      </c>
      <c r="H114" s="62"/>
    </row>
    <row r="115" spans="1:8" ht="15" customHeight="1" x14ac:dyDescent="0.25">
      <c r="A115" s="1">
        <v>114</v>
      </c>
      <c r="B115" s="1">
        <v>25806000004</v>
      </c>
      <c r="C115" t="s">
        <v>650</v>
      </c>
      <c r="D115" t="s">
        <v>651</v>
      </c>
      <c r="E115" s="52">
        <v>2103750</v>
      </c>
      <c r="F115" s="44" t="s">
        <v>422</v>
      </c>
      <c r="H115" s="62"/>
    </row>
    <row r="116" spans="1:8" ht="15" customHeight="1" x14ac:dyDescent="0.25">
      <c r="A116" s="1">
        <v>115</v>
      </c>
      <c r="B116" s="1">
        <v>25802400025</v>
      </c>
      <c r="C116" t="s">
        <v>420</v>
      </c>
      <c r="D116" t="s">
        <v>421</v>
      </c>
      <c r="E116" s="52">
        <v>2103750</v>
      </c>
      <c r="F116" s="44" t="s">
        <v>422</v>
      </c>
      <c r="H116" s="62"/>
    </row>
    <row r="117" spans="1:8" ht="15" customHeight="1" x14ac:dyDescent="0.25">
      <c r="A117" s="1">
        <v>116</v>
      </c>
      <c r="B117" s="29">
        <v>25805900103</v>
      </c>
      <c r="C117" t="s">
        <v>614</v>
      </c>
      <c r="D117" t="s">
        <v>615</v>
      </c>
      <c r="E117" s="51">
        <v>2103750</v>
      </c>
      <c r="F117" s="44" t="s">
        <v>422</v>
      </c>
      <c r="H117" s="62"/>
    </row>
    <row r="118" spans="1:8" ht="15" customHeight="1" x14ac:dyDescent="0.25">
      <c r="A118" s="1">
        <v>117</v>
      </c>
      <c r="B118" s="29">
        <v>25802600139</v>
      </c>
      <c r="C118" t="s">
        <v>735</v>
      </c>
      <c r="D118" t="s">
        <v>376</v>
      </c>
      <c r="E118" s="51">
        <v>2103750</v>
      </c>
      <c r="F118" s="44" t="s">
        <v>422</v>
      </c>
      <c r="H118" s="62"/>
    </row>
    <row r="119" spans="1:8" ht="15" customHeight="1" x14ac:dyDescent="0.25">
      <c r="A119" s="1">
        <v>118</v>
      </c>
      <c r="B119" s="1">
        <v>25802800006</v>
      </c>
      <c r="C119" t="s">
        <v>700</v>
      </c>
      <c r="D119" t="s">
        <v>160</v>
      </c>
      <c r="E119" s="52">
        <v>2103750</v>
      </c>
      <c r="F119" s="44" t="s">
        <v>422</v>
      </c>
      <c r="H119" s="62"/>
    </row>
    <row r="120" spans="1:8" ht="15" customHeight="1" x14ac:dyDescent="0.25">
      <c r="A120" s="1">
        <v>119</v>
      </c>
      <c r="B120" s="47">
        <v>25806000026</v>
      </c>
      <c r="C120" s="34" t="s">
        <v>737</v>
      </c>
      <c r="D120" s="34" t="s">
        <v>151</v>
      </c>
      <c r="E120" s="59">
        <v>2103750</v>
      </c>
      <c r="F120" s="50" t="s">
        <v>422</v>
      </c>
      <c r="H120" s="62"/>
    </row>
    <row r="121" spans="1:8" ht="15" customHeight="1" x14ac:dyDescent="0.25">
      <c r="A121" s="1">
        <v>120</v>
      </c>
      <c r="B121" s="1">
        <v>25808900109</v>
      </c>
      <c r="C121" t="s">
        <v>680</v>
      </c>
      <c r="D121" t="s">
        <v>681</v>
      </c>
      <c r="E121" s="52">
        <v>2103750</v>
      </c>
      <c r="F121" s="42" t="s">
        <v>354</v>
      </c>
      <c r="G121" t="s">
        <v>1890</v>
      </c>
      <c r="H121" s="62">
        <v>15</v>
      </c>
    </row>
    <row r="122" spans="1:8" ht="15" customHeight="1" x14ac:dyDescent="0.25">
      <c r="A122" s="1">
        <v>121</v>
      </c>
      <c r="B122" s="1">
        <v>25808900122</v>
      </c>
      <c r="C122" t="s">
        <v>534</v>
      </c>
      <c r="D122" t="s">
        <v>658</v>
      </c>
      <c r="E122" s="52">
        <v>2103750</v>
      </c>
      <c r="F122" s="42" t="s">
        <v>354</v>
      </c>
      <c r="H122" s="62"/>
    </row>
    <row r="123" spans="1:8" ht="15" customHeight="1" x14ac:dyDescent="0.25">
      <c r="A123" s="1">
        <v>122</v>
      </c>
      <c r="B123" s="1">
        <v>25808600014</v>
      </c>
      <c r="C123" t="s">
        <v>361</v>
      </c>
      <c r="D123" t="s">
        <v>362</v>
      </c>
      <c r="E123" s="52">
        <v>2103750</v>
      </c>
      <c r="F123" s="42" t="s">
        <v>354</v>
      </c>
      <c r="H123" s="62"/>
    </row>
    <row r="124" spans="1:8" ht="15" customHeight="1" x14ac:dyDescent="0.25">
      <c r="A124" s="1">
        <v>123</v>
      </c>
      <c r="B124" s="1">
        <v>25802600056</v>
      </c>
      <c r="C124" t="s">
        <v>269</v>
      </c>
      <c r="D124" t="s">
        <v>175</v>
      </c>
      <c r="E124" s="52">
        <v>2103750</v>
      </c>
      <c r="F124" s="42" t="s">
        <v>354</v>
      </c>
      <c r="H124" s="62"/>
    </row>
    <row r="125" spans="1:8" ht="15" customHeight="1" x14ac:dyDescent="0.25">
      <c r="A125" s="1">
        <v>124</v>
      </c>
      <c r="B125" s="1">
        <v>25808900132</v>
      </c>
      <c r="C125" t="s">
        <v>562</v>
      </c>
      <c r="D125" t="s">
        <v>563</v>
      </c>
      <c r="E125" s="52">
        <v>2103750</v>
      </c>
      <c r="F125" s="42" t="s">
        <v>354</v>
      </c>
      <c r="H125" s="62"/>
    </row>
    <row r="126" spans="1:8" ht="15" customHeight="1" x14ac:dyDescent="0.25">
      <c r="A126" s="1">
        <v>125</v>
      </c>
      <c r="B126" s="68">
        <v>25808900229</v>
      </c>
      <c r="C126" t="s">
        <v>1892</v>
      </c>
      <c r="D126" t="s">
        <v>676</v>
      </c>
      <c r="E126" s="52">
        <v>2103750</v>
      </c>
      <c r="F126" s="42" t="s">
        <v>354</v>
      </c>
      <c r="H126" s="62"/>
    </row>
    <row r="127" spans="1:8" ht="15" customHeight="1" x14ac:dyDescent="0.25">
      <c r="A127" s="1">
        <v>126</v>
      </c>
      <c r="B127" s="1">
        <v>25802800087</v>
      </c>
      <c r="C127" t="s">
        <v>353</v>
      </c>
      <c r="D127" t="s">
        <v>157</v>
      </c>
      <c r="E127" s="52">
        <v>2103750</v>
      </c>
      <c r="F127" s="42" t="s">
        <v>354</v>
      </c>
      <c r="H127" s="62"/>
    </row>
    <row r="128" spans="1:8" ht="15" customHeight="1" x14ac:dyDescent="0.25">
      <c r="A128" s="1">
        <v>127</v>
      </c>
      <c r="B128" s="1">
        <v>25802800114</v>
      </c>
      <c r="C128" t="s">
        <v>364</v>
      </c>
      <c r="D128" t="s">
        <v>57</v>
      </c>
      <c r="E128" s="52">
        <v>2103750</v>
      </c>
      <c r="F128" s="42" t="s">
        <v>354</v>
      </c>
      <c r="H128" s="62"/>
    </row>
    <row r="129" spans="1:8" ht="15" customHeight="1" x14ac:dyDescent="0.25">
      <c r="A129" s="1">
        <v>128</v>
      </c>
      <c r="B129" s="1">
        <v>25802800180</v>
      </c>
      <c r="C129" t="s">
        <v>653</v>
      </c>
      <c r="D129" t="s">
        <v>74</v>
      </c>
      <c r="E129" s="52">
        <v>2103750</v>
      </c>
      <c r="F129" s="42" t="s">
        <v>354</v>
      </c>
      <c r="H129" s="62"/>
    </row>
    <row r="130" spans="1:8" ht="15" customHeight="1" x14ac:dyDescent="0.25">
      <c r="A130" s="1">
        <v>129</v>
      </c>
      <c r="B130" s="1">
        <v>25808900240</v>
      </c>
      <c r="C130" t="s">
        <v>1893</v>
      </c>
      <c r="D130" t="s">
        <v>1894</v>
      </c>
      <c r="E130" s="52">
        <v>2103750</v>
      </c>
      <c r="F130" s="42" t="s">
        <v>354</v>
      </c>
      <c r="H130" s="62"/>
    </row>
    <row r="131" spans="1:8" ht="15" customHeight="1" x14ac:dyDescent="0.25">
      <c r="A131" s="1">
        <v>130</v>
      </c>
      <c r="B131" s="1">
        <v>25802800020</v>
      </c>
      <c r="C131" t="s">
        <v>779</v>
      </c>
      <c r="D131" t="s">
        <v>120</v>
      </c>
      <c r="E131" s="52">
        <v>2103750</v>
      </c>
      <c r="F131" s="42" t="s">
        <v>354</v>
      </c>
      <c r="H131" s="62"/>
    </row>
    <row r="132" spans="1:8" ht="15" customHeight="1" x14ac:dyDescent="0.25">
      <c r="A132" s="1">
        <v>131</v>
      </c>
      <c r="B132" s="1">
        <v>25802800120</v>
      </c>
      <c r="C132" t="s">
        <v>1895</v>
      </c>
      <c r="D132" t="s">
        <v>182</v>
      </c>
      <c r="E132" s="52">
        <v>2470000</v>
      </c>
      <c r="F132" s="42" t="s">
        <v>354</v>
      </c>
      <c r="H132" s="62"/>
    </row>
    <row r="133" spans="1:8" ht="15" customHeight="1" x14ac:dyDescent="0.25">
      <c r="A133" s="1">
        <v>132</v>
      </c>
      <c r="B133" s="32">
        <v>25807100028</v>
      </c>
      <c r="C133" s="34" t="s">
        <v>617</v>
      </c>
      <c r="D133" s="34" t="s">
        <v>160</v>
      </c>
      <c r="E133" s="58">
        <v>2103750</v>
      </c>
      <c r="F133" s="49" t="s">
        <v>354</v>
      </c>
      <c r="H133" s="62"/>
    </row>
    <row r="134" spans="1:8" ht="15" customHeight="1" x14ac:dyDescent="0.25">
      <c r="A134" s="1">
        <v>133</v>
      </c>
      <c r="B134" s="1">
        <v>25806000094</v>
      </c>
      <c r="C134" t="s">
        <v>154</v>
      </c>
      <c r="D134" t="s">
        <v>22</v>
      </c>
      <c r="E134" s="51">
        <v>2103750</v>
      </c>
      <c r="F134" s="44" t="s">
        <v>329</v>
      </c>
      <c r="G134" t="s">
        <v>1896</v>
      </c>
      <c r="H134" s="62">
        <v>13</v>
      </c>
    </row>
    <row r="135" spans="1:8" ht="15" customHeight="1" x14ac:dyDescent="0.25">
      <c r="A135" s="1">
        <v>134</v>
      </c>
      <c r="B135" s="1">
        <v>25808600258</v>
      </c>
      <c r="C135" t="s">
        <v>1897</v>
      </c>
      <c r="D135" t="s">
        <v>166</v>
      </c>
      <c r="E135" s="52">
        <v>2470000</v>
      </c>
      <c r="F135" s="44" t="s">
        <v>329</v>
      </c>
      <c r="H135" s="62"/>
    </row>
    <row r="136" spans="1:8" ht="15" customHeight="1" x14ac:dyDescent="0.25">
      <c r="A136" s="1">
        <v>135</v>
      </c>
      <c r="B136" s="1">
        <v>25806000071</v>
      </c>
      <c r="C136" t="s">
        <v>750</v>
      </c>
      <c r="D136" t="s">
        <v>408</v>
      </c>
      <c r="E136" s="51">
        <v>2103750</v>
      </c>
      <c r="F136" s="44" t="s">
        <v>329</v>
      </c>
      <c r="H136" s="62"/>
    </row>
    <row r="137" spans="1:8" ht="15" customHeight="1" x14ac:dyDescent="0.25">
      <c r="A137" s="1">
        <v>136</v>
      </c>
      <c r="B137" s="1">
        <v>25806000034</v>
      </c>
      <c r="C137" t="s">
        <v>1898</v>
      </c>
      <c r="D137" t="s">
        <v>275</v>
      </c>
      <c r="E137" s="51">
        <v>2103750</v>
      </c>
      <c r="F137" s="44" t="s">
        <v>329</v>
      </c>
      <c r="H137" s="62"/>
    </row>
    <row r="138" spans="1:8" ht="15" customHeight="1" x14ac:dyDescent="0.25">
      <c r="A138" s="1">
        <v>137</v>
      </c>
      <c r="B138" s="1">
        <v>25805800048</v>
      </c>
      <c r="C138" t="s">
        <v>426</v>
      </c>
      <c r="D138" t="s">
        <v>157</v>
      </c>
      <c r="E138" s="52">
        <v>2103750</v>
      </c>
      <c r="F138" s="44" t="s">
        <v>329</v>
      </c>
      <c r="H138" s="62"/>
    </row>
    <row r="139" spans="1:8" ht="15" customHeight="1" x14ac:dyDescent="0.25">
      <c r="A139" s="1">
        <v>138</v>
      </c>
      <c r="B139" s="1">
        <v>25807800050</v>
      </c>
      <c r="C139" t="s">
        <v>327</v>
      </c>
      <c r="D139" t="s">
        <v>54</v>
      </c>
      <c r="E139" s="52">
        <v>2103750</v>
      </c>
      <c r="F139" s="44" t="s">
        <v>329</v>
      </c>
      <c r="H139" s="62"/>
    </row>
    <row r="140" spans="1:8" ht="15" customHeight="1" x14ac:dyDescent="0.25">
      <c r="A140" s="1">
        <v>139</v>
      </c>
      <c r="B140" s="1">
        <v>25802600042</v>
      </c>
      <c r="C140" t="s">
        <v>764</v>
      </c>
      <c r="D140" t="s">
        <v>384</v>
      </c>
      <c r="E140" s="52">
        <v>2103750</v>
      </c>
      <c r="F140" s="44" t="s">
        <v>329</v>
      </c>
      <c r="H140" s="62"/>
    </row>
    <row r="141" spans="1:8" ht="15" customHeight="1" x14ac:dyDescent="0.25">
      <c r="A141" s="1">
        <v>140</v>
      </c>
      <c r="B141" s="1">
        <v>25801100123</v>
      </c>
      <c r="C141" t="s">
        <v>1899</v>
      </c>
      <c r="D141" t="s">
        <v>157</v>
      </c>
      <c r="E141" s="52">
        <v>2103750</v>
      </c>
      <c r="F141" s="44" t="s">
        <v>329</v>
      </c>
      <c r="H141" s="62"/>
    </row>
    <row r="142" spans="1:8" ht="15" customHeight="1" x14ac:dyDescent="0.25">
      <c r="A142" s="1">
        <v>141</v>
      </c>
      <c r="B142" s="1">
        <v>25802800275</v>
      </c>
      <c r="C142" t="s">
        <v>771</v>
      </c>
      <c r="D142" t="s">
        <v>311</v>
      </c>
      <c r="E142" s="52">
        <v>2103750</v>
      </c>
      <c r="F142" s="44" t="s">
        <v>329</v>
      </c>
      <c r="H142" s="62"/>
    </row>
    <row r="143" spans="1:8" ht="15" customHeight="1" x14ac:dyDescent="0.25">
      <c r="A143" s="1">
        <v>142</v>
      </c>
      <c r="B143" s="1">
        <v>25806500014</v>
      </c>
      <c r="C143" t="s">
        <v>762</v>
      </c>
      <c r="D143" t="s">
        <v>638</v>
      </c>
      <c r="E143" s="52">
        <v>2103750</v>
      </c>
      <c r="F143" s="44" t="s">
        <v>329</v>
      </c>
      <c r="H143" s="62"/>
    </row>
    <row r="144" spans="1:8" ht="15" customHeight="1" x14ac:dyDescent="0.25">
      <c r="A144" s="1">
        <v>143</v>
      </c>
      <c r="B144" s="1">
        <v>25802600082</v>
      </c>
      <c r="C144" t="s">
        <v>774</v>
      </c>
      <c r="D144" t="s">
        <v>22</v>
      </c>
      <c r="E144" s="52">
        <v>2470000</v>
      </c>
      <c r="F144" s="44" t="s">
        <v>329</v>
      </c>
      <c r="H144" s="62"/>
    </row>
    <row r="145" spans="1:8" ht="15" customHeight="1" x14ac:dyDescent="0.25">
      <c r="A145" s="1">
        <v>144</v>
      </c>
      <c r="B145" s="1">
        <v>25802800015</v>
      </c>
      <c r="C145" t="s">
        <v>318</v>
      </c>
      <c r="D145" t="s">
        <v>676</v>
      </c>
      <c r="E145" s="52">
        <v>2103750</v>
      </c>
      <c r="F145" s="44" t="s">
        <v>329</v>
      </c>
      <c r="H145" s="62"/>
    </row>
    <row r="146" spans="1:8" ht="15" customHeight="1" x14ac:dyDescent="0.25">
      <c r="A146" s="1">
        <v>145</v>
      </c>
      <c r="B146" s="39">
        <v>25802600070</v>
      </c>
      <c r="C146" s="40" t="s">
        <v>777</v>
      </c>
      <c r="D146" s="40" t="s">
        <v>236</v>
      </c>
      <c r="E146" s="58">
        <v>2470000</v>
      </c>
      <c r="F146" s="50" t="s">
        <v>329</v>
      </c>
      <c r="H146" s="62"/>
    </row>
    <row r="147" spans="1:8" ht="15" customHeight="1" x14ac:dyDescent="0.25">
      <c r="A147" s="1">
        <v>146</v>
      </c>
      <c r="B147" s="1">
        <v>25801100062</v>
      </c>
      <c r="C147" t="s">
        <v>811</v>
      </c>
      <c r="D147" t="s">
        <v>812</v>
      </c>
      <c r="E147" s="52">
        <v>2103750</v>
      </c>
      <c r="F147" s="42" t="s">
        <v>558</v>
      </c>
      <c r="G147" t="s">
        <v>1900</v>
      </c>
      <c r="H147" s="62">
        <v>16</v>
      </c>
    </row>
    <row r="148" spans="1:8" ht="15" customHeight="1" x14ac:dyDescent="0.25">
      <c r="A148" s="1">
        <v>147</v>
      </c>
      <c r="B148" s="1">
        <v>25800500288</v>
      </c>
      <c r="C148" t="s">
        <v>123</v>
      </c>
      <c r="D148" t="s">
        <v>821</v>
      </c>
      <c r="E148" s="52">
        <v>2103750</v>
      </c>
      <c r="F148" s="42" t="s">
        <v>558</v>
      </c>
      <c r="H148" s="62"/>
    </row>
    <row r="149" spans="1:8" ht="15" customHeight="1" x14ac:dyDescent="0.25">
      <c r="A149" s="1">
        <v>148</v>
      </c>
      <c r="B149" s="1">
        <v>25820300011</v>
      </c>
      <c r="C149" t="s">
        <v>1157</v>
      </c>
      <c r="D149" t="s">
        <v>66</v>
      </c>
      <c r="E149" s="52">
        <v>2103750</v>
      </c>
      <c r="F149" s="42" t="s">
        <v>558</v>
      </c>
      <c r="H149" s="62"/>
    </row>
    <row r="150" spans="1:8" ht="15" customHeight="1" x14ac:dyDescent="0.25">
      <c r="A150" s="1">
        <v>149</v>
      </c>
      <c r="B150" s="1">
        <v>25807800110</v>
      </c>
      <c r="C150" t="s">
        <v>1901</v>
      </c>
      <c r="D150" t="s">
        <v>151</v>
      </c>
      <c r="E150" s="52">
        <v>2103750</v>
      </c>
      <c r="F150" s="42" t="s">
        <v>558</v>
      </c>
      <c r="H150" s="62"/>
    </row>
    <row r="151" spans="1:8" ht="15" customHeight="1" x14ac:dyDescent="0.25">
      <c r="A151" s="1">
        <v>150</v>
      </c>
      <c r="B151" s="1">
        <v>25807700074</v>
      </c>
      <c r="C151" t="s">
        <v>1230</v>
      </c>
      <c r="D151" t="s">
        <v>563</v>
      </c>
      <c r="E151" s="52">
        <v>2103750</v>
      </c>
      <c r="F151" s="42" t="s">
        <v>558</v>
      </c>
      <c r="H151" s="62"/>
    </row>
    <row r="152" spans="1:8" ht="15" customHeight="1" x14ac:dyDescent="0.25">
      <c r="A152" s="1">
        <v>151</v>
      </c>
      <c r="B152" s="1">
        <v>25807500237</v>
      </c>
      <c r="C152" t="s">
        <v>181</v>
      </c>
      <c r="D152" t="s">
        <v>1011</v>
      </c>
      <c r="E152" s="52">
        <v>2103750</v>
      </c>
      <c r="F152" s="42" t="s">
        <v>558</v>
      </c>
      <c r="H152" s="62"/>
    </row>
    <row r="153" spans="1:8" ht="15" customHeight="1" x14ac:dyDescent="0.25">
      <c r="A153" s="1">
        <v>152</v>
      </c>
      <c r="B153" s="1">
        <v>25802700022</v>
      </c>
      <c r="C153" t="s">
        <v>1902</v>
      </c>
      <c r="D153" t="s">
        <v>384</v>
      </c>
      <c r="E153" s="52">
        <v>2103750</v>
      </c>
      <c r="F153" s="42" t="s">
        <v>558</v>
      </c>
      <c r="H153" s="62"/>
    </row>
    <row r="154" spans="1:8" ht="15" customHeight="1" x14ac:dyDescent="0.25">
      <c r="A154" s="1">
        <v>153</v>
      </c>
      <c r="B154" s="1">
        <v>25808200096</v>
      </c>
      <c r="C154" t="s">
        <v>69</v>
      </c>
      <c r="D154" t="s">
        <v>104</v>
      </c>
      <c r="E154" s="52">
        <v>2103750</v>
      </c>
      <c r="F154" s="42" t="s">
        <v>558</v>
      </c>
      <c r="H154" s="62"/>
    </row>
    <row r="155" spans="1:8" ht="15" customHeight="1" x14ac:dyDescent="0.25">
      <c r="A155" s="1">
        <v>154</v>
      </c>
      <c r="B155" s="1">
        <v>25801900115</v>
      </c>
      <c r="C155" t="s">
        <v>1903</v>
      </c>
      <c r="D155" t="s">
        <v>151</v>
      </c>
      <c r="E155" s="52">
        <v>2103750</v>
      </c>
      <c r="F155" s="42" t="s">
        <v>558</v>
      </c>
      <c r="H155" s="62"/>
    </row>
    <row r="156" spans="1:8" ht="15" customHeight="1" x14ac:dyDescent="0.25">
      <c r="A156" s="1">
        <v>155</v>
      </c>
      <c r="B156" s="1">
        <v>25808200223</v>
      </c>
      <c r="C156" t="s">
        <v>1904</v>
      </c>
      <c r="D156" t="s">
        <v>88</v>
      </c>
      <c r="E156" s="52">
        <v>2103750</v>
      </c>
      <c r="F156" s="42" t="s">
        <v>558</v>
      </c>
      <c r="H156" s="62"/>
    </row>
    <row r="157" spans="1:8" ht="15" customHeight="1" x14ac:dyDescent="0.25">
      <c r="A157" s="1">
        <v>156</v>
      </c>
      <c r="B157" s="1">
        <v>25800500133</v>
      </c>
      <c r="C157" t="s">
        <v>852</v>
      </c>
      <c r="D157" t="s">
        <v>294</v>
      </c>
      <c r="E157" s="52">
        <v>2103750</v>
      </c>
      <c r="F157" s="42" t="s">
        <v>558</v>
      </c>
      <c r="H157" s="62"/>
    </row>
    <row r="158" spans="1:8" ht="15" customHeight="1" x14ac:dyDescent="0.25">
      <c r="A158" s="1">
        <v>157</v>
      </c>
      <c r="B158" s="1">
        <v>25802700054</v>
      </c>
      <c r="C158" t="s">
        <v>1905</v>
      </c>
      <c r="D158" t="s">
        <v>22</v>
      </c>
      <c r="E158" s="52">
        <v>2470000</v>
      </c>
      <c r="F158" s="42" t="s">
        <v>558</v>
      </c>
      <c r="H158" s="62"/>
    </row>
    <row r="159" spans="1:8" ht="15" customHeight="1" x14ac:dyDescent="0.25">
      <c r="A159" s="1">
        <v>158</v>
      </c>
      <c r="B159" s="1">
        <v>25800500111</v>
      </c>
      <c r="C159" t="s">
        <v>249</v>
      </c>
      <c r="D159" t="s">
        <v>484</v>
      </c>
      <c r="E159" s="51">
        <v>2103750</v>
      </c>
      <c r="F159" s="42" t="s">
        <v>558</v>
      </c>
      <c r="H159" s="62"/>
    </row>
    <row r="160" spans="1:8" ht="15" customHeight="1" x14ac:dyDescent="0.25">
      <c r="A160" s="1">
        <v>159</v>
      </c>
      <c r="B160" s="1">
        <v>25803800008</v>
      </c>
      <c r="C160" t="s">
        <v>1126</v>
      </c>
      <c r="D160" t="s">
        <v>120</v>
      </c>
      <c r="E160" s="60">
        <v>2600000</v>
      </c>
      <c r="F160" s="42" t="s">
        <v>558</v>
      </c>
      <c r="H160" s="62"/>
    </row>
    <row r="161" spans="1:8" ht="15" customHeight="1" x14ac:dyDescent="0.25">
      <c r="A161" s="1">
        <v>160</v>
      </c>
      <c r="B161" s="1">
        <v>25807900073</v>
      </c>
      <c r="C161" t="s">
        <v>797</v>
      </c>
      <c r="D161" t="s">
        <v>515</v>
      </c>
      <c r="E161" s="52">
        <v>2103750</v>
      </c>
      <c r="F161" s="42" t="s">
        <v>558</v>
      </c>
      <c r="H161" s="62"/>
    </row>
    <row r="162" spans="1:8" ht="15" customHeight="1" x14ac:dyDescent="0.25">
      <c r="A162" s="1">
        <v>161</v>
      </c>
      <c r="B162" s="39">
        <v>25800500248</v>
      </c>
      <c r="C162" s="40" t="s">
        <v>830</v>
      </c>
      <c r="D162" s="40" t="s">
        <v>821</v>
      </c>
      <c r="E162" s="58">
        <v>2103750</v>
      </c>
      <c r="F162" s="49" t="s">
        <v>558</v>
      </c>
      <c r="H162" s="62">
        <v>17</v>
      </c>
    </row>
    <row r="163" spans="1:8" ht="15" customHeight="1" x14ac:dyDescent="0.25">
      <c r="A163" s="1">
        <v>162</v>
      </c>
      <c r="B163" s="1">
        <v>25802700104</v>
      </c>
      <c r="C163" t="s">
        <v>987</v>
      </c>
      <c r="D163" t="s">
        <v>922</v>
      </c>
      <c r="E163" s="52">
        <v>2103750</v>
      </c>
      <c r="F163" s="44" t="s">
        <v>113</v>
      </c>
      <c r="G163" t="s">
        <v>1900</v>
      </c>
      <c r="H163" s="62"/>
    </row>
    <row r="164" spans="1:8" ht="15" customHeight="1" x14ac:dyDescent="0.25">
      <c r="A164" s="1">
        <v>163</v>
      </c>
      <c r="B164" s="1">
        <v>25808200052</v>
      </c>
      <c r="C164" t="s">
        <v>585</v>
      </c>
      <c r="D164" t="s">
        <v>157</v>
      </c>
      <c r="E164" s="52">
        <v>2103750</v>
      </c>
      <c r="F164" s="44" t="s">
        <v>113</v>
      </c>
      <c r="H164" s="62"/>
    </row>
    <row r="165" spans="1:8" ht="15" customHeight="1" x14ac:dyDescent="0.25">
      <c r="A165" s="1">
        <v>164</v>
      </c>
      <c r="B165" s="1">
        <v>25807500151</v>
      </c>
      <c r="C165" t="s">
        <v>801</v>
      </c>
      <c r="D165" t="s">
        <v>647</v>
      </c>
      <c r="E165" s="52">
        <v>2103750</v>
      </c>
      <c r="F165" s="44" t="s">
        <v>113</v>
      </c>
      <c r="H165" s="62"/>
    </row>
    <row r="166" spans="1:8" ht="15" customHeight="1" x14ac:dyDescent="0.25">
      <c r="A166" s="1">
        <v>165</v>
      </c>
      <c r="B166" s="1">
        <v>25808200258</v>
      </c>
      <c r="C166" t="s">
        <v>886</v>
      </c>
      <c r="D166" t="s">
        <v>887</v>
      </c>
      <c r="E166" s="52">
        <v>2103750</v>
      </c>
      <c r="F166" s="44" t="s">
        <v>113</v>
      </c>
      <c r="H166" s="62"/>
    </row>
    <row r="167" spans="1:8" ht="15" customHeight="1" x14ac:dyDescent="0.25">
      <c r="A167" s="1">
        <v>166</v>
      </c>
      <c r="B167" s="1">
        <v>25807500069</v>
      </c>
      <c r="C167" t="s">
        <v>896</v>
      </c>
      <c r="D167" t="s">
        <v>897</v>
      </c>
      <c r="E167" s="52">
        <v>2103750</v>
      </c>
      <c r="F167" s="44" t="s">
        <v>113</v>
      </c>
      <c r="H167" s="62"/>
    </row>
    <row r="168" spans="1:8" ht="15" customHeight="1" x14ac:dyDescent="0.25">
      <c r="A168" s="1">
        <v>167</v>
      </c>
      <c r="B168" s="1">
        <v>25807900003</v>
      </c>
      <c r="C168" t="s">
        <v>383</v>
      </c>
      <c r="D168" t="s">
        <v>120</v>
      </c>
      <c r="E168" s="52">
        <v>2103750</v>
      </c>
      <c r="F168" s="44" t="s">
        <v>113</v>
      </c>
      <c r="H168" s="62"/>
    </row>
    <row r="169" spans="1:8" ht="15" customHeight="1" x14ac:dyDescent="0.25">
      <c r="A169" s="1">
        <v>168</v>
      </c>
      <c r="B169" s="1">
        <v>25808200269</v>
      </c>
      <c r="C169" t="s">
        <v>181</v>
      </c>
      <c r="D169" t="s">
        <v>867</v>
      </c>
      <c r="E169" s="52">
        <v>2103750</v>
      </c>
      <c r="F169" s="44" t="s">
        <v>113</v>
      </c>
      <c r="H169" s="62"/>
    </row>
    <row r="170" spans="1:8" ht="15" customHeight="1" x14ac:dyDescent="0.25">
      <c r="A170" s="1">
        <v>169</v>
      </c>
      <c r="B170" s="1">
        <v>25808200228</v>
      </c>
      <c r="C170" t="s">
        <v>879</v>
      </c>
      <c r="D170" t="s">
        <v>120</v>
      </c>
      <c r="E170" s="52">
        <v>2103750</v>
      </c>
      <c r="F170" s="44" t="s">
        <v>113</v>
      </c>
      <c r="H170" s="62"/>
    </row>
    <row r="171" spans="1:8" ht="15" customHeight="1" x14ac:dyDescent="0.25">
      <c r="A171" s="1">
        <v>170</v>
      </c>
      <c r="B171" s="1">
        <v>25802100067</v>
      </c>
      <c r="C171" t="s">
        <v>110</v>
      </c>
      <c r="D171" t="s">
        <v>111</v>
      </c>
      <c r="E171" s="52">
        <v>2103750</v>
      </c>
      <c r="F171" s="44" t="s">
        <v>113</v>
      </c>
      <c r="H171" s="62"/>
    </row>
    <row r="172" spans="1:8" ht="15" customHeight="1" x14ac:dyDescent="0.25">
      <c r="A172" s="1">
        <v>171</v>
      </c>
      <c r="B172" s="1">
        <v>25800500162</v>
      </c>
      <c r="C172" t="s">
        <v>844</v>
      </c>
      <c r="D172" t="s">
        <v>270</v>
      </c>
      <c r="E172" s="52">
        <v>2103750</v>
      </c>
      <c r="F172" s="44" t="s">
        <v>113</v>
      </c>
      <c r="H172" s="62"/>
    </row>
    <row r="173" spans="1:8" ht="15" customHeight="1" x14ac:dyDescent="0.25">
      <c r="A173" s="1">
        <v>172</v>
      </c>
      <c r="B173" s="1">
        <v>25807800151</v>
      </c>
      <c r="C173" t="s">
        <v>646</v>
      </c>
      <c r="D173" t="s">
        <v>647</v>
      </c>
      <c r="E173" s="52">
        <v>2103750</v>
      </c>
      <c r="F173" s="44" t="s">
        <v>113</v>
      </c>
      <c r="H173" s="62"/>
    </row>
    <row r="174" spans="1:8" ht="15" customHeight="1" x14ac:dyDescent="0.25">
      <c r="A174" s="1">
        <v>173</v>
      </c>
      <c r="B174" s="1">
        <v>25808200016</v>
      </c>
      <c r="C174" t="s">
        <v>1770</v>
      </c>
      <c r="D174" t="s">
        <v>120</v>
      </c>
      <c r="E174" s="52">
        <v>2103750</v>
      </c>
      <c r="F174" s="44" t="s">
        <v>113</v>
      </c>
      <c r="H174" s="62"/>
    </row>
    <row r="175" spans="1:8" ht="15" customHeight="1" x14ac:dyDescent="0.25">
      <c r="A175" s="1">
        <v>174</v>
      </c>
      <c r="B175" s="1">
        <v>25803800098</v>
      </c>
      <c r="C175" t="s">
        <v>1247</v>
      </c>
      <c r="D175" t="s">
        <v>392</v>
      </c>
      <c r="E175" s="52">
        <v>2103750</v>
      </c>
      <c r="F175" s="44" t="s">
        <v>113</v>
      </c>
      <c r="H175" s="62"/>
    </row>
    <row r="176" spans="1:8" ht="15" customHeight="1" x14ac:dyDescent="0.25">
      <c r="A176" s="1">
        <v>175</v>
      </c>
      <c r="B176" s="1">
        <v>25820300027</v>
      </c>
      <c r="C176" t="s">
        <v>983</v>
      </c>
      <c r="D176" t="s">
        <v>936</v>
      </c>
      <c r="E176" s="52">
        <v>2103750</v>
      </c>
      <c r="F176" s="44" t="s">
        <v>113</v>
      </c>
      <c r="H176" s="62"/>
    </row>
    <row r="177" spans="1:8" ht="15" customHeight="1" x14ac:dyDescent="0.25">
      <c r="A177" s="1">
        <v>176</v>
      </c>
      <c r="B177" s="1">
        <v>25801100128</v>
      </c>
      <c r="C177" t="s">
        <v>852</v>
      </c>
      <c r="D177" t="s">
        <v>803</v>
      </c>
      <c r="E177" s="52">
        <v>2103750</v>
      </c>
      <c r="F177" s="44" t="s">
        <v>113</v>
      </c>
      <c r="H177" s="62"/>
    </row>
    <row r="178" spans="1:8" ht="15" customHeight="1" x14ac:dyDescent="0.25">
      <c r="A178" s="1">
        <v>177</v>
      </c>
      <c r="B178" s="1">
        <v>25800400052</v>
      </c>
      <c r="C178" t="s">
        <v>1243</v>
      </c>
      <c r="D178" t="s">
        <v>157</v>
      </c>
      <c r="E178" s="52">
        <v>2103750</v>
      </c>
      <c r="F178" s="44" t="s">
        <v>113</v>
      </c>
      <c r="H178" s="62"/>
    </row>
    <row r="179" spans="1:8" ht="15" customHeight="1" x14ac:dyDescent="0.25">
      <c r="A179" s="1">
        <v>178</v>
      </c>
      <c r="B179" s="39">
        <v>25800500310</v>
      </c>
      <c r="C179" s="40" t="s">
        <v>481</v>
      </c>
      <c r="D179" s="40" t="s">
        <v>157</v>
      </c>
      <c r="E179" s="58">
        <v>2103750</v>
      </c>
      <c r="F179" s="50" t="s">
        <v>113</v>
      </c>
      <c r="H179" s="62"/>
    </row>
    <row r="180" spans="1:8" ht="15" customHeight="1" x14ac:dyDescent="0.25">
      <c r="A180" s="1">
        <v>179</v>
      </c>
      <c r="B180" s="1">
        <v>25807500001</v>
      </c>
      <c r="C180" t="s">
        <v>857</v>
      </c>
      <c r="D180" t="s">
        <v>494</v>
      </c>
      <c r="E180" s="52">
        <v>2103750</v>
      </c>
      <c r="F180" s="42" t="s">
        <v>748</v>
      </c>
      <c r="G180" t="s">
        <v>1866</v>
      </c>
      <c r="H180" s="62">
        <v>17</v>
      </c>
    </row>
    <row r="181" spans="1:8" ht="15" customHeight="1" x14ac:dyDescent="0.25">
      <c r="A181" s="1">
        <v>180</v>
      </c>
      <c r="B181" s="1">
        <v>25807500007</v>
      </c>
      <c r="C181" t="s">
        <v>1906</v>
      </c>
      <c r="D181" t="s">
        <v>160</v>
      </c>
      <c r="E181" s="52">
        <v>2103750</v>
      </c>
      <c r="F181" s="42" t="s">
        <v>748</v>
      </c>
      <c r="H181" s="62"/>
    </row>
    <row r="182" spans="1:8" ht="15" customHeight="1" x14ac:dyDescent="0.25">
      <c r="A182" s="1">
        <v>181</v>
      </c>
      <c r="B182" s="1">
        <v>25807500011</v>
      </c>
      <c r="C182" t="s">
        <v>1136</v>
      </c>
      <c r="D182" t="s">
        <v>120</v>
      </c>
      <c r="E182" s="52">
        <v>2103750</v>
      </c>
      <c r="F182" s="42" t="s">
        <v>748</v>
      </c>
      <c r="H182" s="62"/>
    </row>
    <row r="183" spans="1:8" ht="15" customHeight="1" x14ac:dyDescent="0.25">
      <c r="A183" s="1">
        <v>182</v>
      </c>
      <c r="B183" s="1">
        <v>25800400049</v>
      </c>
      <c r="C183" t="s">
        <v>938</v>
      </c>
      <c r="D183" t="s">
        <v>939</v>
      </c>
      <c r="E183" s="52">
        <v>2103750</v>
      </c>
      <c r="F183" s="42" t="s">
        <v>748</v>
      </c>
      <c r="H183" s="62"/>
    </row>
    <row r="184" spans="1:8" ht="15" customHeight="1" x14ac:dyDescent="0.25">
      <c r="A184" s="1">
        <v>183</v>
      </c>
      <c r="B184" s="1">
        <v>25808200053</v>
      </c>
      <c r="C184" t="s">
        <v>1067</v>
      </c>
      <c r="D184" t="s">
        <v>157</v>
      </c>
      <c r="E184" s="55">
        <v>2600000</v>
      </c>
      <c r="F184" s="42" t="s">
        <v>748</v>
      </c>
      <c r="H184" s="62"/>
    </row>
    <row r="185" spans="1:8" ht="15" customHeight="1" x14ac:dyDescent="0.25">
      <c r="A185" s="1">
        <v>184</v>
      </c>
      <c r="B185" s="76">
        <v>25800400055</v>
      </c>
      <c r="C185" s="77" t="s">
        <v>955</v>
      </c>
      <c r="D185" s="77" t="s">
        <v>157</v>
      </c>
      <c r="E185" s="51">
        <v>2103750</v>
      </c>
      <c r="F185" s="42" t="s">
        <v>748</v>
      </c>
      <c r="H185" s="62"/>
    </row>
    <row r="186" spans="1:8" ht="15" customHeight="1" x14ac:dyDescent="0.25">
      <c r="A186" s="1">
        <v>185</v>
      </c>
      <c r="B186" s="65">
        <v>25808100019</v>
      </c>
      <c r="C186" s="66" t="s">
        <v>750</v>
      </c>
      <c r="D186" s="66" t="s">
        <v>157</v>
      </c>
      <c r="E186" s="52">
        <v>2103750</v>
      </c>
      <c r="F186" s="42" t="s">
        <v>748</v>
      </c>
      <c r="H186" s="62"/>
    </row>
    <row r="187" spans="1:8" ht="15" customHeight="1" x14ac:dyDescent="0.25">
      <c r="A187" s="1">
        <v>186</v>
      </c>
      <c r="B187" s="1">
        <v>25807700035</v>
      </c>
      <c r="C187" t="s">
        <v>1179</v>
      </c>
      <c r="D187" t="s">
        <v>175</v>
      </c>
      <c r="E187" s="52">
        <v>2103750</v>
      </c>
      <c r="F187" s="42" t="s">
        <v>748</v>
      </c>
      <c r="H187" s="62"/>
    </row>
    <row r="188" spans="1:8" ht="15" customHeight="1" x14ac:dyDescent="0.25">
      <c r="A188" s="1">
        <v>187</v>
      </c>
      <c r="B188" s="1">
        <v>25800400077</v>
      </c>
      <c r="C188" t="s">
        <v>809</v>
      </c>
      <c r="D188" t="s">
        <v>57</v>
      </c>
      <c r="E188" s="52">
        <v>2103750</v>
      </c>
      <c r="F188" s="42" t="s">
        <v>748</v>
      </c>
      <c r="H188" s="62"/>
    </row>
    <row r="189" spans="1:8" ht="15" customHeight="1" x14ac:dyDescent="0.25">
      <c r="A189" s="1">
        <v>188</v>
      </c>
      <c r="B189" s="1">
        <v>25806400012</v>
      </c>
      <c r="C189" t="s">
        <v>197</v>
      </c>
      <c r="D189" t="s">
        <v>50</v>
      </c>
      <c r="E189" s="52">
        <v>2103750</v>
      </c>
      <c r="F189" s="42" t="s">
        <v>748</v>
      </c>
      <c r="H189" s="62"/>
    </row>
    <row r="190" spans="1:8" ht="15" customHeight="1" x14ac:dyDescent="0.25">
      <c r="A190" s="1">
        <v>189</v>
      </c>
      <c r="B190" s="1">
        <v>25802100022</v>
      </c>
      <c r="C190" t="s">
        <v>1241</v>
      </c>
      <c r="D190" t="s">
        <v>182</v>
      </c>
      <c r="E190" s="52">
        <v>2103750</v>
      </c>
      <c r="F190" s="42" t="s">
        <v>748</v>
      </c>
      <c r="H190" s="62"/>
    </row>
    <row r="191" spans="1:8" ht="15" customHeight="1" x14ac:dyDescent="0.25">
      <c r="A191" s="1">
        <v>190</v>
      </c>
      <c r="B191" s="65">
        <v>25807800070</v>
      </c>
      <c r="C191" s="66" t="s">
        <v>894</v>
      </c>
      <c r="D191" s="66" t="s">
        <v>182</v>
      </c>
      <c r="E191" s="52">
        <v>2103750</v>
      </c>
      <c r="F191" s="42" t="s">
        <v>748</v>
      </c>
      <c r="H191" s="62"/>
    </row>
    <row r="192" spans="1:8" ht="15" customHeight="1" x14ac:dyDescent="0.25">
      <c r="A192" s="1">
        <v>191</v>
      </c>
      <c r="B192" s="1">
        <v>25802600171</v>
      </c>
      <c r="C192" t="s">
        <v>747</v>
      </c>
      <c r="D192" t="s">
        <v>392</v>
      </c>
      <c r="E192" s="52">
        <v>2103750</v>
      </c>
      <c r="F192" s="42" t="s">
        <v>748</v>
      </c>
      <c r="H192" s="62"/>
    </row>
    <row r="193" spans="1:8" ht="15" customHeight="1" x14ac:dyDescent="0.25">
      <c r="A193" s="1">
        <v>192</v>
      </c>
      <c r="B193" s="1">
        <v>25807500063</v>
      </c>
      <c r="C193" t="s">
        <v>968</v>
      </c>
      <c r="D193" t="s">
        <v>515</v>
      </c>
      <c r="E193" s="52">
        <v>2103750</v>
      </c>
      <c r="F193" s="42" t="s">
        <v>748</v>
      </c>
      <c r="H193" s="62"/>
    </row>
    <row r="194" spans="1:8" ht="15" customHeight="1" x14ac:dyDescent="0.25">
      <c r="A194" s="1">
        <v>193</v>
      </c>
      <c r="B194" s="1">
        <v>25803800039</v>
      </c>
      <c r="C194" t="s">
        <v>1150</v>
      </c>
      <c r="D194" t="s">
        <v>408</v>
      </c>
      <c r="E194" s="51">
        <v>2103750</v>
      </c>
      <c r="F194" s="42" t="s">
        <v>748</v>
      </c>
      <c r="H194" s="62"/>
    </row>
    <row r="195" spans="1:8" ht="15" customHeight="1" x14ac:dyDescent="0.25">
      <c r="A195" s="1">
        <v>194</v>
      </c>
      <c r="B195" s="1">
        <v>25807800099</v>
      </c>
      <c r="C195" t="s">
        <v>953</v>
      </c>
      <c r="D195" t="s">
        <v>74</v>
      </c>
      <c r="E195" s="52">
        <v>2103750</v>
      </c>
      <c r="F195" s="42" t="s">
        <v>748</v>
      </c>
      <c r="H195" s="62"/>
    </row>
    <row r="196" spans="1:8" ht="15" customHeight="1" x14ac:dyDescent="0.25">
      <c r="A196" s="1">
        <v>195</v>
      </c>
      <c r="B196" s="32">
        <v>25801100044</v>
      </c>
      <c r="C196" s="34" t="s">
        <v>680</v>
      </c>
      <c r="D196" s="34" t="s">
        <v>74</v>
      </c>
      <c r="E196" s="58">
        <v>2103750</v>
      </c>
      <c r="F196" s="49" t="s">
        <v>748</v>
      </c>
      <c r="H196" s="62"/>
    </row>
    <row r="197" spans="1:8" ht="15" customHeight="1" x14ac:dyDescent="0.25">
      <c r="A197" s="1">
        <v>196</v>
      </c>
      <c r="B197" s="1">
        <v>25808900092</v>
      </c>
      <c r="C197" t="s">
        <v>1228</v>
      </c>
      <c r="D197" t="s">
        <v>207</v>
      </c>
      <c r="E197" s="52">
        <v>2103750</v>
      </c>
      <c r="F197" s="44" t="s">
        <v>281</v>
      </c>
      <c r="G197" t="s">
        <v>1866</v>
      </c>
      <c r="H197" s="62">
        <v>16</v>
      </c>
    </row>
    <row r="198" spans="1:8" ht="15" customHeight="1" x14ac:dyDescent="0.25">
      <c r="A198" s="1">
        <v>197</v>
      </c>
      <c r="B198" s="1">
        <v>25802500097</v>
      </c>
      <c r="C198" t="s">
        <v>278</v>
      </c>
      <c r="D198" t="s">
        <v>279</v>
      </c>
      <c r="E198" s="52">
        <v>2103750</v>
      </c>
      <c r="F198" s="44" t="s">
        <v>281</v>
      </c>
      <c r="H198" s="62"/>
    </row>
    <row r="199" spans="1:8" ht="15" customHeight="1" x14ac:dyDescent="0.25">
      <c r="A199" s="1">
        <v>198</v>
      </c>
      <c r="B199" s="1">
        <v>25803800045</v>
      </c>
      <c r="C199" t="s">
        <v>1185</v>
      </c>
      <c r="D199" t="s">
        <v>1186</v>
      </c>
      <c r="E199" s="52">
        <v>2470000</v>
      </c>
      <c r="F199" s="44" t="s">
        <v>281</v>
      </c>
      <c r="H199" s="62"/>
    </row>
    <row r="200" spans="1:8" ht="15" customHeight="1" x14ac:dyDescent="0.25">
      <c r="A200" s="1">
        <v>199</v>
      </c>
      <c r="B200" s="1">
        <v>25820300093</v>
      </c>
      <c r="C200" t="s">
        <v>1904</v>
      </c>
      <c r="D200" t="s">
        <v>204</v>
      </c>
      <c r="E200" s="51">
        <v>2103750</v>
      </c>
      <c r="F200" s="44" t="s">
        <v>281</v>
      </c>
      <c r="H200" s="62"/>
    </row>
    <row r="201" spans="1:8" ht="15" customHeight="1" x14ac:dyDescent="0.25">
      <c r="A201" s="1">
        <v>200</v>
      </c>
      <c r="B201" s="1">
        <v>25802700069</v>
      </c>
      <c r="C201" t="s">
        <v>928</v>
      </c>
      <c r="D201" t="s">
        <v>929</v>
      </c>
      <c r="E201" s="52">
        <v>2103750</v>
      </c>
      <c r="F201" s="44" t="s">
        <v>281</v>
      </c>
      <c r="H201" s="62"/>
    </row>
    <row r="202" spans="1:8" ht="15" customHeight="1" x14ac:dyDescent="0.25">
      <c r="A202" s="1">
        <v>201</v>
      </c>
      <c r="B202" s="1">
        <v>25800400133</v>
      </c>
      <c r="C202" t="s">
        <v>797</v>
      </c>
      <c r="D202" t="s">
        <v>242</v>
      </c>
      <c r="E202" s="52">
        <v>2103750</v>
      </c>
      <c r="F202" s="44" t="s">
        <v>281</v>
      </c>
      <c r="H202" s="62"/>
    </row>
    <row r="203" spans="1:8" ht="15" customHeight="1" x14ac:dyDescent="0.25">
      <c r="A203" s="1">
        <v>202</v>
      </c>
      <c r="B203" s="1">
        <v>25807900052</v>
      </c>
      <c r="C203" t="s">
        <v>418</v>
      </c>
      <c r="D203" t="s">
        <v>842</v>
      </c>
      <c r="E203" s="52">
        <v>2470000</v>
      </c>
      <c r="F203" s="44" t="s">
        <v>281</v>
      </c>
      <c r="H203" s="62"/>
    </row>
    <row r="204" spans="1:8" ht="15" customHeight="1" x14ac:dyDescent="0.25">
      <c r="A204" s="1">
        <v>203</v>
      </c>
      <c r="B204" s="1">
        <v>25803800058</v>
      </c>
      <c r="C204" t="s">
        <v>752</v>
      </c>
      <c r="D204" t="s">
        <v>30</v>
      </c>
      <c r="E204" s="52">
        <v>2103750</v>
      </c>
      <c r="F204" s="44" t="s">
        <v>281</v>
      </c>
      <c r="H204" s="62"/>
    </row>
    <row r="205" spans="1:8" ht="15" customHeight="1" x14ac:dyDescent="0.25">
      <c r="A205" s="1">
        <v>204</v>
      </c>
      <c r="B205" s="1">
        <v>25807900054</v>
      </c>
      <c r="C205" t="s">
        <v>839</v>
      </c>
      <c r="D205" t="s">
        <v>840</v>
      </c>
      <c r="E205" s="52">
        <v>2103750</v>
      </c>
      <c r="F205" s="44" t="s">
        <v>281</v>
      </c>
      <c r="H205" s="62"/>
    </row>
    <row r="206" spans="1:8" ht="15" customHeight="1" x14ac:dyDescent="0.25">
      <c r="A206" s="1">
        <v>205</v>
      </c>
      <c r="B206" s="1">
        <v>25800600669</v>
      </c>
      <c r="C206" t="s">
        <v>870</v>
      </c>
      <c r="D206" t="s">
        <v>284</v>
      </c>
      <c r="E206" s="52">
        <v>2103750</v>
      </c>
      <c r="F206" s="44" t="s">
        <v>281</v>
      </c>
      <c r="H206" s="62"/>
    </row>
    <row r="207" spans="1:8" ht="15" customHeight="1" x14ac:dyDescent="0.25">
      <c r="A207" s="1">
        <v>206</v>
      </c>
      <c r="B207" s="1">
        <v>25803800060</v>
      </c>
      <c r="C207" t="s">
        <v>1907</v>
      </c>
      <c r="D207" t="s">
        <v>344</v>
      </c>
      <c r="E207" s="52">
        <v>2103750</v>
      </c>
      <c r="F207" s="44" t="s">
        <v>281</v>
      </c>
      <c r="H207" s="62"/>
    </row>
    <row r="208" spans="1:8" ht="15" customHeight="1" x14ac:dyDescent="0.25">
      <c r="A208" s="1">
        <v>207</v>
      </c>
      <c r="B208" s="1">
        <v>25820300063</v>
      </c>
      <c r="C208" t="s">
        <v>993</v>
      </c>
      <c r="D208" t="s">
        <v>341</v>
      </c>
      <c r="E208" s="52">
        <v>2470000</v>
      </c>
      <c r="F208" s="44" t="s">
        <v>281</v>
      </c>
      <c r="H208" s="62"/>
    </row>
    <row r="209" spans="1:8" ht="15" customHeight="1" x14ac:dyDescent="0.25">
      <c r="A209" s="1">
        <v>208</v>
      </c>
      <c r="B209" s="1">
        <v>25803800063</v>
      </c>
      <c r="C209" t="s">
        <v>1146</v>
      </c>
      <c r="D209" t="s">
        <v>341</v>
      </c>
      <c r="E209" s="60">
        <v>2600000</v>
      </c>
      <c r="F209" s="44" t="s">
        <v>281</v>
      </c>
      <c r="H209" s="62"/>
    </row>
    <row r="210" spans="1:8" ht="15" customHeight="1" x14ac:dyDescent="0.25">
      <c r="A210" s="1">
        <v>209</v>
      </c>
      <c r="B210" s="1">
        <v>2508200117</v>
      </c>
      <c r="C210" t="s">
        <v>38</v>
      </c>
      <c r="D210" t="s">
        <v>1183</v>
      </c>
      <c r="E210" s="52">
        <v>2103750</v>
      </c>
      <c r="F210" s="44" t="s">
        <v>281</v>
      </c>
      <c r="H210" s="62"/>
    </row>
    <row r="211" spans="1:8" ht="15" customHeight="1" x14ac:dyDescent="0.25">
      <c r="A211" s="1">
        <v>210</v>
      </c>
      <c r="B211" s="1">
        <v>25807800067</v>
      </c>
      <c r="C211" t="s">
        <v>919</v>
      </c>
      <c r="D211" t="s">
        <v>50</v>
      </c>
      <c r="E211" s="52">
        <v>2103750</v>
      </c>
      <c r="F211" s="44" t="s">
        <v>281</v>
      </c>
      <c r="H211" s="62"/>
    </row>
    <row r="212" spans="1:8" ht="15" customHeight="1" x14ac:dyDescent="0.25">
      <c r="A212" s="1">
        <v>211</v>
      </c>
      <c r="B212" s="1">
        <v>25800600765</v>
      </c>
      <c r="C212" t="s">
        <v>911</v>
      </c>
      <c r="D212" t="s">
        <v>78</v>
      </c>
      <c r="E212" s="52">
        <v>2103750</v>
      </c>
      <c r="F212" s="44" t="s">
        <v>281</v>
      </c>
      <c r="H212" s="62"/>
    </row>
    <row r="213" spans="1:8" ht="15" customHeight="1" x14ac:dyDescent="0.25">
      <c r="A213" s="1">
        <v>212</v>
      </c>
      <c r="B213" s="2">
        <v>25800400245</v>
      </c>
      <c r="C213" t="s">
        <v>1245</v>
      </c>
      <c r="D213" t="s">
        <v>182</v>
      </c>
      <c r="E213" s="52">
        <v>2103750</v>
      </c>
      <c r="F213" s="44" t="s">
        <v>281</v>
      </c>
      <c r="H213" s="62"/>
    </row>
    <row r="214" spans="1:8" ht="15" customHeight="1" x14ac:dyDescent="0.25">
      <c r="A214" s="1">
        <v>213</v>
      </c>
      <c r="B214" s="47">
        <v>25807500161</v>
      </c>
      <c r="C214" s="48" t="s">
        <v>537</v>
      </c>
      <c r="D214" s="48" t="s">
        <v>450</v>
      </c>
      <c r="E214" s="57">
        <v>2470000</v>
      </c>
      <c r="F214" s="50" t="s">
        <v>281</v>
      </c>
      <c r="H214" s="62"/>
    </row>
    <row r="215" spans="1:8" ht="15" customHeight="1" x14ac:dyDescent="0.25">
      <c r="A215" s="1">
        <v>214</v>
      </c>
      <c r="B215" s="1">
        <v>25820100030</v>
      </c>
      <c r="C215" t="s">
        <v>1111</v>
      </c>
      <c r="D215" t="s">
        <v>484</v>
      </c>
      <c r="E215" s="51">
        <v>2103750</v>
      </c>
      <c r="F215" s="42" t="s">
        <v>44</v>
      </c>
      <c r="G215" t="s">
        <v>1908</v>
      </c>
      <c r="H215" s="62">
        <v>18</v>
      </c>
    </row>
    <row r="216" spans="1:8" ht="15" customHeight="1" x14ac:dyDescent="0.25">
      <c r="A216" s="1">
        <v>215</v>
      </c>
      <c r="B216" s="1">
        <v>25807900042</v>
      </c>
      <c r="C216" t="s">
        <v>617</v>
      </c>
      <c r="D216" t="s">
        <v>1015</v>
      </c>
      <c r="E216" s="52">
        <v>2103750</v>
      </c>
      <c r="F216" s="42" t="s">
        <v>44</v>
      </c>
      <c r="H216" s="62"/>
    </row>
    <row r="217" spans="1:8" ht="15" customHeight="1" x14ac:dyDescent="0.25">
      <c r="A217" s="1">
        <v>216</v>
      </c>
      <c r="B217" s="1">
        <v>25800400275</v>
      </c>
      <c r="C217" t="s">
        <v>989</v>
      </c>
      <c r="D217" t="s">
        <v>405</v>
      </c>
      <c r="E217" s="52">
        <v>2103750</v>
      </c>
      <c r="F217" s="42" t="s">
        <v>44</v>
      </c>
      <c r="H217" s="62"/>
    </row>
    <row r="218" spans="1:8" ht="15" customHeight="1" x14ac:dyDescent="0.25">
      <c r="A218" s="1">
        <v>217</v>
      </c>
      <c r="B218" s="1">
        <v>25808200014</v>
      </c>
      <c r="C218" t="s">
        <v>1909</v>
      </c>
      <c r="D218" t="s">
        <v>120</v>
      </c>
      <c r="E218" s="52">
        <v>2470000</v>
      </c>
      <c r="F218" s="42" t="s">
        <v>44</v>
      </c>
      <c r="H218" s="62"/>
    </row>
    <row r="219" spans="1:8" ht="15" customHeight="1" x14ac:dyDescent="0.25">
      <c r="A219" s="1">
        <v>218</v>
      </c>
      <c r="B219" s="1">
        <v>25807000012</v>
      </c>
      <c r="C219" s="12" t="s">
        <v>1092</v>
      </c>
      <c r="D219" s="12" t="s">
        <v>641</v>
      </c>
      <c r="E219" s="52">
        <v>2470000</v>
      </c>
      <c r="F219" s="42" t="s">
        <v>44</v>
      </c>
      <c r="H219" s="62"/>
    </row>
    <row r="220" spans="1:8" ht="15" customHeight="1" x14ac:dyDescent="0.25">
      <c r="A220" s="1">
        <v>219</v>
      </c>
      <c r="B220" s="1">
        <v>25806400003</v>
      </c>
      <c r="C220" s="12" t="s">
        <v>1086</v>
      </c>
      <c r="D220" s="12" t="s">
        <v>1087</v>
      </c>
      <c r="E220" s="52">
        <v>2103750</v>
      </c>
      <c r="F220" s="42" t="s">
        <v>44</v>
      </c>
      <c r="H220" s="62"/>
    </row>
    <row r="221" spans="1:8" ht="15" customHeight="1" x14ac:dyDescent="0.25">
      <c r="A221" s="1">
        <v>220</v>
      </c>
      <c r="B221" s="1">
        <v>25801100001</v>
      </c>
      <c r="C221" s="12" t="s">
        <v>1084</v>
      </c>
      <c r="D221" s="12" t="s">
        <v>160</v>
      </c>
      <c r="E221" s="52">
        <v>2103750</v>
      </c>
      <c r="F221" s="42" t="s">
        <v>44</v>
      </c>
      <c r="H221" s="62"/>
    </row>
    <row r="222" spans="1:8" ht="15" customHeight="1" x14ac:dyDescent="0.25">
      <c r="A222" s="1">
        <v>221</v>
      </c>
      <c r="B222" s="1">
        <v>25800400088</v>
      </c>
      <c r="C222" s="12" t="s">
        <v>1082</v>
      </c>
      <c r="D222" s="12" t="s">
        <v>182</v>
      </c>
      <c r="E222" s="52">
        <v>2103750</v>
      </c>
      <c r="F222" s="42" t="s">
        <v>44</v>
      </c>
      <c r="H222" s="62"/>
    </row>
    <row r="223" spans="1:8" ht="15" customHeight="1" x14ac:dyDescent="0.25">
      <c r="A223" s="1">
        <v>222</v>
      </c>
      <c r="B223" s="1">
        <v>25800400059</v>
      </c>
      <c r="C223" s="12" t="s">
        <v>916</v>
      </c>
      <c r="D223" s="12" t="s">
        <v>157</v>
      </c>
      <c r="E223" s="52">
        <v>2103750</v>
      </c>
      <c r="F223" s="42" t="s">
        <v>44</v>
      </c>
      <c r="H223" s="62"/>
    </row>
    <row r="224" spans="1:8" ht="15" customHeight="1" x14ac:dyDescent="0.25">
      <c r="A224" s="1">
        <v>223</v>
      </c>
      <c r="B224" s="1">
        <v>25800400218</v>
      </c>
      <c r="C224" s="12" t="s">
        <v>42</v>
      </c>
      <c r="D224" t="s">
        <v>43</v>
      </c>
      <c r="E224" s="52">
        <v>2103750</v>
      </c>
      <c r="F224" s="42" t="s">
        <v>44</v>
      </c>
      <c r="H224" s="62"/>
    </row>
    <row r="225" spans="1:8" ht="15" customHeight="1" x14ac:dyDescent="0.25">
      <c r="A225" s="1">
        <v>224</v>
      </c>
      <c r="B225" s="1">
        <v>25807800120</v>
      </c>
      <c r="C225" s="12" t="s">
        <v>1910</v>
      </c>
      <c r="D225" s="12" t="s">
        <v>1911</v>
      </c>
      <c r="E225" s="52">
        <v>2103750</v>
      </c>
      <c r="F225" s="42" t="s">
        <v>44</v>
      </c>
      <c r="H225" s="62"/>
    </row>
    <row r="226" spans="1:8" ht="15" customHeight="1" x14ac:dyDescent="0.25">
      <c r="A226" s="1">
        <v>225</v>
      </c>
      <c r="B226" s="1">
        <v>25806400021</v>
      </c>
      <c r="C226" t="s">
        <v>1912</v>
      </c>
      <c r="D226" t="s">
        <v>1913</v>
      </c>
      <c r="E226" s="52">
        <v>2103750</v>
      </c>
      <c r="F226" s="42" t="s">
        <v>44</v>
      </c>
      <c r="H226" s="62"/>
    </row>
    <row r="227" spans="1:8" ht="15" customHeight="1" x14ac:dyDescent="0.25">
      <c r="A227" s="1">
        <v>226</v>
      </c>
      <c r="B227" s="1">
        <v>25807500054</v>
      </c>
      <c r="C227" t="s">
        <v>1914</v>
      </c>
      <c r="D227" t="s">
        <v>1124</v>
      </c>
      <c r="E227" s="52">
        <v>2103750</v>
      </c>
      <c r="F227" s="42" t="s">
        <v>44</v>
      </c>
      <c r="H227" s="62"/>
    </row>
    <row r="228" spans="1:8" ht="15" customHeight="1" x14ac:dyDescent="0.25">
      <c r="A228" s="1">
        <v>227</v>
      </c>
      <c r="B228" s="1">
        <v>25808200093</v>
      </c>
      <c r="C228" t="s">
        <v>1130</v>
      </c>
      <c r="D228" t="s">
        <v>138</v>
      </c>
      <c r="E228" s="52">
        <v>2103750</v>
      </c>
      <c r="F228" s="42" t="s">
        <v>44</v>
      </c>
      <c r="H228" s="62"/>
    </row>
    <row r="229" spans="1:8" ht="15" customHeight="1" x14ac:dyDescent="0.25">
      <c r="A229" s="1">
        <v>228</v>
      </c>
      <c r="B229" s="1">
        <v>25820200013</v>
      </c>
      <c r="C229" t="s">
        <v>1915</v>
      </c>
      <c r="D229" t="s">
        <v>1916</v>
      </c>
      <c r="E229" s="52">
        <v>2103750</v>
      </c>
      <c r="F229" s="42" t="s">
        <v>44</v>
      </c>
      <c r="H229" s="62"/>
    </row>
    <row r="230" spans="1:8" ht="15" customHeight="1" x14ac:dyDescent="0.25">
      <c r="A230" s="1">
        <v>229</v>
      </c>
      <c r="B230" s="1">
        <v>25801000013</v>
      </c>
      <c r="C230" t="s">
        <v>1115</v>
      </c>
      <c r="D230" t="s">
        <v>22</v>
      </c>
      <c r="E230" s="52">
        <v>2470000</v>
      </c>
      <c r="F230" s="42" t="s">
        <v>44</v>
      </c>
      <c r="H230" s="62"/>
    </row>
    <row r="231" spans="1:8" ht="15" customHeight="1" x14ac:dyDescent="0.25">
      <c r="A231" s="1">
        <v>230</v>
      </c>
      <c r="B231" s="1">
        <v>25807800064</v>
      </c>
      <c r="C231" t="s">
        <v>56</v>
      </c>
      <c r="D231" t="s">
        <v>57</v>
      </c>
      <c r="E231" s="52">
        <v>2103750</v>
      </c>
      <c r="F231" s="42" t="s">
        <v>44</v>
      </c>
      <c r="H231" s="62"/>
    </row>
    <row r="232" spans="1:8" ht="15" customHeight="1" x14ac:dyDescent="0.25">
      <c r="A232" s="1">
        <v>231</v>
      </c>
      <c r="B232" s="39">
        <v>25800400051</v>
      </c>
      <c r="C232" s="40" t="s">
        <v>1055</v>
      </c>
      <c r="D232" s="40" t="s">
        <v>490</v>
      </c>
      <c r="E232" s="58">
        <v>2103750</v>
      </c>
      <c r="F232" s="49" t="s">
        <v>44</v>
      </c>
      <c r="H232" s="62"/>
    </row>
    <row r="233" spans="1:8" ht="15" customHeight="1" x14ac:dyDescent="0.25">
      <c r="A233" s="1">
        <v>232</v>
      </c>
      <c r="B233" s="1">
        <v>25800400287</v>
      </c>
      <c r="C233" t="s">
        <v>1917</v>
      </c>
      <c r="D233" t="s">
        <v>821</v>
      </c>
      <c r="E233" s="52">
        <v>2103750</v>
      </c>
      <c r="F233" s="44" t="s">
        <v>201</v>
      </c>
      <c r="G233" t="s">
        <v>1908</v>
      </c>
      <c r="H233" s="62">
        <v>18</v>
      </c>
    </row>
    <row r="234" spans="1:8" ht="15" customHeight="1" x14ac:dyDescent="0.25">
      <c r="A234" s="1">
        <v>233</v>
      </c>
      <c r="B234" s="1">
        <v>25802100071</v>
      </c>
      <c r="C234" t="s">
        <v>1040</v>
      </c>
      <c r="D234" t="s">
        <v>1015</v>
      </c>
      <c r="E234" s="52">
        <v>2103750</v>
      </c>
      <c r="F234" s="44" t="s">
        <v>201</v>
      </c>
      <c r="H234" s="62"/>
    </row>
    <row r="235" spans="1:8" ht="15" customHeight="1" x14ac:dyDescent="0.25">
      <c r="A235" s="1">
        <v>234</v>
      </c>
      <c r="B235" s="1">
        <v>25808700184</v>
      </c>
      <c r="C235" t="s">
        <v>200</v>
      </c>
      <c r="D235" t="s">
        <v>22</v>
      </c>
      <c r="E235" s="60">
        <v>2600000</v>
      </c>
      <c r="F235" s="44" t="s">
        <v>201</v>
      </c>
      <c r="H235" s="62"/>
    </row>
    <row r="236" spans="1:8" ht="15" customHeight="1" x14ac:dyDescent="0.25">
      <c r="A236" s="1">
        <v>235</v>
      </c>
      <c r="B236" s="1">
        <v>25820700046</v>
      </c>
      <c r="C236" t="s">
        <v>1026</v>
      </c>
      <c r="D236" t="s">
        <v>1027</v>
      </c>
      <c r="E236" s="52">
        <v>2470000</v>
      </c>
      <c r="F236" s="44" t="s">
        <v>201</v>
      </c>
      <c r="H236" s="62"/>
    </row>
    <row r="237" spans="1:8" ht="15" customHeight="1" x14ac:dyDescent="0.25">
      <c r="A237" s="1">
        <v>236</v>
      </c>
      <c r="B237" s="1">
        <v>25807500124</v>
      </c>
      <c r="C237" t="s">
        <v>571</v>
      </c>
      <c r="D237" t="s">
        <v>239</v>
      </c>
      <c r="E237" s="51">
        <v>2103750</v>
      </c>
      <c r="F237" s="44" t="s">
        <v>201</v>
      </c>
      <c r="H237" s="62"/>
    </row>
    <row r="238" spans="1:8" ht="15" customHeight="1" x14ac:dyDescent="0.25">
      <c r="A238" s="1">
        <v>237</v>
      </c>
      <c r="B238" s="1">
        <v>25807500033</v>
      </c>
      <c r="C238" t="s">
        <v>103</v>
      </c>
      <c r="D238" t="s">
        <v>1918</v>
      </c>
      <c r="E238" s="52">
        <v>2103750</v>
      </c>
      <c r="F238" s="44" t="s">
        <v>201</v>
      </c>
      <c r="H238" s="62"/>
    </row>
    <row r="239" spans="1:8" ht="15" customHeight="1" x14ac:dyDescent="0.25">
      <c r="A239" s="1">
        <v>238</v>
      </c>
      <c r="B239" s="1">
        <v>25800500109</v>
      </c>
      <c r="C239" t="s">
        <v>948</v>
      </c>
      <c r="D239" t="s">
        <v>484</v>
      </c>
      <c r="E239" s="52">
        <v>2103750</v>
      </c>
      <c r="F239" s="44" t="s">
        <v>201</v>
      </c>
      <c r="H239" s="62"/>
    </row>
    <row r="240" spans="1:8" ht="15" customHeight="1" x14ac:dyDescent="0.25">
      <c r="A240" s="1">
        <v>239</v>
      </c>
      <c r="B240" s="1">
        <v>25807800073</v>
      </c>
      <c r="C240" t="s">
        <v>1052</v>
      </c>
      <c r="D240" t="s">
        <v>1053</v>
      </c>
      <c r="E240" s="52">
        <v>2103750</v>
      </c>
      <c r="F240" s="44" t="s">
        <v>201</v>
      </c>
      <c r="H240" s="62"/>
    </row>
    <row r="241" spans="1:8" ht="15" customHeight="1" x14ac:dyDescent="0.25">
      <c r="A241" s="1">
        <v>240</v>
      </c>
      <c r="B241" s="1">
        <v>25808500274</v>
      </c>
      <c r="C241" t="s">
        <v>143</v>
      </c>
      <c r="D241" t="s">
        <v>294</v>
      </c>
      <c r="E241" s="60">
        <v>2600000</v>
      </c>
      <c r="F241" s="44" t="s">
        <v>201</v>
      </c>
      <c r="H241" s="62"/>
    </row>
    <row r="242" spans="1:8" ht="15" customHeight="1" x14ac:dyDescent="0.25">
      <c r="A242" s="1">
        <v>241</v>
      </c>
      <c r="B242" s="1">
        <v>25803800021</v>
      </c>
      <c r="C242" t="s">
        <v>1076</v>
      </c>
      <c r="D242" t="s">
        <v>478</v>
      </c>
      <c r="E242" s="51">
        <v>2103750</v>
      </c>
      <c r="F242" s="44" t="s">
        <v>201</v>
      </c>
      <c r="H242" s="62"/>
    </row>
    <row r="243" spans="1:8" ht="15" customHeight="1" x14ac:dyDescent="0.25">
      <c r="A243" s="1">
        <v>242</v>
      </c>
      <c r="B243" s="1">
        <v>25800500112</v>
      </c>
      <c r="C243" t="s">
        <v>1253</v>
      </c>
      <c r="D243" t="s">
        <v>97</v>
      </c>
      <c r="E243" s="51">
        <v>2470000</v>
      </c>
      <c r="F243" s="44" t="s">
        <v>201</v>
      </c>
      <c r="H243" s="62"/>
    </row>
    <row r="244" spans="1:8" ht="15" customHeight="1" x14ac:dyDescent="0.25">
      <c r="A244" s="1">
        <v>243</v>
      </c>
      <c r="B244" s="1">
        <v>25808200123</v>
      </c>
      <c r="C244" t="s">
        <v>1031</v>
      </c>
      <c r="D244" t="s">
        <v>842</v>
      </c>
      <c r="E244" s="51">
        <v>2103750</v>
      </c>
      <c r="F244" s="44" t="s">
        <v>201</v>
      </c>
      <c r="H244" s="62"/>
    </row>
    <row r="245" spans="1:8" ht="15" customHeight="1" x14ac:dyDescent="0.25">
      <c r="A245" s="1">
        <v>244</v>
      </c>
      <c r="B245" s="1">
        <v>25801100007</v>
      </c>
      <c r="C245" t="s">
        <v>238</v>
      </c>
      <c r="D245" t="s">
        <v>942</v>
      </c>
      <c r="E245" s="52">
        <v>2103750</v>
      </c>
      <c r="F245" s="44" t="s">
        <v>201</v>
      </c>
      <c r="H245" s="62"/>
    </row>
    <row r="246" spans="1:8" ht="15" customHeight="1" x14ac:dyDescent="0.25">
      <c r="A246" s="1">
        <v>245</v>
      </c>
      <c r="B246" s="1">
        <v>25800500093</v>
      </c>
      <c r="C246" t="s">
        <v>1919</v>
      </c>
      <c r="D246" t="s">
        <v>57</v>
      </c>
      <c r="E246" s="52">
        <v>2103750</v>
      </c>
      <c r="F246" s="44" t="s">
        <v>201</v>
      </c>
      <c r="H246" s="62"/>
    </row>
    <row r="247" spans="1:8" ht="15" customHeight="1" x14ac:dyDescent="0.25">
      <c r="A247" s="1">
        <v>246</v>
      </c>
      <c r="B247" s="1">
        <v>25807800112</v>
      </c>
      <c r="C247" t="s">
        <v>1920</v>
      </c>
      <c r="D247" t="s">
        <v>1015</v>
      </c>
      <c r="E247" s="51">
        <v>2470000</v>
      </c>
      <c r="F247" s="44" t="s">
        <v>201</v>
      </c>
      <c r="H247" s="62"/>
    </row>
    <row r="248" spans="1:8" ht="15" customHeight="1" x14ac:dyDescent="0.25">
      <c r="A248" s="1">
        <v>247</v>
      </c>
      <c r="B248" s="39">
        <v>25802700081</v>
      </c>
      <c r="C248" s="40" t="s">
        <v>1042</v>
      </c>
      <c r="D248" s="40" t="s">
        <v>270</v>
      </c>
      <c r="E248" s="56">
        <v>2103750</v>
      </c>
      <c r="F248" s="50" t="s">
        <v>201</v>
      </c>
      <c r="H248" s="62"/>
    </row>
    <row r="249" spans="1:8" ht="15" customHeight="1" x14ac:dyDescent="0.25">
      <c r="A249" s="1">
        <v>248</v>
      </c>
      <c r="B249" s="1">
        <v>25806400041</v>
      </c>
      <c r="C249" t="s">
        <v>418</v>
      </c>
      <c r="D249" t="s">
        <v>1273</v>
      </c>
      <c r="E249" s="52">
        <v>2103750</v>
      </c>
      <c r="F249" s="42" t="s">
        <v>1006</v>
      </c>
      <c r="G249" t="s">
        <v>1908</v>
      </c>
      <c r="H249" s="62">
        <v>18</v>
      </c>
    </row>
    <row r="250" spans="1:8" ht="15" customHeight="1" x14ac:dyDescent="0.25">
      <c r="A250" s="1">
        <v>249</v>
      </c>
      <c r="B250" s="1">
        <v>25806400010</v>
      </c>
      <c r="C250" t="s">
        <v>1921</v>
      </c>
      <c r="D250" t="s">
        <v>157</v>
      </c>
      <c r="E250" s="52">
        <v>2103750</v>
      </c>
      <c r="F250" s="42" t="s">
        <v>1006</v>
      </c>
      <c r="H250" s="62"/>
    </row>
    <row r="251" spans="1:8" ht="15" customHeight="1" x14ac:dyDescent="0.25">
      <c r="A251" s="1">
        <v>250</v>
      </c>
      <c r="B251" s="1">
        <v>25800500136</v>
      </c>
      <c r="C251" t="s">
        <v>571</v>
      </c>
      <c r="D251" t="s">
        <v>88</v>
      </c>
      <c r="E251" s="52">
        <v>2103750</v>
      </c>
      <c r="F251" s="42" t="s">
        <v>1006</v>
      </c>
      <c r="H251" s="62"/>
    </row>
    <row r="252" spans="1:8" ht="15" customHeight="1" x14ac:dyDescent="0.25">
      <c r="A252" s="1">
        <v>251</v>
      </c>
      <c r="B252" s="1">
        <v>25820300049</v>
      </c>
      <c r="C252" t="s">
        <v>1922</v>
      </c>
      <c r="D252" t="s">
        <v>1060</v>
      </c>
      <c r="E252" s="52">
        <v>2103750</v>
      </c>
      <c r="F252" s="42" t="s">
        <v>1006</v>
      </c>
      <c r="H252" s="62"/>
    </row>
    <row r="253" spans="1:8" ht="15" customHeight="1" x14ac:dyDescent="0.25">
      <c r="A253" s="1">
        <v>252</v>
      </c>
      <c r="B253" s="1">
        <v>25800500277</v>
      </c>
      <c r="C253" t="s">
        <v>1078</v>
      </c>
      <c r="D253" t="s">
        <v>1036</v>
      </c>
      <c r="E253" s="52">
        <v>2470000</v>
      </c>
      <c r="F253" s="42" t="s">
        <v>1006</v>
      </c>
      <c r="H253" s="62"/>
    </row>
    <row r="254" spans="1:8" ht="15" customHeight="1" x14ac:dyDescent="0.25">
      <c r="A254" s="1">
        <v>253</v>
      </c>
      <c r="B254" s="1">
        <v>25808200070</v>
      </c>
      <c r="C254" t="s">
        <v>418</v>
      </c>
      <c r="D254" t="s">
        <v>57</v>
      </c>
      <c r="E254" s="52">
        <v>2103750</v>
      </c>
      <c r="F254" s="42" t="s">
        <v>1006</v>
      </c>
      <c r="H254" s="62"/>
    </row>
    <row r="255" spans="1:8" ht="15" customHeight="1" x14ac:dyDescent="0.25">
      <c r="A255" s="1">
        <v>254</v>
      </c>
      <c r="B255" s="1">
        <v>25820200011</v>
      </c>
      <c r="C255" t="s">
        <v>1065</v>
      </c>
      <c r="D255" t="s">
        <v>116</v>
      </c>
      <c r="E255" s="52">
        <v>2470000</v>
      </c>
      <c r="F255" s="42" t="s">
        <v>1006</v>
      </c>
      <c r="H255" s="62"/>
    </row>
    <row r="256" spans="1:8" ht="15" customHeight="1" x14ac:dyDescent="0.25">
      <c r="A256" s="1">
        <v>255</v>
      </c>
      <c r="B256" s="1">
        <v>25820300009</v>
      </c>
      <c r="C256" t="s">
        <v>1049</v>
      </c>
      <c r="D256" t="s">
        <v>1050</v>
      </c>
      <c r="E256" s="52">
        <v>2103750</v>
      </c>
      <c r="F256" s="42" t="s">
        <v>1006</v>
      </c>
      <c r="H256" s="62"/>
    </row>
    <row r="257" spans="1:8" ht="15" customHeight="1" x14ac:dyDescent="0.25">
      <c r="A257" s="1">
        <v>256</v>
      </c>
      <c r="B257" s="1">
        <v>25800400152</v>
      </c>
      <c r="C257" t="s">
        <v>1923</v>
      </c>
      <c r="D257" t="s">
        <v>658</v>
      </c>
      <c r="E257" s="52">
        <v>2103750</v>
      </c>
      <c r="F257" s="42" t="s">
        <v>1006</v>
      </c>
      <c r="H257" s="62"/>
    </row>
    <row r="258" spans="1:8" ht="15" customHeight="1" x14ac:dyDescent="0.25">
      <c r="A258" s="1">
        <v>257</v>
      </c>
      <c r="B258" s="1">
        <v>25807900018</v>
      </c>
      <c r="C258" t="s">
        <v>1064</v>
      </c>
      <c r="D258" t="s">
        <v>157</v>
      </c>
      <c r="E258" s="52">
        <v>2470000</v>
      </c>
      <c r="F258" s="42" t="s">
        <v>1006</v>
      </c>
      <c r="H258" s="62"/>
    </row>
    <row r="259" spans="1:8" ht="15" customHeight="1" x14ac:dyDescent="0.25">
      <c r="A259" s="1">
        <v>258</v>
      </c>
      <c r="B259" s="1">
        <v>25800400122</v>
      </c>
      <c r="C259" t="s">
        <v>1020</v>
      </c>
      <c r="D259" t="s">
        <v>204</v>
      </c>
      <c r="E259" s="52">
        <v>2103750</v>
      </c>
      <c r="F259" s="42" t="s">
        <v>1006</v>
      </c>
      <c r="H259" s="62"/>
    </row>
    <row r="260" spans="1:8" ht="15" customHeight="1" x14ac:dyDescent="0.25">
      <c r="A260" s="1">
        <v>259</v>
      </c>
      <c r="B260" s="1">
        <v>25820300026</v>
      </c>
      <c r="C260" t="s">
        <v>1047</v>
      </c>
      <c r="D260" t="s">
        <v>57</v>
      </c>
      <c r="E260" s="52">
        <v>2103750</v>
      </c>
      <c r="F260" s="42" t="s">
        <v>1006</v>
      </c>
      <c r="G260" s="12"/>
      <c r="H260" s="62"/>
    </row>
    <row r="261" spans="1:8" ht="15" customHeight="1" x14ac:dyDescent="0.25">
      <c r="A261" s="1">
        <v>260</v>
      </c>
      <c r="B261" s="1">
        <v>25809400056</v>
      </c>
      <c r="C261" t="s">
        <v>1117</v>
      </c>
      <c r="D261" t="s">
        <v>116</v>
      </c>
      <c r="E261" s="52">
        <v>2103750</v>
      </c>
      <c r="F261" s="42" t="s">
        <v>1006</v>
      </c>
      <c r="G261" s="12"/>
      <c r="H261" s="62"/>
    </row>
    <row r="262" spans="1:8" ht="15" customHeight="1" x14ac:dyDescent="0.25">
      <c r="A262" s="1">
        <v>261</v>
      </c>
      <c r="B262" s="1">
        <v>25807500032</v>
      </c>
      <c r="C262" t="s">
        <v>1924</v>
      </c>
      <c r="D262" t="s">
        <v>821</v>
      </c>
      <c r="E262" s="52">
        <v>2103750</v>
      </c>
      <c r="F262" s="42" t="s">
        <v>1006</v>
      </c>
      <c r="G262" s="12"/>
      <c r="H262" s="62"/>
    </row>
    <row r="263" spans="1:8" ht="15" customHeight="1" x14ac:dyDescent="0.25">
      <c r="A263" s="1">
        <v>262</v>
      </c>
      <c r="B263" s="1">
        <v>25820100028</v>
      </c>
      <c r="C263" t="s">
        <v>1925</v>
      </c>
      <c r="D263" t="s">
        <v>515</v>
      </c>
      <c r="E263" s="52">
        <v>2103750</v>
      </c>
      <c r="F263" s="42" t="s">
        <v>1006</v>
      </c>
      <c r="G263" s="12"/>
      <c r="H263" s="62"/>
    </row>
    <row r="264" spans="1:8" ht="15" customHeight="1" x14ac:dyDescent="0.25">
      <c r="A264" s="1">
        <v>263</v>
      </c>
      <c r="B264" s="1">
        <v>25802100069</v>
      </c>
      <c r="C264" t="s">
        <v>1264</v>
      </c>
      <c r="D264" t="s">
        <v>157</v>
      </c>
      <c r="E264" s="52">
        <v>2103750</v>
      </c>
      <c r="F264" s="42" t="s">
        <v>1006</v>
      </c>
      <c r="G264" s="12"/>
      <c r="H264" s="62"/>
    </row>
    <row r="265" spans="1:8" ht="15" customHeight="1" x14ac:dyDescent="0.25">
      <c r="A265" s="1">
        <v>264</v>
      </c>
      <c r="B265" s="1">
        <v>25820100017</v>
      </c>
      <c r="C265" t="s">
        <v>1016</v>
      </c>
      <c r="D265" t="s">
        <v>157</v>
      </c>
      <c r="E265" s="52">
        <v>2103750</v>
      </c>
      <c r="F265" s="42" t="s">
        <v>1006</v>
      </c>
      <c r="G265" s="12"/>
      <c r="H265" s="62"/>
    </row>
    <row r="266" spans="1:8" ht="15" customHeight="1" x14ac:dyDescent="0.25">
      <c r="A266" s="1">
        <v>265</v>
      </c>
      <c r="B266" s="1">
        <v>25802700134</v>
      </c>
      <c r="C266" t="s">
        <v>1926</v>
      </c>
      <c r="D266" t="s">
        <v>1011</v>
      </c>
      <c r="E266" s="52">
        <v>2103750</v>
      </c>
      <c r="F266" s="42" t="s">
        <v>1006</v>
      </c>
      <c r="G266" s="12"/>
      <c r="H266" s="62"/>
    </row>
    <row r="267" spans="1:8" ht="15" customHeight="1" x14ac:dyDescent="0.25">
      <c r="A267" s="1">
        <v>266</v>
      </c>
      <c r="B267" s="78">
        <v>25800400097</v>
      </c>
      <c r="C267" s="79" t="s">
        <v>1520</v>
      </c>
      <c r="D267" s="79" t="s">
        <v>1521</v>
      </c>
      <c r="E267" s="80">
        <v>2600000</v>
      </c>
      <c r="F267" s="42" t="s">
        <v>1006</v>
      </c>
      <c r="G267" s="12"/>
      <c r="H267" s="62"/>
    </row>
    <row r="268" spans="1:8" ht="15" customHeight="1" x14ac:dyDescent="0.25">
      <c r="A268" s="1">
        <v>267</v>
      </c>
      <c r="B268" s="2" t="s">
        <v>1079</v>
      </c>
      <c r="C268" t="s">
        <v>1080</v>
      </c>
      <c r="D268" t="s">
        <v>384</v>
      </c>
      <c r="E268" s="52">
        <v>2470000</v>
      </c>
      <c r="F268" s="42" t="s">
        <v>1006</v>
      </c>
      <c r="G268" s="12"/>
      <c r="H268" s="62"/>
    </row>
    <row r="269" spans="1:8" ht="15" customHeight="1" x14ac:dyDescent="0.25">
      <c r="A269" s="1">
        <v>268</v>
      </c>
      <c r="B269" s="47">
        <v>25820300043</v>
      </c>
      <c r="C269" s="48" t="s">
        <v>1045</v>
      </c>
      <c r="D269" s="48" t="s">
        <v>294</v>
      </c>
      <c r="E269" s="57">
        <v>2470000</v>
      </c>
      <c r="F269" s="49" t="s">
        <v>1006</v>
      </c>
      <c r="H269" s="62"/>
    </row>
    <row r="270" spans="1:8" ht="15" customHeight="1" x14ac:dyDescent="0.25">
      <c r="A270" s="1">
        <v>269</v>
      </c>
      <c r="B270" s="1">
        <v>25806300031</v>
      </c>
      <c r="C270" t="s">
        <v>179</v>
      </c>
      <c r="D270" t="s">
        <v>104</v>
      </c>
      <c r="E270" s="52">
        <v>2103750</v>
      </c>
      <c r="F270" s="44" t="s">
        <v>604</v>
      </c>
      <c r="G270" t="s">
        <v>1884</v>
      </c>
      <c r="H270" s="62">
        <v>21</v>
      </c>
    </row>
    <row r="271" spans="1:8" ht="15" customHeight="1" x14ac:dyDescent="0.25">
      <c r="A271" s="1">
        <v>270</v>
      </c>
      <c r="B271" s="1">
        <v>24803800001</v>
      </c>
      <c r="C271" t="s">
        <v>1927</v>
      </c>
      <c r="D271" t="s">
        <v>494</v>
      </c>
      <c r="E271" s="54" t="s">
        <v>1928</v>
      </c>
      <c r="F271" s="44" t="s">
        <v>604</v>
      </c>
      <c r="H271" s="62"/>
    </row>
    <row r="272" spans="1:8" ht="15" customHeight="1" x14ac:dyDescent="0.25">
      <c r="A272" s="1">
        <v>271</v>
      </c>
      <c r="B272" s="1">
        <v>25820200060</v>
      </c>
      <c r="C272" t="s">
        <v>1208</v>
      </c>
      <c r="D272" t="s">
        <v>1929</v>
      </c>
      <c r="E272" s="52">
        <v>2103750</v>
      </c>
      <c r="F272" s="44" t="s">
        <v>604</v>
      </c>
      <c r="H272" s="62"/>
    </row>
    <row r="273" spans="1:8" ht="15" customHeight="1" x14ac:dyDescent="0.25">
      <c r="A273" s="1">
        <v>272</v>
      </c>
      <c r="B273" s="1">
        <v>25820700063</v>
      </c>
      <c r="C273" t="s">
        <v>1930</v>
      </c>
      <c r="D273" t="s">
        <v>933</v>
      </c>
      <c r="E273" s="52">
        <v>2103750</v>
      </c>
      <c r="F273" s="44" t="s">
        <v>604</v>
      </c>
      <c r="H273" s="62"/>
    </row>
    <row r="274" spans="1:8" ht="15" customHeight="1" x14ac:dyDescent="0.25">
      <c r="A274" s="1">
        <v>273</v>
      </c>
      <c r="B274" s="1">
        <v>25800400106</v>
      </c>
      <c r="C274" t="s">
        <v>1931</v>
      </c>
      <c r="D274" t="s">
        <v>1932</v>
      </c>
      <c r="E274" s="52">
        <v>2103750</v>
      </c>
      <c r="F274" s="44" t="s">
        <v>604</v>
      </c>
      <c r="H274" s="62"/>
    </row>
    <row r="275" spans="1:8" ht="15" customHeight="1" x14ac:dyDescent="0.25">
      <c r="A275" s="1">
        <v>274</v>
      </c>
      <c r="B275" s="1">
        <v>25800500277</v>
      </c>
      <c r="C275" t="s">
        <v>1933</v>
      </c>
      <c r="D275" t="s">
        <v>902</v>
      </c>
      <c r="E275" s="52">
        <v>2103750</v>
      </c>
      <c r="F275" s="44" t="s">
        <v>604</v>
      </c>
      <c r="H275" s="62"/>
    </row>
    <row r="276" spans="1:8" ht="15" customHeight="1" x14ac:dyDescent="0.25">
      <c r="A276" s="1">
        <v>275</v>
      </c>
      <c r="B276" s="1">
        <v>25808200051</v>
      </c>
      <c r="C276" t="s">
        <v>1934</v>
      </c>
      <c r="D276" t="s">
        <v>157</v>
      </c>
      <c r="E276" s="52">
        <v>2103750</v>
      </c>
      <c r="F276" s="44" t="s">
        <v>604</v>
      </c>
      <c r="H276" s="62"/>
    </row>
    <row r="277" spans="1:8" ht="15" customHeight="1" x14ac:dyDescent="0.25">
      <c r="A277" s="1">
        <v>276</v>
      </c>
      <c r="B277" s="1">
        <v>25808200049</v>
      </c>
      <c r="C277" t="s">
        <v>49</v>
      </c>
      <c r="D277" t="s">
        <v>490</v>
      </c>
      <c r="E277" s="52">
        <v>2103750</v>
      </c>
      <c r="F277" s="44" t="s">
        <v>604</v>
      </c>
      <c r="H277" s="62"/>
    </row>
    <row r="278" spans="1:8" ht="15" customHeight="1" x14ac:dyDescent="0.25">
      <c r="A278" s="1">
        <v>277</v>
      </c>
      <c r="B278" s="1">
        <v>25808200117</v>
      </c>
      <c r="C278" t="s">
        <v>904</v>
      </c>
      <c r="D278" t="s">
        <v>470</v>
      </c>
      <c r="E278" s="52">
        <v>2103750</v>
      </c>
      <c r="F278" s="44" t="s">
        <v>604</v>
      </c>
      <c r="H278" s="62"/>
    </row>
    <row r="279" spans="1:8" ht="15" customHeight="1" x14ac:dyDescent="0.25">
      <c r="A279" s="1">
        <v>278</v>
      </c>
      <c r="B279" s="1">
        <v>25808200122</v>
      </c>
      <c r="C279" t="s">
        <v>872</v>
      </c>
      <c r="D279" t="s">
        <v>812</v>
      </c>
      <c r="E279" s="52">
        <v>2103750</v>
      </c>
      <c r="F279" s="44" t="s">
        <v>604</v>
      </c>
      <c r="H279" s="62"/>
    </row>
    <row r="280" spans="1:8" ht="15" customHeight="1" x14ac:dyDescent="0.25">
      <c r="A280" s="1">
        <v>279</v>
      </c>
      <c r="B280" s="1">
        <v>25800400290</v>
      </c>
      <c r="C280" t="s">
        <v>1234</v>
      </c>
      <c r="D280" t="s">
        <v>1235</v>
      </c>
      <c r="E280" s="52">
        <v>2103750</v>
      </c>
      <c r="F280" s="44" t="s">
        <v>604</v>
      </c>
      <c r="H280" s="62"/>
    </row>
    <row r="281" spans="1:8" ht="15" customHeight="1" x14ac:dyDescent="0.25">
      <c r="A281" s="1">
        <v>280</v>
      </c>
      <c r="B281" s="1">
        <v>25820200068</v>
      </c>
      <c r="C281" t="s">
        <v>978</v>
      </c>
      <c r="D281" t="s">
        <v>636</v>
      </c>
      <c r="E281" s="52">
        <v>2103750</v>
      </c>
      <c r="F281" s="44" t="s">
        <v>604</v>
      </c>
      <c r="H281" s="62"/>
    </row>
    <row r="282" spans="1:8" ht="15" customHeight="1" x14ac:dyDescent="0.25">
      <c r="A282" s="1">
        <v>281</v>
      </c>
      <c r="B282" s="1">
        <v>25800500134</v>
      </c>
      <c r="C282" t="s">
        <v>1203</v>
      </c>
      <c r="D282" t="s">
        <v>88</v>
      </c>
      <c r="E282" s="52">
        <v>2103750</v>
      </c>
      <c r="F282" s="44" t="s">
        <v>604</v>
      </c>
      <c r="H282" s="62"/>
    </row>
    <row r="283" spans="1:8" ht="15" customHeight="1" x14ac:dyDescent="0.25">
      <c r="A283" s="1">
        <v>282</v>
      </c>
      <c r="B283" s="1">
        <v>25807500227</v>
      </c>
      <c r="C283" t="s">
        <v>892</v>
      </c>
      <c r="D283" t="s">
        <v>311</v>
      </c>
      <c r="E283" s="52">
        <v>2103750</v>
      </c>
      <c r="F283" s="44" t="s">
        <v>604</v>
      </c>
      <c r="H283" s="62"/>
    </row>
    <row r="284" spans="1:8" ht="15" customHeight="1" x14ac:dyDescent="0.25">
      <c r="A284" s="1">
        <v>283</v>
      </c>
      <c r="B284" s="1">
        <v>25806300036</v>
      </c>
      <c r="C284" t="s">
        <v>340</v>
      </c>
      <c r="D284" t="s">
        <v>341</v>
      </c>
      <c r="E284" s="52">
        <v>2470000</v>
      </c>
      <c r="F284" s="44" t="s">
        <v>604</v>
      </c>
      <c r="H284" s="62"/>
    </row>
    <row r="285" spans="1:8" ht="15" customHeight="1" x14ac:dyDescent="0.25">
      <c r="A285" s="1">
        <v>284</v>
      </c>
      <c r="B285" s="1">
        <v>25802700192</v>
      </c>
      <c r="C285" t="s">
        <v>852</v>
      </c>
      <c r="D285" t="s">
        <v>294</v>
      </c>
      <c r="E285" s="52">
        <v>2103750</v>
      </c>
      <c r="F285" s="44" t="s">
        <v>604</v>
      </c>
      <c r="H285" s="62"/>
    </row>
    <row r="286" spans="1:8" ht="15" customHeight="1" x14ac:dyDescent="0.25">
      <c r="A286" s="1">
        <v>285</v>
      </c>
      <c r="B286" s="1">
        <v>25800500007</v>
      </c>
      <c r="C286" t="s">
        <v>1189</v>
      </c>
      <c r="D286" t="s">
        <v>160</v>
      </c>
      <c r="E286" s="52">
        <v>2103750</v>
      </c>
      <c r="F286" s="44" t="s">
        <v>604</v>
      </c>
      <c r="H286" s="62"/>
    </row>
    <row r="287" spans="1:8" ht="15" customHeight="1" x14ac:dyDescent="0.25">
      <c r="A287" s="1">
        <v>286</v>
      </c>
      <c r="B287" s="1">
        <v>25800500108</v>
      </c>
      <c r="C287" t="s">
        <v>1195</v>
      </c>
      <c r="D287" t="s">
        <v>500</v>
      </c>
      <c r="E287" s="52">
        <v>2103750</v>
      </c>
      <c r="F287" s="44" t="s">
        <v>604</v>
      </c>
      <c r="H287" s="62"/>
    </row>
    <row r="288" spans="1:8" ht="15" customHeight="1" x14ac:dyDescent="0.25">
      <c r="A288" s="1">
        <v>287</v>
      </c>
      <c r="B288" s="1">
        <v>25800500025</v>
      </c>
      <c r="C288" t="s">
        <v>1201</v>
      </c>
      <c r="D288" t="s">
        <v>116</v>
      </c>
      <c r="E288" s="52">
        <v>2103750</v>
      </c>
      <c r="F288" s="44" t="s">
        <v>604</v>
      </c>
      <c r="H288" s="62"/>
    </row>
    <row r="289" spans="1:8" ht="15" customHeight="1" x14ac:dyDescent="0.25">
      <c r="A289" s="1">
        <v>288</v>
      </c>
      <c r="B289" s="1">
        <v>25800500096</v>
      </c>
      <c r="C289" t="s">
        <v>1935</v>
      </c>
      <c r="D289" t="s">
        <v>936</v>
      </c>
      <c r="E289" s="52">
        <v>2103750</v>
      </c>
      <c r="F289" s="44" t="s">
        <v>604</v>
      </c>
      <c r="H289" s="62"/>
    </row>
    <row r="290" spans="1:8" ht="15" customHeight="1" x14ac:dyDescent="0.25">
      <c r="A290" s="1">
        <v>289</v>
      </c>
      <c r="B290" s="1">
        <v>25800500056</v>
      </c>
      <c r="C290" t="s">
        <v>1936</v>
      </c>
      <c r="D290" t="s">
        <v>54</v>
      </c>
      <c r="E290" s="52">
        <v>2470000</v>
      </c>
      <c r="F290" s="44" t="s">
        <v>604</v>
      </c>
      <c r="H290" s="62"/>
    </row>
    <row r="291" spans="1:8" ht="15" customHeight="1" x14ac:dyDescent="0.25">
      <c r="A291" s="1">
        <v>290</v>
      </c>
      <c r="B291" s="1">
        <v>25808200067</v>
      </c>
      <c r="C291" t="s">
        <v>603</v>
      </c>
      <c r="D291" t="s">
        <v>57</v>
      </c>
      <c r="E291" s="52">
        <v>2103750</v>
      </c>
      <c r="F291" s="44" t="s">
        <v>604</v>
      </c>
      <c r="H291" s="62"/>
    </row>
    <row r="292" spans="1:8" ht="15" customHeight="1" x14ac:dyDescent="0.25">
      <c r="A292" s="1">
        <v>291</v>
      </c>
      <c r="B292" s="1">
        <v>25808200061</v>
      </c>
      <c r="C292" t="s">
        <v>1189</v>
      </c>
      <c r="D292" t="s">
        <v>1206</v>
      </c>
      <c r="E292" s="52">
        <v>2470000</v>
      </c>
      <c r="F292" s="44" t="s">
        <v>604</v>
      </c>
      <c r="H292" s="62"/>
    </row>
    <row r="293" spans="1:8" ht="15" customHeight="1" x14ac:dyDescent="0.25">
      <c r="A293" s="1">
        <v>292</v>
      </c>
      <c r="B293" s="39">
        <v>25800500075</v>
      </c>
      <c r="C293" s="40" t="s">
        <v>1937</v>
      </c>
      <c r="D293" s="40" t="s">
        <v>1206</v>
      </c>
      <c r="E293" s="58">
        <v>2103750</v>
      </c>
      <c r="F293" s="50" t="s">
        <v>604</v>
      </c>
      <c r="H293" s="62"/>
    </row>
    <row r="294" spans="1:8" ht="15" customHeight="1" x14ac:dyDescent="0.25">
      <c r="A294" s="1">
        <v>293</v>
      </c>
      <c r="B294" s="1">
        <v>25808700092</v>
      </c>
      <c r="C294" t="s">
        <v>1169</v>
      </c>
      <c r="D294" t="s">
        <v>270</v>
      </c>
      <c r="E294" s="52">
        <v>2103750</v>
      </c>
      <c r="F294" s="42" t="s">
        <v>287</v>
      </c>
      <c r="G294" t="s">
        <v>1890</v>
      </c>
      <c r="H294" s="62">
        <v>25</v>
      </c>
    </row>
    <row r="295" spans="1:8" ht="15" customHeight="1" x14ac:dyDescent="0.25">
      <c r="A295" s="1">
        <v>294</v>
      </c>
      <c r="B295" s="1">
        <v>25807700003</v>
      </c>
      <c r="C295" t="s">
        <v>1226</v>
      </c>
      <c r="D295" t="s">
        <v>160</v>
      </c>
      <c r="E295" s="52">
        <v>2103750</v>
      </c>
      <c r="F295" s="42" t="s">
        <v>287</v>
      </c>
      <c r="H295" s="62"/>
    </row>
    <row r="296" spans="1:8" ht="15" customHeight="1" x14ac:dyDescent="0.25">
      <c r="A296" s="1">
        <v>295</v>
      </c>
      <c r="B296" s="1">
        <v>25801200041</v>
      </c>
      <c r="C296" t="s">
        <v>1938</v>
      </c>
      <c r="D296" t="s">
        <v>376</v>
      </c>
      <c r="E296" s="52">
        <v>2103750</v>
      </c>
      <c r="F296" s="42" t="s">
        <v>287</v>
      </c>
      <c r="H296" s="62"/>
    </row>
    <row r="297" spans="1:8" ht="15" customHeight="1" x14ac:dyDescent="0.25">
      <c r="A297" s="1">
        <v>296</v>
      </c>
      <c r="B297" s="1">
        <v>25801200035</v>
      </c>
      <c r="C297" t="s">
        <v>1939</v>
      </c>
      <c r="D297" t="s">
        <v>1929</v>
      </c>
      <c r="E297" s="52">
        <v>2103750</v>
      </c>
      <c r="F297" s="42" t="s">
        <v>287</v>
      </c>
      <c r="H297" s="62"/>
    </row>
    <row r="298" spans="1:8" ht="15" customHeight="1" x14ac:dyDescent="0.25">
      <c r="A298" s="1">
        <v>297</v>
      </c>
      <c r="B298" s="1">
        <v>25801200066</v>
      </c>
      <c r="C298" t="s">
        <v>283</v>
      </c>
      <c r="D298" t="s">
        <v>284</v>
      </c>
      <c r="E298" s="52">
        <v>2103750</v>
      </c>
      <c r="F298" s="42" t="s">
        <v>287</v>
      </c>
      <c r="H298" s="62"/>
    </row>
    <row r="299" spans="1:8" ht="15" customHeight="1" x14ac:dyDescent="0.25">
      <c r="A299" s="1">
        <v>298</v>
      </c>
      <c r="B299" s="1">
        <v>25801200012</v>
      </c>
      <c r="C299" t="s">
        <v>1210</v>
      </c>
      <c r="D299" t="s">
        <v>384</v>
      </c>
      <c r="E299" s="52">
        <v>2103750</v>
      </c>
      <c r="F299" s="42" t="s">
        <v>287</v>
      </c>
      <c r="H299" s="62"/>
    </row>
    <row r="300" spans="1:8" ht="15" customHeight="1" x14ac:dyDescent="0.25">
      <c r="A300" s="1">
        <v>299</v>
      </c>
      <c r="B300" s="1">
        <v>25801200059</v>
      </c>
      <c r="C300" t="s">
        <v>1940</v>
      </c>
      <c r="D300" t="s">
        <v>1219</v>
      </c>
      <c r="E300" s="52">
        <v>2470000</v>
      </c>
      <c r="F300" s="42" t="s">
        <v>287</v>
      </c>
      <c r="H300" s="62"/>
    </row>
    <row r="301" spans="1:8" ht="15" customHeight="1" x14ac:dyDescent="0.25">
      <c r="A301" s="1">
        <v>300</v>
      </c>
      <c r="B301" s="1">
        <v>25800500149</v>
      </c>
      <c r="C301" t="s">
        <v>824</v>
      </c>
      <c r="D301" t="s">
        <v>60</v>
      </c>
      <c r="E301" s="52">
        <v>2103750</v>
      </c>
      <c r="F301" s="42" t="s">
        <v>287</v>
      </c>
      <c r="H301" s="62"/>
    </row>
    <row r="302" spans="1:8" ht="15" customHeight="1" x14ac:dyDescent="0.25">
      <c r="A302" s="1">
        <v>301</v>
      </c>
      <c r="B302" s="1">
        <v>25801200039</v>
      </c>
      <c r="C302" t="s">
        <v>1941</v>
      </c>
      <c r="D302" t="s">
        <v>376</v>
      </c>
      <c r="E302" s="52">
        <v>2103750</v>
      </c>
      <c r="F302" s="42" t="s">
        <v>287</v>
      </c>
      <c r="H302" s="62"/>
    </row>
    <row r="303" spans="1:8" ht="15" customHeight="1" x14ac:dyDescent="0.25">
      <c r="A303" s="1">
        <v>302</v>
      </c>
      <c r="B303" s="1">
        <v>25800500311</v>
      </c>
      <c r="C303" t="s">
        <v>1057</v>
      </c>
      <c r="D303" t="s">
        <v>175</v>
      </c>
      <c r="E303" s="52">
        <v>2103750</v>
      </c>
      <c r="F303" s="42" t="s">
        <v>287</v>
      </c>
      <c r="H303" s="62"/>
    </row>
    <row r="304" spans="1:8" ht="15" customHeight="1" x14ac:dyDescent="0.25">
      <c r="A304" s="1">
        <v>303</v>
      </c>
      <c r="B304" s="1">
        <v>25808700114</v>
      </c>
      <c r="C304" t="s">
        <v>293</v>
      </c>
      <c r="D304" t="s">
        <v>47</v>
      </c>
      <c r="E304" s="52">
        <v>2103750</v>
      </c>
      <c r="F304" s="42" t="s">
        <v>287</v>
      </c>
      <c r="H304" s="62"/>
    </row>
    <row r="305" spans="1:8" ht="15" customHeight="1" x14ac:dyDescent="0.25">
      <c r="A305" s="1">
        <v>304</v>
      </c>
      <c r="B305" s="1">
        <v>25820300085</v>
      </c>
      <c r="C305" t="s">
        <v>995</v>
      </c>
      <c r="D305" t="s">
        <v>204</v>
      </c>
      <c r="E305" s="52">
        <v>2103750</v>
      </c>
      <c r="F305" s="42" t="s">
        <v>287</v>
      </c>
      <c r="H305" s="62"/>
    </row>
    <row r="306" spans="1:8" ht="15" customHeight="1" x14ac:dyDescent="0.25">
      <c r="A306" s="1">
        <v>305</v>
      </c>
      <c r="B306" s="1">
        <v>25808700015</v>
      </c>
      <c r="C306" t="s">
        <v>1232</v>
      </c>
      <c r="D306" t="s">
        <v>131</v>
      </c>
      <c r="E306" s="52">
        <v>2103750</v>
      </c>
      <c r="F306" s="42" t="s">
        <v>287</v>
      </c>
      <c r="H306" s="62"/>
    </row>
    <row r="307" spans="1:8" ht="15" customHeight="1" x14ac:dyDescent="0.25">
      <c r="A307" s="1">
        <v>306</v>
      </c>
      <c r="B307" s="1">
        <v>25808700211</v>
      </c>
      <c r="C307" t="s">
        <v>1904</v>
      </c>
      <c r="D307" t="s">
        <v>88</v>
      </c>
      <c r="E307" s="52">
        <v>2470000</v>
      </c>
      <c r="F307" s="42" t="s">
        <v>287</v>
      </c>
      <c r="H307" s="62"/>
    </row>
    <row r="308" spans="1:8" ht="15" customHeight="1" x14ac:dyDescent="0.25">
      <c r="A308" s="1">
        <v>307</v>
      </c>
      <c r="B308" s="1">
        <v>25808700067</v>
      </c>
      <c r="C308" t="s">
        <v>859</v>
      </c>
      <c r="D308" t="s">
        <v>207</v>
      </c>
      <c r="E308" s="52">
        <v>2103750</v>
      </c>
      <c r="F308" s="42" t="s">
        <v>287</v>
      </c>
      <c r="H308" s="62"/>
    </row>
    <row r="309" spans="1:8" ht="15" customHeight="1" x14ac:dyDescent="0.25">
      <c r="A309" s="1">
        <v>308</v>
      </c>
      <c r="B309" s="1">
        <v>25807700017</v>
      </c>
      <c r="C309" t="s">
        <v>931</v>
      </c>
      <c r="D309" t="s">
        <v>517</v>
      </c>
      <c r="E309" s="52">
        <v>2103750</v>
      </c>
      <c r="F309" s="42" t="s">
        <v>287</v>
      </c>
      <c r="H309" s="62"/>
    </row>
    <row r="310" spans="1:8" ht="15" customHeight="1" x14ac:dyDescent="0.25">
      <c r="A310" s="1">
        <v>309</v>
      </c>
      <c r="B310" s="1">
        <v>25808200072</v>
      </c>
      <c r="C310" t="s">
        <v>935</v>
      </c>
      <c r="D310" t="s">
        <v>936</v>
      </c>
      <c r="E310" s="60">
        <v>2600000</v>
      </c>
      <c r="F310" s="42" t="s">
        <v>287</v>
      </c>
      <c r="H310" s="62"/>
    </row>
    <row r="311" spans="1:8" ht="15" customHeight="1" x14ac:dyDescent="0.25">
      <c r="A311" s="1">
        <v>310</v>
      </c>
      <c r="B311" s="1">
        <v>25800400142</v>
      </c>
      <c r="C311" t="s">
        <v>1279</v>
      </c>
      <c r="D311" t="s">
        <v>91</v>
      </c>
      <c r="E311" s="52">
        <v>2103750</v>
      </c>
      <c r="F311" s="42" t="s">
        <v>287</v>
      </c>
      <c r="H311" s="62"/>
    </row>
    <row r="312" spans="1:8" ht="17.25" customHeight="1" x14ac:dyDescent="0.25">
      <c r="A312" s="1">
        <v>311</v>
      </c>
      <c r="B312" s="1">
        <v>25801200018</v>
      </c>
      <c r="C312" t="s">
        <v>1356</v>
      </c>
      <c r="D312" t="s">
        <v>1124</v>
      </c>
      <c r="E312" s="52">
        <v>2103750</v>
      </c>
      <c r="F312" s="42" t="s">
        <v>287</v>
      </c>
      <c r="H312" s="62"/>
    </row>
    <row r="313" spans="1:8" ht="15.75" customHeight="1" x14ac:dyDescent="0.25">
      <c r="A313" s="1">
        <v>312</v>
      </c>
      <c r="B313" s="1">
        <v>25800400114</v>
      </c>
      <c r="C313" t="s">
        <v>997</v>
      </c>
      <c r="D313" t="s">
        <v>74</v>
      </c>
      <c r="E313" s="52">
        <v>2103750</v>
      </c>
      <c r="F313" s="42" t="s">
        <v>287</v>
      </c>
      <c r="H313" s="62"/>
    </row>
    <row r="314" spans="1:8" ht="15.75" customHeight="1" x14ac:dyDescent="0.25">
      <c r="A314" s="1">
        <v>313</v>
      </c>
      <c r="B314" s="1">
        <v>25820200112</v>
      </c>
      <c r="C314" t="s">
        <v>1942</v>
      </c>
      <c r="D314" t="s">
        <v>484</v>
      </c>
      <c r="E314" s="52">
        <v>2103750</v>
      </c>
      <c r="F314" s="42" t="s">
        <v>287</v>
      </c>
      <c r="H314" s="62"/>
    </row>
    <row r="315" spans="1:8" ht="15.75" customHeight="1" x14ac:dyDescent="0.25">
      <c r="A315" s="1">
        <v>314</v>
      </c>
      <c r="B315" s="1">
        <v>25808700176</v>
      </c>
      <c r="C315" t="s">
        <v>1943</v>
      </c>
      <c r="D315" t="s">
        <v>1870</v>
      </c>
      <c r="E315" s="52">
        <v>2103750</v>
      </c>
      <c r="F315" s="42" t="s">
        <v>287</v>
      </c>
      <c r="H315" s="62"/>
    </row>
    <row r="316" spans="1:8" ht="13.5" customHeight="1" x14ac:dyDescent="0.25">
      <c r="A316" s="1">
        <v>315</v>
      </c>
      <c r="B316" s="39">
        <v>25808700001</v>
      </c>
      <c r="C316" s="40" t="s">
        <v>1944</v>
      </c>
      <c r="D316" s="40" t="s">
        <v>494</v>
      </c>
      <c r="E316" s="57">
        <v>2103750</v>
      </c>
      <c r="F316" s="49" t="s">
        <v>287</v>
      </c>
      <c r="H316" s="62"/>
    </row>
    <row r="317" spans="1:8" ht="15" customHeight="1" x14ac:dyDescent="0.25">
      <c r="A317" s="1">
        <v>316</v>
      </c>
      <c r="B317" s="1">
        <v>25820100044</v>
      </c>
      <c r="C317" t="s">
        <v>1113</v>
      </c>
      <c r="D317" t="s">
        <v>43</v>
      </c>
      <c r="E317" s="52">
        <v>2103750</v>
      </c>
      <c r="F317" s="44" t="s">
        <v>291</v>
      </c>
      <c r="G317" t="s">
        <v>1896</v>
      </c>
      <c r="H317" s="62">
        <v>18</v>
      </c>
    </row>
    <row r="318" spans="1:8" ht="15" customHeight="1" x14ac:dyDescent="0.25">
      <c r="A318" s="1">
        <v>317</v>
      </c>
      <c r="B318" s="1">
        <v>25806300028</v>
      </c>
      <c r="C318" t="s">
        <v>1262</v>
      </c>
      <c r="D318" t="s">
        <v>97</v>
      </c>
      <c r="E318" s="52">
        <v>2103750</v>
      </c>
      <c r="F318" s="44" t="s">
        <v>291</v>
      </c>
      <c r="H318" s="62"/>
    </row>
    <row r="319" spans="1:8" ht="15" customHeight="1" x14ac:dyDescent="0.25">
      <c r="A319" s="1">
        <v>318</v>
      </c>
      <c r="B319" s="1">
        <v>25820300056</v>
      </c>
      <c r="C319" t="s">
        <v>1945</v>
      </c>
      <c r="D319" t="s">
        <v>1946</v>
      </c>
      <c r="E319" s="52">
        <v>2103750</v>
      </c>
      <c r="F319" s="44" t="s">
        <v>291</v>
      </c>
      <c r="H319" s="62"/>
    </row>
    <row r="320" spans="1:8" ht="15" customHeight="1" x14ac:dyDescent="0.25">
      <c r="A320" s="1">
        <v>319</v>
      </c>
      <c r="B320" s="1">
        <v>25800600343</v>
      </c>
      <c r="C320" t="s">
        <v>809</v>
      </c>
      <c r="D320" t="s">
        <v>57</v>
      </c>
      <c r="E320" s="52">
        <v>2103750</v>
      </c>
      <c r="F320" s="44" t="s">
        <v>291</v>
      </c>
      <c r="H320" s="62"/>
    </row>
    <row r="321" spans="1:8" ht="15" customHeight="1" x14ac:dyDescent="0.25">
      <c r="A321" s="1">
        <v>320</v>
      </c>
      <c r="B321" s="1">
        <v>25800500306</v>
      </c>
      <c r="C321" t="s">
        <v>1271</v>
      </c>
      <c r="D321" t="s">
        <v>708</v>
      </c>
      <c r="E321" s="52">
        <v>2103750</v>
      </c>
      <c r="F321" s="44" t="s">
        <v>291</v>
      </c>
      <c r="H321" s="62"/>
    </row>
    <row r="322" spans="1:8" ht="15" customHeight="1" x14ac:dyDescent="0.25">
      <c r="A322" s="1">
        <v>321</v>
      </c>
      <c r="B322" s="1">
        <v>25800500049</v>
      </c>
      <c r="C322" t="s">
        <v>805</v>
      </c>
      <c r="D322" t="s">
        <v>821</v>
      </c>
      <c r="E322" s="52">
        <v>2103750</v>
      </c>
      <c r="F322" s="44" t="s">
        <v>291</v>
      </c>
      <c r="H322" s="62"/>
    </row>
    <row r="323" spans="1:8" ht="15" customHeight="1" x14ac:dyDescent="0.25">
      <c r="A323" s="1">
        <v>322</v>
      </c>
      <c r="B323" s="1">
        <v>25803800037</v>
      </c>
      <c r="C323" t="s">
        <v>1947</v>
      </c>
      <c r="D323" t="s">
        <v>22</v>
      </c>
      <c r="E323" s="52">
        <v>2103750</v>
      </c>
      <c r="F323" s="44" t="s">
        <v>291</v>
      </c>
      <c r="H323" s="62"/>
    </row>
    <row r="324" spans="1:8" ht="15" customHeight="1" x14ac:dyDescent="0.25">
      <c r="A324" s="1">
        <v>323</v>
      </c>
      <c r="B324" s="1">
        <v>25807500017</v>
      </c>
      <c r="C324" t="s">
        <v>1275</v>
      </c>
      <c r="D324" t="s">
        <v>1948</v>
      </c>
      <c r="E324" s="52">
        <v>2103750</v>
      </c>
      <c r="F324" s="44" t="s">
        <v>291</v>
      </c>
      <c r="H324" s="62"/>
    </row>
    <row r="325" spans="1:8" ht="15" customHeight="1" x14ac:dyDescent="0.25">
      <c r="A325" s="1">
        <v>324</v>
      </c>
      <c r="B325" s="1">
        <v>25800400020</v>
      </c>
      <c r="C325" t="s">
        <v>1949</v>
      </c>
      <c r="D325" t="s">
        <v>1950</v>
      </c>
      <c r="E325" s="52">
        <v>2470000</v>
      </c>
      <c r="F325" s="44" t="s">
        <v>291</v>
      </c>
      <c r="H325" s="62"/>
    </row>
    <row r="326" spans="1:8" ht="15" customHeight="1" x14ac:dyDescent="0.25">
      <c r="A326" s="1">
        <v>325</v>
      </c>
      <c r="B326" s="1">
        <v>25807800156</v>
      </c>
      <c r="C326" t="s">
        <v>1159</v>
      </c>
      <c r="D326" t="s">
        <v>78</v>
      </c>
      <c r="E326" s="52">
        <v>2103750</v>
      </c>
      <c r="F326" s="44" t="s">
        <v>291</v>
      </c>
      <c r="H326" s="62"/>
    </row>
    <row r="327" spans="1:8" ht="15" customHeight="1" x14ac:dyDescent="0.25">
      <c r="A327" s="1">
        <v>326</v>
      </c>
      <c r="B327" s="1">
        <v>25807700041</v>
      </c>
      <c r="C327" t="s">
        <v>289</v>
      </c>
      <c r="D327" t="s">
        <v>290</v>
      </c>
      <c r="E327" s="52">
        <v>2470000</v>
      </c>
      <c r="F327" s="44" t="s">
        <v>291</v>
      </c>
      <c r="H327" s="62"/>
    </row>
    <row r="328" spans="1:8" ht="15" customHeight="1" x14ac:dyDescent="0.25">
      <c r="A328" s="1">
        <v>327</v>
      </c>
      <c r="B328" s="1">
        <v>25820200110</v>
      </c>
      <c r="C328" t="s">
        <v>1284</v>
      </c>
      <c r="D328" t="s">
        <v>494</v>
      </c>
      <c r="E328" s="52">
        <v>2103750</v>
      </c>
      <c r="F328" s="44" t="s">
        <v>291</v>
      </c>
      <c r="H328" s="62"/>
    </row>
    <row r="329" spans="1:8" ht="15" customHeight="1" x14ac:dyDescent="0.25">
      <c r="A329" s="1">
        <v>328</v>
      </c>
      <c r="B329" s="1">
        <v>25808200139</v>
      </c>
      <c r="C329" t="s">
        <v>1022</v>
      </c>
      <c r="D329" t="s">
        <v>78</v>
      </c>
      <c r="E329" s="52">
        <v>2103750</v>
      </c>
      <c r="F329" s="44" t="s">
        <v>291</v>
      </c>
      <c r="H329" s="62"/>
    </row>
    <row r="330" spans="1:8" ht="15" customHeight="1" x14ac:dyDescent="0.25">
      <c r="A330" s="1">
        <v>329</v>
      </c>
      <c r="B330" s="1">
        <v>25800600077</v>
      </c>
      <c r="C330" t="s">
        <v>1062</v>
      </c>
      <c r="D330" t="s">
        <v>942</v>
      </c>
      <c r="E330" s="52">
        <v>2103750</v>
      </c>
      <c r="F330" s="44" t="s">
        <v>291</v>
      </c>
      <c r="H330" s="62"/>
    </row>
    <row r="331" spans="1:8" ht="15" customHeight="1" x14ac:dyDescent="0.25">
      <c r="A331" s="1">
        <v>330</v>
      </c>
      <c r="B331" s="1">
        <v>25807900124</v>
      </c>
      <c r="C331" t="s">
        <v>1100</v>
      </c>
      <c r="D331" t="s">
        <v>160</v>
      </c>
      <c r="E331" s="52">
        <v>2600000</v>
      </c>
      <c r="F331" s="44" t="s">
        <v>291</v>
      </c>
      <c r="H331" s="62"/>
    </row>
    <row r="332" spans="1:8" ht="15" customHeight="1" x14ac:dyDescent="0.25">
      <c r="A332" s="1">
        <v>331</v>
      </c>
      <c r="B332" s="2">
        <v>25807900051</v>
      </c>
      <c r="C332" s="12" t="s">
        <v>426</v>
      </c>
      <c r="D332" s="12" t="s">
        <v>842</v>
      </c>
      <c r="E332" s="63">
        <v>2470000</v>
      </c>
      <c r="F332" s="44" t="s">
        <v>291</v>
      </c>
      <c r="H332" s="62"/>
    </row>
    <row r="333" spans="1:8" ht="15" customHeight="1" x14ac:dyDescent="0.25">
      <c r="A333" s="1">
        <v>332</v>
      </c>
      <c r="B333" s="1">
        <v>25800500121</v>
      </c>
      <c r="C333" t="s">
        <v>1223</v>
      </c>
      <c r="D333" t="s">
        <v>1224</v>
      </c>
      <c r="E333" s="52">
        <v>2103750</v>
      </c>
      <c r="F333" s="44" t="s">
        <v>291</v>
      </c>
      <c r="H333" s="62"/>
    </row>
    <row r="334" spans="1:8" ht="15" customHeight="1" x14ac:dyDescent="0.25">
      <c r="A334" s="1">
        <v>333</v>
      </c>
      <c r="B334" s="1">
        <v>25820700004</v>
      </c>
      <c r="C334" t="s">
        <v>1951</v>
      </c>
      <c r="D334" t="s">
        <v>160</v>
      </c>
      <c r="E334" s="52">
        <v>2103750</v>
      </c>
      <c r="F334" s="44" t="s">
        <v>291</v>
      </c>
      <c r="H334" s="62"/>
    </row>
    <row r="335" spans="1:8" ht="15" customHeight="1" x14ac:dyDescent="0.25">
      <c r="A335" s="1">
        <v>334</v>
      </c>
      <c r="B335" s="1">
        <v>25820700010</v>
      </c>
      <c r="C335" t="s">
        <v>1035</v>
      </c>
      <c r="D335" t="s">
        <v>1036</v>
      </c>
      <c r="E335" s="52">
        <v>2103750</v>
      </c>
      <c r="F335" s="44" t="s">
        <v>291</v>
      </c>
      <c r="H335" s="62"/>
    </row>
    <row r="336" spans="1:8" ht="15" customHeight="1" x14ac:dyDescent="0.25">
      <c r="A336" s="1">
        <v>335</v>
      </c>
      <c r="B336" s="1">
        <v>25802800185</v>
      </c>
      <c r="C336" t="s">
        <v>1070</v>
      </c>
      <c r="D336" t="s">
        <v>207</v>
      </c>
      <c r="E336" s="52">
        <v>2103750</v>
      </c>
      <c r="F336" s="44" t="s">
        <v>291</v>
      </c>
      <c r="H336" s="62"/>
    </row>
    <row r="337" spans="1:8" ht="16.5" customHeight="1" x14ac:dyDescent="0.25">
      <c r="A337" s="1">
        <v>336</v>
      </c>
      <c r="B337" s="39">
        <v>25807800143</v>
      </c>
      <c r="C337" s="40" t="s">
        <v>1267</v>
      </c>
      <c r="D337" s="40" t="s">
        <v>867</v>
      </c>
      <c r="E337" s="58">
        <v>2103750</v>
      </c>
      <c r="F337" s="50" t="s">
        <v>291</v>
      </c>
      <c r="H337" s="62"/>
    </row>
    <row r="338" spans="1:8" ht="15" customHeight="1" x14ac:dyDescent="0.25">
      <c r="A338" s="1">
        <v>337</v>
      </c>
      <c r="B338" s="1">
        <v>25807800074</v>
      </c>
      <c r="C338" t="s">
        <v>100</v>
      </c>
      <c r="D338" t="s">
        <v>101</v>
      </c>
      <c r="E338" s="52">
        <v>2103750</v>
      </c>
      <c r="F338" s="42" t="s">
        <v>36</v>
      </c>
      <c r="G338" t="s">
        <v>1908</v>
      </c>
      <c r="H338" s="62">
        <v>14</v>
      </c>
    </row>
    <row r="339" spans="1:8" ht="15" customHeight="1" x14ac:dyDescent="0.25">
      <c r="A339" s="1">
        <v>338</v>
      </c>
      <c r="B339" s="1">
        <v>25801100089</v>
      </c>
      <c r="C339" t="s">
        <v>703</v>
      </c>
      <c r="D339" t="s">
        <v>231</v>
      </c>
      <c r="E339" s="52">
        <v>2103750</v>
      </c>
      <c r="F339" s="42" t="s">
        <v>36</v>
      </c>
      <c r="H339" s="62"/>
    </row>
    <row r="340" spans="1:8" ht="15" customHeight="1" x14ac:dyDescent="0.25">
      <c r="A340" s="1">
        <v>339</v>
      </c>
      <c r="B340" s="1">
        <v>25808200079</v>
      </c>
      <c r="C340" t="s">
        <v>1167</v>
      </c>
      <c r="D340" t="s">
        <v>500</v>
      </c>
      <c r="E340" s="52">
        <v>2103750</v>
      </c>
      <c r="F340" s="42" t="s">
        <v>36</v>
      </c>
      <c r="H340" s="62"/>
    </row>
    <row r="341" spans="1:8" ht="15" customHeight="1" x14ac:dyDescent="0.25">
      <c r="A341" s="1">
        <v>340</v>
      </c>
      <c r="B341" s="1">
        <v>25808800046</v>
      </c>
      <c r="C341" t="s">
        <v>1658</v>
      </c>
      <c r="D341" t="s">
        <v>270</v>
      </c>
      <c r="E341" s="52">
        <v>2232500</v>
      </c>
      <c r="F341" s="42" t="s">
        <v>36</v>
      </c>
      <c r="H341" s="62"/>
    </row>
    <row r="342" spans="1:8" ht="15" customHeight="1" x14ac:dyDescent="0.25">
      <c r="A342" s="1">
        <v>341</v>
      </c>
      <c r="B342" s="1">
        <v>25802800061</v>
      </c>
      <c r="C342" t="s">
        <v>1952</v>
      </c>
      <c r="D342" t="s">
        <v>66</v>
      </c>
      <c r="E342" s="52">
        <v>2103750</v>
      </c>
      <c r="F342" s="42" t="s">
        <v>36</v>
      </c>
      <c r="H342" s="62"/>
    </row>
    <row r="343" spans="1:8" ht="15" customHeight="1" x14ac:dyDescent="0.25">
      <c r="A343" s="1">
        <v>342</v>
      </c>
      <c r="B343" s="1">
        <v>25808500135</v>
      </c>
      <c r="C343" t="s">
        <v>1292</v>
      </c>
      <c r="D343" t="s">
        <v>157</v>
      </c>
      <c r="E343" s="52">
        <v>2103750</v>
      </c>
      <c r="F343" s="42" t="s">
        <v>36</v>
      </c>
      <c r="H343" s="62"/>
    </row>
    <row r="344" spans="1:8" ht="15" customHeight="1" x14ac:dyDescent="0.25">
      <c r="A344" s="1">
        <v>343</v>
      </c>
      <c r="B344" s="1">
        <v>25808900050</v>
      </c>
      <c r="C344" t="s">
        <v>33</v>
      </c>
      <c r="D344" t="s">
        <v>34</v>
      </c>
      <c r="E344" s="52">
        <v>2103750</v>
      </c>
      <c r="F344" s="42" t="s">
        <v>36</v>
      </c>
      <c r="H344" s="62"/>
    </row>
    <row r="345" spans="1:8" ht="15" customHeight="1" x14ac:dyDescent="0.25">
      <c r="A345" s="1">
        <v>344</v>
      </c>
      <c r="B345" s="1">
        <v>25802800141</v>
      </c>
      <c r="C345" t="s">
        <v>69</v>
      </c>
      <c r="D345" t="s">
        <v>70</v>
      </c>
      <c r="E345" s="60">
        <v>2600000</v>
      </c>
      <c r="F345" s="42" t="s">
        <v>36</v>
      </c>
      <c r="H345" s="62"/>
    </row>
    <row r="346" spans="1:8" ht="15" customHeight="1" x14ac:dyDescent="0.25">
      <c r="A346" s="1">
        <v>345</v>
      </c>
      <c r="B346" s="1">
        <v>25808600051</v>
      </c>
      <c r="C346" t="s">
        <v>366</v>
      </c>
      <c r="D346" t="s">
        <v>367</v>
      </c>
      <c r="E346" s="54" t="s">
        <v>368</v>
      </c>
      <c r="F346" s="42" t="s">
        <v>36</v>
      </c>
      <c r="H346" s="62"/>
    </row>
    <row r="347" spans="1:8" ht="15" customHeight="1" x14ac:dyDescent="0.25">
      <c r="A347" s="1">
        <v>346</v>
      </c>
      <c r="B347" s="1">
        <v>25808900047</v>
      </c>
      <c r="C347" t="s">
        <v>370</v>
      </c>
      <c r="D347" t="s">
        <v>157</v>
      </c>
      <c r="E347" s="52">
        <v>2103750</v>
      </c>
      <c r="F347" s="42" t="s">
        <v>36</v>
      </c>
      <c r="H347" s="62"/>
    </row>
    <row r="348" spans="1:8" ht="15" customHeight="1" x14ac:dyDescent="0.25">
      <c r="A348" s="1">
        <v>347</v>
      </c>
      <c r="B348" s="1">
        <v>25807400005</v>
      </c>
      <c r="C348" t="s">
        <v>53</v>
      </c>
      <c r="D348" t="s">
        <v>54</v>
      </c>
      <c r="E348" s="52">
        <v>2103750</v>
      </c>
      <c r="F348" s="42" t="s">
        <v>36</v>
      </c>
      <c r="H348" s="62"/>
    </row>
    <row r="349" spans="1:8" ht="15" customHeight="1" x14ac:dyDescent="0.25">
      <c r="A349" s="1">
        <v>348</v>
      </c>
      <c r="B349" s="1">
        <v>25820500002</v>
      </c>
      <c r="C349" t="s">
        <v>454</v>
      </c>
      <c r="D349" t="s">
        <v>120</v>
      </c>
      <c r="E349" s="52">
        <v>2103750</v>
      </c>
      <c r="F349" s="42" t="s">
        <v>36</v>
      </c>
      <c r="H349" s="62"/>
    </row>
    <row r="350" spans="1:8" ht="15" customHeight="1" x14ac:dyDescent="0.25">
      <c r="A350" s="1">
        <v>349</v>
      </c>
      <c r="B350" s="1">
        <v>25807900049</v>
      </c>
      <c r="C350" t="s">
        <v>90</v>
      </c>
      <c r="D350" t="s">
        <v>91</v>
      </c>
      <c r="E350" s="52">
        <v>2103750</v>
      </c>
      <c r="F350" s="42" t="s">
        <v>36</v>
      </c>
      <c r="H350" s="62"/>
    </row>
    <row r="351" spans="1:8" ht="15" customHeight="1" x14ac:dyDescent="0.25">
      <c r="A351" s="1">
        <v>350</v>
      </c>
      <c r="B351" s="1">
        <v>25807500072</v>
      </c>
      <c r="C351" t="s">
        <v>1411</v>
      </c>
      <c r="D351" t="s">
        <v>1412</v>
      </c>
      <c r="E351" s="52">
        <v>2103750</v>
      </c>
      <c r="F351" s="42" t="s">
        <v>36</v>
      </c>
      <c r="H351" s="62"/>
    </row>
    <row r="352" spans="1:8" ht="15" customHeight="1" x14ac:dyDescent="0.25">
      <c r="A352" s="1">
        <v>351</v>
      </c>
      <c r="B352" s="32">
        <v>25805900128</v>
      </c>
      <c r="C352" s="34" t="s">
        <v>71</v>
      </c>
      <c r="D352" s="34" t="s">
        <v>72</v>
      </c>
      <c r="E352" s="58">
        <v>2103750</v>
      </c>
      <c r="F352" s="49" t="s">
        <v>36</v>
      </c>
      <c r="H352" s="62"/>
    </row>
    <row r="353" spans="1:8" ht="15" customHeight="1" x14ac:dyDescent="0.25">
      <c r="A353" s="1">
        <v>352</v>
      </c>
      <c r="B353" s="1">
        <v>25801300024</v>
      </c>
      <c r="C353" t="s">
        <v>926</v>
      </c>
      <c r="D353" t="s">
        <v>138</v>
      </c>
      <c r="E353" s="52">
        <v>2103750</v>
      </c>
      <c r="F353" s="44" t="s">
        <v>40</v>
      </c>
      <c r="G353" t="s">
        <v>1908</v>
      </c>
      <c r="H353" s="62"/>
    </row>
    <row r="354" spans="1:8" ht="15" customHeight="1" x14ac:dyDescent="0.25">
      <c r="A354" s="1">
        <v>353</v>
      </c>
      <c r="B354" s="1">
        <v>25801300026</v>
      </c>
      <c r="C354" t="s">
        <v>526</v>
      </c>
      <c r="D354" t="s">
        <v>104</v>
      </c>
      <c r="E354" s="52">
        <v>2103750</v>
      </c>
      <c r="F354" s="44" t="s">
        <v>40</v>
      </c>
      <c r="H354" s="62"/>
    </row>
    <row r="355" spans="1:8" ht="15" customHeight="1" x14ac:dyDescent="0.25">
      <c r="A355" s="1">
        <v>354</v>
      </c>
      <c r="B355" s="1">
        <v>25801300045</v>
      </c>
      <c r="C355" t="s">
        <v>1486</v>
      </c>
      <c r="D355" t="s">
        <v>590</v>
      </c>
      <c r="E355" s="52">
        <v>2103750</v>
      </c>
      <c r="F355" s="44" t="s">
        <v>40</v>
      </c>
      <c r="H355" s="62"/>
    </row>
    <row r="356" spans="1:8" ht="15" customHeight="1" x14ac:dyDescent="0.25">
      <c r="A356" s="1">
        <v>355</v>
      </c>
      <c r="B356" s="1">
        <v>25801300028</v>
      </c>
      <c r="C356" t="s">
        <v>859</v>
      </c>
      <c r="D356" t="s">
        <v>207</v>
      </c>
      <c r="E356" s="52">
        <v>2103750</v>
      </c>
      <c r="F356" s="44" t="s">
        <v>40</v>
      </c>
      <c r="H356" s="62"/>
    </row>
    <row r="357" spans="1:8" ht="15" customHeight="1" x14ac:dyDescent="0.25">
      <c r="A357" s="1">
        <v>356</v>
      </c>
      <c r="B357" s="1">
        <v>25806300027</v>
      </c>
      <c r="C357" t="s">
        <v>96</v>
      </c>
      <c r="D357" t="s">
        <v>97</v>
      </c>
      <c r="E357" s="52">
        <v>2103750</v>
      </c>
      <c r="F357" s="44" t="s">
        <v>40</v>
      </c>
      <c r="H357" s="62"/>
    </row>
    <row r="358" spans="1:8" ht="15" customHeight="1" x14ac:dyDescent="0.25">
      <c r="A358" s="1">
        <v>357</v>
      </c>
      <c r="B358" s="1">
        <v>25802800068</v>
      </c>
      <c r="C358" t="s">
        <v>93</v>
      </c>
      <c r="D358" t="s">
        <v>94</v>
      </c>
      <c r="E358" s="52">
        <v>2103750</v>
      </c>
      <c r="F358" s="44" t="s">
        <v>40</v>
      </c>
      <c r="H358" s="62"/>
    </row>
    <row r="359" spans="1:8" ht="15" customHeight="1" x14ac:dyDescent="0.25">
      <c r="A359" s="1">
        <v>358</v>
      </c>
      <c r="B359" s="1">
        <v>25800600346</v>
      </c>
      <c r="C359" t="s">
        <v>168</v>
      </c>
      <c r="D359" t="s">
        <v>57</v>
      </c>
      <c r="E359" s="60">
        <v>2600000</v>
      </c>
      <c r="F359" s="44" t="s">
        <v>40</v>
      </c>
      <c r="H359" s="62"/>
    </row>
    <row r="360" spans="1:8" ht="15" customHeight="1" x14ac:dyDescent="0.25">
      <c r="A360" s="1">
        <v>359</v>
      </c>
      <c r="B360" s="1">
        <v>25807500215</v>
      </c>
      <c r="C360" t="s">
        <v>1549</v>
      </c>
      <c r="D360" t="s">
        <v>1550</v>
      </c>
      <c r="E360" s="52">
        <v>2103750</v>
      </c>
      <c r="F360" s="44" t="s">
        <v>40</v>
      </c>
      <c r="H360" s="62"/>
    </row>
    <row r="361" spans="1:8" ht="15" customHeight="1" x14ac:dyDescent="0.25">
      <c r="A361" s="1">
        <v>360</v>
      </c>
      <c r="B361" s="1">
        <v>25800500135</v>
      </c>
      <c r="C361" t="s">
        <v>87</v>
      </c>
      <c r="D361" t="s">
        <v>88</v>
      </c>
      <c r="E361" s="52">
        <v>2103750</v>
      </c>
      <c r="F361" s="44" t="s">
        <v>40</v>
      </c>
      <c r="H361" s="62"/>
    </row>
    <row r="362" spans="1:8" ht="15" customHeight="1" x14ac:dyDescent="0.25">
      <c r="A362" s="1">
        <v>361</v>
      </c>
      <c r="B362" s="1">
        <v>25800500107</v>
      </c>
      <c r="C362" t="s">
        <v>1624</v>
      </c>
      <c r="D362" t="s">
        <v>500</v>
      </c>
      <c r="E362" s="52">
        <v>2103750</v>
      </c>
      <c r="F362" s="44" t="s">
        <v>40</v>
      </c>
      <c r="H362" s="62"/>
    </row>
    <row r="363" spans="1:8" ht="15" customHeight="1" x14ac:dyDescent="0.25">
      <c r="A363" s="1">
        <v>362</v>
      </c>
      <c r="B363" s="1">
        <v>25806300055</v>
      </c>
      <c r="C363" t="s">
        <v>38</v>
      </c>
      <c r="D363" t="s">
        <v>78</v>
      </c>
      <c r="E363" s="52">
        <v>2103750</v>
      </c>
      <c r="F363" s="44" t="s">
        <v>40</v>
      </c>
      <c r="H363" s="62"/>
    </row>
    <row r="364" spans="1:8" ht="15" customHeight="1" x14ac:dyDescent="0.25">
      <c r="A364" s="1">
        <v>363</v>
      </c>
      <c r="B364" s="1">
        <v>25800400016</v>
      </c>
      <c r="C364" t="s">
        <v>119</v>
      </c>
      <c r="D364" t="s">
        <v>120</v>
      </c>
      <c r="E364" s="61">
        <v>2600000</v>
      </c>
      <c r="F364" s="44" t="s">
        <v>40</v>
      </c>
      <c r="H364" s="62"/>
    </row>
    <row r="365" spans="1:8" ht="15" customHeight="1" x14ac:dyDescent="0.25">
      <c r="A365" s="1">
        <v>364</v>
      </c>
      <c r="B365" s="1">
        <v>25800400022</v>
      </c>
      <c r="C365" t="s">
        <v>1953</v>
      </c>
      <c r="D365" t="s">
        <v>39</v>
      </c>
      <c r="E365" s="52">
        <v>2103750</v>
      </c>
      <c r="F365" s="44" t="s">
        <v>40</v>
      </c>
      <c r="H365" s="62"/>
    </row>
    <row r="366" spans="1:8" ht="15" customHeight="1" x14ac:dyDescent="0.25">
      <c r="A366" s="1">
        <v>365</v>
      </c>
      <c r="B366" s="32">
        <v>25808700180</v>
      </c>
      <c r="C366" s="34" t="s">
        <v>1329</v>
      </c>
      <c r="D366" s="34" t="s">
        <v>1330</v>
      </c>
      <c r="E366" s="58">
        <v>2103750</v>
      </c>
      <c r="F366" s="50" t="s">
        <v>40</v>
      </c>
      <c r="H366" s="62"/>
    </row>
  </sheetData>
  <autoFilter ref="A1:H366" xr:uid="{00000000-0009-0000-0000-000003000000}">
    <sortState xmlns:xlrd2="http://schemas.microsoft.com/office/spreadsheetml/2017/richdata2" ref="A2:H365">
      <sortCondition ref="D1:D365"/>
    </sortState>
  </autoFilter>
  <conditionalFormatting sqref="A1">
    <cfRule type="duplicateValues" dxfId="45" priority="17"/>
    <cfRule type="duplicateValues" dxfId="44" priority="19"/>
    <cfRule type="duplicateValues" dxfId="43" priority="18"/>
    <cfRule type="duplicateValues" dxfId="42" priority="16"/>
    <cfRule type="duplicateValues" dxfId="41" priority="20"/>
  </conditionalFormatting>
  <conditionalFormatting sqref="A1:B1">
    <cfRule type="duplicateValues" dxfId="40" priority="29"/>
    <cfRule type="duplicateValues" dxfId="39" priority="28"/>
    <cfRule type="duplicateValues" dxfId="38" priority="27"/>
    <cfRule type="timePeriod" dxfId="37" priority="26" timePeriod="yesterday">
      <formula>FLOOR(A1,1)=TODAY()-1</formula>
    </cfRule>
    <cfRule type="duplicateValues" dxfId="36" priority="25"/>
    <cfRule type="duplicateValues" dxfId="35" priority="24"/>
    <cfRule type="duplicateValues" dxfId="34" priority="23"/>
    <cfRule type="duplicateValues" dxfId="33" priority="22"/>
  </conditionalFormatting>
  <conditionalFormatting sqref="B1">
    <cfRule type="duplicateValues" dxfId="32" priority="30"/>
    <cfRule type="duplicateValues" dxfId="31" priority="31"/>
    <cfRule type="duplicateValues" dxfId="30" priority="32"/>
    <cfRule type="duplicateValues" dxfId="29" priority="33"/>
    <cfRule type="duplicateValues" dxfId="28" priority="21"/>
  </conditionalFormatting>
  <conditionalFormatting sqref="B51">
    <cfRule type="duplicateValues" dxfId="27" priority="12"/>
    <cfRule type="duplicateValues" dxfId="26" priority="11"/>
    <cfRule type="duplicateValues" dxfId="25" priority="14"/>
    <cfRule type="duplicateValues" dxfId="24" priority="13"/>
    <cfRule type="duplicateValues" dxfId="23" priority="15"/>
  </conditionalFormatting>
  <conditionalFormatting sqref="B213">
    <cfRule type="duplicateValues" dxfId="22" priority="2"/>
    <cfRule type="duplicateValues" dxfId="21" priority="3"/>
    <cfRule type="duplicateValues" dxfId="20" priority="4"/>
    <cfRule type="duplicateValues" dxfId="19" priority="5"/>
    <cfRule type="duplicateValues" dxfId="18" priority="1"/>
  </conditionalFormatting>
  <conditionalFormatting sqref="B268">
    <cfRule type="duplicateValues" dxfId="17" priority="10"/>
    <cfRule type="duplicateValues" dxfId="16" priority="9"/>
    <cfRule type="duplicateValues" dxfId="15" priority="8"/>
    <cfRule type="duplicateValues" dxfId="14" priority="7"/>
    <cfRule type="duplicateValues" dxfId="13" priority="6"/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30"/>
  <sheetViews>
    <sheetView workbookViewId="0">
      <selection activeCell="G3" sqref="G3"/>
    </sheetView>
  </sheetViews>
  <sheetFormatPr defaultRowHeight="15" x14ac:dyDescent="0.25"/>
  <cols>
    <col min="1" max="1" width="19" customWidth="1"/>
    <col min="2" max="2" width="21" customWidth="1"/>
    <col min="4" max="4" width="23.140625" customWidth="1"/>
  </cols>
  <sheetData>
    <row r="1" spans="1:4" x14ac:dyDescent="0.25">
      <c r="A1" s="92" t="s">
        <v>1</v>
      </c>
      <c r="B1" s="92" t="s">
        <v>1954</v>
      </c>
      <c r="C1" s="92" t="s">
        <v>1955</v>
      </c>
      <c r="D1" s="92"/>
    </row>
    <row r="2" spans="1:4" x14ac:dyDescent="0.25">
      <c r="A2">
        <v>25807800074</v>
      </c>
      <c r="B2" t="s">
        <v>100</v>
      </c>
      <c r="C2" t="s">
        <v>101</v>
      </c>
      <c r="D2" s="38">
        <v>2103750</v>
      </c>
    </row>
    <row r="3" spans="1:4" x14ac:dyDescent="0.25">
      <c r="A3">
        <v>25801100089</v>
      </c>
      <c r="B3" t="s">
        <v>703</v>
      </c>
      <c r="C3" t="s">
        <v>231</v>
      </c>
      <c r="D3" s="38">
        <v>2103750</v>
      </c>
    </row>
    <row r="4" spans="1:4" x14ac:dyDescent="0.25">
      <c r="A4">
        <v>25808200079</v>
      </c>
      <c r="B4" t="s">
        <v>1167</v>
      </c>
      <c r="C4" t="s">
        <v>500</v>
      </c>
      <c r="D4" s="38">
        <v>2103750</v>
      </c>
    </row>
    <row r="5" spans="1:4" x14ac:dyDescent="0.25">
      <c r="A5">
        <v>25808800046</v>
      </c>
      <c r="B5" t="s">
        <v>1658</v>
      </c>
      <c r="C5" t="s">
        <v>270</v>
      </c>
      <c r="D5" s="38">
        <v>2103750</v>
      </c>
    </row>
    <row r="6" spans="1:4" x14ac:dyDescent="0.25">
      <c r="A6">
        <v>25802800061</v>
      </c>
      <c r="B6" t="s">
        <v>1952</v>
      </c>
      <c r="C6" t="s">
        <v>66</v>
      </c>
      <c r="D6" s="38">
        <v>2103750</v>
      </c>
    </row>
    <row r="7" spans="1:4" x14ac:dyDescent="0.25">
      <c r="A7">
        <v>25808500135</v>
      </c>
      <c r="B7" t="s">
        <v>1292</v>
      </c>
      <c r="C7" t="s">
        <v>157</v>
      </c>
      <c r="D7" s="38">
        <v>2103750</v>
      </c>
    </row>
    <row r="8" spans="1:4" x14ac:dyDescent="0.25">
      <c r="A8">
        <v>25808900050</v>
      </c>
      <c r="B8" t="s">
        <v>33</v>
      </c>
      <c r="C8" t="s">
        <v>34</v>
      </c>
      <c r="D8" s="38">
        <v>2103750</v>
      </c>
    </row>
    <row r="9" spans="1:4" x14ac:dyDescent="0.25">
      <c r="A9">
        <v>25802800141</v>
      </c>
      <c r="B9" t="s">
        <v>69</v>
      </c>
      <c r="C9" t="s">
        <v>70</v>
      </c>
      <c r="D9" s="38">
        <v>2600000</v>
      </c>
    </row>
    <row r="10" spans="1:4" x14ac:dyDescent="0.25">
      <c r="A10">
        <v>25808900047</v>
      </c>
      <c r="B10" t="s">
        <v>370</v>
      </c>
      <c r="C10" t="s">
        <v>157</v>
      </c>
      <c r="D10" s="38">
        <v>2103750</v>
      </c>
    </row>
    <row r="11" spans="1:4" x14ac:dyDescent="0.25">
      <c r="A11">
        <v>25807400005</v>
      </c>
      <c r="B11" t="s">
        <v>53</v>
      </c>
      <c r="C11" t="s">
        <v>54</v>
      </c>
      <c r="D11" s="38">
        <v>2103750</v>
      </c>
    </row>
    <row r="12" spans="1:4" x14ac:dyDescent="0.25">
      <c r="A12">
        <v>25820500002</v>
      </c>
      <c r="B12" t="s">
        <v>454</v>
      </c>
      <c r="C12" t="s">
        <v>120</v>
      </c>
      <c r="D12" s="38">
        <v>2103750</v>
      </c>
    </row>
    <row r="13" spans="1:4" x14ac:dyDescent="0.25">
      <c r="A13">
        <v>25807900049</v>
      </c>
      <c r="B13" t="s">
        <v>90</v>
      </c>
      <c r="C13" t="s">
        <v>91</v>
      </c>
      <c r="D13" s="38">
        <v>2103750</v>
      </c>
    </row>
    <row r="14" spans="1:4" x14ac:dyDescent="0.25">
      <c r="A14">
        <v>25807500072</v>
      </c>
      <c r="B14" t="s">
        <v>1411</v>
      </c>
      <c r="C14" t="s">
        <v>1412</v>
      </c>
      <c r="D14" s="38">
        <v>2103750</v>
      </c>
    </row>
    <row r="15" spans="1:4" x14ac:dyDescent="0.25">
      <c r="A15">
        <v>25805900128</v>
      </c>
      <c r="B15" t="s">
        <v>71</v>
      </c>
      <c r="C15" t="s">
        <v>72</v>
      </c>
      <c r="D15" s="38">
        <v>2103750</v>
      </c>
    </row>
    <row r="16" spans="1:4" x14ac:dyDescent="0.25">
      <c r="A16">
        <v>25801300024</v>
      </c>
      <c r="B16" t="s">
        <v>926</v>
      </c>
      <c r="C16" t="s">
        <v>138</v>
      </c>
      <c r="D16" s="38">
        <v>2103750</v>
      </c>
    </row>
    <row r="17" spans="1:4" x14ac:dyDescent="0.25">
      <c r="A17">
        <v>25801300026</v>
      </c>
      <c r="B17" t="s">
        <v>526</v>
      </c>
      <c r="C17" t="s">
        <v>104</v>
      </c>
      <c r="D17" s="38">
        <v>2103750</v>
      </c>
    </row>
    <row r="18" spans="1:4" x14ac:dyDescent="0.25">
      <c r="A18">
        <v>25801300045</v>
      </c>
      <c r="B18" t="s">
        <v>1486</v>
      </c>
      <c r="C18" t="s">
        <v>590</v>
      </c>
      <c r="D18" s="38">
        <v>2103750</v>
      </c>
    </row>
    <row r="19" spans="1:4" x14ac:dyDescent="0.25">
      <c r="A19">
        <v>25801300028</v>
      </c>
      <c r="B19" t="s">
        <v>859</v>
      </c>
      <c r="C19" t="s">
        <v>207</v>
      </c>
      <c r="D19" s="38">
        <v>2103750</v>
      </c>
    </row>
    <row r="20" spans="1:4" x14ac:dyDescent="0.25">
      <c r="A20">
        <v>25806300027</v>
      </c>
      <c r="B20" t="s">
        <v>96</v>
      </c>
      <c r="C20" t="s">
        <v>97</v>
      </c>
      <c r="D20" s="38">
        <v>2103750</v>
      </c>
    </row>
    <row r="21" spans="1:4" x14ac:dyDescent="0.25">
      <c r="A21">
        <v>25802800068</v>
      </c>
      <c r="B21" t="s">
        <v>93</v>
      </c>
      <c r="C21" t="s">
        <v>94</v>
      </c>
      <c r="D21" s="38">
        <v>2103750</v>
      </c>
    </row>
    <row r="22" spans="1:4" x14ac:dyDescent="0.25">
      <c r="A22">
        <v>25800600346</v>
      </c>
      <c r="B22" t="s">
        <v>168</v>
      </c>
      <c r="C22" t="s">
        <v>57</v>
      </c>
      <c r="D22" s="38">
        <v>2600000</v>
      </c>
    </row>
    <row r="23" spans="1:4" x14ac:dyDescent="0.25">
      <c r="A23">
        <v>25807500215</v>
      </c>
      <c r="B23" t="s">
        <v>1549</v>
      </c>
      <c r="C23" t="s">
        <v>1550</v>
      </c>
      <c r="D23" s="38">
        <v>2103750</v>
      </c>
    </row>
    <row r="24" spans="1:4" x14ac:dyDescent="0.25">
      <c r="A24">
        <v>25800500135</v>
      </c>
      <c r="B24" t="s">
        <v>87</v>
      </c>
      <c r="C24" t="s">
        <v>88</v>
      </c>
      <c r="D24" s="38">
        <v>2103750</v>
      </c>
    </row>
    <row r="25" spans="1:4" x14ac:dyDescent="0.25">
      <c r="A25">
        <v>25800500107</v>
      </c>
      <c r="B25" t="s">
        <v>1624</v>
      </c>
      <c r="C25" t="s">
        <v>500</v>
      </c>
      <c r="D25" s="38">
        <v>2103750</v>
      </c>
    </row>
    <row r="26" spans="1:4" x14ac:dyDescent="0.25">
      <c r="A26">
        <v>25806300055</v>
      </c>
      <c r="B26" t="s">
        <v>38</v>
      </c>
      <c r="C26" t="s">
        <v>78</v>
      </c>
      <c r="D26" s="38">
        <v>2103750</v>
      </c>
    </row>
    <row r="27" spans="1:4" x14ac:dyDescent="0.25">
      <c r="A27">
        <v>25800400016</v>
      </c>
      <c r="B27" t="s">
        <v>119</v>
      </c>
      <c r="C27" t="s">
        <v>120</v>
      </c>
      <c r="D27" s="38">
        <v>2600000</v>
      </c>
    </row>
    <row r="28" spans="1:4" x14ac:dyDescent="0.25">
      <c r="A28">
        <v>25800400022</v>
      </c>
      <c r="B28" t="s">
        <v>1953</v>
      </c>
      <c r="C28" t="s">
        <v>39</v>
      </c>
      <c r="D28" s="38">
        <v>2103750</v>
      </c>
    </row>
    <row r="29" spans="1:4" x14ac:dyDescent="0.25">
      <c r="A29">
        <v>25808700180</v>
      </c>
      <c r="B29" t="s">
        <v>1329</v>
      </c>
      <c r="C29" t="s">
        <v>1330</v>
      </c>
      <c r="D29" s="38">
        <v>2103750</v>
      </c>
    </row>
    <row r="30" spans="1:4" x14ac:dyDescent="0.25">
      <c r="A30" s="83">
        <v>25808600051</v>
      </c>
      <c r="B30" s="79" t="s">
        <v>366</v>
      </c>
      <c r="C30" s="79" t="s">
        <v>367</v>
      </c>
      <c r="D30" s="84" t="s">
        <v>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337"/>
  <sheetViews>
    <sheetView workbookViewId="0">
      <selection activeCell="G16" sqref="G16"/>
    </sheetView>
  </sheetViews>
  <sheetFormatPr defaultRowHeight="15" x14ac:dyDescent="0.25"/>
  <cols>
    <col min="1" max="1" width="16.28515625" customWidth="1"/>
    <col min="2" max="2" width="24.7109375" customWidth="1"/>
    <col min="3" max="3" width="19.140625" customWidth="1"/>
    <col min="4" max="4" width="26" customWidth="1"/>
  </cols>
  <sheetData>
    <row r="1" spans="1:4" x14ac:dyDescent="0.25">
      <c r="A1" s="92" t="s">
        <v>1</v>
      </c>
      <c r="B1" s="92" t="s">
        <v>1954</v>
      </c>
      <c r="C1" s="92" t="s">
        <v>1955</v>
      </c>
      <c r="D1" s="92"/>
    </row>
    <row r="2" spans="1:4" x14ac:dyDescent="0.25">
      <c r="A2" s="28">
        <v>25802800055</v>
      </c>
      <c r="B2" t="s">
        <v>230</v>
      </c>
      <c r="C2" t="s">
        <v>231</v>
      </c>
      <c r="D2" s="51">
        <v>2103750</v>
      </c>
    </row>
    <row r="3" spans="1:4" x14ac:dyDescent="0.25">
      <c r="A3" s="29">
        <v>25802800133</v>
      </c>
      <c r="B3" t="s">
        <v>235</v>
      </c>
      <c r="C3" t="s">
        <v>236</v>
      </c>
      <c r="D3" s="51">
        <v>2103750</v>
      </c>
    </row>
    <row r="4" spans="1:4" x14ac:dyDescent="0.25">
      <c r="A4" s="28">
        <v>25805900043</v>
      </c>
      <c r="B4" t="s">
        <v>1856</v>
      </c>
      <c r="C4" t="s">
        <v>638</v>
      </c>
      <c r="D4" s="51">
        <v>2103750</v>
      </c>
    </row>
    <row r="5" spans="1:4" x14ac:dyDescent="0.25">
      <c r="A5" s="35">
        <v>25802600089</v>
      </c>
      <c r="B5" t="s">
        <v>407</v>
      </c>
      <c r="C5" t="s">
        <v>408</v>
      </c>
      <c r="D5" s="51">
        <v>2103750</v>
      </c>
    </row>
    <row r="6" spans="1:4" x14ac:dyDescent="0.25">
      <c r="A6" s="28">
        <v>25820500009</v>
      </c>
      <c r="B6" t="s">
        <v>1857</v>
      </c>
      <c r="C6" t="s">
        <v>338</v>
      </c>
      <c r="D6" s="52">
        <v>2470000</v>
      </c>
    </row>
    <row r="7" spans="1:4" x14ac:dyDescent="0.25">
      <c r="A7" s="28">
        <v>25802600031</v>
      </c>
      <c r="B7" t="s">
        <v>316</v>
      </c>
      <c r="C7" t="s">
        <v>131</v>
      </c>
      <c r="D7" s="51">
        <v>2103750</v>
      </c>
    </row>
    <row r="8" spans="1:4" x14ac:dyDescent="0.25">
      <c r="A8" s="30">
        <v>25808500042</v>
      </c>
      <c r="B8" t="s">
        <v>426</v>
      </c>
      <c r="C8" t="s">
        <v>427</v>
      </c>
      <c r="D8" s="51">
        <v>2103750</v>
      </c>
    </row>
    <row r="9" spans="1:4" x14ac:dyDescent="0.25">
      <c r="A9" s="31">
        <v>25808900053</v>
      </c>
      <c r="B9" t="s">
        <v>49</v>
      </c>
      <c r="C9" t="s">
        <v>175</v>
      </c>
      <c r="D9" s="51">
        <v>2103750</v>
      </c>
    </row>
    <row r="10" spans="1:4" x14ac:dyDescent="0.25">
      <c r="A10" s="72">
        <v>25801900288</v>
      </c>
      <c r="B10" t="s">
        <v>265</v>
      </c>
      <c r="C10" t="s">
        <v>239</v>
      </c>
      <c r="D10" s="51">
        <v>2103750</v>
      </c>
    </row>
    <row r="11" spans="1:4" x14ac:dyDescent="0.25">
      <c r="A11" s="1">
        <v>25802800245</v>
      </c>
      <c r="B11" t="s">
        <v>334</v>
      </c>
      <c r="C11" t="s">
        <v>335</v>
      </c>
      <c r="D11" s="52">
        <v>2470000</v>
      </c>
    </row>
    <row r="12" spans="1:4" x14ac:dyDescent="0.25">
      <c r="A12" s="1">
        <v>25801700022</v>
      </c>
      <c r="B12" t="s">
        <v>1859</v>
      </c>
      <c r="C12" t="s">
        <v>175</v>
      </c>
      <c r="D12" s="52">
        <v>2600000</v>
      </c>
    </row>
    <row r="13" spans="1:4" x14ac:dyDescent="0.25">
      <c r="A13" s="1">
        <v>25802800392</v>
      </c>
      <c r="B13" t="s">
        <v>671</v>
      </c>
      <c r="C13" t="s">
        <v>91</v>
      </c>
      <c r="D13" s="51">
        <v>2103750</v>
      </c>
    </row>
    <row r="14" spans="1:4" x14ac:dyDescent="0.25">
      <c r="A14" s="1">
        <v>25801700057</v>
      </c>
      <c r="B14" t="s">
        <v>1860</v>
      </c>
      <c r="C14" t="s">
        <v>521</v>
      </c>
      <c r="D14" s="51">
        <v>2103750</v>
      </c>
    </row>
    <row r="15" spans="1:4" x14ac:dyDescent="0.25">
      <c r="A15" s="1">
        <v>25808600245</v>
      </c>
      <c r="B15" t="s">
        <v>1861</v>
      </c>
      <c r="C15" t="s">
        <v>239</v>
      </c>
      <c r="D15" s="51">
        <v>2103750</v>
      </c>
    </row>
    <row r="16" spans="1:4" x14ac:dyDescent="0.25">
      <c r="A16" s="1">
        <v>25808600253</v>
      </c>
      <c r="B16" t="s">
        <v>402</v>
      </c>
      <c r="C16" t="s">
        <v>22</v>
      </c>
      <c r="D16" s="51">
        <v>2103750</v>
      </c>
    </row>
    <row r="17" spans="1:4" x14ac:dyDescent="0.25">
      <c r="A17" s="1">
        <v>25801800161</v>
      </c>
      <c r="B17" t="s">
        <v>1862</v>
      </c>
      <c r="C17" t="s">
        <v>376</v>
      </c>
      <c r="D17" s="51">
        <v>2103750</v>
      </c>
    </row>
    <row r="18" spans="1:4" x14ac:dyDescent="0.25">
      <c r="A18" s="1">
        <v>25805800025</v>
      </c>
      <c r="B18" t="s">
        <v>660</v>
      </c>
      <c r="C18" t="s">
        <v>204</v>
      </c>
      <c r="D18" s="51">
        <v>2103750</v>
      </c>
    </row>
    <row r="19" spans="1:4" x14ac:dyDescent="0.25">
      <c r="A19" s="1">
        <v>25808600135</v>
      </c>
      <c r="B19" t="s">
        <v>1863</v>
      </c>
      <c r="C19" t="s">
        <v>311</v>
      </c>
      <c r="D19" s="51">
        <v>2103750</v>
      </c>
    </row>
    <row r="20" spans="1:4" x14ac:dyDescent="0.25">
      <c r="A20" s="1">
        <v>25802600010</v>
      </c>
      <c r="B20" t="s">
        <v>1864</v>
      </c>
      <c r="C20" t="s">
        <v>160</v>
      </c>
      <c r="D20" s="63">
        <v>2600000</v>
      </c>
    </row>
    <row r="21" spans="1:4" x14ac:dyDescent="0.25">
      <c r="A21" s="1">
        <v>25808600039</v>
      </c>
      <c r="B21" t="s">
        <v>1865</v>
      </c>
      <c r="C21" t="s">
        <v>157</v>
      </c>
      <c r="D21" s="51">
        <v>2103750</v>
      </c>
    </row>
    <row r="22" spans="1:4" x14ac:dyDescent="0.25">
      <c r="A22" s="1">
        <v>25801700102</v>
      </c>
      <c r="B22" t="s">
        <v>400</v>
      </c>
      <c r="C22" t="s">
        <v>392</v>
      </c>
      <c r="D22" s="51">
        <v>2103750</v>
      </c>
    </row>
    <row r="23" spans="1:4" x14ac:dyDescent="0.25">
      <c r="A23" s="1">
        <v>25802800399</v>
      </c>
      <c r="B23" t="s">
        <v>562</v>
      </c>
      <c r="C23" t="s">
        <v>275</v>
      </c>
      <c r="D23" s="51">
        <v>2103750</v>
      </c>
    </row>
    <row r="24" spans="1:4" x14ac:dyDescent="0.25">
      <c r="A24" s="1">
        <v>25801800033</v>
      </c>
      <c r="B24" t="s">
        <v>387</v>
      </c>
      <c r="C24" t="s">
        <v>388</v>
      </c>
      <c r="D24" s="67">
        <v>2600000</v>
      </c>
    </row>
    <row r="25" spans="1:4" x14ac:dyDescent="0.25">
      <c r="A25" s="1">
        <v>25802800199</v>
      </c>
      <c r="B25" t="s">
        <v>723</v>
      </c>
      <c r="C25" t="s">
        <v>294</v>
      </c>
      <c r="D25" s="51">
        <v>2103750</v>
      </c>
    </row>
    <row r="26" spans="1:4" x14ac:dyDescent="0.25">
      <c r="A26" s="1">
        <v>25802800144</v>
      </c>
      <c r="B26" t="s">
        <v>711</v>
      </c>
      <c r="C26" t="s">
        <v>712</v>
      </c>
      <c r="D26" s="51">
        <v>2103750</v>
      </c>
    </row>
    <row r="27" spans="1:4" x14ac:dyDescent="0.25">
      <c r="A27" s="1">
        <v>25802800140</v>
      </c>
      <c r="B27" t="s">
        <v>378</v>
      </c>
      <c r="C27" t="s">
        <v>70</v>
      </c>
      <c r="D27" s="51">
        <v>2103750</v>
      </c>
    </row>
    <row r="28" spans="1:4" x14ac:dyDescent="0.25">
      <c r="A28" s="1">
        <v>25802800167</v>
      </c>
      <c r="B28" t="s">
        <v>725</v>
      </c>
      <c r="C28" t="s">
        <v>185</v>
      </c>
      <c r="D28" s="52">
        <v>2470000</v>
      </c>
    </row>
    <row r="29" spans="1:4" x14ac:dyDescent="0.25">
      <c r="A29" s="1">
        <v>25802800155</v>
      </c>
      <c r="B29" t="s">
        <v>656</v>
      </c>
      <c r="C29" t="s">
        <v>408</v>
      </c>
      <c r="D29" s="51">
        <v>2103750</v>
      </c>
    </row>
    <row r="30" spans="1:4" x14ac:dyDescent="0.25">
      <c r="A30" s="1">
        <v>25808500106</v>
      </c>
      <c r="B30" t="s">
        <v>662</v>
      </c>
      <c r="C30" t="s">
        <v>384</v>
      </c>
      <c r="D30" s="51">
        <v>2103750</v>
      </c>
    </row>
    <row r="31" spans="1:4" x14ac:dyDescent="0.25">
      <c r="A31" s="1">
        <v>25802800025</v>
      </c>
      <c r="B31" t="s">
        <v>719</v>
      </c>
      <c r="C31" t="s">
        <v>720</v>
      </c>
      <c r="D31" s="52">
        <v>2470000</v>
      </c>
    </row>
    <row r="32" spans="1:4" x14ac:dyDescent="0.25">
      <c r="A32" s="1">
        <v>25801700020</v>
      </c>
      <c r="B32" t="s">
        <v>877</v>
      </c>
      <c r="C32" t="s">
        <v>157</v>
      </c>
      <c r="D32" s="52">
        <v>2103750</v>
      </c>
    </row>
    <row r="33" spans="1:4" x14ac:dyDescent="0.25">
      <c r="A33" s="1">
        <v>25802300384</v>
      </c>
      <c r="B33" t="s">
        <v>1867</v>
      </c>
      <c r="C33" t="s">
        <v>681</v>
      </c>
      <c r="D33" s="52">
        <v>2103750</v>
      </c>
    </row>
    <row r="34" spans="1:4" x14ac:dyDescent="0.25">
      <c r="A34" s="1">
        <v>25807500079</v>
      </c>
      <c r="B34" t="s">
        <v>1193</v>
      </c>
      <c r="C34" t="s">
        <v>138</v>
      </c>
      <c r="D34" s="52">
        <v>2103750</v>
      </c>
    </row>
    <row r="35" spans="1:4" x14ac:dyDescent="0.25">
      <c r="A35" s="1">
        <v>25802300306</v>
      </c>
      <c r="B35" t="s">
        <v>375</v>
      </c>
      <c r="C35" t="s">
        <v>376</v>
      </c>
      <c r="D35" s="52">
        <v>2103750</v>
      </c>
    </row>
    <row r="36" spans="1:4" x14ac:dyDescent="0.25">
      <c r="A36" s="1">
        <v>25808600158</v>
      </c>
      <c r="B36" t="s">
        <v>560</v>
      </c>
      <c r="C36" t="s">
        <v>376</v>
      </c>
      <c r="D36" s="63">
        <v>2600000</v>
      </c>
    </row>
    <row r="37" spans="1:4" x14ac:dyDescent="0.25">
      <c r="A37" s="1">
        <v>25805900064</v>
      </c>
      <c r="B37" t="s">
        <v>1869</v>
      </c>
      <c r="C37" t="s">
        <v>1870</v>
      </c>
      <c r="D37" s="52">
        <v>2103750</v>
      </c>
    </row>
    <row r="38" spans="1:4" x14ac:dyDescent="0.25">
      <c r="A38" s="1">
        <v>25802800258</v>
      </c>
      <c r="B38" t="s">
        <v>1871</v>
      </c>
      <c r="C38" t="s">
        <v>1872</v>
      </c>
      <c r="D38" s="52">
        <v>2103750</v>
      </c>
    </row>
    <row r="39" spans="1:4" x14ac:dyDescent="0.25">
      <c r="A39" s="1">
        <v>25806000038</v>
      </c>
      <c r="B39" t="s">
        <v>766</v>
      </c>
      <c r="C39" t="s">
        <v>767</v>
      </c>
      <c r="D39" s="52">
        <v>2103750</v>
      </c>
    </row>
    <row r="40" spans="1:4" x14ac:dyDescent="0.25">
      <c r="A40" s="1">
        <v>25801100082</v>
      </c>
      <c r="B40" t="s">
        <v>1873</v>
      </c>
      <c r="C40" t="s">
        <v>376</v>
      </c>
      <c r="D40" s="52">
        <v>2103750</v>
      </c>
    </row>
    <row r="41" spans="1:4" x14ac:dyDescent="0.25">
      <c r="A41" s="1">
        <v>25802100030</v>
      </c>
      <c r="B41" t="s">
        <v>445</v>
      </c>
      <c r="C41" t="s">
        <v>294</v>
      </c>
      <c r="D41" s="52">
        <v>2103750</v>
      </c>
    </row>
    <row r="42" spans="1:4" x14ac:dyDescent="0.25">
      <c r="A42" s="1">
        <v>25801100107</v>
      </c>
      <c r="B42" t="s">
        <v>1874</v>
      </c>
      <c r="C42" t="s">
        <v>359</v>
      </c>
      <c r="D42" s="52">
        <v>2103750</v>
      </c>
    </row>
    <row r="43" spans="1:4" x14ac:dyDescent="0.25">
      <c r="A43" s="1">
        <v>25406800040</v>
      </c>
      <c r="B43" t="s">
        <v>466</v>
      </c>
      <c r="C43" t="s">
        <v>338</v>
      </c>
      <c r="D43" s="52">
        <v>2103750</v>
      </c>
    </row>
    <row r="44" spans="1:4" x14ac:dyDescent="0.25">
      <c r="A44" s="1">
        <v>25800500215</v>
      </c>
      <c r="B44" t="s">
        <v>46</v>
      </c>
      <c r="C44" t="s">
        <v>47</v>
      </c>
      <c r="D44" s="52">
        <v>2103750</v>
      </c>
    </row>
    <row r="45" spans="1:4" x14ac:dyDescent="0.25">
      <c r="A45" s="1">
        <v>25801200058</v>
      </c>
      <c r="B45" t="s">
        <v>1856</v>
      </c>
      <c r="C45" t="s">
        <v>1875</v>
      </c>
      <c r="D45" s="52">
        <v>2103750</v>
      </c>
    </row>
    <row r="46" spans="1:4" x14ac:dyDescent="0.25">
      <c r="A46" s="1">
        <v>25805800017</v>
      </c>
      <c r="B46" t="s">
        <v>1199</v>
      </c>
      <c r="C46" t="s">
        <v>50</v>
      </c>
      <c r="D46" s="52">
        <v>2470000</v>
      </c>
    </row>
    <row r="47" spans="1:4" x14ac:dyDescent="0.25">
      <c r="A47" s="1">
        <v>25806100301</v>
      </c>
      <c r="B47" t="s">
        <v>1649</v>
      </c>
      <c r="C47" t="s">
        <v>563</v>
      </c>
      <c r="D47" s="52">
        <v>2103750</v>
      </c>
    </row>
    <row r="48" spans="1:4" x14ac:dyDescent="0.25">
      <c r="A48" s="1">
        <v>25802800290</v>
      </c>
      <c r="B48" t="s">
        <v>510</v>
      </c>
      <c r="C48" t="s">
        <v>450</v>
      </c>
      <c r="D48" s="52">
        <v>2103750</v>
      </c>
    </row>
    <row r="49" spans="1:4" x14ac:dyDescent="0.25">
      <c r="A49" s="1">
        <v>25805900036</v>
      </c>
      <c r="B49" t="s">
        <v>463</v>
      </c>
      <c r="C49" t="s">
        <v>261</v>
      </c>
      <c r="D49" s="52">
        <v>2103750</v>
      </c>
    </row>
    <row r="50" spans="1:4" x14ac:dyDescent="0.25">
      <c r="A50" s="69">
        <v>25806000112</v>
      </c>
      <c r="B50" s="41" t="s">
        <v>1876</v>
      </c>
      <c r="C50" s="41" t="s">
        <v>1877</v>
      </c>
      <c r="D50" s="52">
        <v>2103750</v>
      </c>
    </row>
    <row r="51" spans="1:4" x14ac:dyDescent="0.25">
      <c r="A51" s="69">
        <v>25806000015</v>
      </c>
      <c r="B51" s="41" t="s">
        <v>1878</v>
      </c>
      <c r="C51" s="41" t="s">
        <v>392</v>
      </c>
      <c r="D51" s="52">
        <v>2103750</v>
      </c>
    </row>
    <row r="52" spans="1:4" x14ac:dyDescent="0.25">
      <c r="A52" s="2" t="s">
        <v>547</v>
      </c>
      <c r="B52" s="41" t="s">
        <v>548</v>
      </c>
      <c r="C52" s="41" t="s">
        <v>549</v>
      </c>
      <c r="D52" s="52">
        <v>2103750</v>
      </c>
    </row>
    <row r="53" spans="1:4" x14ac:dyDescent="0.25">
      <c r="A53" s="1">
        <v>25805900012</v>
      </c>
      <c r="B53" t="s">
        <v>557</v>
      </c>
      <c r="C53" t="s">
        <v>66</v>
      </c>
      <c r="D53" s="52">
        <v>2103750</v>
      </c>
    </row>
    <row r="54" spans="1:4" x14ac:dyDescent="0.25">
      <c r="A54" s="1">
        <v>25802800177</v>
      </c>
      <c r="B54" t="s">
        <v>581</v>
      </c>
      <c r="C54" t="s">
        <v>138</v>
      </c>
      <c r="D54" s="52">
        <v>2103750</v>
      </c>
    </row>
    <row r="55" spans="1:4" x14ac:dyDescent="0.25">
      <c r="A55" s="1">
        <v>25808900152</v>
      </c>
      <c r="B55" t="s">
        <v>589</v>
      </c>
      <c r="C55" t="s">
        <v>590</v>
      </c>
      <c r="D55" s="52">
        <v>2103750</v>
      </c>
    </row>
    <row r="56" spans="1:4" x14ac:dyDescent="0.25">
      <c r="A56" s="1">
        <v>25802800198</v>
      </c>
      <c r="B56" t="s">
        <v>1879</v>
      </c>
      <c r="C56" t="s">
        <v>294</v>
      </c>
      <c r="D56" s="52">
        <v>2103750</v>
      </c>
    </row>
    <row r="57" spans="1:4" x14ac:dyDescent="0.25">
      <c r="A57" s="1">
        <v>25801100076</v>
      </c>
      <c r="B57" t="s">
        <v>575</v>
      </c>
      <c r="C57" t="s">
        <v>341</v>
      </c>
      <c r="D57" s="52">
        <v>2103750</v>
      </c>
    </row>
    <row r="58" spans="1:4" x14ac:dyDescent="0.25">
      <c r="A58" s="1">
        <v>25820200008</v>
      </c>
      <c r="B58" t="s">
        <v>1880</v>
      </c>
      <c r="C58" t="s">
        <v>427</v>
      </c>
      <c r="D58" s="52">
        <v>2103750</v>
      </c>
    </row>
    <row r="59" spans="1:4" x14ac:dyDescent="0.25">
      <c r="A59" s="1">
        <v>25805900063</v>
      </c>
      <c r="B59" t="s">
        <v>583</v>
      </c>
      <c r="C59" t="s">
        <v>1870</v>
      </c>
      <c r="D59" s="52">
        <v>2103750</v>
      </c>
    </row>
    <row r="60" spans="1:4" x14ac:dyDescent="0.25">
      <c r="A60" s="1">
        <v>25802800047</v>
      </c>
      <c r="B60" t="s">
        <v>100</v>
      </c>
      <c r="C60" t="s">
        <v>439</v>
      </c>
      <c r="D60" s="52">
        <v>2103750</v>
      </c>
    </row>
    <row r="61" spans="1:4" x14ac:dyDescent="0.25">
      <c r="A61" s="1">
        <v>25802600064</v>
      </c>
      <c r="B61" t="s">
        <v>577</v>
      </c>
      <c r="C61" t="s">
        <v>578</v>
      </c>
      <c r="D61" s="52">
        <v>2103750</v>
      </c>
    </row>
    <row r="62" spans="1:4" x14ac:dyDescent="0.25">
      <c r="A62" s="1">
        <v>25801800082</v>
      </c>
      <c r="B62" t="s">
        <v>571</v>
      </c>
      <c r="C62" t="s">
        <v>78</v>
      </c>
      <c r="D62" s="52">
        <v>2103750</v>
      </c>
    </row>
    <row r="63" spans="1:4" x14ac:dyDescent="0.25">
      <c r="A63" s="1">
        <v>25808100017</v>
      </c>
      <c r="B63" t="s">
        <v>585</v>
      </c>
      <c r="C63" t="s">
        <v>157</v>
      </c>
      <c r="D63" s="52">
        <v>2103750</v>
      </c>
    </row>
    <row r="64" spans="1:4" x14ac:dyDescent="0.25">
      <c r="A64" s="1">
        <v>25808500347</v>
      </c>
      <c r="B64" t="s">
        <v>587</v>
      </c>
      <c r="C64" t="s">
        <v>30</v>
      </c>
      <c r="D64" s="52">
        <v>2103750</v>
      </c>
    </row>
    <row r="65" spans="1:4" x14ac:dyDescent="0.25">
      <c r="A65" s="1">
        <v>25808600137</v>
      </c>
      <c r="B65" t="s">
        <v>1096</v>
      </c>
      <c r="C65" t="s">
        <v>1097</v>
      </c>
      <c r="D65" s="52">
        <v>2103750</v>
      </c>
    </row>
    <row r="66" spans="1:4" x14ac:dyDescent="0.25">
      <c r="A66" s="1">
        <v>25805800021</v>
      </c>
      <c r="B66" t="s">
        <v>1881</v>
      </c>
      <c r="C66" t="s">
        <v>22</v>
      </c>
      <c r="D66" s="52">
        <v>2103750</v>
      </c>
    </row>
    <row r="67" spans="1:4" x14ac:dyDescent="0.25">
      <c r="A67" s="69">
        <v>25802800274</v>
      </c>
      <c r="B67" s="41" t="s">
        <v>410</v>
      </c>
      <c r="C67" s="41" t="s">
        <v>311</v>
      </c>
      <c r="D67" s="52">
        <v>2103750</v>
      </c>
    </row>
    <row r="68" spans="1:4" x14ac:dyDescent="0.25">
      <c r="A68" s="70">
        <v>25808900055</v>
      </c>
      <c r="B68" s="71" t="s">
        <v>594</v>
      </c>
      <c r="C68" s="71" t="s">
        <v>595</v>
      </c>
      <c r="D68" s="63">
        <v>2600000</v>
      </c>
    </row>
    <row r="69" spans="1:4" x14ac:dyDescent="0.25">
      <c r="A69" s="1">
        <v>25806000099</v>
      </c>
      <c r="B69" t="s">
        <v>1882</v>
      </c>
      <c r="C69" t="s">
        <v>111</v>
      </c>
      <c r="D69" s="52">
        <v>2103750</v>
      </c>
    </row>
    <row r="70" spans="1:4" x14ac:dyDescent="0.25">
      <c r="A70" s="1">
        <v>25806800047</v>
      </c>
      <c r="B70" t="s">
        <v>434</v>
      </c>
      <c r="C70" t="s">
        <v>435</v>
      </c>
      <c r="D70" s="52">
        <v>2103750</v>
      </c>
    </row>
    <row r="71" spans="1:4" x14ac:dyDescent="0.25">
      <c r="A71" s="1">
        <v>25808600180</v>
      </c>
      <c r="B71" t="s">
        <v>506</v>
      </c>
      <c r="C71" t="s">
        <v>392</v>
      </c>
      <c r="D71" s="52">
        <v>2103750</v>
      </c>
    </row>
    <row r="72" spans="1:4" x14ac:dyDescent="0.25">
      <c r="A72" s="1">
        <v>25807000021</v>
      </c>
      <c r="B72" t="s">
        <v>551</v>
      </c>
      <c r="C72" t="s">
        <v>294</v>
      </c>
      <c r="D72" s="52">
        <v>2103750</v>
      </c>
    </row>
    <row r="73" spans="1:4" x14ac:dyDescent="0.25">
      <c r="A73" s="1">
        <v>25802800300</v>
      </c>
      <c r="B73" t="s">
        <v>568</v>
      </c>
      <c r="C73" t="s">
        <v>376</v>
      </c>
      <c r="D73" s="52">
        <v>2103750</v>
      </c>
    </row>
    <row r="74" spans="1:4" x14ac:dyDescent="0.25">
      <c r="A74" s="1">
        <v>25806800008</v>
      </c>
      <c r="B74" t="s">
        <v>495</v>
      </c>
      <c r="C74" t="s">
        <v>120</v>
      </c>
      <c r="D74" s="52">
        <v>2470000</v>
      </c>
    </row>
    <row r="75" spans="1:4" x14ac:dyDescent="0.25">
      <c r="A75" s="1">
        <v>25805900117</v>
      </c>
      <c r="B75" t="s">
        <v>1956</v>
      </c>
      <c r="C75" t="s">
        <v>111</v>
      </c>
      <c r="D75" s="52">
        <v>2103750</v>
      </c>
    </row>
    <row r="76" spans="1:4" x14ac:dyDescent="0.25">
      <c r="A76" s="1">
        <v>25808700011</v>
      </c>
      <c r="B76" t="s">
        <v>1883</v>
      </c>
      <c r="C76" t="s">
        <v>474</v>
      </c>
      <c r="D76" s="52">
        <v>2103750</v>
      </c>
    </row>
    <row r="77" spans="1:4" x14ac:dyDescent="0.25">
      <c r="A77" s="1">
        <v>25805800015</v>
      </c>
      <c r="B77" t="s">
        <v>415</v>
      </c>
      <c r="C77" t="s">
        <v>57</v>
      </c>
      <c r="D77" s="52">
        <v>2103750</v>
      </c>
    </row>
    <row r="78" spans="1:4" x14ac:dyDescent="0.25">
      <c r="A78" s="1">
        <v>25801700029</v>
      </c>
      <c r="B78" t="s">
        <v>514</v>
      </c>
      <c r="C78" t="s">
        <v>515</v>
      </c>
      <c r="D78" s="52">
        <v>2103750</v>
      </c>
    </row>
    <row r="79" spans="1:4" x14ac:dyDescent="0.25">
      <c r="A79" s="1">
        <v>25801400451</v>
      </c>
      <c r="B79" t="s">
        <v>181</v>
      </c>
      <c r="C79" t="s">
        <v>60</v>
      </c>
      <c r="D79" s="52">
        <v>2103750</v>
      </c>
    </row>
    <row r="80" spans="1:4" x14ac:dyDescent="0.25">
      <c r="A80" s="1">
        <v>25820100019</v>
      </c>
      <c r="B80" t="s">
        <v>477</v>
      </c>
      <c r="C80" t="s">
        <v>478</v>
      </c>
      <c r="D80" s="52">
        <v>2103750</v>
      </c>
    </row>
    <row r="81" spans="1:4" x14ac:dyDescent="0.25">
      <c r="A81" s="1">
        <v>25801200021</v>
      </c>
      <c r="B81" t="s">
        <v>730</v>
      </c>
      <c r="C81" t="s">
        <v>484</v>
      </c>
      <c r="D81" s="52">
        <v>2103750</v>
      </c>
    </row>
    <row r="82" spans="1:4" x14ac:dyDescent="0.25">
      <c r="A82" s="1">
        <v>25808700221</v>
      </c>
      <c r="B82" t="s">
        <v>1107</v>
      </c>
      <c r="C82" t="s">
        <v>942</v>
      </c>
      <c r="D82" s="52">
        <v>2103750</v>
      </c>
    </row>
    <row r="83" spans="1:4" x14ac:dyDescent="0.25">
      <c r="A83" s="1">
        <v>25820500001</v>
      </c>
      <c r="B83" t="s">
        <v>456</v>
      </c>
      <c r="C83" t="s">
        <v>120</v>
      </c>
      <c r="D83" s="52">
        <v>2103750</v>
      </c>
    </row>
    <row r="84" spans="1:4" x14ac:dyDescent="0.25">
      <c r="A84" s="1">
        <v>25806800005</v>
      </c>
      <c r="B84" t="s">
        <v>493</v>
      </c>
      <c r="C84" t="s">
        <v>494</v>
      </c>
      <c r="D84" s="52">
        <v>2103750</v>
      </c>
    </row>
    <row r="85" spans="1:4" x14ac:dyDescent="0.25">
      <c r="A85" s="1">
        <v>25800400125</v>
      </c>
      <c r="B85" t="s">
        <v>1957</v>
      </c>
      <c r="C85" t="s">
        <v>204</v>
      </c>
      <c r="D85" s="52">
        <v>2103750</v>
      </c>
    </row>
    <row r="86" spans="1:4" x14ac:dyDescent="0.25">
      <c r="A86" s="1" t="s">
        <v>417</v>
      </c>
      <c r="B86" t="s">
        <v>418</v>
      </c>
      <c r="C86" t="s">
        <v>91</v>
      </c>
      <c r="D86" s="52">
        <v>2103750</v>
      </c>
    </row>
    <row r="87" spans="1:4" x14ac:dyDescent="0.25">
      <c r="A87" s="1">
        <v>25805900008</v>
      </c>
      <c r="B87" t="s">
        <v>499</v>
      </c>
      <c r="C87" t="s">
        <v>517</v>
      </c>
      <c r="D87" s="52">
        <v>2103750</v>
      </c>
    </row>
    <row r="88" spans="1:4" x14ac:dyDescent="0.25">
      <c r="A88" s="1">
        <v>25808700110</v>
      </c>
      <c r="B88" t="s">
        <v>1344</v>
      </c>
      <c r="C88" t="s">
        <v>311</v>
      </c>
      <c r="D88" s="52">
        <v>2103750</v>
      </c>
    </row>
    <row r="89" spans="1:4" x14ac:dyDescent="0.25">
      <c r="A89" s="1">
        <v>25808900243</v>
      </c>
      <c r="B89" t="s">
        <v>781</v>
      </c>
      <c r="C89" t="s">
        <v>494</v>
      </c>
      <c r="D89" s="52">
        <v>2103750</v>
      </c>
    </row>
    <row r="90" spans="1:4" x14ac:dyDescent="0.25">
      <c r="A90" s="1">
        <v>25801500098</v>
      </c>
      <c r="B90" t="s">
        <v>1885</v>
      </c>
      <c r="C90" t="s">
        <v>341</v>
      </c>
      <c r="D90" s="52">
        <v>2103750</v>
      </c>
    </row>
    <row r="91" spans="1:4" x14ac:dyDescent="0.25">
      <c r="A91" s="1">
        <v>25808300040</v>
      </c>
      <c r="B91" t="s">
        <v>274</v>
      </c>
      <c r="C91" t="s">
        <v>275</v>
      </c>
      <c r="D91" s="52">
        <v>2103750</v>
      </c>
    </row>
    <row r="92" spans="1:4" x14ac:dyDescent="0.25">
      <c r="A92" s="1">
        <v>25802800145</v>
      </c>
      <c r="B92" t="s">
        <v>532</v>
      </c>
      <c r="C92" t="s">
        <v>484</v>
      </c>
      <c r="D92" s="52">
        <v>2103750</v>
      </c>
    </row>
    <row r="93" spans="1:4" x14ac:dyDescent="0.25">
      <c r="A93" s="1">
        <v>25808200100</v>
      </c>
      <c r="B93" t="s">
        <v>627</v>
      </c>
      <c r="C93" t="s">
        <v>294</v>
      </c>
      <c r="D93" s="52">
        <v>2103750</v>
      </c>
    </row>
    <row r="94" spans="1:4" x14ac:dyDescent="0.25">
      <c r="A94" s="1">
        <v>25808300049</v>
      </c>
      <c r="B94" t="s">
        <v>452</v>
      </c>
      <c r="C94" t="s">
        <v>239</v>
      </c>
      <c r="D94" s="52">
        <v>2103750</v>
      </c>
    </row>
    <row r="95" spans="1:4" x14ac:dyDescent="0.25">
      <c r="A95" s="1">
        <v>25807600039</v>
      </c>
      <c r="B95" t="s">
        <v>1886</v>
      </c>
      <c r="C95" t="s">
        <v>207</v>
      </c>
      <c r="D95" s="52">
        <v>2103750</v>
      </c>
    </row>
    <row r="96" spans="1:4" x14ac:dyDescent="0.25">
      <c r="A96" s="1">
        <v>25805800005</v>
      </c>
      <c r="B96" t="s">
        <v>1887</v>
      </c>
      <c r="C96" t="s">
        <v>413</v>
      </c>
      <c r="D96" s="52">
        <v>2103750</v>
      </c>
    </row>
    <row r="97" spans="1:4" x14ac:dyDescent="0.25">
      <c r="A97" s="1">
        <v>25808900095</v>
      </c>
      <c r="B97" t="s">
        <v>293</v>
      </c>
      <c r="C97" t="s">
        <v>294</v>
      </c>
      <c r="D97" s="52">
        <v>2470000</v>
      </c>
    </row>
    <row r="98" spans="1:4" x14ac:dyDescent="0.25">
      <c r="A98" s="1">
        <v>25809600059</v>
      </c>
      <c r="B98" t="s">
        <v>687</v>
      </c>
      <c r="C98" t="s">
        <v>275</v>
      </c>
      <c r="D98" s="52">
        <v>2103750</v>
      </c>
    </row>
    <row r="99" spans="1:4" x14ac:dyDescent="0.25">
      <c r="A99" s="1">
        <v>25801800061</v>
      </c>
      <c r="B99" t="s">
        <v>197</v>
      </c>
      <c r="C99" t="s">
        <v>242</v>
      </c>
      <c r="D99" s="52">
        <v>2103750</v>
      </c>
    </row>
    <row r="100" spans="1:4" x14ac:dyDescent="0.25">
      <c r="A100" s="1">
        <v>25809600068</v>
      </c>
      <c r="B100" t="s">
        <v>669</v>
      </c>
      <c r="C100" t="s">
        <v>341</v>
      </c>
      <c r="D100" s="52">
        <v>2103750</v>
      </c>
    </row>
    <row r="101" spans="1:4" x14ac:dyDescent="0.25">
      <c r="A101" s="1">
        <v>25808900057</v>
      </c>
      <c r="B101" t="s">
        <v>629</v>
      </c>
      <c r="C101" t="s">
        <v>57</v>
      </c>
      <c r="D101" s="52">
        <v>2103750</v>
      </c>
    </row>
    <row r="102" spans="1:4" x14ac:dyDescent="0.25">
      <c r="A102" s="1">
        <v>25801800021</v>
      </c>
      <c r="B102" t="s">
        <v>640</v>
      </c>
      <c r="C102" t="s">
        <v>641</v>
      </c>
      <c r="D102" s="52">
        <v>2103750</v>
      </c>
    </row>
    <row r="103" spans="1:4" x14ac:dyDescent="0.25">
      <c r="A103" s="1">
        <v>25805800009</v>
      </c>
      <c r="B103" t="s">
        <v>625</v>
      </c>
      <c r="C103" t="s">
        <v>231</v>
      </c>
      <c r="D103" s="52">
        <v>2103750</v>
      </c>
    </row>
    <row r="104" spans="1:4" x14ac:dyDescent="0.25">
      <c r="A104" s="1">
        <v>25808900091</v>
      </c>
      <c r="B104" t="s">
        <v>678</v>
      </c>
      <c r="C104" t="s">
        <v>207</v>
      </c>
      <c r="D104" s="52">
        <v>2103750</v>
      </c>
    </row>
    <row r="105" spans="1:4" x14ac:dyDescent="0.25">
      <c r="A105" s="1">
        <v>25802800347</v>
      </c>
      <c r="B105" t="s">
        <v>251</v>
      </c>
      <c r="C105" t="s">
        <v>252</v>
      </c>
      <c r="D105" s="52">
        <v>2103750</v>
      </c>
    </row>
    <row r="106" spans="1:4" x14ac:dyDescent="0.25">
      <c r="A106" s="1">
        <v>25801800183</v>
      </c>
      <c r="B106" t="s">
        <v>610</v>
      </c>
      <c r="C106" t="s">
        <v>611</v>
      </c>
      <c r="D106" s="52">
        <v>2103750</v>
      </c>
    </row>
    <row r="107" spans="1:4" x14ac:dyDescent="0.25">
      <c r="A107" s="1">
        <v>25802800351</v>
      </c>
      <c r="B107" t="s">
        <v>1888</v>
      </c>
      <c r="C107" t="s">
        <v>1889</v>
      </c>
      <c r="D107" s="52">
        <v>2103750</v>
      </c>
    </row>
    <row r="108" spans="1:4" x14ac:dyDescent="0.25">
      <c r="A108" s="1">
        <v>25808900004</v>
      </c>
      <c r="B108" t="s">
        <v>673</v>
      </c>
      <c r="C108" t="s">
        <v>160</v>
      </c>
      <c r="D108" s="52">
        <v>2103750</v>
      </c>
    </row>
    <row r="109" spans="1:4" x14ac:dyDescent="0.25">
      <c r="A109" s="1">
        <v>25806000007</v>
      </c>
      <c r="B109" t="s">
        <v>1891</v>
      </c>
      <c r="C109" t="s">
        <v>116</v>
      </c>
      <c r="D109" s="52">
        <v>2103750</v>
      </c>
    </row>
    <row r="110" spans="1:4" x14ac:dyDescent="0.25">
      <c r="A110" s="1">
        <v>25808900240</v>
      </c>
      <c r="B110" t="s">
        <v>696</v>
      </c>
      <c r="C110" t="s">
        <v>91</v>
      </c>
      <c r="D110" s="52">
        <v>2103750</v>
      </c>
    </row>
    <row r="111" spans="1:4" x14ac:dyDescent="0.25">
      <c r="A111" s="1">
        <v>25808900043</v>
      </c>
      <c r="B111" t="s">
        <v>694</v>
      </c>
      <c r="C111" t="s">
        <v>490</v>
      </c>
      <c r="D111" s="52">
        <v>2103750</v>
      </c>
    </row>
    <row r="112" spans="1:4" x14ac:dyDescent="0.25">
      <c r="A112" s="1">
        <v>25808600134</v>
      </c>
      <c r="B112" t="s">
        <v>310</v>
      </c>
      <c r="C112" t="s">
        <v>311</v>
      </c>
      <c r="D112" s="52">
        <v>2103750</v>
      </c>
    </row>
    <row r="113" spans="1:4" x14ac:dyDescent="0.25">
      <c r="A113" s="1">
        <v>25802400028</v>
      </c>
      <c r="B113" t="s">
        <v>683</v>
      </c>
      <c r="C113" t="s">
        <v>638</v>
      </c>
      <c r="D113" s="52">
        <v>2103750</v>
      </c>
    </row>
    <row r="114" spans="1:4" x14ac:dyDescent="0.25">
      <c r="A114" s="1">
        <v>25801800089</v>
      </c>
      <c r="B114" t="s">
        <v>635</v>
      </c>
      <c r="C114" t="s">
        <v>636</v>
      </c>
      <c r="D114" s="52">
        <v>2103750</v>
      </c>
    </row>
    <row r="115" spans="1:4" x14ac:dyDescent="0.25">
      <c r="A115" s="1">
        <v>25802800096</v>
      </c>
      <c r="B115" t="s">
        <v>750</v>
      </c>
      <c r="C115" t="s">
        <v>157</v>
      </c>
      <c r="D115" s="52">
        <v>2103750</v>
      </c>
    </row>
    <row r="116" spans="1:4" x14ac:dyDescent="0.25">
      <c r="A116" s="1">
        <v>25806000004</v>
      </c>
      <c r="B116" t="s">
        <v>650</v>
      </c>
      <c r="C116" t="s">
        <v>651</v>
      </c>
      <c r="D116" s="52">
        <v>2103750</v>
      </c>
    </row>
    <row r="117" spans="1:4" x14ac:dyDescent="0.25">
      <c r="A117" s="1">
        <v>25802400025</v>
      </c>
      <c r="B117" t="s">
        <v>420</v>
      </c>
      <c r="C117" t="s">
        <v>421</v>
      </c>
      <c r="D117" s="52">
        <v>2103750</v>
      </c>
    </row>
    <row r="118" spans="1:4" x14ac:dyDescent="0.25">
      <c r="A118" s="29">
        <v>25805900103</v>
      </c>
      <c r="B118" t="s">
        <v>614</v>
      </c>
      <c r="C118" t="s">
        <v>615</v>
      </c>
      <c r="D118" s="51">
        <v>2103750</v>
      </c>
    </row>
    <row r="119" spans="1:4" x14ac:dyDescent="0.25">
      <c r="A119" s="29">
        <v>25802600139</v>
      </c>
      <c r="B119" t="s">
        <v>735</v>
      </c>
      <c r="C119" t="s">
        <v>376</v>
      </c>
      <c r="D119" s="51">
        <v>2103750</v>
      </c>
    </row>
    <row r="120" spans="1:4" x14ac:dyDescent="0.25">
      <c r="A120" s="1">
        <v>25806000026</v>
      </c>
      <c r="B120" t="s">
        <v>737</v>
      </c>
      <c r="C120" t="s">
        <v>151</v>
      </c>
      <c r="D120" s="52">
        <v>2103750</v>
      </c>
    </row>
    <row r="121" spans="1:4" x14ac:dyDescent="0.25">
      <c r="A121" s="1">
        <v>25808900109</v>
      </c>
      <c r="B121" t="s">
        <v>680</v>
      </c>
      <c r="C121" t="s">
        <v>681</v>
      </c>
      <c r="D121" s="52">
        <v>2103750</v>
      </c>
    </row>
    <row r="122" spans="1:4" x14ac:dyDescent="0.25">
      <c r="A122" s="1">
        <v>25802800006</v>
      </c>
      <c r="B122" t="s">
        <v>700</v>
      </c>
      <c r="C122" t="s">
        <v>160</v>
      </c>
      <c r="D122" s="52">
        <v>2103750</v>
      </c>
    </row>
    <row r="123" spans="1:4" x14ac:dyDescent="0.25">
      <c r="A123" s="1">
        <v>25808900122</v>
      </c>
      <c r="B123" t="s">
        <v>534</v>
      </c>
      <c r="C123" t="s">
        <v>658</v>
      </c>
      <c r="D123" s="52">
        <v>2103750</v>
      </c>
    </row>
    <row r="124" spans="1:4" x14ac:dyDescent="0.25">
      <c r="A124" s="1">
        <v>25808600014</v>
      </c>
      <c r="B124" t="s">
        <v>361</v>
      </c>
      <c r="C124" t="s">
        <v>362</v>
      </c>
      <c r="D124" s="52">
        <v>2103750</v>
      </c>
    </row>
    <row r="125" spans="1:4" x14ac:dyDescent="0.25">
      <c r="A125" s="1">
        <v>25802600056</v>
      </c>
      <c r="B125" t="s">
        <v>269</v>
      </c>
      <c r="C125" t="s">
        <v>175</v>
      </c>
      <c r="D125" s="52">
        <v>2103750</v>
      </c>
    </row>
    <row r="126" spans="1:4" x14ac:dyDescent="0.25">
      <c r="A126" s="1">
        <v>25808900132</v>
      </c>
      <c r="B126" t="s">
        <v>562</v>
      </c>
      <c r="C126" t="s">
        <v>563</v>
      </c>
      <c r="D126" s="52">
        <v>2103750</v>
      </c>
    </row>
    <row r="127" spans="1:4" x14ac:dyDescent="0.25">
      <c r="A127" s="68">
        <v>25808900229</v>
      </c>
      <c r="B127" t="s">
        <v>1892</v>
      </c>
      <c r="C127" t="s">
        <v>676</v>
      </c>
      <c r="D127" s="52">
        <v>2103750</v>
      </c>
    </row>
    <row r="128" spans="1:4" x14ac:dyDescent="0.25">
      <c r="A128" s="1">
        <v>25802800087</v>
      </c>
      <c r="B128" t="s">
        <v>353</v>
      </c>
      <c r="C128" t="s">
        <v>157</v>
      </c>
      <c r="D128" s="52">
        <v>2103750</v>
      </c>
    </row>
    <row r="129" spans="1:4" x14ac:dyDescent="0.25">
      <c r="A129" s="1">
        <v>25802800114</v>
      </c>
      <c r="B129" t="s">
        <v>364</v>
      </c>
      <c r="C129" t="s">
        <v>57</v>
      </c>
      <c r="D129" s="52">
        <v>2103750</v>
      </c>
    </row>
    <row r="130" spans="1:4" x14ac:dyDescent="0.25">
      <c r="A130" s="1">
        <v>25802800180</v>
      </c>
      <c r="B130" t="s">
        <v>653</v>
      </c>
      <c r="C130" t="s">
        <v>74</v>
      </c>
      <c r="D130" s="52">
        <v>2103750</v>
      </c>
    </row>
    <row r="131" spans="1:4" x14ac:dyDescent="0.25">
      <c r="A131" s="1">
        <v>25808900240</v>
      </c>
      <c r="B131" t="s">
        <v>1893</v>
      </c>
      <c r="C131" t="s">
        <v>1894</v>
      </c>
      <c r="D131" s="52">
        <v>2103750</v>
      </c>
    </row>
    <row r="132" spans="1:4" x14ac:dyDescent="0.25">
      <c r="A132" s="1">
        <v>25802800020</v>
      </c>
      <c r="B132" t="s">
        <v>779</v>
      </c>
      <c r="C132" t="s">
        <v>120</v>
      </c>
      <c r="D132" s="52">
        <v>2103750</v>
      </c>
    </row>
    <row r="133" spans="1:4" x14ac:dyDescent="0.25">
      <c r="A133" s="1">
        <v>25802800120</v>
      </c>
      <c r="B133" t="s">
        <v>1895</v>
      </c>
      <c r="C133" t="s">
        <v>182</v>
      </c>
      <c r="D133" s="52">
        <v>2470000</v>
      </c>
    </row>
    <row r="134" spans="1:4" x14ac:dyDescent="0.25">
      <c r="A134" s="1">
        <v>25807100028</v>
      </c>
      <c r="B134" t="s">
        <v>617</v>
      </c>
      <c r="C134" t="s">
        <v>160</v>
      </c>
      <c r="D134" s="52">
        <v>2103750</v>
      </c>
    </row>
    <row r="135" spans="1:4" x14ac:dyDescent="0.25">
      <c r="A135" s="1">
        <v>25806000094</v>
      </c>
      <c r="B135" t="s">
        <v>154</v>
      </c>
      <c r="C135" t="s">
        <v>22</v>
      </c>
      <c r="D135" s="51">
        <v>2103750</v>
      </c>
    </row>
    <row r="136" spans="1:4" x14ac:dyDescent="0.25">
      <c r="A136" s="1">
        <v>25808600258</v>
      </c>
      <c r="B136" t="s">
        <v>1897</v>
      </c>
      <c r="C136" t="s">
        <v>166</v>
      </c>
      <c r="D136" s="52">
        <v>2470000</v>
      </c>
    </row>
    <row r="137" spans="1:4" x14ac:dyDescent="0.25">
      <c r="A137" s="1">
        <v>25806000071</v>
      </c>
      <c r="B137" t="s">
        <v>750</v>
      </c>
      <c r="C137" t="s">
        <v>408</v>
      </c>
      <c r="D137" s="51">
        <v>2103750</v>
      </c>
    </row>
    <row r="138" spans="1:4" x14ac:dyDescent="0.25">
      <c r="A138" s="1">
        <v>25806000034</v>
      </c>
      <c r="B138" t="s">
        <v>1898</v>
      </c>
      <c r="C138" t="s">
        <v>275</v>
      </c>
      <c r="D138" s="51">
        <v>2103750</v>
      </c>
    </row>
    <row r="139" spans="1:4" x14ac:dyDescent="0.25">
      <c r="A139" s="1">
        <v>25805800048</v>
      </c>
      <c r="B139" t="s">
        <v>426</v>
      </c>
      <c r="C139" t="s">
        <v>157</v>
      </c>
      <c r="D139" s="52">
        <v>2103750</v>
      </c>
    </row>
    <row r="140" spans="1:4" x14ac:dyDescent="0.25">
      <c r="A140" s="1">
        <v>25807800050</v>
      </c>
      <c r="B140" t="s">
        <v>327</v>
      </c>
      <c r="C140" t="s">
        <v>54</v>
      </c>
      <c r="D140" s="52">
        <v>2103750</v>
      </c>
    </row>
    <row r="141" spans="1:4" x14ac:dyDescent="0.25">
      <c r="A141" s="1">
        <v>25802600042</v>
      </c>
      <c r="B141" t="s">
        <v>764</v>
      </c>
      <c r="C141" t="s">
        <v>384</v>
      </c>
      <c r="D141" s="52">
        <v>2103750</v>
      </c>
    </row>
    <row r="142" spans="1:4" x14ac:dyDescent="0.25">
      <c r="A142" s="1">
        <v>25801100123</v>
      </c>
      <c r="B142" t="s">
        <v>1899</v>
      </c>
      <c r="C142" t="s">
        <v>157</v>
      </c>
      <c r="D142" s="52">
        <v>2103750</v>
      </c>
    </row>
    <row r="143" spans="1:4" x14ac:dyDescent="0.25">
      <c r="A143" s="1">
        <v>25802800275</v>
      </c>
      <c r="B143" t="s">
        <v>771</v>
      </c>
      <c r="C143" t="s">
        <v>311</v>
      </c>
      <c r="D143" s="52">
        <v>2103750</v>
      </c>
    </row>
    <row r="144" spans="1:4" x14ac:dyDescent="0.25">
      <c r="A144" s="1">
        <v>25806500014</v>
      </c>
      <c r="B144" t="s">
        <v>762</v>
      </c>
      <c r="C144" t="s">
        <v>638</v>
      </c>
      <c r="D144" s="52">
        <v>2103750</v>
      </c>
    </row>
    <row r="145" spans="1:4" x14ac:dyDescent="0.25">
      <c r="A145" s="1">
        <v>25802600082</v>
      </c>
      <c r="B145" t="s">
        <v>774</v>
      </c>
      <c r="C145" t="s">
        <v>22</v>
      </c>
      <c r="D145" s="52">
        <v>2470000</v>
      </c>
    </row>
    <row r="146" spans="1:4" x14ac:dyDescent="0.25">
      <c r="A146" s="1">
        <v>25802800015</v>
      </c>
      <c r="B146" t="s">
        <v>318</v>
      </c>
      <c r="C146" t="s">
        <v>676</v>
      </c>
      <c r="D146" s="52">
        <v>2103750</v>
      </c>
    </row>
    <row r="147" spans="1:4" x14ac:dyDescent="0.25">
      <c r="A147" s="1">
        <v>25802600070</v>
      </c>
      <c r="B147" t="s">
        <v>777</v>
      </c>
      <c r="C147" t="s">
        <v>236</v>
      </c>
      <c r="D147" s="52">
        <v>2470000</v>
      </c>
    </row>
    <row r="148" spans="1:4" x14ac:dyDescent="0.25">
      <c r="A148" s="1">
        <v>25801100062</v>
      </c>
      <c r="B148" t="s">
        <v>811</v>
      </c>
      <c r="C148" t="s">
        <v>812</v>
      </c>
      <c r="D148" s="52">
        <v>2103750</v>
      </c>
    </row>
    <row r="149" spans="1:4" x14ac:dyDescent="0.25">
      <c r="A149" s="1">
        <v>25800500288</v>
      </c>
      <c r="B149" t="s">
        <v>123</v>
      </c>
      <c r="C149" t="s">
        <v>821</v>
      </c>
      <c r="D149" s="52">
        <v>2103750</v>
      </c>
    </row>
    <row r="150" spans="1:4" x14ac:dyDescent="0.25">
      <c r="A150" s="1">
        <v>25820300011</v>
      </c>
      <c r="B150" t="s">
        <v>1157</v>
      </c>
      <c r="C150" t="s">
        <v>66</v>
      </c>
      <c r="D150" s="52">
        <v>2103750</v>
      </c>
    </row>
    <row r="151" spans="1:4" x14ac:dyDescent="0.25">
      <c r="A151" s="1">
        <v>25807800110</v>
      </c>
      <c r="B151" t="s">
        <v>1901</v>
      </c>
      <c r="C151" t="s">
        <v>151</v>
      </c>
      <c r="D151" s="52">
        <v>2103750</v>
      </c>
    </row>
    <row r="152" spans="1:4" x14ac:dyDescent="0.25">
      <c r="A152" s="1">
        <v>25807700074</v>
      </c>
      <c r="B152" t="s">
        <v>1230</v>
      </c>
      <c r="C152" t="s">
        <v>563</v>
      </c>
      <c r="D152" s="52">
        <v>2103750</v>
      </c>
    </row>
    <row r="153" spans="1:4" x14ac:dyDescent="0.25">
      <c r="A153" s="1">
        <v>25807500237</v>
      </c>
      <c r="B153" t="s">
        <v>181</v>
      </c>
      <c r="C153" t="s">
        <v>1011</v>
      </c>
      <c r="D153" s="52">
        <v>2103750</v>
      </c>
    </row>
    <row r="154" spans="1:4" x14ac:dyDescent="0.25">
      <c r="A154" s="1">
        <v>25802700022</v>
      </c>
      <c r="B154" t="s">
        <v>1902</v>
      </c>
      <c r="C154" t="s">
        <v>384</v>
      </c>
      <c r="D154" s="52">
        <v>2103750</v>
      </c>
    </row>
    <row r="155" spans="1:4" x14ac:dyDescent="0.25">
      <c r="A155" s="1">
        <v>25808200096</v>
      </c>
      <c r="B155" t="s">
        <v>69</v>
      </c>
      <c r="C155" t="s">
        <v>104</v>
      </c>
      <c r="D155" s="52">
        <v>2103750</v>
      </c>
    </row>
    <row r="156" spans="1:4" x14ac:dyDescent="0.25">
      <c r="A156" s="1">
        <v>25801900115</v>
      </c>
      <c r="B156" t="s">
        <v>1903</v>
      </c>
      <c r="C156" t="s">
        <v>151</v>
      </c>
      <c r="D156" s="52">
        <v>2103750</v>
      </c>
    </row>
    <row r="157" spans="1:4" x14ac:dyDescent="0.25">
      <c r="A157" s="1">
        <v>25808200223</v>
      </c>
      <c r="B157" t="s">
        <v>1904</v>
      </c>
      <c r="C157" t="s">
        <v>88</v>
      </c>
      <c r="D157" s="52">
        <v>2103750</v>
      </c>
    </row>
    <row r="158" spans="1:4" x14ac:dyDescent="0.25">
      <c r="A158" s="1">
        <v>25800500133</v>
      </c>
      <c r="B158" t="s">
        <v>852</v>
      </c>
      <c r="C158" t="s">
        <v>294</v>
      </c>
      <c r="D158" s="52">
        <v>2103750</v>
      </c>
    </row>
    <row r="159" spans="1:4" x14ac:dyDescent="0.25">
      <c r="A159" s="1">
        <v>25802700054</v>
      </c>
      <c r="B159" t="s">
        <v>1905</v>
      </c>
      <c r="C159" t="s">
        <v>22</v>
      </c>
      <c r="D159" s="52">
        <v>2470000</v>
      </c>
    </row>
    <row r="160" spans="1:4" x14ac:dyDescent="0.25">
      <c r="A160" s="1">
        <v>25800500111</v>
      </c>
      <c r="B160" t="s">
        <v>249</v>
      </c>
      <c r="C160" t="s">
        <v>484</v>
      </c>
      <c r="D160" s="51">
        <v>2103750</v>
      </c>
    </row>
    <row r="161" spans="1:4" x14ac:dyDescent="0.25">
      <c r="A161" s="1">
        <v>25803800008</v>
      </c>
      <c r="B161" t="s">
        <v>1126</v>
      </c>
      <c r="C161" t="s">
        <v>120</v>
      </c>
      <c r="D161" s="63">
        <v>2600000</v>
      </c>
    </row>
    <row r="162" spans="1:4" x14ac:dyDescent="0.25">
      <c r="A162" s="1">
        <v>25807900073</v>
      </c>
      <c r="B162" t="s">
        <v>797</v>
      </c>
      <c r="C162" t="s">
        <v>515</v>
      </c>
      <c r="D162" s="52">
        <v>2103750</v>
      </c>
    </row>
    <row r="163" spans="1:4" x14ac:dyDescent="0.25">
      <c r="A163" s="1">
        <v>25800500248</v>
      </c>
      <c r="B163" t="s">
        <v>830</v>
      </c>
      <c r="C163" t="s">
        <v>821</v>
      </c>
      <c r="D163" s="52">
        <v>2103750</v>
      </c>
    </row>
    <row r="164" spans="1:4" x14ac:dyDescent="0.25">
      <c r="A164" s="1">
        <v>25802700104</v>
      </c>
      <c r="B164" t="s">
        <v>987</v>
      </c>
      <c r="C164" t="s">
        <v>922</v>
      </c>
      <c r="D164" s="52">
        <v>2103750</v>
      </c>
    </row>
    <row r="165" spans="1:4" x14ac:dyDescent="0.25">
      <c r="A165" s="1">
        <v>25808200052</v>
      </c>
      <c r="B165" t="s">
        <v>585</v>
      </c>
      <c r="C165" t="s">
        <v>157</v>
      </c>
      <c r="D165" s="52">
        <v>2103750</v>
      </c>
    </row>
    <row r="166" spans="1:4" x14ac:dyDescent="0.25">
      <c r="A166" s="1">
        <v>25807500151</v>
      </c>
      <c r="B166" t="s">
        <v>801</v>
      </c>
      <c r="C166" t="s">
        <v>647</v>
      </c>
      <c r="D166" s="52">
        <v>2103750</v>
      </c>
    </row>
    <row r="167" spans="1:4" x14ac:dyDescent="0.25">
      <c r="A167" s="1">
        <v>25808200258</v>
      </c>
      <c r="B167" t="s">
        <v>886</v>
      </c>
      <c r="C167" t="s">
        <v>887</v>
      </c>
      <c r="D167" s="52">
        <v>2103750</v>
      </c>
    </row>
    <row r="168" spans="1:4" x14ac:dyDescent="0.25">
      <c r="A168" s="1">
        <v>25807500069</v>
      </c>
      <c r="B168" t="s">
        <v>896</v>
      </c>
      <c r="C168" t="s">
        <v>897</v>
      </c>
      <c r="D168" s="52">
        <v>2103750</v>
      </c>
    </row>
    <row r="169" spans="1:4" x14ac:dyDescent="0.25">
      <c r="A169" s="1">
        <v>25807900003</v>
      </c>
      <c r="B169" t="s">
        <v>383</v>
      </c>
      <c r="C169" t="s">
        <v>120</v>
      </c>
      <c r="D169" s="52">
        <v>2103750</v>
      </c>
    </row>
    <row r="170" spans="1:4" x14ac:dyDescent="0.25">
      <c r="A170" s="1">
        <v>25808200269</v>
      </c>
      <c r="B170" t="s">
        <v>181</v>
      </c>
      <c r="C170" t="s">
        <v>867</v>
      </c>
      <c r="D170" s="52">
        <v>2103750</v>
      </c>
    </row>
    <row r="171" spans="1:4" x14ac:dyDescent="0.25">
      <c r="A171" s="1">
        <v>25808200228</v>
      </c>
      <c r="B171" t="s">
        <v>879</v>
      </c>
      <c r="C171" t="s">
        <v>120</v>
      </c>
      <c r="D171" s="52">
        <v>2103750</v>
      </c>
    </row>
    <row r="172" spans="1:4" x14ac:dyDescent="0.25">
      <c r="A172" s="1">
        <v>25802100067</v>
      </c>
      <c r="B172" t="s">
        <v>110</v>
      </c>
      <c r="C172" t="s">
        <v>111</v>
      </c>
      <c r="D172" s="52">
        <v>2103750</v>
      </c>
    </row>
    <row r="173" spans="1:4" x14ac:dyDescent="0.25">
      <c r="A173" s="1">
        <v>25800500162</v>
      </c>
      <c r="B173" t="s">
        <v>844</v>
      </c>
      <c r="C173" t="s">
        <v>270</v>
      </c>
      <c r="D173" s="52">
        <v>2103750</v>
      </c>
    </row>
    <row r="174" spans="1:4" x14ac:dyDescent="0.25">
      <c r="A174" s="1">
        <v>25807800151</v>
      </c>
      <c r="B174" t="s">
        <v>646</v>
      </c>
      <c r="C174" t="s">
        <v>647</v>
      </c>
      <c r="D174" s="52">
        <v>2103750</v>
      </c>
    </row>
    <row r="175" spans="1:4" x14ac:dyDescent="0.25">
      <c r="A175" s="1">
        <v>25808200016</v>
      </c>
      <c r="B175" t="s">
        <v>1770</v>
      </c>
      <c r="C175" t="s">
        <v>120</v>
      </c>
      <c r="D175" s="52">
        <v>2103750</v>
      </c>
    </row>
    <row r="176" spans="1:4" x14ac:dyDescent="0.25">
      <c r="A176" s="1">
        <v>25803800098</v>
      </c>
      <c r="B176" t="s">
        <v>1247</v>
      </c>
      <c r="C176" t="s">
        <v>392</v>
      </c>
      <c r="D176" s="52">
        <v>2103750</v>
      </c>
    </row>
    <row r="177" spans="1:4" x14ac:dyDescent="0.25">
      <c r="A177" s="1">
        <v>25820300027</v>
      </c>
      <c r="B177" t="s">
        <v>983</v>
      </c>
      <c r="C177" t="s">
        <v>936</v>
      </c>
      <c r="D177" s="52">
        <v>2103750</v>
      </c>
    </row>
    <row r="178" spans="1:4" x14ac:dyDescent="0.25">
      <c r="A178" s="1">
        <v>25801100128</v>
      </c>
      <c r="B178" t="s">
        <v>852</v>
      </c>
      <c r="C178" t="s">
        <v>803</v>
      </c>
      <c r="D178" s="52">
        <v>2103750</v>
      </c>
    </row>
    <row r="179" spans="1:4" x14ac:dyDescent="0.25">
      <c r="A179" s="1">
        <v>25800400052</v>
      </c>
      <c r="B179" t="s">
        <v>1243</v>
      </c>
      <c r="C179" t="s">
        <v>157</v>
      </c>
      <c r="D179" s="52">
        <v>2103750</v>
      </c>
    </row>
    <row r="180" spans="1:4" x14ac:dyDescent="0.25">
      <c r="A180" s="1">
        <v>25800500310</v>
      </c>
      <c r="B180" t="s">
        <v>481</v>
      </c>
      <c r="C180" t="s">
        <v>157</v>
      </c>
      <c r="D180" s="52">
        <v>2103750</v>
      </c>
    </row>
    <row r="181" spans="1:4" x14ac:dyDescent="0.25">
      <c r="A181" s="1">
        <v>25807500001</v>
      </c>
      <c r="B181" t="s">
        <v>857</v>
      </c>
      <c r="C181" t="s">
        <v>494</v>
      </c>
      <c r="D181" s="52">
        <v>2103750</v>
      </c>
    </row>
    <row r="182" spans="1:4" x14ac:dyDescent="0.25">
      <c r="A182" s="1">
        <v>25807500007</v>
      </c>
      <c r="B182" t="s">
        <v>1906</v>
      </c>
      <c r="C182" t="s">
        <v>160</v>
      </c>
      <c r="D182" s="52">
        <v>2103750</v>
      </c>
    </row>
    <row r="183" spans="1:4" x14ac:dyDescent="0.25">
      <c r="A183" s="1">
        <v>25807500011</v>
      </c>
      <c r="B183" t="s">
        <v>1136</v>
      </c>
      <c r="C183" t="s">
        <v>120</v>
      </c>
      <c r="D183" s="52">
        <v>2103750</v>
      </c>
    </row>
    <row r="184" spans="1:4" x14ac:dyDescent="0.25">
      <c r="A184" s="1">
        <v>25800400049</v>
      </c>
      <c r="B184" t="s">
        <v>938</v>
      </c>
      <c r="C184" t="s">
        <v>939</v>
      </c>
      <c r="D184" s="52">
        <v>2103750</v>
      </c>
    </row>
    <row r="185" spans="1:4" x14ac:dyDescent="0.25">
      <c r="A185" s="1">
        <v>25808200053</v>
      </c>
      <c r="B185" t="s">
        <v>1067</v>
      </c>
      <c r="C185" t="s">
        <v>157</v>
      </c>
      <c r="D185" s="73">
        <v>2600000</v>
      </c>
    </row>
    <row r="186" spans="1:4" x14ac:dyDescent="0.25">
      <c r="A186" s="76">
        <v>25800400055</v>
      </c>
      <c r="B186" s="77" t="s">
        <v>955</v>
      </c>
      <c r="C186" s="77" t="s">
        <v>157</v>
      </c>
      <c r="D186" s="51">
        <v>2103750</v>
      </c>
    </row>
    <row r="187" spans="1:4" x14ac:dyDescent="0.25">
      <c r="A187" s="65">
        <v>25808100019</v>
      </c>
      <c r="B187" s="66" t="s">
        <v>750</v>
      </c>
      <c r="C187" s="66" t="s">
        <v>157</v>
      </c>
      <c r="D187" s="52">
        <v>2103750</v>
      </c>
    </row>
    <row r="188" spans="1:4" x14ac:dyDescent="0.25">
      <c r="A188" s="1">
        <v>25807700035</v>
      </c>
      <c r="B188" t="s">
        <v>1179</v>
      </c>
      <c r="C188" t="s">
        <v>175</v>
      </c>
      <c r="D188" s="52">
        <v>2103750</v>
      </c>
    </row>
    <row r="189" spans="1:4" x14ac:dyDescent="0.25">
      <c r="A189" s="1">
        <v>25800400077</v>
      </c>
      <c r="B189" t="s">
        <v>809</v>
      </c>
      <c r="C189" t="s">
        <v>57</v>
      </c>
      <c r="D189" s="52">
        <v>2103750</v>
      </c>
    </row>
    <row r="190" spans="1:4" x14ac:dyDescent="0.25">
      <c r="A190" s="1">
        <v>25806400012</v>
      </c>
      <c r="B190" t="s">
        <v>197</v>
      </c>
      <c r="C190" t="s">
        <v>50</v>
      </c>
      <c r="D190" s="52">
        <v>2103750</v>
      </c>
    </row>
    <row r="191" spans="1:4" x14ac:dyDescent="0.25">
      <c r="A191" s="1">
        <v>25802100022</v>
      </c>
      <c r="B191" t="s">
        <v>1241</v>
      </c>
      <c r="C191" t="s">
        <v>182</v>
      </c>
      <c r="D191" s="52">
        <v>2103750</v>
      </c>
    </row>
    <row r="192" spans="1:4" x14ac:dyDescent="0.25">
      <c r="A192" s="65">
        <v>25807800070</v>
      </c>
      <c r="B192" s="66" t="s">
        <v>894</v>
      </c>
      <c r="C192" s="66" t="s">
        <v>182</v>
      </c>
      <c r="D192" s="52">
        <v>2103750</v>
      </c>
    </row>
    <row r="193" spans="1:4" x14ac:dyDescent="0.25">
      <c r="A193" s="1">
        <v>25802600171</v>
      </c>
      <c r="B193" t="s">
        <v>747</v>
      </c>
      <c r="C193" t="s">
        <v>392</v>
      </c>
      <c r="D193" s="52">
        <v>2103750</v>
      </c>
    </row>
    <row r="194" spans="1:4" x14ac:dyDescent="0.25">
      <c r="A194" s="1">
        <v>25807500063</v>
      </c>
      <c r="B194" t="s">
        <v>968</v>
      </c>
      <c r="C194" t="s">
        <v>515</v>
      </c>
      <c r="D194" s="52">
        <v>2103750</v>
      </c>
    </row>
    <row r="195" spans="1:4" x14ac:dyDescent="0.25">
      <c r="A195" s="1">
        <v>25803800039</v>
      </c>
      <c r="B195" t="s">
        <v>1150</v>
      </c>
      <c r="C195" t="s">
        <v>408</v>
      </c>
      <c r="D195" s="51">
        <v>2103750</v>
      </c>
    </row>
    <row r="196" spans="1:4" x14ac:dyDescent="0.25">
      <c r="A196" s="1">
        <v>25807800099</v>
      </c>
      <c r="B196" t="s">
        <v>953</v>
      </c>
      <c r="C196" t="s">
        <v>74</v>
      </c>
      <c r="D196" s="52">
        <v>2103750</v>
      </c>
    </row>
    <row r="197" spans="1:4" x14ac:dyDescent="0.25">
      <c r="A197" s="1">
        <v>25801100044</v>
      </c>
      <c r="B197" t="s">
        <v>680</v>
      </c>
      <c r="C197" t="s">
        <v>74</v>
      </c>
      <c r="D197" s="52">
        <v>2103750</v>
      </c>
    </row>
    <row r="198" spans="1:4" x14ac:dyDescent="0.25">
      <c r="A198" s="1">
        <v>25808900092</v>
      </c>
      <c r="B198" t="s">
        <v>1228</v>
      </c>
      <c r="C198" t="s">
        <v>207</v>
      </c>
      <c r="D198" s="52">
        <v>2103750</v>
      </c>
    </row>
    <row r="199" spans="1:4" x14ac:dyDescent="0.25">
      <c r="A199" s="1">
        <v>25802500097</v>
      </c>
      <c r="B199" t="s">
        <v>278</v>
      </c>
      <c r="C199" t="s">
        <v>279</v>
      </c>
      <c r="D199" s="52">
        <v>2103750</v>
      </c>
    </row>
    <row r="200" spans="1:4" x14ac:dyDescent="0.25">
      <c r="A200" s="1">
        <v>25803800045</v>
      </c>
      <c r="B200" t="s">
        <v>1185</v>
      </c>
      <c r="C200" t="s">
        <v>1186</v>
      </c>
      <c r="D200" s="52">
        <v>2470000</v>
      </c>
    </row>
    <row r="201" spans="1:4" x14ac:dyDescent="0.25">
      <c r="A201" s="1">
        <v>25820300093</v>
      </c>
      <c r="B201" t="s">
        <v>1904</v>
      </c>
      <c r="C201" t="s">
        <v>204</v>
      </c>
      <c r="D201" s="51">
        <v>2103750</v>
      </c>
    </row>
    <row r="202" spans="1:4" x14ac:dyDescent="0.25">
      <c r="A202" s="1">
        <v>25802700069</v>
      </c>
      <c r="B202" t="s">
        <v>928</v>
      </c>
      <c r="C202" t="s">
        <v>929</v>
      </c>
      <c r="D202" s="52">
        <v>2103750</v>
      </c>
    </row>
    <row r="203" spans="1:4" x14ac:dyDescent="0.25">
      <c r="A203" s="1">
        <v>25800400133</v>
      </c>
      <c r="B203" t="s">
        <v>797</v>
      </c>
      <c r="C203" t="s">
        <v>242</v>
      </c>
      <c r="D203" s="52">
        <v>2103750</v>
      </c>
    </row>
    <row r="204" spans="1:4" x14ac:dyDescent="0.25">
      <c r="A204" s="1">
        <v>25807900052</v>
      </c>
      <c r="B204" t="s">
        <v>418</v>
      </c>
      <c r="C204" t="s">
        <v>842</v>
      </c>
      <c r="D204" s="52">
        <v>2470000</v>
      </c>
    </row>
    <row r="205" spans="1:4" x14ac:dyDescent="0.25">
      <c r="A205" s="1">
        <v>25803800058</v>
      </c>
      <c r="B205" t="s">
        <v>752</v>
      </c>
      <c r="C205" t="s">
        <v>30</v>
      </c>
      <c r="D205" s="52">
        <v>2103750</v>
      </c>
    </row>
    <row r="206" spans="1:4" x14ac:dyDescent="0.25">
      <c r="A206" s="1">
        <v>25807900054</v>
      </c>
      <c r="B206" t="s">
        <v>839</v>
      </c>
      <c r="C206" t="s">
        <v>840</v>
      </c>
      <c r="D206" s="52">
        <v>2103750</v>
      </c>
    </row>
    <row r="207" spans="1:4" x14ac:dyDescent="0.25">
      <c r="A207" s="1">
        <v>25800600669</v>
      </c>
      <c r="B207" t="s">
        <v>870</v>
      </c>
      <c r="C207" t="s">
        <v>284</v>
      </c>
      <c r="D207" s="52">
        <v>2103750</v>
      </c>
    </row>
    <row r="208" spans="1:4" x14ac:dyDescent="0.25">
      <c r="A208" s="1">
        <v>25803800060</v>
      </c>
      <c r="B208" t="s">
        <v>1907</v>
      </c>
      <c r="C208" t="s">
        <v>344</v>
      </c>
      <c r="D208" s="52">
        <v>2103750</v>
      </c>
    </row>
    <row r="209" spans="1:4" x14ac:dyDescent="0.25">
      <c r="A209" s="1">
        <v>25820300063</v>
      </c>
      <c r="B209" t="s">
        <v>993</v>
      </c>
      <c r="C209" t="s">
        <v>341</v>
      </c>
      <c r="D209" s="52">
        <v>2470000</v>
      </c>
    </row>
    <row r="210" spans="1:4" x14ac:dyDescent="0.25">
      <c r="A210" s="1">
        <v>25803800063</v>
      </c>
      <c r="B210" t="s">
        <v>1146</v>
      </c>
      <c r="C210" t="s">
        <v>341</v>
      </c>
      <c r="D210" s="63">
        <v>2600000</v>
      </c>
    </row>
    <row r="211" spans="1:4" x14ac:dyDescent="0.25">
      <c r="A211" s="1">
        <v>2508200117</v>
      </c>
      <c r="B211" t="s">
        <v>38</v>
      </c>
      <c r="C211" t="s">
        <v>1183</v>
      </c>
      <c r="D211" s="52">
        <v>2103750</v>
      </c>
    </row>
    <row r="212" spans="1:4" x14ac:dyDescent="0.25">
      <c r="A212" s="1">
        <v>25807800067</v>
      </c>
      <c r="B212" t="s">
        <v>919</v>
      </c>
      <c r="C212" t="s">
        <v>50</v>
      </c>
      <c r="D212" s="52">
        <v>2103750</v>
      </c>
    </row>
    <row r="213" spans="1:4" x14ac:dyDescent="0.25">
      <c r="A213" s="1">
        <v>25800600765</v>
      </c>
      <c r="B213" t="s">
        <v>911</v>
      </c>
      <c r="C213" t="s">
        <v>78</v>
      </c>
      <c r="D213" s="52">
        <v>2103750</v>
      </c>
    </row>
    <row r="214" spans="1:4" x14ac:dyDescent="0.25">
      <c r="A214" s="1">
        <v>25807500161</v>
      </c>
      <c r="B214" t="s">
        <v>537</v>
      </c>
      <c r="C214" t="s">
        <v>450</v>
      </c>
      <c r="D214" s="52">
        <v>2470000</v>
      </c>
    </row>
    <row r="215" spans="1:4" x14ac:dyDescent="0.25">
      <c r="A215" s="1">
        <v>25820100030</v>
      </c>
      <c r="B215" t="s">
        <v>1111</v>
      </c>
      <c r="C215" t="s">
        <v>484</v>
      </c>
      <c r="D215" s="51">
        <v>2103750</v>
      </c>
    </row>
    <row r="216" spans="1:4" x14ac:dyDescent="0.25">
      <c r="A216" s="1">
        <v>25807900042</v>
      </c>
      <c r="B216" t="s">
        <v>617</v>
      </c>
      <c r="C216" t="s">
        <v>1015</v>
      </c>
      <c r="D216" s="52">
        <v>2103750</v>
      </c>
    </row>
    <row r="217" spans="1:4" x14ac:dyDescent="0.25">
      <c r="A217" s="1">
        <v>25800400275</v>
      </c>
      <c r="B217" t="s">
        <v>989</v>
      </c>
      <c r="C217" t="s">
        <v>405</v>
      </c>
      <c r="D217" s="52">
        <v>2103750</v>
      </c>
    </row>
    <row r="218" spans="1:4" x14ac:dyDescent="0.25">
      <c r="A218" s="1">
        <v>25808200014</v>
      </c>
      <c r="B218" t="s">
        <v>1909</v>
      </c>
      <c r="C218" t="s">
        <v>120</v>
      </c>
      <c r="D218" s="52">
        <v>2470000</v>
      </c>
    </row>
    <row r="219" spans="1:4" x14ac:dyDescent="0.25">
      <c r="A219" s="1">
        <v>25807000012</v>
      </c>
      <c r="B219" s="12" t="s">
        <v>1092</v>
      </c>
      <c r="C219" s="12" t="s">
        <v>641</v>
      </c>
      <c r="D219" s="52">
        <v>2470000</v>
      </c>
    </row>
    <row r="220" spans="1:4" x14ac:dyDescent="0.25">
      <c r="A220" s="1">
        <v>25806400003</v>
      </c>
      <c r="B220" s="12" t="s">
        <v>1086</v>
      </c>
      <c r="C220" s="12" t="s">
        <v>1087</v>
      </c>
      <c r="D220" s="52">
        <v>2103750</v>
      </c>
    </row>
    <row r="221" spans="1:4" x14ac:dyDescent="0.25">
      <c r="A221" s="1">
        <v>25801100001</v>
      </c>
      <c r="B221" s="12" t="s">
        <v>1084</v>
      </c>
      <c r="C221" s="12" t="s">
        <v>160</v>
      </c>
      <c r="D221" s="52">
        <v>2103750</v>
      </c>
    </row>
    <row r="222" spans="1:4" x14ac:dyDescent="0.25">
      <c r="A222" s="1">
        <v>25800400088</v>
      </c>
      <c r="B222" s="12" t="s">
        <v>1082</v>
      </c>
      <c r="C222" s="12" t="s">
        <v>182</v>
      </c>
      <c r="D222" s="52">
        <v>2103750</v>
      </c>
    </row>
    <row r="223" spans="1:4" x14ac:dyDescent="0.25">
      <c r="A223" s="1">
        <v>25800400059</v>
      </c>
      <c r="B223" s="12" t="s">
        <v>916</v>
      </c>
      <c r="C223" s="12" t="s">
        <v>157</v>
      </c>
      <c r="D223" s="52">
        <v>2103750</v>
      </c>
    </row>
    <row r="224" spans="1:4" x14ac:dyDescent="0.25">
      <c r="A224" s="1">
        <v>25800400218</v>
      </c>
      <c r="B224" s="12" t="s">
        <v>42</v>
      </c>
      <c r="C224" t="s">
        <v>43</v>
      </c>
      <c r="D224" s="52">
        <v>2103750</v>
      </c>
    </row>
    <row r="225" spans="1:4" x14ac:dyDescent="0.25">
      <c r="A225" s="1">
        <v>25807800120</v>
      </c>
      <c r="B225" s="12" t="s">
        <v>1910</v>
      </c>
      <c r="C225" s="12" t="s">
        <v>1911</v>
      </c>
      <c r="D225" s="52">
        <v>2103750</v>
      </c>
    </row>
    <row r="226" spans="1:4" x14ac:dyDescent="0.25">
      <c r="A226" s="1">
        <v>25806400021</v>
      </c>
      <c r="B226" t="s">
        <v>1912</v>
      </c>
      <c r="C226" t="s">
        <v>1913</v>
      </c>
      <c r="D226" s="52">
        <v>2103750</v>
      </c>
    </row>
    <row r="227" spans="1:4" x14ac:dyDescent="0.25">
      <c r="A227" s="1">
        <v>25807500054</v>
      </c>
      <c r="B227" t="s">
        <v>1914</v>
      </c>
      <c r="C227" t="s">
        <v>1124</v>
      </c>
      <c r="D227" s="52">
        <v>2103750</v>
      </c>
    </row>
    <row r="228" spans="1:4" x14ac:dyDescent="0.25">
      <c r="A228" s="1">
        <v>25808200093</v>
      </c>
      <c r="B228" t="s">
        <v>1130</v>
      </c>
      <c r="C228" t="s">
        <v>138</v>
      </c>
      <c r="D228" s="52">
        <v>2103750</v>
      </c>
    </row>
    <row r="229" spans="1:4" x14ac:dyDescent="0.25">
      <c r="A229" s="1">
        <v>25820200013</v>
      </c>
      <c r="B229" t="s">
        <v>1915</v>
      </c>
      <c r="C229" t="s">
        <v>1916</v>
      </c>
      <c r="D229" s="52">
        <v>2103750</v>
      </c>
    </row>
    <row r="230" spans="1:4" x14ac:dyDescent="0.25">
      <c r="A230" s="1">
        <v>25801000013</v>
      </c>
      <c r="B230" t="s">
        <v>1115</v>
      </c>
      <c r="C230" t="s">
        <v>22</v>
      </c>
      <c r="D230" s="52">
        <v>2470000</v>
      </c>
    </row>
    <row r="231" spans="1:4" x14ac:dyDescent="0.25">
      <c r="A231" s="1">
        <v>25807800064</v>
      </c>
      <c r="B231" t="s">
        <v>56</v>
      </c>
      <c r="C231" t="s">
        <v>57</v>
      </c>
      <c r="D231" s="52">
        <v>2103750</v>
      </c>
    </row>
    <row r="232" spans="1:4" x14ac:dyDescent="0.25">
      <c r="A232" s="1">
        <v>25800400051</v>
      </c>
      <c r="B232" t="s">
        <v>1055</v>
      </c>
      <c r="C232" t="s">
        <v>490</v>
      </c>
      <c r="D232" s="52">
        <v>2103750</v>
      </c>
    </row>
    <row r="233" spans="1:4" x14ac:dyDescent="0.25">
      <c r="A233" s="1">
        <v>25800400287</v>
      </c>
      <c r="B233" t="s">
        <v>1917</v>
      </c>
      <c r="C233" t="s">
        <v>821</v>
      </c>
      <c r="D233" s="52">
        <v>2103750</v>
      </c>
    </row>
    <row r="234" spans="1:4" x14ac:dyDescent="0.25">
      <c r="A234" s="1">
        <v>25802100071</v>
      </c>
      <c r="B234" t="s">
        <v>1040</v>
      </c>
      <c r="C234" t="s">
        <v>1015</v>
      </c>
      <c r="D234" s="52">
        <v>2103750</v>
      </c>
    </row>
    <row r="235" spans="1:4" x14ac:dyDescent="0.25">
      <c r="A235" s="1">
        <v>25808700184</v>
      </c>
      <c r="B235" t="s">
        <v>200</v>
      </c>
      <c r="C235" t="s">
        <v>22</v>
      </c>
      <c r="D235" s="63">
        <v>2600000</v>
      </c>
    </row>
    <row r="236" spans="1:4" x14ac:dyDescent="0.25">
      <c r="A236" s="1">
        <v>25820700046</v>
      </c>
      <c r="B236" t="s">
        <v>1026</v>
      </c>
      <c r="C236" t="s">
        <v>1027</v>
      </c>
      <c r="D236" s="52">
        <v>2470000</v>
      </c>
    </row>
    <row r="237" spans="1:4" x14ac:dyDescent="0.25">
      <c r="A237" s="1">
        <v>25807500124</v>
      </c>
      <c r="B237" t="s">
        <v>571</v>
      </c>
      <c r="C237" t="s">
        <v>239</v>
      </c>
      <c r="D237" s="51">
        <v>2103750</v>
      </c>
    </row>
    <row r="238" spans="1:4" x14ac:dyDescent="0.25">
      <c r="A238" s="1">
        <v>25807500033</v>
      </c>
      <c r="B238" t="s">
        <v>103</v>
      </c>
      <c r="C238" t="s">
        <v>1918</v>
      </c>
      <c r="D238" s="52">
        <v>2103750</v>
      </c>
    </row>
    <row r="239" spans="1:4" x14ac:dyDescent="0.25">
      <c r="A239" s="1">
        <v>25800500109</v>
      </c>
      <c r="B239" t="s">
        <v>948</v>
      </c>
      <c r="C239" t="s">
        <v>484</v>
      </c>
      <c r="D239" s="52">
        <v>2103750</v>
      </c>
    </row>
    <row r="240" spans="1:4" x14ac:dyDescent="0.25">
      <c r="A240" s="1">
        <v>25807800073</v>
      </c>
      <c r="B240" t="s">
        <v>1052</v>
      </c>
      <c r="C240" t="s">
        <v>1053</v>
      </c>
      <c r="D240" s="52">
        <v>2103750</v>
      </c>
    </row>
    <row r="241" spans="1:4" x14ac:dyDescent="0.25">
      <c r="A241" s="1">
        <v>25820200036</v>
      </c>
      <c r="B241" t="s">
        <v>1958</v>
      </c>
      <c r="C241" t="s">
        <v>182</v>
      </c>
      <c r="D241" s="60">
        <v>2600000</v>
      </c>
    </row>
    <row r="242" spans="1:4" x14ac:dyDescent="0.25">
      <c r="A242" s="1">
        <v>25808500274</v>
      </c>
      <c r="B242" t="s">
        <v>143</v>
      </c>
      <c r="C242" t="s">
        <v>294</v>
      </c>
      <c r="D242" s="63">
        <v>2600000</v>
      </c>
    </row>
    <row r="243" spans="1:4" x14ac:dyDescent="0.25">
      <c r="A243" s="1">
        <v>25800400097</v>
      </c>
      <c r="B243" t="s">
        <v>1520</v>
      </c>
      <c r="C243" t="s">
        <v>1521</v>
      </c>
      <c r="D243" s="60">
        <v>2600000</v>
      </c>
    </row>
    <row r="244" spans="1:4" x14ac:dyDescent="0.25">
      <c r="A244" s="1">
        <v>25803800021</v>
      </c>
      <c r="B244" t="s">
        <v>1076</v>
      </c>
      <c r="C244" t="s">
        <v>478</v>
      </c>
      <c r="D244" s="51">
        <v>2103750</v>
      </c>
    </row>
    <row r="245" spans="1:4" x14ac:dyDescent="0.25">
      <c r="A245" s="1">
        <v>25800500112</v>
      </c>
      <c r="B245" t="s">
        <v>1253</v>
      </c>
      <c r="C245" t="s">
        <v>97</v>
      </c>
      <c r="D245" s="51">
        <v>2470000</v>
      </c>
    </row>
    <row r="246" spans="1:4" x14ac:dyDescent="0.25">
      <c r="A246" s="1">
        <v>25808200123</v>
      </c>
      <c r="B246" t="s">
        <v>1031</v>
      </c>
      <c r="C246" t="s">
        <v>842</v>
      </c>
      <c r="D246" s="51">
        <v>2103750</v>
      </c>
    </row>
    <row r="247" spans="1:4" x14ac:dyDescent="0.25">
      <c r="A247" s="1">
        <v>25801100007</v>
      </c>
      <c r="B247" t="s">
        <v>238</v>
      </c>
      <c r="C247" t="s">
        <v>942</v>
      </c>
      <c r="D247" s="52">
        <v>2103750</v>
      </c>
    </row>
    <row r="248" spans="1:4" x14ac:dyDescent="0.25">
      <c r="A248" s="1">
        <v>25800500093</v>
      </c>
      <c r="B248" t="s">
        <v>1919</v>
      </c>
      <c r="C248" t="s">
        <v>57</v>
      </c>
      <c r="D248" s="52">
        <v>2103750</v>
      </c>
    </row>
    <row r="249" spans="1:4" x14ac:dyDescent="0.25">
      <c r="A249" s="1">
        <v>25807800112</v>
      </c>
      <c r="B249" t="s">
        <v>1920</v>
      </c>
      <c r="C249" t="s">
        <v>1015</v>
      </c>
      <c r="D249" s="51">
        <v>2470000</v>
      </c>
    </row>
    <row r="250" spans="1:4" x14ac:dyDescent="0.25">
      <c r="A250" s="1">
        <v>25802700081</v>
      </c>
      <c r="B250" t="s">
        <v>1042</v>
      </c>
      <c r="C250" t="s">
        <v>270</v>
      </c>
      <c r="D250" s="51">
        <v>2103750</v>
      </c>
    </row>
    <row r="251" spans="1:4" x14ac:dyDescent="0.25">
      <c r="A251" s="1">
        <v>25806400041</v>
      </c>
      <c r="B251" t="s">
        <v>418</v>
      </c>
      <c r="C251" t="s">
        <v>1273</v>
      </c>
      <c r="D251" s="52">
        <v>2103750</v>
      </c>
    </row>
    <row r="252" spans="1:4" x14ac:dyDescent="0.25">
      <c r="A252" s="1">
        <v>25806400010</v>
      </c>
      <c r="B252" t="s">
        <v>1921</v>
      </c>
      <c r="C252" t="s">
        <v>157</v>
      </c>
      <c r="D252" s="52">
        <v>2103750</v>
      </c>
    </row>
    <row r="253" spans="1:4" x14ac:dyDescent="0.25">
      <c r="A253" s="1">
        <v>25800500136</v>
      </c>
      <c r="B253" t="s">
        <v>571</v>
      </c>
      <c r="C253" t="s">
        <v>88</v>
      </c>
      <c r="D253" s="52">
        <v>2103750</v>
      </c>
    </row>
    <row r="254" spans="1:4" x14ac:dyDescent="0.25">
      <c r="A254" s="1">
        <v>25820300049</v>
      </c>
      <c r="B254" t="s">
        <v>1922</v>
      </c>
      <c r="C254" t="s">
        <v>1060</v>
      </c>
      <c r="D254" s="52">
        <v>2103750</v>
      </c>
    </row>
    <row r="255" spans="1:4" x14ac:dyDescent="0.25">
      <c r="A255" s="1">
        <v>25800500277</v>
      </c>
      <c r="B255" t="s">
        <v>1078</v>
      </c>
      <c r="C255" t="s">
        <v>1036</v>
      </c>
      <c r="D255" s="52">
        <v>2470000</v>
      </c>
    </row>
    <row r="256" spans="1:4" x14ac:dyDescent="0.25">
      <c r="A256" s="1">
        <v>25808200070</v>
      </c>
      <c r="B256" t="s">
        <v>418</v>
      </c>
      <c r="C256" t="s">
        <v>57</v>
      </c>
      <c r="D256" s="52">
        <v>2103750</v>
      </c>
    </row>
    <row r="257" spans="1:4" x14ac:dyDescent="0.25">
      <c r="A257" s="1">
        <v>25820200011</v>
      </c>
      <c r="B257" t="s">
        <v>1065</v>
      </c>
      <c r="C257" t="s">
        <v>116</v>
      </c>
      <c r="D257" s="52">
        <v>2470000</v>
      </c>
    </row>
    <row r="258" spans="1:4" x14ac:dyDescent="0.25">
      <c r="A258" s="1">
        <v>25820300009</v>
      </c>
      <c r="B258" t="s">
        <v>1049</v>
      </c>
      <c r="C258" t="s">
        <v>1050</v>
      </c>
      <c r="D258" s="52">
        <v>2103750</v>
      </c>
    </row>
    <row r="259" spans="1:4" x14ac:dyDescent="0.25">
      <c r="A259" s="1">
        <v>25800400152</v>
      </c>
      <c r="B259" t="s">
        <v>1923</v>
      </c>
      <c r="C259" t="s">
        <v>658</v>
      </c>
      <c r="D259" s="52">
        <v>2103750</v>
      </c>
    </row>
    <row r="260" spans="1:4" x14ac:dyDescent="0.25">
      <c r="A260" s="1">
        <v>25807900018</v>
      </c>
      <c r="B260" t="s">
        <v>1064</v>
      </c>
      <c r="C260" t="s">
        <v>157</v>
      </c>
      <c r="D260" s="52">
        <v>2470000</v>
      </c>
    </row>
    <row r="261" spans="1:4" x14ac:dyDescent="0.25">
      <c r="A261" s="1">
        <v>25800400122</v>
      </c>
      <c r="B261" t="s">
        <v>1020</v>
      </c>
      <c r="C261" t="s">
        <v>204</v>
      </c>
      <c r="D261" s="52">
        <v>2103750</v>
      </c>
    </row>
    <row r="262" spans="1:4" x14ac:dyDescent="0.25">
      <c r="A262" s="1">
        <v>25820300026</v>
      </c>
      <c r="B262" t="s">
        <v>1047</v>
      </c>
      <c r="C262" t="s">
        <v>57</v>
      </c>
      <c r="D262" s="52">
        <v>2103750</v>
      </c>
    </row>
    <row r="263" spans="1:4" x14ac:dyDescent="0.25">
      <c r="A263" s="1">
        <v>25809400056</v>
      </c>
      <c r="B263" t="s">
        <v>1117</v>
      </c>
      <c r="C263" t="s">
        <v>116</v>
      </c>
      <c r="D263" s="52">
        <v>2103750</v>
      </c>
    </row>
    <row r="264" spans="1:4" x14ac:dyDescent="0.25">
      <c r="A264" s="1">
        <v>25807500032</v>
      </c>
      <c r="B264" t="s">
        <v>1924</v>
      </c>
      <c r="C264" t="s">
        <v>821</v>
      </c>
      <c r="D264" s="52">
        <v>2103750</v>
      </c>
    </row>
    <row r="265" spans="1:4" x14ac:dyDescent="0.25">
      <c r="A265" s="1">
        <v>25820100028</v>
      </c>
      <c r="B265" t="s">
        <v>1925</v>
      </c>
      <c r="C265" t="s">
        <v>515</v>
      </c>
      <c r="D265" s="52">
        <v>2103750</v>
      </c>
    </row>
    <row r="266" spans="1:4" x14ac:dyDescent="0.25">
      <c r="A266" s="1">
        <v>25802100069</v>
      </c>
      <c r="B266" t="s">
        <v>1264</v>
      </c>
      <c r="C266" t="s">
        <v>157</v>
      </c>
      <c r="D266" s="52">
        <v>2103750</v>
      </c>
    </row>
    <row r="267" spans="1:4" x14ac:dyDescent="0.25">
      <c r="A267" s="1">
        <v>25820100017</v>
      </c>
      <c r="B267" t="s">
        <v>1016</v>
      </c>
      <c r="C267" t="s">
        <v>157</v>
      </c>
      <c r="D267" s="52">
        <v>2103750</v>
      </c>
    </row>
    <row r="268" spans="1:4" x14ac:dyDescent="0.25">
      <c r="A268" s="1">
        <v>25802700134</v>
      </c>
      <c r="B268" t="s">
        <v>1926</v>
      </c>
      <c r="C268" t="s">
        <v>1011</v>
      </c>
      <c r="D268" s="52">
        <v>2103750</v>
      </c>
    </row>
    <row r="269" spans="1:4" x14ac:dyDescent="0.25">
      <c r="A269" s="2" t="s">
        <v>1079</v>
      </c>
      <c r="B269" t="s">
        <v>1080</v>
      </c>
      <c r="C269" t="s">
        <v>384</v>
      </c>
      <c r="D269" s="52">
        <v>2470000</v>
      </c>
    </row>
    <row r="270" spans="1:4" x14ac:dyDescent="0.25">
      <c r="A270" s="1">
        <v>25820300043</v>
      </c>
      <c r="B270" t="s">
        <v>1045</v>
      </c>
      <c r="C270" t="s">
        <v>294</v>
      </c>
      <c r="D270" s="52">
        <v>2470000</v>
      </c>
    </row>
    <row r="271" spans="1:4" x14ac:dyDescent="0.25">
      <c r="A271" s="1">
        <v>25806300031</v>
      </c>
      <c r="B271" t="s">
        <v>179</v>
      </c>
      <c r="C271" t="s">
        <v>104</v>
      </c>
      <c r="D271" s="52">
        <v>2103750</v>
      </c>
    </row>
    <row r="272" spans="1:4" x14ac:dyDescent="0.25">
      <c r="A272" s="1">
        <v>25820200060</v>
      </c>
      <c r="B272" t="s">
        <v>1208</v>
      </c>
      <c r="C272" t="s">
        <v>1929</v>
      </c>
      <c r="D272" s="52">
        <v>2103750</v>
      </c>
    </row>
    <row r="273" spans="1:4" x14ac:dyDescent="0.25">
      <c r="A273" s="1">
        <v>25820700063</v>
      </c>
      <c r="B273" t="s">
        <v>1930</v>
      </c>
      <c r="C273" t="s">
        <v>933</v>
      </c>
      <c r="D273" s="52">
        <v>2103750</v>
      </c>
    </row>
    <row r="274" spans="1:4" x14ac:dyDescent="0.25">
      <c r="A274" s="1">
        <v>25800400106</v>
      </c>
      <c r="B274" t="s">
        <v>1931</v>
      </c>
      <c r="C274" t="s">
        <v>1932</v>
      </c>
      <c r="D274" s="52">
        <v>2103750</v>
      </c>
    </row>
    <row r="275" spans="1:4" x14ac:dyDescent="0.25">
      <c r="A275" s="1">
        <v>25800500277</v>
      </c>
      <c r="B275" t="s">
        <v>1933</v>
      </c>
      <c r="C275" t="s">
        <v>902</v>
      </c>
      <c r="D275" s="52">
        <v>2103750</v>
      </c>
    </row>
    <row r="276" spans="1:4" x14ac:dyDescent="0.25">
      <c r="A276" s="1">
        <v>25808200051</v>
      </c>
      <c r="B276" t="s">
        <v>1934</v>
      </c>
      <c r="C276" t="s">
        <v>157</v>
      </c>
      <c r="D276" s="52">
        <v>2103750</v>
      </c>
    </row>
    <row r="277" spans="1:4" x14ac:dyDescent="0.25">
      <c r="A277" s="1">
        <v>25808200049</v>
      </c>
      <c r="B277" t="s">
        <v>49</v>
      </c>
      <c r="C277" t="s">
        <v>490</v>
      </c>
      <c r="D277" s="52">
        <v>2103750</v>
      </c>
    </row>
    <row r="278" spans="1:4" x14ac:dyDescent="0.25">
      <c r="A278" s="1">
        <v>25808200117</v>
      </c>
      <c r="B278" t="s">
        <v>904</v>
      </c>
      <c r="C278" t="s">
        <v>470</v>
      </c>
      <c r="D278" s="52">
        <v>2103750</v>
      </c>
    </row>
    <row r="279" spans="1:4" x14ac:dyDescent="0.25">
      <c r="A279" s="1">
        <v>25808200122</v>
      </c>
      <c r="B279" t="s">
        <v>872</v>
      </c>
      <c r="C279" t="s">
        <v>812</v>
      </c>
      <c r="D279" s="52">
        <v>2103750</v>
      </c>
    </row>
    <row r="280" spans="1:4" x14ac:dyDescent="0.25">
      <c r="A280" s="1">
        <v>25800400290</v>
      </c>
      <c r="B280" t="s">
        <v>1234</v>
      </c>
      <c r="C280" t="s">
        <v>1235</v>
      </c>
      <c r="D280" s="52">
        <v>2103750</v>
      </c>
    </row>
    <row r="281" spans="1:4" x14ac:dyDescent="0.25">
      <c r="A281" s="1">
        <v>25820200068</v>
      </c>
      <c r="B281" t="s">
        <v>978</v>
      </c>
      <c r="C281" t="s">
        <v>636</v>
      </c>
      <c r="D281" s="52">
        <v>2103750</v>
      </c>
    </row>
    <row r="282" spans="1:4" x14ac:dyDescent="0.25">
      <c r="A282" s="1">
        <v>25800500134</v>
      </c>
      <c r="B282" t="s">
        <v>1203</v>
      </c>
      <c r="C282" t="s">
        <v>88</v>
      </c>
      <c r="D282" s="52">
        <v>2103750</v>
      </c>
    </row>
    <row r="283" spans="1:4" x14ac:dyDescent="0.25">
      <c r="A283" s="1">
        <v>25807500227</v>
      </c>
      <c r="B283" t="s">
        <v>892</v>
      </c>
      <c r="C283" t="s">
        <v>311</v>
      </c>
      <c r="D283" s="52">
        <v>2103750</v>
      </c>
    </row>
    <row r="284" spans="1:4" x14ac:dyDescent="0.25">
      <c r="A284" s="1">
        <v>25806300036</v>
      </c>
      <c r="B284" t="s">
        <v>340</v>
      </c>
      <c r="C284" t="s">
        <v>341</v>
      </c>
      <c r="D284" s="52">
        <v>2470000</v>
      </c>
    </row>
    <row r="285" spans="1:4" x14ac:dyDescent="0.25">
      <c r="A285" s="1">
        <v>25802700192</v>
      </c>
      <c r="B285" t="s">
        <v>852</v>
      </c>
      <c r="C285" t="s">
        <v>294</v>
      </c>
      <c r="D285" s="52">
        <v>2103750</v>
      </c>
    </row>
    <row r="286" spans="1:4" x14ac:dyDescent="0.25">
      <c r="A286" s="1">
        <v>25800500007</v>
      </c>
      <c r="B286" t="s">
        <v>1189</v>
      </c>
      <c r="C286" t="s">
        <v>160</v>
      </c>
      <c r="D286" s="52">
        <v>2103750</v>
      </c>
    </row>
    <row r="287" spans="1:4" x14ac:dyDescent="0.25">
      <c r="A287" s="1">
        <v>25800500108</v>
      </c>
      <c r="B287" t="s">
        <v>1195</v>
      </c>
      <c r="C287" t="s">
        <v>500</v>
      </c>
      <c r="D287" s="52">
        <v>2103750</v>
      </c>
    </row>
    <row r="288" spans="1:4" x14ac:dyDescent="0.25">
      <c r="A288" s="1">
        <v>25800500025</v>
      </c>
      <c r="B288" t="s">
        <v>1201</v>
      </c>
      <c r="C288" t="s">
        <v>116</v>
      </c>
      <c r="D288" s="52">
        <v>2103750</v>
      </c>
    </row>
    <row r="289" spans="1:4" x14ac:dyDescent="0.25">
      <c r="A289" s="1">
        <v>25800500096</v>
      </c>
      <c r="B289" t="s">
        <v>1935</v>
      </c>
      <c r="C289" t="s">
        <v>936</v>
      </c>
      <c r="D289" s="52">
        <v>2103750</v>
      </c>
    </row>
    <row r="290" spans="1:4" x14ac:dyDescent="0.25">
      <c r="A290" s="1">
        <v>25800500056</v>
      </c>
      <c r="B290" t="s">
        <v>1936</v>
      </c>
      <c r="C290" t="s">
        <v>54</v>
      </c>
      <c r="D290" s="52">
        <v>2470000</v>
      </c>
    </row>
    <row r="291" spans="1:4" x14ac:dyDescent="0.25">
      <c r="A291" s="1">
        <v>25808200067</v>
      </c>
      <c r="B291" t="s">
        <v>603</v>
      </c>
      <c r="C291" t="s">
        <v>57</v>
      </c>
      <c r="D291" s="52">
        <v>2103750</v>
      </c>
    </row>
    <row r="292" spans="1:4" x14ac:dyDescent="0.25">
      <c r="A292" s="1">
        <v>25808200061</v>
      </c>
      <c r="B292" t="s">
        <v>1189</v>
      </c>
      <c r="C292" t="s">
        <v>1206</v>
      </c>
      <c r="D292" s="52">
        <v>2470000</v>
      </c>
    </row>
    <row r="293" spans="1:4" x14ac:dyDescent="0.25">
      <c r="A293" s="1">
        <v>25800500075</v>
      </c>
      <c r="B293" t="s">
        <v>1937</v>
      </c>
      <c r="C293" t="s">
        <v>1206</v>
      </c>
      <c r="D293" s="52">
        <v>2103750</v>
      </c>
    </row>
    <row r="294" spans="1:4" x14ac:dyDescent="0.25">
      <c r="A294" s="1">
        <v>25808700092</v>
      </c>
      <c r="B294" t="s">
        <v>1169</v>
      </c>
      <c r="C294" t="s">
        <v>270</v>
      </c>
      <c r="D294" s="52">
        <v>2103750</v>
      </c>
    </row>
    <row r="295" spans="1:4" x14ac:dyDescent="0.25">
      <c r="A295" s="1">
        <v>25807700003</v>
      </c>
      <c r="B295" t="s">
        <v>1226</v>
      </c>
      <c r="C295" t="s">
        <v>160</v>
      </c>
      <c r="D295" s="52">
        <v>2103750</v>
      </c>
    </row>
    <row r="296" spans="1:4" x14ac:dyDescent="0.25">
      <c r="A296" s="1">
        <v>25801200041</v>
      </c>
      <c r="B296" t="s">
        <v>1938</v>
      </c>
      <c r="C296" t="s">
        <v>376</v>
      </c>
      <c r="D296" s="52">
        <v>2103750</v>
      </c>
    </row>
    <row r="297" spans="1:4" x14ac:dyDescent="0.25">
      <c r="A297" s="1">
        <v>25801200035</v>
      </c>
      <c r="B297" t="s">
        <v>1939</v>
      </c>
      <c r="C297" t="s">
        <v>1929</v>
      </c>
      <c r="D297" s="52">
        <v>2103750</v>
      </c>
    </row>
    <row r="298" spans="1:4" x14ac:dyDescent="0.25">
      <c r="A298" s="1">
        <v>25801200066</v>
      </c>
      <c r="B298" t="s">
        <v>283</v>
      </c>
      <c r="C298" t="s">
        <v>284</v>
      </c>
      <c r="D298" s="52">
        <v>2103750</v>
      </c>
    </row>
    <row r="299" spans="1:4" x14ac:dyDescent="0.25">
      <c r="A299" s="1">
        <v>25801200012</v>
      </c>
      <c r="B299" t="s">
        <v>1210</v>
      </c>
      <c r="C299" t="s">
        <v>384</v>
      </c>
      <c r="D299" s="52">
        <v>2103750</v>
      </c>
    </row>
    <row r="300" spans="1:4" x14ac:dyDescent="0.25">
      <c r="A300" s="1">
        <v>25801200059</v>
      </c>
      <c r="B300" t="s">
        <v>1940</v>
      </c>
      <c r="C300" t="s">
        <v>1219</v>
      </c>
      <c r="D300" s="52">
        <v>2470000</v>
      </c>
    </row>
    <row r="301" spans="1:4" x14ac:dyDescent="0.25">
      <c r="A301" s="1">
        <v>25800500149</v>
      </c>
      <c r="B301" t="s">
        <v>824</v>
      </c>
      <c r="C301" t="s">
        <v>60</v>
      </c>
      <c r="D301" s="52">
        <v>2103750</v>
      </c>
    </row>
    <row r="302" spans="1:4" x14ac:dyDescent="0.25">
      <c r="A302" s="1">
        <v>25801200039</v>
      </c>
      <c r="B302" t="s">
        <v>1941</v>
      </c>
      <c r="C302" t="s">
        <v>376</v>
      </c>
      <c r="D302" s="52">
        <v>2103750</v>
      </c>
    </row>
    <row r="303" spans="1:4" x14ac:dyDescent="0.25">
      <c r="A303" s="1">
        <v>25800500311</v>
      </c>
      <c r="B303" t="s">
        <v>1057</v>
      </c>
      <c r="C303" t="s">
        <v>175</v>
      </c>
      <c r="D303" s="52">
        <v>2103750</v>
      </c>
    </row>
    <row r="304" spans="1:4" x14ac:dyDescent="0.25">
      <c r="A304" s="1">
        <v>25808700114</v>
      </c>
      <c r="B304" t="s">
        <v>293</v>
      </c>
      <c r="C304" t="s">
        <v>47</v>
      </c>
      <c r="D304" s="52">
        <v>2103750</v>
      </c>
    </row>
    <row r="305" spans="1:4" x14ac:dyDescent="0.25">
      <c r="A305" s="1">
        <v>25820300085</v>
      </c>
      <c r="B305" t="s">
        <v>995</v>
      </c>
      <c r="C305" t="s">
        <v>204</v>
      </c>
      <c r="D305" s="52">
        <v>2103750</v>
      </c>
    </row>
    <row r="306" spans="1:4" x14ac:dyDescent="0.25">
      <c r="A306" s="1">
        <v>25808700015</v>
      </c>
      <c r="B306" t="s">
        <v>1232</v>
      </c>
      <c r="C306" t="s">
        <v>131</v>
      </c>
      <c r="D306" s="52">
        <v>2103750</v>
      </c>
    </row>
    <row r="307" spans="1:4" x14ac:dyDescent="0.25">
      <c r="A307" s="1">
        <v>25802800185</v>
      </c>
      <c r="B307" t="s">
        <v>1070</v>
      </c>
      <c r="C307" t="s">
        <v>207</v>
      </c>
      <c r="D307" s="52">
        <v>2103750</v>
      </c>
    </row>
    <row r="308" spans="1:4" x14ac:dyDescent="0.25">
      <c r="A308" s="1">
        <v>25808700211</v>
      </c>
      <c r="B308" t="s">
        <v>1904</v>
      </c>
      <c r="C308" t="s">
        <v>88</v>
      </c>
      <c r="D308" s="52">
        <v>2470000</v>
      </c>
    </row>
    <row r="309" spans="1:4" x14ac:dyDescent="0.25">
      <c r="A309" s="1">
        <v>25808700067</v>
      </c>
      <c r="B309" t="s">
        <v>859</v>
      </c>
      <c r="C309" t="s">
        <v>207</v>
      </c>
      <c r="D309" s="52">
        <v>2103750</v>
      </c>
    </row>
    <row r="310" spans="1:4" x14ac:dyDescent="0.25">
      <c r="A310" s="1">
        <v>25807700017</v>
      </c>
      <c r="B310" t="s">
        <v>931</v>
      </c>
      <c r="C310" t="s">
        <v>517</v>
      </c>
      <c r="D310" s="52">
        <v>2103750</v>
      </c>
    </row>
    <row r="311" spans="1:4" x14ac:dyDescent="0.25">
      <c r="A311" s="1">
        <v>25808200072</v>
      </c>
      <c r="B311" t="s">
        <v>935</v>
      </c>
      <c r="C311" t="s">
        <v>936</v>
      </c>
      <c r="D311" s="63">
        <v>2600000</v>
      </c>
    </row>
    <row r="312" spans="1:4" x14ac:dyDescent="0.25">
      <c r="A312" s="1">
        <v>25800400142</v>
      </c>
      <c r="B312" t="s">
        <v>1279</v>
      </c>
      <c r="C312" t="s">
        <v>91</v>
      </c>
      <c r="D312" s="52">
        <v>2103750</v>
      </c>
    </row>
    <row r="313" spans="1:4" x14ac:dyDescent="0.25">
      <c r="A313" s="1">
        <v>25801200018</v>
      </c>
      <c r="B313" t="s">
        <v>1356</v>
      </c>
      <c r="C313" t="s">
        <v>1124</v>
      </c>
      <c r="D313" s="52">
        <v>2103750</v>
      </c>
    </row>
    <row r="314" spans="1:4" x14ac:dyDescent="0.25">
      <c r="A314" s="1">
        <v>25800400114</v>
      </c>
      <c r="B314" t="s">
        <v>997</v>
      </c>
      <c r="C314" t="s">
        <v>74</v>
      </c>
      <c r="D314" s="52">
        <v>2103750</v>
      </c>
    </row>
    <row r="315" spans="1:4" x14ac:dyDescent="0.25">
      <c r="A315" s="1">
        <v>25820200112</v>
      </c>
      <c r="B315" t="s">
        <v>1942</v>
      </c>
      <c r="C315" t="s">
        <v>484</v>
      </c>
      <c r="D315" s="52">
        <v>2103750</v>
      </c>
    </row>
    <row r="316" spans="1:4" x14ac:dyDescent="0.25">
      <c r="A316" s="1">
        <v>25808700176</v>
      </c>
      <c r="B316" t="s">
        <v>1943</v>
      </c>
      <c r="C316" t="s">
        <v>1870</v>
      </c>
      <c r="D316" s="52">
        <v>2103750</v>
      </c>
    </row>
    <row r="317" spans="1:4" x14ac:dyDescent="0.25">
      <c r="A317" s="1">
        <v>25808700001</v>
      </c>
      <c r="B317" t="s">
        <v>1944</v>
      </c>
      <c r="C317" t="s">
        <v>494</v>
      </c>
      <c r="D317" s="52">
        <v>2103750</v>
      </c>
    </row>
    <row r="318" spans="1:4" x14ac:dyDescent="0.25">
      <c r="A318" s="1">
        <v>25820100044</v>
      </c>
      <c r="B318" t="s">
        <v>1113</v>
      </c>
      <c r="C318" t="s">
        <v>43</v>
      </c>
      <c r="D318" s="52">
        <v>2103750</v>
      </c>
    </row>
    <row r="319" spans="1:4" x14ac:dyDescent="0.25">
      <c r="A319" s="1">
        <v>25806300028</v>
      </c>
      <c r="B319" t="s">
        <v>1262</v>
      </c>
      <c r="C319" t="s">
        <v>97</v>
      </c>
      <c r="D319" s="52">
        <v>2103750</v>
      </c>
    </row>
    <row r="320" spans="1:4" x14ac:dyDescent="0.25">
      <c r="A320" s="1">
        <v>25820300056</v>
      </c>
      <c r="B320" t="s">
        <v>1945</v>
      </c>
      <c r="C320" t="s">
        <v>1946</v>
      </c>
      <c r="D320" s="52">
        <v>2103750</v>
      </c>
    </row>
    <row r="321" spans="1:4" x14ac:dyDescent="0.25">
      <c r="A321" s="1">
        <v>25800600343</v>
      </c>
      <c r="B321" t="s">
        <v>809</v>
      </c>
      <c r="C321" t="s">
        <v>57</v>
      </c>
      <c r="D321" s="52">
        <v>2103750</v>
      </c>
    </row>
    <row r="322" spans="1:4" x14ac:dyDescent="0.25">
      <c r="A322" s="1">
        <v>25800500306</v>
      </c>
      <c r="B322" t="s">
        <v>1271</v>
      </c>
      <c r="C322" t="s">
        <v>708</v>
      </c>
      <c r="D322" s="52">
        <v>2103750</v>
      </c>
    </row>
    <row r="323" spans="1:4" x14ac:dyDescent="0.25">
      <c r="A323" s="1">
        <v>25800500049</v>
      </c>
      <c r="B323" t="s">
        <v>805</v>
      </c>
      <c r="C323" t="s">
        <v>821</v>
      </c>
      <c r="D323" s="52">
        <v>2103750</v>
      </c>
    </row>
    <row r="324" spans="1:4" x14ac:dyDescent="0.25">
      <c r="A324" s="1">
        <v>25803800037</v>
      </c>
      <c r="B324" t="s">
        <v>1947</v>
      </c>
      <c r="C324" t="s">
        <v>22</v>
      </c>
      <c r="D324" s="52">
        <v>2103750</v>
      </c>
    </row>
    <row r="325" spans="1:4" x14ac:dyDescent="0.25">
      <c r="A325" s="1">
        <v>25807500017</v>
      </c>
      <c r="B325" t="s">
        <v>1275</v>
      </c>
      <c r="C325" t="s">
        <v>1948</v>
      </c>
      <c r="D325" s="52">
        <v>2103750</v>
      </c>
    </row>
    <row r="326" spans="1:4" x14ac:dyDescent="0.25">
      <c r="A326" s="1">
        <v>25800400020</v>
      </c>
      <c r="B326" t="s">
        <v>1949</v>
      </c>
      <c r="C326" t="s">
        <v>1950</v>
      </c>
      <c r="D326" s="52">
        <v>2470000</v>
      </c>
    </row>
    <row r="327" spans="1:4" x14ac:dyDescent="0.25">
      <c r="A327" s="1">
        <v>25807800156</v>
      </c>
      <c r="B327" t="s">
        <v>1159</v>
      </c>
      <c r="C327" t="s">
        <v>78</v>
      </c>
      <c r="D327" s="52">
        <v>2103750</v>
      </c>
    </row>
    <row r="328" spans="1:4" x14ac:dyDescent="0.25">
      <c r="A328" s="1">
        <v>25807700041</v>
      </c>
      <c r="B328" t="s">
        <v>289</v>
      </c>
      <c r="C328" t="s">
        <v>290</v>
      </c>
      <c r="D328" s="52">
        <v>2470000</v>
      </c>
    </row>
    <row r="329" spans="1:4" x14ac:dyDescent="0.25">
      <c r="A329" s="1">
        <v>25820200110</v>
      </c>
      <c r="B329" t="s">
        <v>1284</v>
      </c>
      <c r="C329" t="s">
        <v>494</v>
      </c>
      <c r="D329" s="52">
        <v>2103750</v>
      </c>
    </row>
    <row r="330" spans="1:4" x14ac:dyDescent="0.25">
      <c r="A330" s="1">
        <v>25808200139</v>
      </c>
      <c r="B330" t="s">
        <v>1022</v>
      </c>
      <c r="C330" t="s">
        <v>78</v>
      </c>
      <c r="D330" s="52">
        <v>2103750</v>
      </c>
    </row>
    <row r="331" spans="1:4" x14ac:dyDescent="0.25">
      <c r="A331" s="1">
        <v>25800600077</v>
      </c>
      <c r="B331" t="s">
        <v>1062</v>
      </c>
      <c r="C331" t="s">
        <v>942</v>
      </c>
      <c r="D331" s="52">
        <v>2103750</v>
      </c>
    </row>
    <row r="332" spans="1:4" x14ac:dyDescent="0.25">
      <c r="A332" s="1">
        <v>25807900124</v>
      </c>
      <c r="B332" t="s">
        <v>1100</v>
      </c>
      <c r="C332" t="s">
        <v>160</v>
      </c>
      <c r="D332" s="52">
        <v>2600000</v>
      </c>
    </row>
    <row r="333" spans="1:4" x14ac:dyDescent="0.25">
      <c r="A333" s="2">
        <v>25807900051</v>
      </c>
      <c r="B333" s="12" t="s">
        <v>426</v>
      </c>
      <c r="C333" s="12" t="s">
        <v>842</v>
      </c>
      <c r="D333" s="63">
        <v>2470000</v>
      </c>
    </row>
    <row r="334" spans="1:4" x14ac:dyDescent="0.25">
      <c r="A334" s="1">
        <v>25800500121</v>
      </c>
      <c r="B334" t="s">
        <v>1223</v>
      </c>
      <c r="C334" t="s">
        <v>1224</v>
      </c>
      <c r="D334" s="52">
        <v>2103750</v>
      </c>
    </row>
    <row r="335" spans="1:4" x14ac:dyDescent="0.25">
      <c r="A335" s="1">
        <v>25820700004</v>
      </c>
      <c r="B335" t="s">
        <v>1951</v>
      </c>
      <c r="C335" t="s">
        <v>160</v>
      </c>
      <c r="D335" s="52">
        <v>2103750</v>
      </c>
    </row>
    <row r="336" spans="1:4" x14ac:dyDescent="0.25">
      <c r="A336" s="1">
        <v>25820700010</v>
      </c>
      <c r="B336" t="s">
        <v>1035</v>
      </c>
      <c r="C336" t="s">
        <v>1036</v>
      </c>
      <c r="D336" s="52">
        <v>2103750</v>
      </c>
    </row>
    <row r="337" spans="1:4" x14ac:dyDescent="0.25">
      <c r="A337" s="1">
        <v>25807800143</v>
      </c>
      <c r="B337" t="s">
        <v>1267</v>
      </c>
      <c r="C337" t="s">
        <v>867</v>
      </c>
      <c r="D337" s="52">
        <v>2103750</v>
      </c>
    </row>
  </sheetData>
  <conditionalFormatting sqref="A52"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</conditionalFormatting>
  <conditionalFormatting sqref="A269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251"/>
  <sheetViews>
    <sheetView workbookViewId="0">
      <selection activeCell="J17" sqref="J17"/>
    </sheetView>
  </sheetViews>
  <sheetFormatPr defaultRowHeight="15" x14ac:dyDescent="0.25"/>
  <cols>
    <col min="1" max="1" width="20.140625" customWidth="1"/>
    <col min="2" max="2" width="20.42578125" customWidth="1"/>
    <col min="4" max="4" width="13.28515625" customWidth="1"/>
  </cols>
  <sheetData>
    <row r="1" spans="1:5" ht="18.75" customHeight="1" x14ac:dyDescent="0.3">
      <c r="A1" s="85" t="s">
        <v>1</v>
      </c>
      <c r="B1" s="85" t="s">
        <v>1954</v>
      </c>
      <c r="C1" s="85" t="s">
        <v>1955</v>
      </c>
      <c r="D1" s="85" t="s">
        <v>14</v>
      </c>
      <c r="E1" s="86" t="s">
        <v>1959</v>
      </c>
    </row>
    <row r="2" spans="1:5" x14ac:dyDescent="0.25">
      <c r="A2" s="78">
        <v>25808300031</v>
      </c>
      <c r="B2" s="79" t="s">
        <v>21</v>
      </c>
      <c r="C2" s="79" t="s">
        <v>22</v>
      </c>
      <c r="D2" s="87">
        <v>2103750</v>
      </c>
      <c r="E2" s="79"/>
    </row>
    <row r="3" spans="1:5" x14ac:dyDescent="0.25">
      <c r="A3" s="78">
        <v>25802800389</v>
      </c>
      <c r="B3" s="79" t="s">
        <v>49</v>
      </c>
      <c r="C3" s="79" t="s">
        <v>50</v>
      </c>
      <c r="D3" s="87">
        <v>4207500</v>
      </c>
      <c r="E3" s="79"/>
    </row>
    <row r="4" spans="1:5" x14ac:dyDescent="0.25">
      <c r="A4" s="78">
        <v>25802100035</v>
      </c>
      <c r="B4" s="88" t="s">
        <v>59</v>
      </c>
      <c r="C4" s="88" t="s">
        <v>60</v>
      </c>
      <c r="D4" s="87">
        <v>4207500</v>
      </c>
      <c r="E4" s="79"/>
    </row>
    <row r="5" spans="1:5" x14ac:dyDescent="0.25">
      <c r="A5" s="78">
        <v>25801800094</v>
      </c>
      <c r="B5" s="79" t="s">
        <v>75</v>
      </c>
      <c r="C5" s="79" t="s">
        <v>76</v>
      </c>
      <c r="D5" s="87">
        <v>6311250</v>
      </c>
      <c r="E5" s="79"/>
    </row>
    <row r="6" spans="1:5" x14ac:dyDescent="0.25">
      <c r="A6" s="78">
        <v>25800500021</v>
      </c>
      <c r="B6" s="79" t="s">
        <v>82</v>
      </c>
      <c r="C6" s="79" t="s">
        <v>83</v>
      </c>
      <c r="D6" s="87">
        <v>2103750</v>
      </c>
      <c r="E6" s="79"/>
    </row>
    <row r="7" spans="1:5" x14ac:dyDescent="0.25">
      <c r="A7" s="78">
        <v>25800500135</v>
      </c>
      <c r="B7" s="79" t="s">
        <v>87</v>
      </c>
      <c r="C7" s="79" t="s">
        <v>88</v>
      </c>
      <c r="D7" s="87">
        <v>4207500</v>
      </c>
      <c r="E7" s="79"/>
    </row>
    <row r="8" spans="1:5" x14ac:dyDescent="0.25">
      <c r="A8" s="78">
        <v>25807900049</v>
      </c>
      <c r="B8" s="79" t="s">
        <v>90</v>
      </c>
      <c r="C8" s="79" t="s">
        <v>91</v>
      </c>
      <c r="D8" s="87">
        <v>4207500</v>
      </c>
      <c r="E8" s="79"/>
    </row>
    <row r="9" spans="1:5" x14ac:dyDescent="0.25">
      <c r="A9" s="78">
        <v>25800400294</v>
      </c>
      <c r="B9" s="79" t="s">
        <v>106</v>
      </c>
      <c r="C9" s="79" t="s">
        <v>107</v>
      </c>
      <c r="D9" s="87">
        <v>4207500</v>
      </c>
      <c r="E9" s="79"/>
    </row>
    <row r="10" spans="1:5" x14ac:dyDescent="0.25">
      <c r="A10" s="78">
        <v>25807500016</v>
      </c>
      <c r="B10" s="79" t="s">
        <v>115</v>
      </c>
      <c r="C10" s="79" t="s">
        <v>116</v>
      </c>
      <c r="D10" s="87">
        <v>4207500</v>
      </c>
      <c r="E10" s="79"/>
    </row>
    <row r="11" spans="1:5" x14ac:dyDescent="0.25">
      <c r="A11" s="78">
        <v>25802800041</v>
      </c>
      <c r="B11" s="79" t="s">
        <v>130</v>
      </c>
      <c r="C11" s="79" t="s">
        <v>131</v>
      </c>
      <c r="D11" s="87">
        <v>2677500</v>
      </c>
      <c r="E11" s="79"/>
    </row>
    <row r="12" spans="1:5" x14ac:dyDescent="0.25">
      <c r="A12" s="78">
        <v>25801900092</v>
      </c>
      <c r="B12" s="88" t="s">
        <v>246</v>
      </c>
      <c r="C12" s="88" t="s">
        <v>22</v>
      </c>
      <c r="D12" s="87">
        <v>2103750</v>
      </c>
      <c r="E12" s="79"/>
    </row>
    <row r="13" spans="1:5" x14ac:dyDescent="0.25">
      <c r="A13" s="78">
        <v>25801900280</v>
      </c>
      <c r="B13" s="88" t="s">
        <v>249</v>
      </c>
      <c r="C13" s="88" t="s">
        <v>151</v>
      </c>
      <c r="D13" s="87">
        <v>2103750</v>
      </c>
      <c r="E13" s="79"/>
    </row>
    <row r="14" spans="1:5" x14ac:dyDescent="0.25">
      <c r="A14" s="78">
        <v>25806800069</v>
      </c>
      <c r="B14" s="88" t="s">
        <v>255</v>
      </c>
      <c r="C14" s="88" t="s">
        <v>256</v>
      </c>
      <c r="D14" s="87">
        <v>2103750</v>
      </c>
      <c r="E14" s="79"/>
    </row>
    <row r="15" spans="1:5" x14ac:dyDescent="0.25">
      <c r="A15" s="78">
        <v>25807400012</v>
      </c>
      <c r="B15" s="88" t="s">
        <v>260</v>
      </c>
      <c r="C15" s="88" t="s">
        <v>261</v>
      </c>
      <c r="D15" s="87">
        <v>2103750</v>
      </c>
      <c r="E15" s="79"/>
    </row>
    <row r="16" spans="1:5" x14ac:dyDescent="0.25">
      <c r="A16" s="78">
        <v>25808900260</v>
      </c>
      <c r="B16" s="88" t="s">
        <v>301</v>
      </c>
      <c r="C16" s="88" t="s">
        <v>302</v>
      </c>
      <c r="D16" s="87">
        <v>4207500</v>
      </c>
      <c r="E16" s="79"/>
    </row>
    <row r="17" spans="1:5" x14ac:dyDescent="0.25">
      <c r="A17" s="78">
        <v>25808600087</v>
      </c>
      <c r="B17" s="79" t="s">
        <v>305</v>
      </c>
      <c r="C17" s="79" t="s">
        <v>166</v>
      </c>
      <c r="D17" s="87">
        <v>2103750</v>
      </c>
      <c r="E17" s="79"/>
    </row>
    <row r="18" spans="1:5" x14ac:dyDescent="0.25">
      <c r="A18" s="78">
        <v>25806500015</v>
      </c>
      <c r="B18" s="79" t="s">
        <v>308</v>
      </c>
      <c r="C18" s="79" t="s">
        <v>270</v>
      </c>
      <c r="D18" s="87">
        <v>4207500</v>
      </c>
      <c r="E18" s="79"/>
    </row>
    <row r="19" spans="1:5" x14ac:dyDescent="0.25">
      <c r="A19" s="78">
        <v>25801600070</v>
      </c>
      <c r="B19" s="79" t="s">
        <v>313</v>
      </c>
      <c r="C19" s="79" t="s">
        <v>74</v>
      </c>
      <c r="D19" s="87">
        <v>2103750</v>
      </c>
      <c r="E19" s="79"/>
    </row>
    <row r="20" spans="1:5" x14ac:dyDescent="0.25">
      <c r="A20" s="78">
        <v>25808600086</v>
      </c>
      <c r="B20" s="79" t="s">
        <v>321</v>
      </c>
      <c r="C20" s="79" t="s">
        <v>322</v>
      </c>
      <c r="D20" s="87">
        <v>2103750</v>
      </c>
      <c r="E20" s="79"/>
    </row>
    <row r="21" spans="1:5" x14ac:dyDescent="0.25">
      <c r="A21" s="78">
        <v>25820300038</v>
      </c>
      <c r="B21" s="88" t="s">
        <v>324</v>
      </c>
      <c r="C21" s="88" t="s">
        <v>138</v>
      </c>
      <c r="D21" s="87">
        <v>2103750</v>
      </c>
      <c r="E21" s="79"/>
    </row>
    <row r="22" spans="1:5" x14ac:dyDescent="0.25">
      <c r="A22" s="78">
        <v>25800500012</v>
      </c>
      <c r="B22" s="79" t="s">
        <v>331</v>
      </c>
      <c r="C22" s="79" t="s">
        <v>120</v>
      </c>
      <c r="D22" s="87">
        <v>2103750</v>
      </c>
      <c r="E22" s="79"/>
    </row>
    <row r="23" spans="1:5" x14ac:dyDescent="0.25">
      <c r="A23" s="78">
        <v>25807000027</v>
      </c>
      <c r="B23" s="79" t="s">
        <v>343</v>
      </c>
      <c r="C23" s="79" t="s">
        <v>344</v>
      </c>
      <c r="D23" s="87">
        <v>2470000</v>
      </c>
      <c r="E23" s="79"/>
    </row>
    <row r="24" spans="1:5" x14ac:dyDescent="0.25">
      <c r="A24" s="78">
        <v>25802800070</v>
      </c>
      <c r="B24" s="79" t="s">
        <v>346</v>
      </c>
      <c r="C24" s="79" t="s">
        <v>347</v>
      </c>
      <c r="D24" s="87">
        <v>2103750</v>
      </c>
      <c r="E24" s="79"/>
    </row>
    <row r="25" spans="1:5" x14ac:dyDescent="0.25">
      <c r="A25" s="78">
        <v>25809600050</v>
      </c>
      <c r="B25" s="79" t="s">
        <v>351</v>
      </c>
      <c r="C25" s="79" t="s">
        <v>151</v>
      </c>
      <c r="D25" s="87">
        <v>2103750</v>
      </c>
      <c r="E25" s="79"/>
    </row>
    <row r="26" spans="1:5" x14ac:dyDescent="0.25">
      <c r="A26" s="78">
        <v>25808600084</v>
      </c>
      <c r="B26" s="79" t="s">
        <v>356</v>
      </c>
      <c r="C26" s="79" t="s">
        <v>322</v>
      </c>
      <c r="D26" s="87">
        <v>4207500</v>
      </c>
      <c r="E26" s="79"/>
    </row>
    <row r="27" spans="1:5" x14ac:dyDescent="0.25">
      <c r="A27" s="78">
        <v>25808600150</v>
      </c>
      <c r="B27" s="79" t="s">
        <v>358</v>
      </c>
      <c r="C27" s="79" t="s">
        <v>359</v>
      </c>
      <c r="D27" s="87">
        <v>2103750</v>
      </c>
      <c r="E27" s="79"/>
    </row>
    <row r="28" spans="1:5" x14ac:dyDescent="0.25">
      <c r="A28" s="78">
        <v>25808600051</v>
      </c>
      <c r="B28" s="79" t="s">
        <v>366</v>
      </c>
      <c r="C28" s="79" t="s">
        <v>367</v>
      </c>
      <c r="D28" s="87">
        <v>2103750</v>
      </c>
      <c r="E28" s="79"/>
    </row>
    <row r="29" spans="1:5" x14ac:dyDescent="0.25">
      <c r="A29" s="78">
        <v>25802800107</v>
      </c>
      <c r="B29" s="79" t="s">
        <v>372</v>
      </c>
      <c r="C29" s="79" t="s">
        <v>175</v>
      </c>
      <c r="D29" s="87">
        <v>2470000</v>
      </c>
      <c r="E29" s="79"/>
    </row>
    <row r="30" spans="1:5" x14ac:dyDescent="0.25">
      <c r="A30" s="78">
        <v>25808600027</v>
      </c>
      <c r="B30" s="88" t="s">
        <v>380</v>
      </c>
      <c r="C30" s="88" t="s">
        <v>231</v>
      </c>
      <c r="D30" s="87">
        <v>2470000</v>
      </c>
      <c r="E30" s="79"/>
    </row>
    <row r="31" spans="1:5" x14ac:dyDescent="0.25">
      <c r="A31" s="78">
        <v>25802400007</v>
      </c>
      <c r="B31" s="79" t="s">
        <v>383</v>
      </c>
      <c r="C31" s="79" t="s">
        <v>384</v>
      </c>
      <c r="D31" s="87">
        <v>2470000</v>
      </c>
      <c r="E31" s="79"/>
    </row>
    <row r="32" spans="1:5" x14ac:dyDescent="0.25">
      <c r="A32" s="78">
        <v>25809600060</v>
      </c>
      <c r="B32" s="79" t="s">
        <v>394</v>
      </c>
      <c r="C32" s="79" t="s">
        <v>60</v>
      </c>
      <c r="D32" s="87">
        <v>4207500</v>
      </c>
      <c r="E32" s="79"/>
    </row>
    <row r="33" spans="1:5" x14ac:dyDescent="0.25">
      <c r="A33" s="78">
        <v>25802800379</v>
      </c>
      <c r="B33" s="79" t="s">
        <v>396</v>
      </c>
      <c r="C33" s="79" t="s">
        <v>397</v>
      </c>
      <c r="D33" s="87">
        <v>2103750</v>
      </c>
      <c r="E33" s="79"/>
    </row>
    <row r="34" spans="1:5" x14ac:dyDescent="0.25">
      <c r="A34" s="78">
        <v>25801100017</v>
      </c>
      <c r="B34" s="79" t="s">
        <v>404</v>
      </c>
      <c r="C34" s="79" t="s">
        <v>405</v>
      </c>
      <c r="D34" s="87">
        <v>2103750</v>
      </c>
      <c r="E34" s="79"/>
    </row>
    <row r="35" spans="1:5" x14ac:dyDescent="0.25">
      <c r="A35" s="78">
        <v>25809300003</v>
      </c>
      <c r="B35" s="79" t="s">
        <v>429</v>
      </c>
      <c r="C35" s="79" t="s">
        <v>60</v>
      </c>
      <c r="D35" s="87">
        <v>4207500</v>
      </c>
      <c r="E35" s="79"/>
    </row>
    <row r="36" spans="1:5" x14ac:dyDescent="0.25">
      <c r="A36" s="78">
        <v>25809600015</v>
      </c>
      <c r="B36" s="79" t="s">
        <v>438</v>
      </c>
      <c r="C36" s="79" t="s">
        <v>439</v>
      </c>
      <c r="D36" s="87">
        <v>6311250</v>
      </c>
      <c r="E36" s="79"/>
    </row>
    <row r="37" spans="1:5" x14ac:dyDescent="0.25">
      <c r="A37" s="78">
        <v>25805900003</v>
      </c>
      <c r="B37" s="79" t="s">
        <v>458</v>
      </c>
      <c r="C37" s="79" t="s">
        <v>459</v>
      </c>
      <c r="D37" s="87">
        <v>4207500</v>
      </c>
      <c r="E37" s="79"/>
    </row>
    <row r="38" spans="1:5" x14ac:dyDescent="0.25">
      <c r="A38" s="78">
        <v>25802600110</v>
      </c>
      <c r="B38" s="79" t="s">
        <v>469</v>
      </c>
      <c r="C38" s="79" t="s">
        <v>470</v>
      </c>
      <c r="D38" s="87">
        <v>2103750</v>
      </c>
      <c r="E38" s="79"/>
    </row>
    <row r="39" spans="1:5" x14ac:dyDescent="0.25">
      <c r="A39" s="78">
        <v>25802800205</v>
      </c>
      <c r="B39" s="79" t="s">
        <v>486</v>
      </c>
      <c r="C39" s="79" t="s">
        <v>88</v>
      </c>
      <c r="D39" s="87">
        <v>4207500</v>
      </c>
      <c r="E39" s="79"/>
    </row>
    <row r="40" spans="1:5" x14ac:dyDescent="0.25">
      <c r="A40" s="78">
        <v>25802800081</v>
      </c>
      <c r="B40" s="79" t="s">
        <v>489</v>
      </c>
      <c r="C40" s="79" t="s">
        <v>490</v>
      </c>
      <c r="D40" s="87">
        <v>2103750</v>
      </c>
      <c r="E40" s="79"/>
    </row>
    <row r="41" spans="1:5" x14ac:dyDescent="0.25">
      <c r="A41" s="78">
        <v>25802600004</v>
      </c>
      <c r="B41" s="79" t="s">
        <v>497</v>
      </c>
      <c r="C41" s="79" t="s">
        <v>160</v>
      </c>
      <c r="D41" s="87">
        <v>2103750</v>
      </c>
      <c r="E41" s="79"/>
    </row>
    <row r="42" spans="1:5" x14ac:dyDescent="0.25">
      <c r="A42" s="78">
        <v>25807000014</v>
      </c>
      <c r="B42" s="79" t="s">
        <v>499</v>
      </c>
      <c r="C42" s="79" t="s">
        <v>500</v>
      </c>
      <c r="D42" s="87">
        <v>2103750</v>
      </c>
      <c r="E42" s="79"/>
    </row>
    <row r="43" spans="1:5" x14ac:dyDescent="0.25">
      <c r="A43" s="78">
        <v>25808600054</v>
      </c>
      <c r="B43" s="79" t="s">
        <v>504</v>
      </c>
      <c r="C43" s="79" t="s">
        <v>392</v>
      </c>
      <c r="D43" s="87">
        <v>2103750</v>
      </c>
      <c r="E43" s="79"/>
    </row>
    <row r="44" spans="1:5" x14ac:dyDescent="0.25">
      <c r="A44" s="78">
        <v>25802600105</v>
      </c>
      <c r="B44" s="79" t="s">
        <v>508</v>
      </c>
      <c r="C44" s="79" t="s">
        <v>275</v>
      </c>
      <c r="D44" s="87">
        <v>2103750</v>
      </c>
      <c r="E44" s="79"/>
    </row>
    <row r="45" spans="1:5" x14ac:dyDescent="0.25">
      <c r="A45" s="78">
        <v>25807000043</v>
      </c>
      <c r="B45" s="79" t="s">
        <v>512</v>
      </c>
      <c r="C45" s="79" t="s">
        <v>359</v>
      </c>
      <c r="D45" s="87">
        <v>2232500</v>
      </c>
      <c r="E45" s="79"/>
    </row>
    <row r="46" spans="1:5" x14ac:dyDescent="0.25">
      <c r="A46" s="78">
        <v>25808700190</v>
      </c>
      <c r="B46" s="79" t="s">
        <v>526</v>
      </c>
      <c r="C46" s="79" t="s">
        <v>515</v>
      </c>
      <c r="D46" s="87">
        <v>4207500</v>
      </c>
      <c r="E46" s="79"/>
    </row>
    <row r="47" spans="1:5" x14ac:dyDescent="0.25">
      <c r="A47" s="78">
        <v>25802800103</v>
      </c>
      <c r="B47" s="79" t="s">
        <v>528</v>
      </c>
      <c r="C47" s="79" t="s">
        <v>175</v>
      </c>
      <c r="D47" s="87">
        <v>2103750</v>
      </c>
      <c r="E47" s="79"/>
    </row>
    <row r="48" spans="1:5" x14ac:dyDescent="0.25">
      <c r="A48" s="78">
        <v>25802800165</v>
      </c>
      <c r="B48" s="79" t="s">
        <v>370</v>
      </c>
      <c r="C48" s="79" t="s">
        <v>185</v>
      </c>
      <c r="D48" s="87">
        <v>2103750</v>
      </c>
      <c r="E48" s="79"/>
    </row>
    <row r="49" spans="1:5" x14ac:dyDescent="0.25">
      <c r="A49" s="78">
        <v>25802800001</v>
      </c>
      <c r="B49" s="79" t="s">
        <v>130</v>
      </c>
      <c r="C49" s="79" t="s">
        <v>494</v>
      </c>
      <c r="D49" s="87">
        <v>2103750</v>
      </c>
      <c r="E49" s="79"/>
    </row>
    <row r="50" spans="1:5" x14ac:dyDescent="0.25">
      <c r="A50" s="78">
        <v>25802800134</v>
      </c>
      <c r="B50" s="79" t="s">
        <v>541</v>
      </c>
      <c r="C50" s="79" t="s">
        <v>515</v>
      </c>
      <c r="D50" s="87">
        <v>2103750</v>
      </c>
      <c r="E50" s="79"/>
    </row>
    <row r="51" spans="1:5" x14ac:dyDescent="0.25">
      <c r="A51" s="78">
        <v>25806800033</v>
      </c>
      <c r="B51" s="79" t="s">
        <v>553</v>
      </c>
      <c r="C51" s="79" t="s">
        <v>392</v>
      </c>
      <c r="D51" s="87">
        <v>2103750</v>
      </c>
      <c r="E51" s="79"/>
    </row>
    <row r="52" spans="1:5" x14ac:dyDescent="0.25">
      <c r="A52" s="78">
        <v>25808600018</v>
      </c>
      <c r="B52" s="79" t="s">
        <v>555</v>
      </c>
      <c r="C52" s="79" t="s">
        <v>517</v>
      </c>
      <c r="D52" s="87">
        <v>2103750</v>
      </c>
      <c r="E52" s="79"/>
    </row>
    <row r="53" spans="1:5" x14ac:dyDescent="0.25">
      <c r="A53" s="78">
        <v>25808900077</v>
      </c>
      <c r="B53" s="79" t="s">
        <v>573</v>
      </c>
      <c r="C53" s="79" t="s">
        <v>388</v>
      </c>
      <c r="D53" s="87">
        <v>4207500</v>
      </c>
      <c r="E53" s="79"/>
    </row>
    <row r="54" spans="1:5" x14ac:dyDescent="0.25">
      <c r="A54" s="78">
        <v>25807000017</v>
      </c>
      <c r="B54" s="79" t="s">
        <v>154</v>
      </c>
      <c r="C54" s="79" t="s">
        <v>22</v>
      </c>
      <c r="D54" s="87">
        <v>2103750</v>
      </c>
      <c r="E54" s="79"/>
    </row>
    <row r="55" spans="1:5" x14ac:dyDescent="0.25">
      <c r="A55" s="78">
        <v>25807500115</v>
      </c>
      <c r="B55" s="79" t="s">
        <v>599</v>
      </c>
      <c r="C55" s="79" t="s">
        <v>600</v>
      </c>
      <c r="D55" s="87">
        <v>2103750</v>
      </c>
      <c r="E55" s="79"/>
    </row>
    <row r="56" spans="1:5" x14ac:dyDescent="0.25">
      <c r="A56" s="78">
        <v>25805800021</v>
      </c>
      <c r="B56" s="79" t="s">
        <v>606</v>
      </c>
      <c r="C56" s="79" t="s">
        <v>22</v>
      </c>
      <c r="D56" s="87">
        <v>4207500</v>
      </c>
      <c r="E56" s="79"/>
    </row>
    <row r="57" spans="1:5" x14ac:dyDescent="0.25">
      <c r="A57" s="78">
        <v>25808600065</v>
      </c>
      <c r="B57" s="79" t="s">
        <v>619</v>
      </c>
      <c r="C57" s="79" t="s">
        <v>338</v>
      </c>
      <c r="D57" s="87">
        <v>2103750</v>
      </c>
      <c r="E57" s="79"/>
    </row>
    <row r="58" spans="1:5" x14ac:dyDescent="0.25">
      <c r="A58" s="78">
        <v>25808600094</v>
      </c>
      <c r="B58" s="79" t="s">
        <v>621</v>
      </c>
      <c r="C58" s="79" t="s">
        <v>252</v>
      </c>
      <c r="D58" s="87">
        <v>2103750</v>
      </c>
      <c r="E58" s="79"/>
    </row>
    <row r="59" spans="1:5" x14ac:dyDescent="0.25">
      <c r="A59" s="78">
        <v>25808600120</v>
      </c>
      <c r="B59" s="79" t="s">
        <v>623</v>
      </c>
      <c r="C59" s="79" t="s">
        <v>239</v>
      </c>
      <c r="D59" s="87">
        <v>2103750</v>
      </c>
      <c r="E59" s="79"/>
    </row>
    <row r="60" spans="1:5" x14ac:dyDescent="0.25">
      <c r="A60" s="78">
        <v>25801700103</v>
      </c>
      <c r="B60" s="79" t="s">
        <v>631</v>
      </c>
      <c r="C60" s="79" t="s">
        <v>435</v>
      </c>
      <c r="D60" s="87">
        <v>2558750</v>
      </c>
      <c r="E60" s="79"/>
    </row>
    <row r="61" spans="1:5" x14ac:dyDescent="0.25">
      <c r="A61" s="78">
        <v>25805800027</v>
      </c>
      <c r="B61" s="79" t="s">
        <v>633</v>
      </c>
      <c r="C61" s="79" t="s">
        <v>261</v>
      </c>
      <c r="D61" s="87">
        <v>2103750</v>
      </c>
      <c r="E61" s="79"/>
    </row>
    <row r="62" spans="1:5" x14ac:dyDescent="0.25">
      <c r="A62" s="78">
        <v>25808200137</v>
      </c>
      <c r="B62" s="79" t="s">
        <v>418</v>
      </c>
      <c r="C62" s="79" t="s">
        <v>611</v>
      </c>
      <c r="D62" s="87">
        <v>2103750</v>
      </c>
      <c r="E62" s="79"/>
    </row>
    <row r="63" spans="1:5" x14ac:dyDescent="0.25">
      <c r="A63" s="78">
        <v>25820700012</v>
      </c>
      <c r="B63" s="88" t="s">
        <v>685</v>
      </c>
      <c r="C63" s="88" t="s">
        <v>157</v>
      </c>
      <c r="D63" s="87">
        <v>2345000</v>
      </c>
      <c r="E63" s="79"/>
    </row>
    <row r="64" spans="1:5" x14ac:dyDescent="0.25">
      <c r="A64" s="78">
        <v>25808700077</v>
      </c>
      <c r="B64" s="88" t="s">
        <v>687</v>
      </c>
      <c r="C64" s="88" t="s">
        <v>88</v>
      </c>
      <c r="D64" s="87">
        <v>4207500</v>
      </c>
      <c r="E64" s="79"/>
    </row>
    <row r="65" spans="1:5" x14ac:dyDescent="0.25">
      <c r="A65" s="78">
        <v>25808600033</v>
      </c>
      <c r="B65" s="88" t="s">
        <v>689</v>
      </c>
      <c r="C65" s="88" t="s">
        <v>384</v>
      </c>
      <c r="D65" s="87">
        <v>2103750</v>
      </c>
      <c r="E65" s="79"/>
    </row>
    <row r="66" spans="1:5" x14ac:dyDescent="0.25">
      <c r="A66" s="78">
        <v>25808600160</v>
      </c>
      <c r="B66" s="79" t="s">
        <v>692</v>
      </c>
      <c r="C66" s="79" t="s">
        <v>636</v>
      </c>
      <c r="D66" s="87">
        <v>2103750</v>
      </c>
      <c r="E66" s="79"/>
    </row>
    <row r="67" spans="1:5" x14ac:dyDescent="0.25">
      <c r="A67" s="78">
        <v>25801800014</v>
      </c>
      <c r="B67" s="79" t="s">
        <v>698</v>
      </c>
      <c r="C67" s="79" t="s">
        <v>66</v>
      </c>
      <c r="D67" s="87">
        <v>2103750</v>
      </c>
      <c r="E67" s="79"/>
    </row>
    <row r="68" spans="1:5" x14ac:dyDescent="0.25">
      <c r="A68" s="78">
        <v>25809600017</v>
      </c>
      <c r="B68" s="79" t="s">
        <v>707</v>
      </c>
      <c r="C68" s="79" t="s">
        <v>708</v>
      </c>
      <c r="D68" s="87">
        <v>2103750</v>
      </c>
      <c r="E68" s="79"/>
    </row>
    <row r="69" spans="1:5" x14ac:dyDescent="0.25">
      <c r="A69" s="78">
        <v>25806600350</v>
      </c>
      <c r="B69" s="79" t="s">
        <v>383</v>
      </c>
      <c r="C69" s="79" t="s">
        <v>484</v>
      </c>
      <c r="D69" s="87">
        <v>2103750</v>
      </c>
      <c r="E69" s="79"/>
    </row>
    <row r="70" spans="1:5" x14ac:dyDescent="0.25">
      <c r="A70" s="78">
        <v>25808900014</v>
      </c>
      <c r="B70" s="79" t="s">
        <v>418</v>
      </c>
      <c r="C70" s="79" t="s">
        <v>715</v>
      </c>
      <c r="D70" s="87">
        <v>2103750</v>
      </c>
      <c r="E70" s="79"/>
    </row>
    <row r="71" spans="1:5" x14ac:dyDescent="0.25">
      <c r="A71" s="78">
        <v>25808900146</v>
      </c>
      <c r="B71" s="79" t="s">
        <v>717</v>
      </c>
      <c r="C71" s="79" t="s">
        <v>78</v>
      </c>
      <c r="D71" s="87">
        <v>2103750</v>
      </c>
      <c r="E71" s="79"/>
    </row>
    <row r="72" spans="1:5" x14ac:dyDescent="0.25">
      <c r="A72" s="78">
        <v>25808300013</v>
      </c>
      <c r="B72" s="79" t="s">
        <v>733</v>
      </c>
      <c r="C72" s="79" t="s">
        <v>144</v>
      </c>
      <c r="D72" s="87">
        <v>4207500</v>
      </c>
      <c r="E72" s="79"/>
    </row>
    <row r="73" spans="1:5" x14ac:dyDescent="0.25">
      <c r="A73" s="78">
        <v>25808300103</v>
      </c>
      <c r="B73" s="79" t="s">
        <v>740</v>
      </c>
      <c r="C73" s="79" t="s">
        <v>741</v>
      </c>
      <c r="D73" s="87">
        <v>2103750</v>
      </c>
      <c r="E73" s="79"/>
    </row>
    <row r="74" spans="1:5" x14ac:dyDescent="0.25">
      <c r="A74" s="78">
        <v>25808700079</v>
      </c>
      <c r="B74" s="79" t="s">
        <v>743</v>
      </c>
      <c r="C74" s="79" t="s">
        <v>151</v>
      </c>
      <c r="D74" s="87">
        <v>2103750</v>
      </c>
      <c r="E74" s="79"/>
    </row>
    <row r="75" spans="1:5" x14ac:dyDescent="0.25">
      <c r="A75" s="78">
        <v>25800400058</v>
      </c>
      <c r="B75" s="79" t="s">
        <v>745</v>
      </c>
      <c r="C75" s="79" t="s">
        <v>157</v>
      </c>
      <c r="D75" s="87">
        <v>2103750</v>
      </c>
      <c r="E75" s="79"/>
    </row>
    <row r="76" spans="1:5" x14ac:dyDescent="0.25">
      <c r="A76" s="78">
        <v>25803800058</v>
      </c>
      <c r="B76" s="88" t="s">
        <v>752</v>
      </c>
      <c r="C76" s="88" t="s">
        <v>30</v>
      </c>
      <c r="D76" s="87">
        <v>2103750</v>
      </c>
      <c r="E76" s="79"/>
    </row>
    <row r="77" spans="1:5" x14ac:dyDescent="0.25">
      <c r="A77" s="78">
        <v>25808100045</v>
      </c>
      <c r="B77" s="88" t="s">
        <v>197</v>
      </c>
      <c r="C77" s="88" t="s">
        <v>252</v>
      </c>
      <c r="D77" s="87">
        <v>2103750</v>
      </c>
      <c r="E77" s="79"/>
    </row>
    <row r="78" spans="1:5" x14ac:dyDescent="0.25">
      <c r="A78" s="78">
        <v>25802400010</v>
      </c>
      <c r="B78" s="88" t="s">
        <v>502</v>
      </c>
      <c r="C78" s="88" t="s">
        <v>392</v>
      </c>
      <c r="D78" s="87">
        <v>2470000</v>
      </c>
      <c r="E78" s="79"/>
    </row>
    <row r="79" spans="1:5" x14ac:dyDescent="0.25">
      <c r="A79" s="78">
        <v>25802700050</v>
      </c>
      <c r="B79" s="88" t="s">
        <v>756</v>
      </c>
      <c r="C79" s="88" t="s">
        <v>484</v>
      </c>
      <c r="D79" s="87">
        <v>2470000</v>
      </c>
      <c r="E79" s="79"/>
    </row>
    <row r="80" spans="1:5" x14ac:dyDescent="0.25">
      <c r="A80" s="78">
        <v>25807900080</v>
      </c>
      <c r="B80" s="79" t="s">
        <v>792</v>
      </c>
      <c r="C80" s="79" t="s">
        <v>182</v>
      </c>
      <c r="D80" s="87">
        <v>2470000</v>
      </c>
      <c r="E80" s="79"/>
    </row>
    <row r="81" spans="1:5" x14ac:dyDescent="0.25">
      <c r="A81" s="78">
        <v>25802800010</v>
      </c>
      <c r="B81" s="79" t="s">
        <v>689</v>
      </c>
      <c r="C81" s="79" t="s">
        <v>160</v>
      </c>
      <c r="D81" s="87">
        <v>4207500</v>
      </c>
      <c r="E81" s="79"/>
    </row>
    <row r="82" spans="1:5" x14ac:dyDescent="0.25">
      <c r="A82" s="78">
        <v>25808200225</v>
      </c>
      <c r="B82" s="79" t="s">
        <v>130</v>
      </c>
      <c r="C82" s="79" t="s">
        <v>803</v>
      </c>
      <c r="D82" s="87">
        <v>2103750</v>
      </c>
      <c r="E82" s="79"/>
    </row>
    <row r="83" spans="1:5" x14ac:dyDescent="0.25">
      <c r="A83" s="78">
        <v>25800400110</v>
      </c>
      <c r="B83" s="79" t="s">
        <v>805</v>
      </c>
      <c r="C83" s="79" t="s">
        <v>138</v>
      </c>
      <c r="D83" s="87">
        <v>2103750</v>
      </c>
      <c r="E83" s="79"/>
    </row>
    <row r="84" spans="1:5" x14ac:dyDescent="0.25">
      <c r="A84" s="78">
        <v>25800400117</v>
      </c>
      <c r="B84" s="79" t="s">
        <v>818</v>
      </c>
      <c r="C84" s="79" t="s">
        <v>104</v>
      </c>
      <c r="D84" s="87">
        <v>2103750</v>
      </c>
      <c r="E84" s="79"/>
    </row>
    <row r="85" spans="1:5" x14ac:dyDescent="0.25">
      <c r="A85" s="78">
        <v>25808200147</v>
      </c>
      <c r="B85" s="79" t="s">
        <v>571</v>
      </c>
      <c r="C85" s="79" t="s">
        <v>826</v>
      </c>
      <c r="D85" s="87">
        <v>2103750</v>
      </c>
      <c r="E85" s="79"/>
    </row>
    <row r="86" spans="1:5" x14ac:dyDescent="0.25">
      <c r="A86" s="78">
        <v>25800400244</v>
      </c>
      <c r="B86" s="79" t="s">
        <v>809</v>
      </c>
      <c r="C86" s="79" t="s">
        <v>175</v>
      </c>
      <c r="D86" s="87">
        <v>2103750</v>
      </c>
      <c r="E86" s="79"/>
    </row>
    <row r="87" spans="1:5" x14ac:dyDescent="0.25">
      <c r="A87" s="78">
        <v>25801100118</v>
      </c>
      <c r="B87" s="88" t="s">
        <v>846</v>
      </c>
      <c r="C87" s="88" t="s">
        <v>478</v>
      </c>
      <c r="D87" s="87">
        <v>2103750</v>
      </c>
      <c r="E87" s="79"/>
    </row>
    <row r="88" spans="1:5" x14ac:dyDescent="0.25">
      <c r="A88" s="78">
        <v>25820300088</v>
      </c>
      <c r="B88" s="88" t="s">
        <v>849</v>
      </c>
      <c r="C88" s="88" t="s">
        <v>850</v>
      </c>
      <c r="D88" s="87">
        <v>2103750</v>
      </c>
      <c r="E88" s="79"/>
    </row>
    <row r="89" spans="1:5" x14ac:dyDescent="0.25">
      <c r="A89" s="78">
        <v>25802700147</v>
      </c>
      <c r="B89" s="79" t="s">
        <v>855</v>
      </c>
      <c r="C89" s="79" t="s">
        <v>172</v>
      </c>
      <c r="D89" s="87">
        <v>2103750</v>
      </c>
      <c r="E89" s="79"/>
    </row>
    <row r="90" spans="1:5" x14ac:dyDescent="0.25">
      <c r="A90" s="78">
        <v>25801300028</v>
      </c>
      <c r="B90" s="79" t="s">
        <v>859</v>
      </c>
      <c r="C90" s="79" t="s">
        <v>207</v>
      </c>
      <c r="D90" s="87">
        <v>2103750</v>
      </c>
      <c r="E90" s="79"/>
    </row>
    <row r="91" spans="1:5" x14ac:dyDescent="0.25">
      <c r="A91" s="78">
        <v>25802700203</v>
      </c>
      <c r="B91" s="79" t="s">
        <v>861</v>
      </c>
      <c r="C91" s="79" t="s">
        <v>862</v>
      </c>
      <c r="D91" s="87">
        <v>2103750</v>
      </c>
      <c r="E91" s="79"/>
    </row>
    <row r="92" spans="1:5" x14ac:dyDescent="0.25">
      <c r="A92" s="78">
        <v>25807500053</v>
      </c>
      <c r="B92" s="79" t="s">
        <v>864</v>
      </c>
      <c r="C92" s="79" t="s">
        <v>182</v>
      </c>
      <c r="D92" s="87">
        <v>2103750</v>
      </c>
      <c r="E92" s="79"/>
    </row>
    <row r="93" spans="1:5" x14ac:dyDescent="0.25">
      <c r="A93" s="78">
        <v>25807500132</v>
      </c>
      <c r="B93" s="79" t="s">
        <v>866</v>
      </c>
      <c r="C93" s="79" t="s">
        <v>867</v>
      </c>
      <c r="D93" s="87">
        <v>2103750</v>
      </c>
      <c r="E93" s="79"/>
    </row>
    <row r="94" spans="1:5" x14ac:dyDescent="0.25">
      <c r="A94" s="78">
        <v>25806800022</v>
      </c>
      <c r="B94" s="79" t="s">
        <v>358</v>
      </c>
      <c r="C94" s="79" t="s">
        <v>384</v>
      </c>
      <c r="D94" s="87">
        <v>2103750</v>
      </c>
      <c r="E94" s="79"/>
    </row>
    <row r="95" spans="1:5" x14ac:dyDescent="0.25">
      <c r="A95" s="78">
        <v>25807900120</v>
      </c>
      <c r="B95" s="79" t="s">
        <v>899</v>
      </c>
      <c r="C95" s="79" t="s">
        <v>294</v>
      </c>
      <c r="D95" s="87">
        <v>2103750</v>
      </c>
      <c r="E95" s="79"/>
    </row>
    <row r="96" spans="1:5" x14ac:dyDescent="0.25">
      <c r="A96" s="78">
        <v>25808200125</v>
      </c>
      <c r="B96" s="79" t="s">
        <v>906</v>
      </c>
      <c r="C96" s="79" t="s">
        <v>907</v>
      </c>
      <c r="D96" s="87">
        <v>2103750</v>
      </c>
      <c r="E96" s="79"/>
    </row>
    <row r="97" spans="1:5" x14ac:dyDescent="0.25">
      <c r="A97" s="78">
        <v>25808200111</v>
      </c>
      <c r="B97" s="79" t="s">
        <v>909</v>
      </c>
      <c r="C97" s="79" t="s">
        <v>421</v>
      </c>
      <c r="D97" s="87">
        <v>2103750</v>
      </c>
      <c r="E97" s="79"/>
    </row>
    <row r="98" spans="1:5" x14ac:dyDescent="0.25">
      <c r="A98" s="78">
        <v>25807800030</v>
      </c>
      <c r="B98" s="79" t="s">
        <v>913</v>
      </c>
      <c r="C98" s="79" t="s">
        <v>914</v>
      </c>
      <c r="D98" s="87">
        <v>2103750</v>
      </c>
      <c r="E98" s="79"/>
    </row>
    <row r="99" spans="1:5" x14ac:dyDescent="0.25">
      <c r="A99" s="78">
        <v>25801100079</v>
      </c>
      <c r="B99" s="88" t="s">
        <v>921</v>
      </c>
      <c r="C99" s="88" t="s">
        <v>922</v>
      </c>
      <c r="D99" s="87">
        <v>4207500</v>
      </c>
      <c r="E99" s="79"/>
    </row>
    <row r="100" spans="1:5" x14ac:dyDescent="0.25">
      <c r="A100" s="78">
        <v>25801300024</v>
      </c>
      <c r="B100" s="79" t="s">
        <v>926</v>
      </c>
      <c r="C100" s="79" t="s">
        <v>138</v>
      </c>
      <c r="D100" s="87">
        <v>2103750</v>
      </c>
      <c r="E100" s="79"/>
    </row>
    <row r="101" spans="1:5" x14ac:dyDescent="0.25">
      <c r="A101" s="78">
        <v>25802700153</v>
      </c>
      <c r="B101" s="79" t="s">
        <v>945</v>
      </c>
      <c r="C101" s="79" t="s">
        <v>515</v>
      </c>
      <c r="D101" s="87">
        <v>2103750</v>
      </c>
      <c r="E101" s="79"/>
    </row>
    <row r="102" spans="1:5" x14ac:dyDescent="0.25">
      <c r="A102" s="78">
        <v>25801100004</v>
      </c>
      <c r="B102" s="79" t="s">
        <v>331</v>
      </c>
      <c r="C102" s="79" t="s">
        <v>120</v>
      </c>
      <c r="D102" s="87">
        <v>2103750</v>
      </c>
      <c r="E102" s="79"/>
    </row>
    <row r="103" spans="1:5" x14ac:dyDescent="0.25">
      <c r="A103" s="78">
        <v>25808700047</v>
      </c>
      <c r="B103" s="88" t="s">
        <v>961</v>
      </c>
      <c r="C103" s="88" t="s">
        <v>392</v>
      </c>
      <c r="D103" s="87">
        <v>2103750</v>
      </c>
      <c r="E103" s="79"/>
    </row>
    <row r="104" spans="1:5" x14ac:dyDescent="0.25">
      <c r="A104" s="78">
        <v>25802700012</v>
      </c>
      <c r="B104" s="79" t="s">
        <v>963</v>
      </c>
      <c r="C104" s="79" t="s">
        <v>83</v>
      </c>
      <c r="D104" s="87">
        <v>2103750</v>
      </c>
      <c r="E104" s="79"/>
    </row>
    <row r="105" spans="1:5" x14ac:dyDescent="0.25">
      <c r="A105" s="78">
        <v>25808900008</v>
      </c>
      <c r="B105" s="79" t="s">
        <v>966</v>
      </c>
      <c r="C105" s="79" t="s">
        <v>160</v>
      </c>
      <c r="D105" s="87">
        <v>2103750</v>
      </c>
      <c r="E105" s="79"/>
    </row>
    <row r="106" spans="1:5" x14ac:dyDescent="0.25">
      <c r="A106" s="78">
        <v>25808600069</v>
      </c>
      <c r="B106" s="79" t="s">
        <v>970</v>
      </c>
      <c r="C106" s="79" t="s">
        <v>22</v>
      </c>
      <c r="D106" s="87">
        <v>2103750</v>
      </c>
      <c r="E106" s="79"/>
    </row>
    <row r="107" spans="1:5" x14ac:dyDescent="0.25">
      <c r="A107" s="78">
        <v>25807800212</v>
      </c>
      <c r="B107" s="79" t="s">
        <v>972</v>
      </c>
      <c r="C107" s="79" t="s">
        <v>973</v>
      </c>
      <c r="D107" s="87">
        <v>2103750</v>
      </c>
      <c r="E107" s="79"/>
    </row>
    <row r="108" spans="1:5" x14ac:dyDescent="0.25">
      <c r="A108" s="78">
        <v>25801300015</v>
      </c>
      <c r="B108" s="79" t="s">
        <v>976</v>
      </c>
      <c r="C108" s="79" t="s">
        <v>500</v>
      </c>
      <c r="D108" s="87">
        <v>2103750</v>
      </c>
      <c r="E108" s="79"/>
    </row>
    <row r="109" spans="1:5" x14ac:dyDescent="0.25">
      <c r="A109" s="78">
        <v>25800400151</v>
      </c>
      <c r="B109" s="79" t="s">
        <v>523</v>
      </c>
      <c r="C109" s="79" t="s">
        <v>907</v>
      </c>
      <c r="D109" s="87">
        <v>2103750</v>
      </c>
      <c r="E109" s="79"/>
    </row>
    <row r="110" spans="1:5" x14ac:dyDescent="0.25">
      <c r="A110" s="78">
        <v>25802700003</v>
      </c>
      <c r="B110" s="79" t="s">
        <v>985</v>
      </c>
      <c r="C110" s="79" t="s">
        <v>494</v>
      </c>
      <c r="D110" s="87">
        <v>4207500</v>
      </c>
      <c r="E110" s="79"/>
    </row>
    <row r="111" spans="1:5" x14ac:dyDescent="0.25">
      <c r="A111" s="78">
        <v>25807800158</v>
      </c>
      <c r="B111" s="79" t="s">
        <v>991</v>
      </c>
      <c r="C111" s="79" t="s">
        <v>72</v>
      </c>
      <c r="D111" s="87">
        <v>2103750</v>
      </c>
      <c r="E111" s="79"/>
    </row>
    <row r="112" spans="1:5" x14ac:dyDescent="0.25">
      <c r="A112" s="78">
        <v>25805800054</v>
      </c>
      <c r="B112" s="79" t="s">
        <v>1000</v>
      </c>
      <c r="C112" s="79" t="s">
        <v>160</v>
      </c>
      <c r="D112" s="87">
        <v>2103750</v>
      </c>
      <c r="E112" s="79"/>
    </row>
    <row r="113" spans="1:5" x14ac:dyDescent="0.25">
      <c r="A113" s="78">
        <v>25808200108</v>
      </c>
      <c r="B113" s="79" t="s">
        <v>1003</v>
      </c>
      <c r="C113" s="79" t="s">
        <v>242</v>
      </c>
      <c r="D113" s="87">
        <v>2103750</v>
      </c>
      <c r="E113" s="79"/>
    </row>
    <row r="114" spans="1:5" x14ac:dyDescent="0.25">
      <c r="A114" s="78">
        <v>25800400291</v>
      </c>
      <c r="B114" s="79" t="s">
        <v>717</v>
      </c>
      <c r="C114" s="79" t="s">
        <v>341</v>
      </c>
      <c r="D114" s="87">
        <v>2103750</v>
      </c>
      <c r="E114" s="79"/>
    </row>
    <row r="115" spans="1:5" x14ac:dyDescent="0.25">
      <c r="A115" s="78">
        <v>25806300022</v>
      </c>
      <c r="B115" s="79" t="s">
        <v>49</v>
      </c>
      <c r="C115" s="79" t="s">
        <v>182</v>
      </c>
      <c r="D115" s="87">
        <v>6311250</v>
      </c>
      <c r="E115" s="79"/>
    </row>
    <row r="116" spans="1:5" x14ac:dyDescent="0.25">
      <c r="A116" s="78">
        <v>25820300043</v>
      </c>
      <c r="B116" s="79" t="s">
        <v>1045</v>
      </c>
      <c r="C116" s="79" t="s">
        <v>294</v>
      </c>
      <c r="D116" s="87">
        <v>2103750</v>
      </c>
      <c r="E116" s="79"/>
    </row>
    <row r="117" spans="1:5" x14ac:dyDescent="0.25">
      <c r="A117" s="78">
        <v>25820200133</v>
      </c>
      <c r="B117" s="79" t="s">
        <v>585</v>
      </c>
      <c r="C117" s="79" t="s">
        <v>1074</v>
      </c>
      <c r="D117" s="87">
        <v>2103750</v>
      </c>
      <c r="E117" s="79"/>
    </row>
    <row r="118" spans="1:5" x14ac:dyDescent="0.25">
      <c r="A118" s="78">
        <v>25806800058</v>
      </c>
      <c r="B118" s="79" t="s">
        <v>1102</v>
      </c>
      <c r="C118" s="79" t="s">
        <v>1103</v>
      </c>
      <c r="D118" s="87">
        <v>2103750</v>
      </c>
      <c r="E118" s="79"/>
    </row>
    <row r="119" spans="1:5" x14ac:dyDescent="0.25">
      <c r="A119" s="78">
        <v>25807900016</v>
      </c>
      <c r="B119" s="79" t="s">
        <v>269</v>
      </c>
      <c r="C119" s="79" t="s">
        <v>490</v>
      </c>
      <c r="D119" s="87">
        <v>2103750</v>
      </c>
      <c r="E119" s="79"/>
    </row>
    <row r="120" spans="1:5" x14ac:dyDescent="0.25">
      <c r="A120" s="78">
        <v>25820700014</v>
      </c>
      <c r="B120" s="79" t="s">
        <v>664</v>
      </c>
      <c r="C120" s="79" t="s">
        <v>236</v>
      </c>
      <c r="D120" s="87">
        <v>2103750</v>
      </c>
      <c r="E120" s="79"/>
    </row>
    <row r="121" spans="1:5" x14ac:dyDescent="0.25">
      <c r="A121" s="78">
        <v>25820300019</v>
      </c>
      <c r="B121" s="79" t="s">
        <v>1126</v>
      </c>
      <c r="C121" s="79" t="s">
        <v>157</v>
      </c>
      <c r="D121" s="87">
        <v>2103750</v>
      </c>
      <c r="E121" s="79"/>
    </row>
    <row r="122" spans="1:5" x14ac:dyDescent="0.25">
      <c r="A122" s="78">
        <v>25807800116</v>
      </c>
      <c r="B122" s="79" t="s">
        <v>1128</v>
      </c>
      <c r="C122" s="79" t="s">
        <v>252</v>
      </c>
      <c r="D122" s="87">
        <v>2470000</v>
      </c>
      <c r="E122" s="79"/>
    </row>
    <row r="123" spans="1:5" x14ac:dyDescent="0.25">
      <c r="A123" s="78">
        <v>25802800160</v>
      </c>
      <c r="B123" s="79" t="s">
        <v>1132</v>
      </c>
      <c r="C123" s="79" t="s">
        <v>185</v>
      </c>
      <c r="D123" s="87">
        <v>2103750</v>
      </c>
      <c r="E123" s="79"/>
    </row>
    <row r="124" spans="1:5" x14ac:dyDescent="0.25">
      <c r="A124" s="78">
        <v>25820200013</v>
      </c>
      <c r="B124" s="79" t="s">
        <v>1134</v>
      </c>
      <c r="C124" s="79" t="s">
        <v>439</v>
      </c>
      <c r="D124" s="87">
        <v>2103750</v>
      </c>
      <c r="E124" s="79"/>
    </row>
    <row r="125" spans="1:5" x14ac:dyDescent="0.25">
      <c r="A125" s="78">
        <v>25808700203</v>
      </c>
      <c r="B125" s="79" t="s">
        <v>1141</v>
      </c>
      <c r="C125" s="79" t="s">
        <v>1142</v>
      </c>
      <c r="D125" s="87">
        <v>2103750</v>
      </c>
      <c r="E125" s="79"/>
    </row>
    <row r="126" spans="1:5" x14ac:dyDescent="0.25">
      <c r="A126" s="78">
        <v>25820700032</v>
      </c>
      <c r="B126" s="79" t="s">
        <v>1148</v>
      </c>
      <c r="C126" s="79" t="s">
        <v>111</v>
      </c>
      <c r="D126" s="87">
        <v>2103750</v>
      </c>
      <c r="E126" s="79"/>
    </row>
    <row r="127" spans="1:5" x14ac:dyDescent="0.25">
      <c r="A127" s="78">
        <v>25808700068</v>
      </c>
      <c r="B127" s="79" t="s">
        <v>206</v>
      </c>
      <c r="C127" s="79" t="s">
        <v>207</v>
      </c>
      <c r="D127" s="87">
        <v>2103750</v>
      </c>
      <c r="E127" s="79"/>
    </row>
    <row r="128" spans="1:5" x14ac:dyDescent="0.25">
      <c r="A128" s="78">
        <v>25808200027</v>
      </c>
      <c r="B128" s="79" t="s">
        <v>1153</v>
      </c>
      <c r="C128" s="79" t="s">
        <v>474</v>
      </c>
      <c r="D128" s="87">
        <v>2103750</v>
      </c>
      <c r="E128" s="79"/>
    </row>
    <row r="129" spans="1:5" x14ac:dyDescent="0.25">
      <c r="A129" s="78">
        <v>25808700161</v>
      </c>
      <c r="B129" s="79" t="s">
        <v>1155</v>
      </c>
      <c r="C129" s="79" t="s">
        <v>160</v>
      </c>
      <c r="D129" s="87">
        <v>2103750</v>
      </c>
      <c r="E129" s="79"/>
    </row>
    <row r="130" spans="1:5" x14ac:dyDescent="0.25">
      <c r="A130" s="78">
        <v>25808700009</v>
      </c>
      <c r="B130" s="79" t="s">
        <v>534</v>
      </c>
      <c r="C130" s="79" t="s">
        <v>1161</v>
      </c>
      <c r="D130" s="87">
        <v>2103750</v>
      </c>
      <c r="E130" s="79"/>
    </row>
    <row r="131" spans="1:5" x14ac:dyDescent="0.25">
      <c r="A131" s="78">
        <v>25808700023</v>
      </c>
      <c r="B131" s="79" t="s">
        <v>1163</v>
      </c>
      <c r="C131" s="79" t="s">
        <v>66</v>
      </c>
      <c r="D131" s="87">
        <v>2103750</v>
      </c>
      <c r="E131" s="79"/>
    </row>
    <row r="132" spans="1:5" x14ac:dyDescent="0.25">
      <c r="A132" s="78">
        <v>25808700099</v>
      </c>
      <c r="B132" s="79" t="s">
        <v>1165</v>
      </c>
      <c r="C132" s="79" t="s">
        <v>544</v>
      </c>
      <c r="D132" s="87">
        <v>2103750</v>
      </c>
      <c r="E132" s="79"/>
    </row>
    <row r="133" spans="1:5" x14ac:dyDescent="0.25">
      <c r="A133" s="78">
        <v>25806000105</v>
      </c>
      <c r="B133" s="79" t="s">
        <v>1172</v>
      </c>
      <c r="C133" s="79" t="s">
        <v>929</v>
      </c>
      <c r="D133" s="87">
        <v>2103750</v>
      </c>
      <c r="E133" s="79"/>
    </row>
    <row r="134" spans="1:5" x14ac:dyDescent="0.25">
      <c r="A134" s="78">
        <v>25808700122</v>
      </c>
      <c r="B134" s="79" t="s">
        <v>1174</v>
      </c>
      <c r="C134" s="79" t="s">
        <v>636</v>
      </c>
      <c r="D134" s="87">
        <v>2103750</v>
      </c>
      <c r="E134" s="79"/>
    </row>
    <row r="135" spans="1:5" x14ac:dyDescent="0.25">
      <c r="A135" s="78">
        <v>25803800007</v>
      </c>
      <c r="B135" s="79" t="s">
        <v>1197</v>
      </c>
      <c r="C135" s="79" t="s">
        <v>120</v>
      </c>
      <c r="D135" s="87">
        <v>2103750</v>
      </c>
      <c r="E135" s="79"/>
    </row>
    <row r="136" spans="1:5" x14ac:dyDescent="0.25">
      <c r="A136" s="78">
        <v>25802100018</v>
      </c>
      <c r="B136" s="79" t="s">
        <v>1214</v>
      </c>
      <c r="C136" s="79" t="s">
        <v>57</v>
      </c>
      <c r="D136" s="87">
        <v>2103750</v>
      </c>
      <c r="E136" s="79"/>
    </row>
    <row r="137" spans="1:5" x14ac:dyDescent="0.25">
      <c r="A137" s="78">
        <v>25802700127</v>
      </c>
      <c r="B137" s="79" t="s">
        <v>489</v>
      </c>
      <c r="C137" s="79" t="s">
        <v>34</v>
      </c>
      <c r="D137" s="87">
        <v>2103750</v>
      </c>
      <c r="E137" s="79"/>
    </row>
    <row r="138" spans="1:5" x14ac:dyDescent="0.25">
      <c r="A138" s="78">
        <v>25800601138</v>
      </c>
      <c r="B138" s="79" t="s">
        <v>38</v>
      </c>
      <c r="C138" s="79" t="s">
        <v>70</v>
      </c>
      <c r="D138" s="87">
        <v>2103750</v>
      </c>
      <c r="E138" s="79"/>
    </row>
    <row r="139" spans="1:5" x14ac:dyDescent="0.25">
      <c r="A139" s="78">
        <v>25800500005</v>
      </c>
      <c r="B139" s="79" t="s">
        <v>1237</v>
      </c>
      <c r="C139" s="79" t="s">
        <v>160</v>
      </c>
      <c r="D139" s="87">
        <v>2103750</v>
      </c>
      <c r="E139" s="79"/>
    </row>
    <row r="140" spans="1:5" x14ac:dyDescent="0.25">
      <c r="A140" s="78">
        <v>25800400150</v>
      </c>
      <c r="B140" s="79" t="s">
        <v>1239</v>
      </c>
      <c r="C140" s="79" t="s">
        <v>907</v>
      </c>
      <c r="D140" s="87">
        <v>2103750</v>
      </c>
      <c r="E140" s="79"/>
    </row>
    <row r="141" spans="1:5" x14ac:dyDescent="0.25">
      <c r="A141" s="78">
        <v>25820200064</v>
      </c>
      <c r="B141" s="79" t="s">
        <v>1251</v>
      </c>
      <c r="C141" s="79" t="s">
        <v>78</v>
      </c>
      <c r="D141" s="87">
        <v>2103750</v>
      </c>
      <c r="E141" s="79"/>
    </row>
    <row r="142" spans="1:5" x14ac:dyDescent="0.25">
      <c r="A142" s="78">
        <v>25820200051</v>
      </c>
      <c r="B142" s="79" t="s">
        <v>143</v>
      </c>
      <c r="C142" s="79" t="s">
        <v>151</v>
      </c>
      <c r="D142" s="87">
        <v>4207500</v>
      </c>
      <c r="E142" s="79"/>
    </row>
    <row r="143" spans="1:5" x14ac:dyDescent="0.25">
      <c r="A143" s="78">
        <v>25820300020</v>
      </c>
      <c r="B143" s="88" t="s">
        <v>1024</v>
      </c>
      <c r="C143" s="88" t="s">
        <v>599</v>
      </c>
      <c r="D143" s="87">
        <v>2103750</v>
      </c>
      <c r="E143" s="79"/>
    </row>
    <row r="144" spans="1:5" x14ac:dyDescent="0.25">
      <c r="A144" s="78">
        <v>25800400170</v>
      </c>
      <c r="B144" s="79" t="s">
        <v>1269</v>
      </c>
      <c r="C144" s="79" t="s">
        <v>78</v>
      </c>
      <c r="D144" s="87">
        <v>2103750</v>
      </c>
      <c r="E144" s="79"/>
    </row>
    <row r="145" spans="1:5" x14ac:dyDescent="0.25">
      <c r="A145" s="78">
        <v>25808700006</v>
      </c>
      <c r="B145" s="88" t="s">
        <v>1282</v>
      </c>
      <c r="C145" s="88" t="s">
        <v>120</v>
      </c>
      <c r="D145" s="87">
        <v>2103750</v>
      </c>
      <c r="E145" s="79"/>
    </row>
    <row r="146" spans="1:5" x14ac:dyDescent="0.25">
      <c r="A146" s="78">
        <v>25802800402</v>
      </c>
      <c r="B146" s="79" t="s">
        <v>49</v>
      </c>
      <c r="C146" s="79" t="s">
        <v>160</v>
      </c>
      <c r="D146" s="87">
        <v>6311250</v>
      </c>
      <c r="E146" s="79"/>
    </row>
    <row r="147" spans="1:5" x14ac:dyDescent="0.25">
      <c r="A147" s="78">
        <v>25808200098</v>
      </c>
      <c r="B147" s="79" t="s">
        <v>1291</v>
      </c>
      <c r="C147" s="79" t="s">
        <v>294</v>
      </c>
      <c r="D147" s="87">
        <v>6311250</v>
      </c>
      <c r="E147" s="79"/>
    </row>
    <row r="148" spans="1:5" x14ac:dyDescent="0.25">
      <c r="A148" s="78">
        <v>25808600121</v>
      </c>
      <c r="B148" s="79" t="s">
        <v>1294</v>
      </c>
      <c r="C148" s="79" t="s">
        <v>239</v>
      </c>
      <c r="D148" s="87">
        <v>6311250</v>
      </c>
      <c r="E148" s="79"/>
    </row>
    <row r="149" spans="1:5" x14ac:dyDescent="0.25">
      <c r="A149" s="78">
        <v>25809400036</v>
      </c>
      <c r="B149" s="79" t="s">
        <v>87</v>
      </c>
      <c r="C149" s="79" t="s">
        <v>83</v>
      </c>
      <c r="D149" s="87">
        <v>6311250</v>
      </c>
      <c r="E149" s="79"/>
    </row>
    <row r="150" spans="1:5" x14ac:dyDescent="0.25">
      <c r="A150" s="78">
        <v>25802700006</v>
      </c>
      <c r="B150" s="79" t="s">
        <v>1297</v>
      </c>
      <c r="C150" s="79" t="s">
        <v>160</v>
      </c>
      <c r="D150" s="87">
        <v>4207500</v>
      </c>
      <c r="E150" s="79"/>
    </row>
    <row r="151" spans="1:5" x14ac:dyDescent="0.25">
      <c r="A151" s="78">
        <v>25806800034</v>
      </c>
      <c r="B151" s="79" t="s">
        <v>1299</v>
      </c>
      <c r="C151" s="79" t="s">
        <v>392</v>
      </c>
      <c r="D151" s="87">
        <v>4207500</v>
      </c>
      <c r="E151" s="79"/>
    </row>
    <row r="152" spans="1:5" x14ac:dyDescent="0.25">
      <c r="A152" s="78">
        <v>25806800053</v>
      </c>
      <c r="B152" s="79" t="s">
        <v>1301</v>
      </c>
      <c r="C152" s="79" t="s">
        <v>207</v>
      </c>
      <c r="D152" s="87">
        <v>4207500</v>
      </c>
      <c r="E152" s="79"/>
    </row>
    <row r="153" spans="1:5" x14ac:dyDescent="0.25">
      <c r="A153" s="78">
        <v>25808700026</v>
      </c>
      <c r="B153" s="79" t="s">
        <v>1303</v>
      </c>
      <c r="C153" s="79" t="s">
        <v>821</v>
      </c>
      <c r="D153" s="87">
        <v>4207500</v>
      </c>
      <c r="E153" s="79"/>
    </row>
    <row r="154" spans="1:5" x14ac:dyDescent="0.25">
      <c r="A154" s="78">
        <v>25809100020</v>
      </c>
      <c r="B154" s="79" t="s">
        <v>1305</v>
      </c>
      <c r="C154" s="79" t="s">
        <v>1306</v>
      </c>
      <c r="D154" s="87">
        <v>4207500</v>
      </c>
      <c r="E154" s="79"/>
    </row>
    <row r="155" spans="1:5" x14ac:dyDescent="0.25">
      <c r="A155" s="78">
        <v>25801800110</v>
      </c>
      <c r="B155" s="79" t="s">
        <v>1308</v>
      </c>
      <c r="C155" s="79" t="s">
        <v>138</v>
      </c>
      <c r="D155" s="87">
        <v>4207500</v>
      </c>
      <c r="E155" s="79"/>
    </row>
    <row r="156" spans="1:5" x14ac:dyDescent="0.25">
      <c r="A156" s="78">
        <v>25802100009</v>
      </c>
      <c r="B156" s="79" t="s">
        <v>38</v>
      </c>
      <c r="C156" s="79" t="s">
        <v>1050</v>
      </c>
      <c r="D156" s="87">
        <v>4207500</v>
      </c>
      <c r="E156" s="79"/>
    </row>
    <row r="157" spans="1:5" x14ac:dyDescent="0.25">
      <c r="A157" s="78">
        <v>25808600126</v>
      </c>
      <c r="B157" s="79" t="s">
        <v>1311</v>
      </c>
      <c r="C157" s="79" t="s">
        <v>867</v>
      </c>
      <c r="D157" s="87">
        <v>4207500</v>
      </c>
      <c r="E157" s="79"/>
    </row>
    <row r="158" spans="1:5" x14ac:dyDescent="0.25">
      <c r="A158" s="78">
        <v>25808600105</v>
      </c>
      <c r="B158" s="79" t="s">
        <v>526</v>
      </c>
      <c r="C158" s="79" t="s">
        <v>421</v>
      </c>
      <c r="D158" s="87">
        <v>4207500</v>
      </c>
      <c r="E158" s="79"/>
    </row>
    <row r="159" spans="1:5" x14ac:dyDescent="0.25">
      <c r="A159" s="78">
        <v>25800500131</v>
      </c>
      <c r="B159" s="79" t="s">
        <v>1314</v>
      </c>
      <c r="C159" s="79" t="s">
        <v>104</v>
      </c>
      <c r="D159" s="87">
        <v>4207500</v>
      </c>
      <c r="E159" s="79"/>
    </row>
    <row r="160" spans="1:5" x14ac:dyDescent="0.25">
      <c r="A160" s="78">
        <v>25802800355</v>
      </c>
      <c r="B160" s="79" t="s">
        <v>687</v>
      </c>
      <c r="C160" s="79" t="s">
        <v>1235</v>
      </c>
      <c r="D160" s="87">
        <v>4207500</v>
      </c>
      <c r="E160" s="79"/>
    </row>
    <row r="161" spans="1:5" x14ac:dyDescent="0.25">
      <c r="A161" s="78">
        <v>25802600167</v>
      </c>
      <c r="B161" s="79" t="s">
        <v>1317</v>
      </c>
      <c r="C161" s="79" t="s">
        <v>376</v>
      </c>
      <c r="D161" s="87">
        <v>4207500</v>
      </c>
      <c r="E161" s="79"/>
    </row>
    <row r="162" spans="1:5" x14ac:dyDescent="0.25">
      <c r="A162" s="78">
        <v>25808600090</v>
      </c>
      <c r="B162" s="79" t="s">
        <v>1319</v>
      </c>
      <c r="C162" s="79" t="s">
        <v>111</v>
      </c>
      <c r="D162" s="87">
        <v>4207500</v>
      </c>
      <c r="E162" s="79"/>
    </row>
    <row r="163" spans="1:5" x14ac:dyDescent="0.25">
      <c r="A163" s="78">
        <v>25805900029</v>
      </c>
      <c r="B163" s="79" t="s">
        <v>1321</v>
      </c>
      <c r="C163" s="79" t="s">
        <v>166</v>
      </c>
      <c r="D163" s="87">
        <v>4207500</v>
      </c>
      <c r="E163" s="79"/>
    </row>
    <row r="164" spans="1:5" x14ac:dyDescent="0.25">
      <c r="A164" s="78">
        <v>25808600083</v>
      </c>
      <c r="B164" s="79" t="s">
        <v>1323</v>
      </c>
      <c r="C164" s="79" t="s">
        <v>207</v>
      </c>
      <c r="D164" s="87">
        <v>4207500</v>
      </c>
      <c r="E164" s="79"/>
    </row>
    <row r="165" spans="1:5" x14ac:dyDescent="0.25">
      <c r="A165" s="78">
        <v>25807500144</v>
      </c>
      <c r="B165" s="79" t="s">
        <v>103</v>
      </c>
      <c r="C165" s="79" t="s">
        <v>341</v>
      </c>
      <c r="D165" s="87">
        <v>4207500</v>
      </c>
      <c r="E165" s="79"/>
    </row>
    <row r="166" spans="1:5" x14ac:dyDescent="0.25">
      <c r="A166" s="78">
        <v>25800600036</v>
      </c>
      <c r="B166" s="79" t="s">
        <v>162</v>
      </c>
      <c r="C166" s="79" t="s">
        <v>120</v>
      </c>
      <c r="D166" s="87">
        <v>4207500</v>
      </c>
      <c r="E166" s="79"/>
    </row>
    <row r="167" spans="1:5" x14ac:dyDescent="0.25">
      <c r="A167" s="78">
        <v>25801300042</v>
      </c>
      <c r="B167" s="79" t="s">
        <v>1076</v>
      </c>
      <c r="C167" s="79" t="s">
        <v>647</v>
      </c>
      <c r="D167" s="87">
        <v>4207500</v>
      </c>
      <c r="E167" s="79"/>
    </row>
    <row r="168" spans="1:5" x14ac:dyDescent="0.25">
      <c r="A168" s="78">
        <v>25820700005</v>
      </c>
      <c r="B168" s="79" t="s">
        <v>1332</v>
      </c>
      <c r="C168" s="79" t="s">
        <v>160</v>
      </c>
      <c r="D168" s="87">
        <v>4207500</v>
      </c>
      <c r="E168" s="79"/>
    </row>
    <row r="169" spans="1:5" x14ac:dyDescent="0.25">
      <c r="A169" s="78">
        <v>25807800075</v>
      </c>
      <c r="B169" s="79" t="s">
        <v>1205</v>
      </c>
      <c r="C169" s="79" t="s">
        <v>515</v>
      </c>
      <c r="D169" s="87">
        <v>4207500</v>
      </c>
      <c r="E169" s="79"/>
    </row>
    <row r="170" spans="1:5" x14ac:dyDescent="0.25">
      <c r="A170" s="78">
        <v>25807800251</v>
      </c>
      <c r="B170" s="79" t="s">
        <v>1335</v>
      </c>
      <c r="C170" s="79" t="s">
        <v>595</v>
      </c>
      <c r="D170" s="87">
        <v>4207500</v>
      </c>
      <c r="E170" s="79"/>
    </row>
    <row r="171" spans="1:5" x14ac:dyDescent="0.25">
      <c r="A171" s="78">
        <v>25808900060</v>
      </c>
      <c r="B171" s="79" t="s">
        <v>830</v>
      </c>
      <c r="C171" s="79" t="s">
        <v>50</v>
      </c>
      <c r="D171" s="87">
        <v>4207500</v>
      </c>
      <c r="E171" s="79"/>
    </row>
    <row r="172" spans="1:5" x14ac:dyDescent="0.25">
      <c r="A172" s="78">
        <v>25801000044</v>
      </c>
      <c r="B172" s="79" t="s">
        <v>1338</v>
      </c>
      <c r="C172" s="79" t="s">
        <v>138</v>
      </c>
      <c r="D172" s="87">
        <v>4207500</v>
      </c>
      <c r="E172" s="79"/>
    </row>
    <row r="173" spans="1:5" x14ac:dyDescent="0.25">
      <c r="A173" s="78">
        <v>25807500078</v>
      </c>
      <c r="B173" s="79" t="s">
        <v>1340</v>
      </c>
      <c r="C173" s="79" t="s">
        <v>185</v>
      </c>
      <c r="D173" s="87">
        <v>4207500</v>
      </c>
      <c r="E173" s="79"/>
    </row>
    <row r="174" spans="1:5" x14ac:dyDescent="0.25">
      <c r="A174" s="78">
        <v>25808200104</v>
      </c>
      <c r="B174" s="79" t="s">
        <v>1342</v>
      </c>
      <c r="C174" s="79" t="s">
        <v>1015</v>
      </c>
      <c r="D174" s="87">
        <v>4207500</v>
      </c>
      <c r="E174" s="79"/>
    </row>
    <row r="175" spans="1:5" x14ac:dyDescent="0.25">
      <c r="A175" s="78">
        <v>25802700083</v>
      </c>
      <c r="B175" s="79" t="s">
        <v>1347</v>
      </c>
      <c r="C175" s="79" t="s">
        <v>842</v>
      </c>
      <c r="D175" s="87">
        <v>4207500</v>
      </c>
      <c r="E175" s="79"/>
    </row>
    <row r="176" spans="1:5" x14ac:dyDescent="0.25">
      <c r="A176" s="78">
        <v>25807800085</v>
      </c>
      <c r="B176" s="79" t="s">
        <v>1349</v>
      </c>
      <c r="C176" s="79" t="s">
        <v>484</v>
      </c>
      <c r="D176" s="87">
        <v>4207500</v>
      </c>
      <c r="E176" s="79"/>
    </row>
    <row r="177" spans="1:5" x14ac:dyDescent="0.25">
      <c r="A177" s="78">
        <v>25808200085</v>
      </c>
      <c r="B177" s="79" t="s">
        <v>1351</v>
      </c>
      <c r="C177" s="79" t="s">
        <v>484</v>
      </c>
      <c r="D177" s="87">
        <v>4207500</v>
      </c>
      <c r="E177" s="79"/>
    </row>
    <row r="178" spans="1:5" x14ac:dyDescent="0.25">
      <c r="A178" s="78">
        <v>25807500098</v>
      </c>
      <c r="B178" s="79" t="s">
        <v>1353</v>
      </c>
      <c r="C178" s="79" t="s">
        <v>1354</v>
      </c>
      <c r="D178" s="87">
        <v>4207500</v>
      </c>
      <c r="E178" s="79"/>
    </row>
    <row r="179" spans="1:5" x14ac:dyDescent="0.25">
      <c r="A179" s="78">
        <v>25800500312</v>
      </c>
      <c r="B179" s="79" t="s">
        <v>1358</v>
      </c>
      <c r="C179" s="79" t="s">
        <v>138</v>
      </c>
      <c r="D179" s="87">
        <v>4207500</v>
      </c>
      <c r="E179" s="79"/>
    </row>
    <row r="180" spans="1:5" x14ac:dyDescent="0.25">
      <c r="A180" s="78">
        <v>25808700072</v>
      </c>
      <c r="B180" s="79" t="s">
        <v>197</v>
      </c>
      <c r="C180" s="79" t="s">
        <v>1360</v>
      </c>
      <c r="D180" s="87">
        <v>4207500</v>
      </c>
      <c r="E180" s="79"/>
    </row>
    <row r="181" spans="1:5" x14ac:dyDescent="0.25">
      <c r="A181" s="78">
        <v>25806300025</v>
      </c>
      <c r="B181" s="79" t="s">
        <v>1362</v>
      </c>
      <c r="C181" s="79" t="s">
        <v>388</v>
      </c>
      <c r="D181" s="87">
        <v>4207500</v>
      </c>
      <c r="E181" s="79"/>
    </row>
    <row r="182" spans="1:5" x14ac:dyDescent="0.25">
      <c r="A182" s="78">
        <v>25807500037</v>
      </c>
      <c r="B182" s="79" t="s">
        <v>103</v>
      </c>
      <c r="C182" s="79" t="s">
        <v>54</v>
      </c>
      <c r="D182" s="87">
        <v>2103750</v>
      </c>
      <c r="E182" s="79"/>
    </row>
    <row r="183" spans="1:5" x14ac:dyDescent="0.25">
      <c r="A183" s="78">
        <v>25802600095</v>
      </c>
      <c r="B183" s="79" t="s">
        <v>1365</v>
      </c>
      <c r="C183" s="79" t="s">
        <v>207</v>
      </c>
      <c r="D183" s="87">
        <v>4207500</v>
      </c>
      <c r="E183" s="79"/>
    </row>
    <row r="184" spans="1:5" x14ac:dyDescent="0.25">
      <c r="A184" s="78">
        <v>25802800047</v>
      </c>
      <c r="B184" s="79" t="s">
        <v>100</v>
      </c>
      <c r="C184" s="79" t="s">
        <v>439</v>
      </c>
      <c r="D184" s="87">
        <v>5207500</v>
      </c>
      <c r="E184" s="79"/>
    </row>
    <row r="185" spans="1:5" x14ac:dyDescent="0.25">
      <c r="A185" s="78">
        <v>25808700155</v>
      </c>
      <c r="B185" s="79" t="s">
        <v>103</v>
      </c>
      <c r="C185" s="79" t="s">
        <v>1015</v>
      </c>
      <c r="D185" s="87">
        <v>4207500</v>
      </c>
      <c r="E185" s="79"/>
    </row>
    <row r="186" spans="1:5" x14ac:dyDescent="0.25">
      <c r="A186" s="78">
        <v>25802800018</v>
      </c>
      <c r="B186" s="79" t="s">
        <v>269</v>
      </c>
      <c r="C186" s="79" t="s">
        <v>120</v>
      </c>
      <c r="D186" s="87">
        <v>7540000</v>
      </c>
      <c r="E186" s="79"/>
    </row>
    <row r="187" spans="1:5" x14ac:dyDescent="0.25">
      <c r="A187" s="78">
        <v>25806400024</v>
      </c>
      <c r="B187" s="89" t="s">
        <v>1370</v>
      </c>
      <c r="C187" s="89" t="s">
        <v>1371</v>
      </c>
      <c r="D187" s="87">
        <v>4940000</v>
      </c>
      <c r="E187" s="79"/>
    </row>
    <row r="188" spans="1:5" x14ac:dyDescent="0.25">
      <c r="A188" s="78">
        <v>25801700013</v>
      </c>
      <c r="B188" s="79" t="s">
        <v>1381</v>
      </c>
      <c r="C188" s="79" t="s">
        <v>708</v>
      </c>
      <c r="D188" s="87">
        <v>6311250</v>
      </c>
      <c r="E188" s="79"/>
    </row>
    <row r="189" spans="1:5" x14ac:dyDescent="0.25">
      <c r="A189" s="78">
        <v>25803000304</v>
      </c>
      <c r="B189" s="88" t="s">
        <v>1383</v>
      </c>
      <c r="C189" s="88" t="s">
        <v>392</v>
      </c>
      <c r="D189" s="87">
        <v>4207500</v>
      </c>
      <c r="E189" s="79"/>
    </row>
    <row r="190" spans="1:5" x14ac:dyDescent="0.25">
      <c r="A190" s="78">
        <v>25808600109</v>
      </c>
      <c r="B190" s="79" t="s">
        <v>1388</v>
      </c>
      <c r="C190" s="79" t="s">
        <v>91</v>
      </c>
      <c r="D190" s="87">
        <v>6311250</v>
      </c>
      <c r="E190" s="79"/>
    </row>
    <row r="191" spans="1:5" x14ac:dyDescent="0.25">
      <c r="A191" s="78">
        <v>25802600208</v>
      </c>
      <c r="B191" s="88" t="s">
        <v>911</v>
      </c>
      <c r="C191" s="88" t="s">
        <v>239</v>
      </c>
      <c r="D191" s="87">
        <v>4207500</v>
      </c>
      <c r="E191" s="79"/>
    </row>
    <row r="192" spans="1:5" x14ac:dyDescent="0.25">
      <c r="A192" s="78">
        <v>25802800250</v>
      </c>
      <c r="B192" s="79" t="s">
        <v>839</v>
      </c>
      <c r="C192" s="79" t="s">
        <v>1403</v>
      </c>
      <c r="D192" s="87">
        <v>4940000</v>
      </c>
      <c r="E192" s="79"/>
    </row>
    <row r="193" spans="1:5" x14ac:dyDescent="0.25">
      <c r="A193" s="78">
        <v>25802800152</v>
      </c>
      <c r="B193" s="79" t="s">
        <v>1429</v>
      </c>
      <c r="C193" s="79" t="s">
        <v>22</v>
      </c>
      <c r="D193" s="87">
        <v>4207500</v>
      </c>
      <c r="E193" s="79"/>
    </row>
    <row r="194" spans="1:5" x14ac:dyDescent="0.25">
      <c r="A194" s="78">
        <v>25808600200</v>
      </c>
      <c r="B194" s="79" t="s">
        <v>1437</v>
      </c>
      <c r="C194" s="79" t="s">
        <v>929</v>
      </c>
      <c r="D194" s="87">
        <v>6311250</v>
      </c>
      <c r="E194" s="79"/>
    </row>
    <row r="195" spans="1:5" x14ac:dyDescent="0.25">
      <c r="A195" s="78">
        <v>25802100043</v>
      </c>
      <c r="B195" s="79" t="s">
        <v>820</v>
      </c>
      <c r="C195" s="79" t="s">
        <v>1439</v>
      </c>
      <c r="D195" s="87">
        <v>6311250</v>
      </c>
      <c r="E195" s="79"/>
    </row>
    <row r="196" spans="1:5" x14ac:dyDescent="0.25">
      <c r="A196" s="78">
        <v>25808500024</v>
      </c>
      <c r="B196" s="79" t="s">
        <v>1441</v>
      </c>
      <c r="C196" s="79" t="s">
        <v>120</v>
      </c>
      <c r="D196" s="87">
        <v>6311250</v>
      </c>
      <c r="E196" s="79"/>
    </row>
    <row r="197" spans="1:5" x14ac:dyDescent="0.25">
      <c r="A197" s="78">
        <v>25802800082</v>
      </c>
      <c r="B197" s="79" t="s">
        <v>130</v>
      </c>
      <c r="C197" s="79" t="s">
        <v>490</v>
      </c>
      <c r="D197" s="87">
        <v>6311250</v>
      </c>
      <c r="E197" s="79"/>
    </row>
    <row r="198" spans="1:5" x14ac:dyDescent="0.25">
      <c r="A198" s="78">
        <v>25805900005</v>
      </c>
      <c r="B198" s="79" t="s">
        <v>671</v>
      </c>
      <c r="C198" s="79" t="s">
        <v>1458</v>
      </c>
      <c r="D198" s="87">
        <v>6311250</v>
      </c>
      <c r="E198" s="79"/>
    </row>
    <row r="199" spans="1:5" x14ac:dyDescent="0.25">
      <c r="A199" s="78">
        <v>25807700087</v>
      </c>
      <c r="B199" s="79" t="s">
        <v>1392</v>
      </c>
      <c r="C199" s="79" t="s">
        <v>131</v>
      </c>
      <c r="D199" s="87">
        <v>6311250</v>
      </c>
      <c r="E199" s="79"/>
    </row>
    <row r="200" spans="1:5" x14ac:dyDescent="0.25">
      <c r="A200" s="78">
        <v>25805900021</v>
      </c>
      <c r="B200" s="79" t="s">
        <v>683</v>
      </c>
      <c r="C200" s="79" t="s">
        <v>712</v>
      </c>
      <c r="D200" s="87">
        <v>6311250</v>
      </c>
      <c r="E200" s="79"/>
    </row>
    <row r="201" spans="1:5" x14ac:dyDescent="0.25">
      <c r="A201" s="78">
        <v>25801600178</v>
      </c>
      <c r="B201" s="79" t="s">
        <v>1484</v>
      </c>
      <c r="C201" s="79" t="s">
        <v>376</v>
      </c>
      <c r="D201" s="87">
        <v>2600000</v>
      </c>
      <c r="E201" s="79"/>
    </row>
    <row r="202" spans="1:5" x14ac:dyDescent="0.25">
      <c r="A202" s="78">
        <v>25820100031</v>
      </c>
      <c r="B202" s="79" t="s">
        <v>1503</v>
      </c>
      <c r="C202" s="79" t="s">
        <v>97</v>
      </c>
      <c r="D202" s="87">
        <v>6311250</v>
      </c>
      <c r="E202" s="79"/>
    </row>
    <row r="203" spans="1:5" x14ac:dyDescent="0.25">
      <c r="A203" s="78">
        <v>25820200041</v>
      </c>
      <c r="B203" s="79" t="s">
        <v>1505</v>
      </c>
      <c r="C203" s="79" t="s">
        <v>138</v>
      </c>
      <c r="D203" s="87">
        <v>6311250</v>
      </c>
      <c r="E203" s="79"/>
    </row>
    <row r="204" spans="1:5" x14ac:dyDescent="0.25">
      <c r="A204" s="78">
        <v>25807500073</v>
      </c>
      <c r="B204" s="79" t="s">
        <v>1513</v>
      </c>
      <c r="C204" s="79" t="s">
        <v>97</v>
      </c>
      <c r="D204" s="87">
        <v>6311250</v>
      </c>
      <c r="E204" s="79"/>
    </row>
    <row r="205" spans="1:5" x14ac:dyDescent="0.25">
      <c r="A205" s="78">
        <v>25801100042</v>
      </c>
      <c r="B205" s="79" t="s">
        <v>143</v>
      </c>
      <c r="C205" s="79" t="s">
        <v>1024</v>
      </c>
      <c r="D205" s="87">
        <v>6311250</v>
      </c>
      <c r="E205" s="79"/>
    </row>
    <row r="206" spans="1:5" x14ac:dyDescent="0.25">
      <c r="A206" s="78">
        <v>25800500098</v>
      </c>
      <c r="B206" s="79" t="s">
        <v>1524</v>
      </c>
      <c r="C206" s="79" t="s">
        <v>182</v>
      </c>
      <c r="D206" s="87">
        <v>6311258</v>
      </c>
      <c r="E206" s="79"/>
    </row>
    <row r="207" spans="1:5" x14ac:dyDescent="0.25">
      <c r="A207" s="78">
        <v>25808200022</v>
      </c>
      <c r="B207" s="79" t="s">
        <v>1526</v>
      </c>
      <c r="C207" s="79" t="s">
        <v>517</v>
      </c>
      <c r="D207" s="87">
        <v>6311250</v>
      </c>
      <c r="E207" s="79"/>
    </row>
    <row r="208" spans="1:5" x14ac:dyDescent="0.25">
      <c r="A208" s="78">
        <v>25809600021</v>
      </c>
      <c r="B208" s="88" t="s">
        <v>972</v>
      </c>
      <c r="C208" s="88" t="s">
        <v>34</v>
      </c>
      <c r="D208" s="87">
        <v>4207500</v>
      </c>
      <c r="E208" s="79"/>
    </row>
    <row r="209" spans="1:5" x14ac:dyDescent="0.25">
      <c r="A209" s="78">
        <v>25807500152</v>
      </c>
      <c r="B209" s="79" t="s">
        <v>1529</v>
      </c>
      <c r="C209" s="79" t="s">
        <v>47</v>
      </c>
      <c r="D209" s="87">
        <v>6311250</v>
      </c>
      <c r="E209" s="79"/>
    </row>
    <row r="210" spans="1:5" x14ac:dyDescent="0.25">
      <c r="A210" s="78">
        <v>25807700110</v>
      </c>
      <c r="B210" s="79" t="s">
        <v>179</v>
      </c>
      <c r="C210" s="79" t="s">
        <v>658</v>
      </c>
      <c r="D210" s="87">
        <v>6311250</v>
      </c>
      <c r="E210" s="79"/>
    </row>
    <row r="211" spans="1:5" x14ac:dyDescent="0.25">
      <c r="A211" s="78">
        <v>25808200247</v>
      </c>
      <c r="B211" s="79" t="s">
        <v>1537</v>
      </c>
      <c r="C211" s="79" t="s">
        <v>157</v>
      </c>
      <c r="D211" s="87">
        <v>6311250</v>
      </c>
      <c r="E211" s="79"/>
    </row>
    <row r="212" spans="1:5" x14ac:dyDescent="0.25">
      <c r="A212" s="78">
        <v>25800400162</v>
      </c>
      <c r="B212" s="79" t="s">
        <v>1540</v>
      </c>
      <c r="C212" s="79" t="s">
        <v>1541</v>
      </c>
      <c r="D212" s="87">
        <v>6311250</v>
      </c>
      <c r="E212" s="79"/>
    </row>
    <row r="213" spans="1:5" x14ac:dyDescent="0.25">
      <c r="A213" s="78">
        <v>25800500155</v>
      </c>
      <c r="B213" s="79" t="s">
        <v>1543</v>
      </c>
      <c r="C213" s="79" t="s">
        <v>43</v>
      </c>
      <c r="D213" s="87">
        <v>4207500</v>
      </c>
      <c r="E213" s="79"/>
    </row>
    <row r="214" spans="1:5" x14ac:dyDescent="0.25">
      <c r="A214" s="78">
        <v>25820100086</v>
      </c>
      <c r="B214" s="79" t="s">
        <v>49</v>
      </c>
      <c r="C214" s="79" t="s">
        <v>160</v>
      </c>
      <c r="D214" s="87">
        <v>2232500</v>
      </c>
      <c r="E214" s="79"/>
    </row>
    <row r="215" spans="1:5" x14ac:dyDescent="0.25">
      <c r="A215" s="78">
        <v>25820700070</v>
      </c>
      <c r="B215" s="79" t="s">
        <v>1553</v>
      </c>
      <c r="C215" s="79" t="s">
        <v>22</v>
      </c>
      <c r="D215" s="87">
        <v>6311250</v>
      </c>
      <c r="E215" s="79"/>
    </row>
    <row r="216" spans="1:5" x14ac:dyDescent="0.25">
      <c r="A216" s="78">
        <v>25808200002</v>
      </c>
      <c r="B216" s="79" t="s">
        <v>1234</v>
      </c>
      <c r="C216" s="79" t="s">
        <v>494</v>
      </c>
      <c r="D216" s="87">
        <v>6311250</v>
      </c>
      <c r="E216" s="79"/>
    </row>
    <row r="217" spans="1:5" x14ac:dyDescent="0.25">
      <c r="A217" s="78">
        <v>25802700084</v>
      </c>
      <c r="B217" s="79" t="s">
        <v>1561</v>
      </c>
      <c r="C217" s="79" t="s">
        <v>30</v>
      </c>
      <c r="D217" s="87">
        <v>2600000</v>
      </c>
      <c r="E217" s="79"/>
    </row>
    <row r="218" spans="1:5" x14ac:dyDescent="0.25">
      <c r="A218" s="78">
        <v>25807900008</v>
      </c>
      <c r="B218" s="79" t="s">
        <v>1563</v>
      </c>
      <c r="C218" s="79" t="s">
        <v>116</v>
      </c>
      <c r="D218" s="87">
        <v>6311250</v>
      </c>
      <c r="E218" s="79"/>
    </row>
    <row r="219" spans="1:5" x14ac:dyDescent="0.25">
      <c r="A219" s="78">
        <v>25820700021</v>
      </c>
      <c r="B219" s="79" t="s">
        <v>1571</v>
      </c>
      <c r="C219" s="79" t="s">
        <v>185</v>
      </c>
      <c r="D219" s="87">
        <v>6311250</v>
      </c>
      <c r="E219" s="79"/>
    </row>
    <row r="220" spans="1:5" x14ac:dyDescent="0.25">
      <c r="A220" s="78">
        <v>25808200010</v>
      </c>
      <c r="B220" s="79" t="s">
        <v>1576</v>
      </c>
      <c r="C220" s="79" t="s">
        <v>676</v>
      </c>
      <c r="D220" s="87">
        <v>6311250</v>
      </c>
      <c r="E220" s="79"/>
    </row>
    <row r="221" spans="1:5" x14ac:dyDescent="0.25">
      <c r="A221" s="78">
        <v>25808700021</v>
      </c>
      <c r="B221" s="79" t="s">
        <v>38</v>
      </c>
      <c r="C221" s="79" t="s">
        <v>708</v>
      </c>
      <c r="D221" s="87">
        <v>6311250</v>
      </c>
      <c r="E221" s="79"/>
    </row>
    <row r="222" spans="1:5" x14ac:dyDescent="0.25">
      <c r="A222" s="78">
        <v>25800500325</v>
      </c>
      <c r="B222" s="79" t="s">
        <v>1584</v>
      </c>
      <c r="C222" s="79" t="s">
        <v>1060</v>
      </c>
      <c r="D222" s="87">
        <v>6311250</v>
      </c>
      <c r="E222" s="79"/>
    </row>
    <row r="223" spans="1:5" x14ac:dyDescent="0.25">
      <c r="A223" s="78">
        <v>25808100046</v>
      </c>
      <c r="B223" s="79" t="s">
        <v>1586</v>
      </c>
      <c r="C223" s="79" t="s">
        <v>1354</v>
      </c>
      <c r="D223" s="87">
        <v>6311250</v>
      </c>
      <c r="E223" s="79"/>
    </row>
    <row r="224" spans="1:5" x14ac:dyDescent="0.25">
      <c r="A224" s="78">
        <v>25800400102</v>
      </c>
      <c r="B224" s="79" t="s">
        <v>383</v>
      </c>
      <c r="C224" s="79" t="s">
        <v>97</v>
      </c>
      <c r="D224" s="87">
        <v>6341250</v>
      </c>
      <c r="E224" s="79"/>
    </row>
    <row r="225" spans="1:5" x14ac:dyDescent="0.25">
      <c r="A225" s="78">
        <v>25807900062</v>
      </c>
      <c r="B225" s="79" t="s">
        <v>696</v>
      </c>
      <c r="C225" s="79" t="s">
        <v>1604</v>
      </c>
      <c r="D225" s="87">
        <v>2600000</v>
      </c>
      <c r="E225" s="79"/>
    </row>
    <row r="226" spans="1:5" x14ac:dyDescent="0.25">
      <c r="A226" s="78">
        <v>25801800005</v>
      </c>
      <c r="B226" s="79" t="s">
        <v>1619</v>
      </c>
      <c r="C226" s="79" t="s">
        <v>160</v>
      </c>
      <c r="D226" s="87">
        <v>6311250</v>
      </c>
      <c r="E226" s="79"/>
    </row>
    <row r="227" spans="1:5" x14ac:dyDescent="0.25">
      <c r="A227" s="78">
        <v>25808600060</v>
      </c>
      <c r="B227" s="79" t="s">
        <v>852</v>
      </c>
      <c r="C227" s="79" t="s">
        <v>500</v>
      </c>
      <c r="D227" s="87">
        <v>8415000</v>
      </c>
      <c r="E227" s="79"/>
    </row>
    <row r="228" spans="1:5" x14ac:dyDescent="0.25">
      <c r="A228" s="78">
        <v>25802700016</v>
      </c>
      <c r="B228" s="79" t="s">
        <v>130</v>
      </c>
      <c r="C228" s="79" t="s">
        <v>131</v>
      </c>
      <c r="D228" s="87">
        <v>6311250</v>
      </c>
      <c r="E228" s="79"/>
    </row>
    <row r="229" spans="1:5" x14ac:dyDescent="0.25">
      <c r="A229" s="78">
        <v>25802700162</v>
      </c>
      <c r="B229" s="79" t="s">
        <v>1622</v>
      </c>
      <c r="C229" s="79" t="s">
        <v>239</v>
      </c>
      <c r="D229" s="87">
        <v>6311250</v>
      </c>
      <c r="E229" s="79"/>
    </row>
    <row r="230" spans="1:5" x14ac:dyDescent="0.25">
      <c r="A230" s="78">
        <v>25801300026</v>
      </c>
      <c r="B230" s="79" t="s">
        <v>526</v>
      </c>
      <c r="C230" s="79" t="s">
        <v>104</v>
      </c>
      <c r="D230" s="87">
        <v>6311250</v>
      </c>
      <c r="E230" s="79"/>
    </row>
    <row r="231" spans="1:5" x14ac:dyDescent="0.25">
      <c r="A231" s="78">
        <v>25802700087</v>
      </c>
      <c r="B231" s="79" t="s">
        <v>452</v>
      </c>
      <c r="C231" s="79" t="s">
        <v>239</v>
      </c>
      <c r="D231" s="87">
        <v>8415000</v>
      </c>
      <c r="E231" s="79"/>
    </row>
    <row r="232" spans="1:5" x14ac:dyDescent="0.25">
      <c r="A232" s="78">
        <v>25802700103</v>
      </c>
      <c r="B232" s="79" t="s">
        <v>1628</v>
      </c>
      <c r="C232" s="79" t="s">
        <v>611</v>
      </c>
      <c r="D232" s="87">
        <v>8415000</v>
      </c>
      <c r="E232" s="79"/>
    </row>
    <row r="233" spans="1:5" x14ac:dyDescent="0.25">
      <c r="A233" s="78">
        <v>25802800095</v>
      </c>
      <c r="B233" s="79" t="s">
        <v>1630</v>
      </c>
      <c r="C233" s="79" t="s">
        <v>157</v>
      </c>
      <c r="D233" s="87">
        <v>8415000</v>
      </c>
      <c r="E233" s="79"/>
    </row>
    <row r="234" spans="1:5" x14ac:dyDescent="0.25">
      <c r="A234" s="78">
        <v>25802800338</v>
      </c>
      <c r="B234" s="79" t="s">
        <v>1632</v>
      </c>
      <c r="C234" s="79" t="s">
        <v>615</v>
      </c>
      <c r="D234" s="87">
        <v>8415000</v>
      </c>
      <c r="E234" s="79"/>
    </row>
    <row r="235" spans="1:5" x14ac:dyDescent="0.25">
      <c r="A235" s="78">
        <v>25805900007</v>
      </c>
      <c r="B235" s="79" t="s">
        <v>1637</v>
      </c>
      <c r="C235" s="79" t="s">
        <v>1638</v>
      </c>
      <c r="D235" s="87">
        <v>8415000</v>
      </c>
      <c r="E235" s="79"/>
    </row>
    <row r="236" spans="1:5" x14ac:dyDescent="0.25">
      <c r="A236" s="78">
        <v>25806500029</v>
      </c>
      <c r="B236" s="79" t="s">
        <v>1640</v>
      </c>
      <c r="C236" s="79" t="s">
        <v>138</v>
      </c>
      <c r="D236" s="87">
        <v>8415000</v>
      </c>
      <c r="E236" s="79"/>
    </row>
    <row r="237" spans="1:5" x14ac:dyDescent="0.25">
      <c r="A237" s="78">
        <v>25807500061</v>
      </c>
      <c r="B237" s="79" t="s">
        <v>1642</v>
      </c>
      <c r="C237" s="79" t="s">
        <v>236</v>
      </c>
      <c r="D237" s="87">
        <v>8415000</v>
      </c>
      <c r="E237" s="79"/>
    </row>
    <row r="238" spans="1:5" x14ac:dyDescent="0.25">
      <c r="A238" s="78">
        <v>25807800153</v>
      </c>
      <c r="B238" s="79" t="s">
        <v>1644</v>
      </c>
      <c r="C238" s="79" t="s">
        <v>47</v>
      </c>
      <c r="D238" s="87">
        <v>8415000</v>
      </c>
      <c r="E238" s="79"/>
    </row>
    <row r="239" spans="1:5" x14ac:dyDescent="0.25">
      <c r="A239" s="78">
        <v>25808200009</v>
      </c>
      <c r="B239" s="79" t="s">
        <v>1646</v>
      </c>
      <c r="C239" s="79" t="s">
        <v>676</v>
      </c>
      <c r="D239" s="87">
        <v>6311250</v>
      </c>
      <c r="E239" s="79"/>
    </row>
    <row r="240" spans="1:5" x14ac:dyDescent="0.25">
      <c r="A240" s="78">
        <v>25808700038</v>
      </c>
      <c r="B240" s="79" t="s">
        <v>526</v>
      </c>
      <c r="C240" s="79" t="s">
        <v>50</v>
      </c>
      <c r="D240" s="87">
        <v>8415000</v>
      </c>
      <c r="E240" s="79"/>
    </row>
    <row r="241" spans="1:5" x14ac:dyDescent="0.25">
      <c r="A241" s="78">
        <v>25802100007</v>
      </c>
      <c r="B241" s="79" t="s">
        <v>589</v>
      </c>
      <c r="C241" s="79" t="s">
        <v>131</v>
      </c>
      <c r="D241" s="87">
        <v>4465000</v>
      </c>
      <c r="E241" s="79"/>
    </row>
    <row r="242" spans="1:5" x14ac:dyDescent="0.25">
      <c r="A242" s="78">
        <v>25801900315</v>
      </c>
      <c r="B242" s="79" t="s">
        <v>1658</v>
      </c>
      <c r="C242" s="79" t="s">
        <v>517</v>
      </c>
      <c r="D242" s="87">
        <v>4465000</v>
      </c>
      <c r="E242" s="79"/>
    </row>
    <row r="243" spans="1:5" x14ac:dyDescent="0.25">
      <c r="A243" s="78">
        <v>25802800242</v>
      </c>
      <c r="B243" s="79" t="s">
        <v>1660</v>
      </c>
      <c r="C243" s="79" t="s">
        <v>638</v>
      </c>
      <c r="D243" s="87">
        <v>2232500</v>
      </c>
      <c r="E243" s="79"/>
    </row>
    <row r="244" spans="1:5" x14ac:dyDescent="0.25">
      <c r="A244" s="78">
        <v>25806000082</v>
      </c>
      <c r="B244" s="79" t="s">
        <v>1662</v>
      </c>
      <c r="C244" s="79" t="s">
        <v>1097</v>
      </c>
      <c r="D244" s="87">
        <v>4465000</v>
      </c>
      <c r="E244" s="79"/>
    </row>
    <row r="245" spans="1:5" x14ac:dyDescent="0.25">
      <c r="A245" s="78">
        <v>25808900096</v>
      </c>
      <c r="B245" s="79" t="s">
        <v>1665</v>
      </c>
      <c r="C245" s="79" t="s">
        <v>88</v>
      </c>
      <c r="D245" s="87">
        <v>4465000</v>
      </c>
      <c r="E245" s="79"/>
    </row>
    <row r="246" spans="1:5" x14ac:dyDescent="0.25">
      <c r="A246" s="78">
        <v>25808900070</v>
      </c>
      <c r="B246" s="79" t="s">
        <v>1673</v>
      </c>
      <c r="C246" s="79" t="s">
        <v>392</v>
      </c>
      <c r="D246" s="87">
        <v>2600000</v>
      </c>
      <c r="E246" s="79"/>
    </row>
    <row r="247" spans="1:5" x14ac:dyDescent="0.25">
      <c r="A247" s="78">
        <v>25806600042</v>
      </c>
      <c r="B247" s="88" t="s">
        <v>1678</v>
      </c>
      <c r="C247" s="88" t="s">
        <v>131</v>
      </c>
      <c r="D247" s="87">
        <v>2600000</v>
      </c>
      <c r="E247" s="79"/>
    </row>
    <row r="248" spans="1:5" x14ac:dyDescent="0.25">
      <c r="A248" s="78">
        <v>25805900069</v>
      </c>
      <c r="B248" s="79" t="s">
        <v>1753</v>
      </c>
      <c r="C248" s="79" t="s">
        <v>160</v>
      </c>
      <c r="D248" s="87">
        <v>6311250</v>
      </c>
      <c r="E248" s="79"/>
    </row>
    <row r="249" spans="1:5" x14ac:dyDescent="0.25">
      <c r="A249" s="78">
        <v>25806000008</v>
      </c>
      <c r="B249" s="79" t="s">
        <v>1755</v>
      </c>
      <c r="C249" s="79" t="s">
        <v>474</v>
      </c>
      <c r="D249" s="87">
        <v>2232500</v>
      </c>
      <c r="E249" s="79"/>
    </row>
    <row r="250" spans="1:5" x14ac:dyDescent="0.25">
      <c r="A250" s="90">
        <v>25808800046</v>
      </c>
      <c r="B250" s="91" t="s">
        <v>1658</v>
      </c>
      <c r="C250" s="91" t="s">
        <v>270</v>
      </c>
      <c r="D250" s="87">
        <v>2232500</v>
      </c>
      <c r="E250" s="79"/>
    </row>
    <row r="251" spans="1:5" x14ac:dyDescent="0.25">
      <c r="A251" s="78">
        <v>25820700027</v>
      </c>
      <c r="B251" s="79" t="s">
        <v>1817</v>
      </c>
      <c r="C251" s="79" t="s">
        <v>166</v>
      </c>
      <c r="D251" s="87">
        <v>6311250</v>
      </c>
      <c r="E251" s="7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3:F25"/>
  <sheetViews>
    <sheetView workbookViewId="0">
      <selection activeCell="A21" sqref="A21"/>
    </sheetView>
  </sheetViews>
  <sheetFormatPr defaultColWidth="8.85546875" defaultRowHeight="15" x14ac:dyDescent="0.25"/>
  <cols>
    <col min="1" max="1" width="12" bestFit="1" customWidth="1"/>
    <col min="2" max="2" width="19.140625" bestFit="1" customWidth="1"/>
    <col min="3" max="3" width="6.42578125" bestFit="1" customWidth="1"/>
    <col min="4" max="5" width="10.42578125" bestFit="1" customWidth="1"/>
    <col min="6" max="6" width="16.85546875" customWidth="1"/>
  </cols>
  <sheetData>
    <row r="3" spans="1:6" x14ac:dyDescent="0.25">
      <c r="A3" s="2" t="s">
        <v>317</v>
      </c>
      <c r="B3" t="s">
        <v>318</v>
      </c>
      <c r="C3" t="s">
        <v>319</v>
      </c>
      <c r="D3" s="8">
        <v>7065000</v>
      </c>
      <c r="E3" s="8">
        <v>2600000</v>
      </c>
      <c r="F3" s="74" t="s">
        <v>299</v>
      </c>
    </row>
    <row r="4" spans="1:6" x14ac:dyDescent="0.25">
      <c r="A4" s="2" t="s">
        <v>386</v>
      </c>
      <c r="B4" t="s">
        <v>387</v>
      </c>
      <c r="C4" t="s">
        <v>388</v>
      </c>
      <c r="D4" s="8">
        <v>4465000</v>
      </c>
      <c r="E4" s="9">
        <v>2232500</v>
      </c>
      <c r="F4" s="75" t="s">
        <v>349</v>
      </c>
    </row>
    <row r="5" spans="1:6" x14ac:dyDescent="0.25">
      <c r="A5" s="2" t="s">
        <v>390</v>
      </c>
      <c r="B5" s="13" t="s">
        <v>391</v>
      </c>
      <c r="C5" s="13" t="s">
        <v>392</v>
      </c>
      <c r="D5" s="8">
        <v>4200000</v>
      </c>
      <c r="E5" s="8">
        <v>2600000</v>
      </c>
      <c r="F5" s="75" t="s">
        <v>349</v>
      </c>
    </row>
    <row r="6" spans="1:6" x14ac:dyDescent="0.25">
      <c r="A6" s="2">
        <v>25808700053</v>
      </c>
      <c r="B6" t="s">
        <v>483</v>
      </c>
      <c r="C6" t="s">
        <v>484</v>
      </c>
      <c r="D6" s="8">
        <v>4465000</v>
      </c>
      <c r="E6" s="9">
        <v>2232500</v>
      </c>
      <c r="F6" s="75" t="s">
        <v>446</v>
      </c>
    </row>
    <row r="7" spans="1:6" x14ac:dyDescent="0.25">
      <c r="A7" s="2">
        <v>25808200090</v>
      </c>
      <c r="B7" t="s">
        <v>485</v>
      </c>
      <c r="C7" t="s">
        <v>435</v>
      </c>
      <c r="D7" s="8">
        <v>4465000</v>
      </c>
      <c r="E7" s="9">
        <v>2232500</v>
      </c>
      <c r="F7" s="75" t="s">
        <v>446</v>
      </c>
    </row>
    <row r="8" spans="1:6" x14ac:dyDescent="0.25">
      <c r="A8" s="2" t="s">
        <v>519</v>
      </c>
      <c r="B8" t="s">
        <v>520</v>
      </c>
      <c r="C8" t="s">
        <v>521</v>
      </c>
      <c r="D8" s="8">
        <v>4465000</v>
      </c>
      <c r="E8" s="9">
        <v>2232500</v>
      </c>
      <c r="F8" s="10" t="s">
        <v>491</v>
      </c>
    </row>
    <row r="9" spans="1:6" s="15" customFormat="1" x14ac:dyDescent="0.25">
      <c r="A9" s="16" t="s">
        <v>559</v>
      </c>
      <c r="B9" s="15" t="s">
        <v>560</v>
      </c>
      <c r="C9" s="15" t="s">
        <v>376</v>
      </c>
      <c r="D9" s="17">
        <v>4700000</v>
      </c>
      <c r="E9" s="17">
        <v>2600000</v>
      </c>
      <c r="F9" s="16" t="s">
        <v>529</v>
      </c>
    </row>
    <row r="10" spans="1:6" x14ac:dyDescent="0.25">
      <c r="A10" s="2" t="s">
        <v>593</v>
      </c>
      <c r="B10" t="s">
        <v>594</v>
      </c>
      <c r="C10" t="s">
        <v>595</v>
      </c>
      <c r="D10" s="8">
        <v>7065000</v>
      </c>
      <c r="E10" s="8">
        <v>2600000</v>
      </c>
      <c r="F10" s="10" t="s">
        <v>569</v>
      </c>
    </row>
    <row r="11" spans="1:6" x14ac:dyDescent="0.25">
      <c r="A11" s="2" t="s">
        <v>665</v>
      </c>
      <c r="B11" t="s">
        <v>666</v>
      </c>
      <c r="C11" t="s">
        <v>124</v>
      </c>
      <c r="D11" s="8">
        <v>4465000</v>
      </c>
      <c r="E11" s="9">
        <v>2232500</v>
      </c>
      <c r="F11" s="10" t="s">
        <v>654</v>
      </c>
    </row>
    <row r="12" spans="1:6" x14ac:dyDescent="0.25">
      <c r="A12" s="2" t="s">
        <v>726</v>
      </c>
      <c r="B12" t="s">
        <v>727</v>
      </c>
      <c r="C12" t="s">
        <v>450</v>
      </c>
      <c r="D12" s="8">
        <v>7065000</v>
      </c>
      <c r="E12" s="8">
        <v>2600000</v>
      </c>
      <c r="F12" s="10" t="s">
        <v>728</v>
      </c>
    </row>
    <row r="13" spans="1:6" s="15" customFormat="1" x14ac:dyDescent="0.25">
      <c r="A13" s="16" t="s">
        <v>768</v>
      </c>
      <c r="B13" s="15" t="s">
        <v>769</v>
      </c>
      <c r="C13" s="15" t="s">
        <v>88</v>
      </c>
      <c r="D13" s="17">
        <v>4700000</v>
      </c>
      <c r="E13" s="17">
        <v>2600000</v>
      </c>
      <c r="F13" s="16" t="s">
        <v>760</v>
      </c>
    </row>
    <row r="14" spans="1:6" x14ac:dyDescent="0.25">
      <c r="A14" s="2" t="s">
        <v>934</v>
      </c>
      <c r="B14" t="s">
        <v>935</v>
      </c>
      <c r="C14" t="s">
        <v>936</v>
      </c>
      <c r="D14" s="8">
        <v>7065000</v>
      </c>
      <c r="E14" s="9">
        <v>2600000</v>
      </c>
      <c r="F14" s="75" t="s">
        <v>924</v>
      </c>
    </row>
    <row r="15" spans="1:6" x14ac:dyDescent="0.25">
      <c r="A15" s="2" t="s">
        <v>958</v>
      </c>
      <c r="B15" t="s">
        <v>959</v>
      </c>
      <c r="C15" t="s">
        <v>160</v>
      </c>
      <c r="D15" s="8">
        <v>4700000</v>
      </c>
      <c r="E15" s="8">
        <v>2600000</v>
      </c>
      <c r="F15" s="75" t="s">
        <v>924</v>
      </c>
    </row>
    <row r="16" spans="1:6" x14ac:dyDescent="0.25">
      <c r="A16" s="2" t="s">
        <v>1018</v>
      </c>
      <c r="B16" t="s">
        <v>143</v>
      </c>
      <c r="C16" t="s">
        <v>294</v>
      </c>
      <c r="D16" s="8">
        <v>4700000</v>
      </c>
      <c r="E16" s="8">
        <v>2600000</v>
      </c>
      <c r="F16" s="75" t="s">
        <v>1001</v>
      </c>
    </row>
    <row r="17" spans="1:6" x14ac:dyDescent="0.25">
      <c r="A17" s="2" t="s">
        <v>1023</v>
      </c>
      <c r="B17" t="s">
        <v>1024</v>
      </c>
      <c r="C17" t="s">
        <v>34</v>
      </c>
      <c r="D17" s="8">
        <v>2600000</v>
      </c>
      <c r="E17" s="8">
        <v>2600000</v>
      </c>
      <c r="F17" s="75" t="s">
        <v>1001</v>
      </c>
    </row>
    <row r="18" spans="1:6" x14ac:dyDescent="0.25">
      <c r="A18" s="2" t="s">
        <v>1066</v>
      </c>
      <c r="B18" t="s">
        <v>1067</v>
      </c>
      <c r="C18" t="s">
        <v>157</v>
      </c>
      <c r="D18" s="8">
        <v>7065000</v>
      </c>
      <c r="E18" s="8">
        <v>2600000</v>
      </c>
      <c r="F18" s="75" t="s">
        <v>1068</v>
      </c>
    </row>
    <row r="19" spans="1:6" x14ac:dyDescent="0.25">
      <c r="A19" s="2" t="s">
        <v>1137</v>
      </c>
      <c r="B19" t="s">
        <v>1126</v>
      </c>
      <c r="C19" t="s">
        <v>120</v>
      </c>
      <c r="D19" s="8">
        <v>4465000</v>
      </c>
      <c r="E19" s="9">
        <v>2232500</v>
      </c>
      <c r="F19" s="10" t="s">
        <v>1104</v>
      </c>
    </row>
    <row r="20" spans="1:6" x14ac:dyDescent="0.25">
      <c r="A20" s="2" t="s">
        <v>1138</v>
      </c>
      <c r="B20" t="s">
        <v>1139</v>
      </c>
      <c r="C20" t="s">
        <v>182</v>
      </c>
      <c r="D20" s="8">
        <v>4700000</v>
      </c>
      <c r="E20" s="9">
        <v>2600000</v>
      </c>
      <c r="F20" s="10" t="s">
        <v>1104</v>
      </c>
    </row>
    <row r="21" spans="1:6" x14ac:dyDescent="0.25">
      <c r="A21" s="2" t="s">
        <v>1145</v>
      </c>
      <c r="B21" t="s">
        <v>1146</v>
      </c>
      <c r="C21" t="s">
        <v>341</v>
      </c>
      <c r="D21" s="8">
        <v>7065000</v>
      </c>
      <c r="E21" s="8">
        <v>2600000</v>
      </c>
      <c r="F21" s="75" t="s">
        <v>1143</v>
      </c>
    </row>
    <row r="22" spans="1:6" x14ac:dyDescent="0.25">
      <c r="A22" s="2" t="s">
        <v>1170</v>
      </c>
      <c r="B22" t="s">
        <v>426</v>
      </c>
      <c r="C22" t="s">
        <v>842</v>
      </c>
      <c r="D22" s="8">
        <v>4700000</v>
      </c>
      <c r="E22" s="9">
        <v>2600000</v>
      </c>
      <c r="F22" s="75" t="s">
        <v>1143</v>
      </c>
    </row>
    <row r="23" spans="1:6" x14ac:dyDescent="0.25">
      <c r="A23" s="2">
        <v>25808700098</v>
      </c>
      <c r="B23" t="s">
        <v>1187</v>
      </c>
      <c r="C23" t="s">
        <v>239</v>
      </c>
      <c r="D23" s="8">
        <v>2600000</v>
      </c>
      <c r="E23" s="8">
        <v>2600000</v>
      </c>
      <c r="F23" s="75" t="s">
        <v>1143</v>
      </c>
    </row>
    <row r="24" spans="1:6" x14ac:dyDescent="0.25">
      <c r="A24" s="2" t="s">
        <v>1198</v>
      </c>
      <c r="B24" t="s">
        <v>1199</v>
      </c>
      <c r="C24" t="s">
        <v>590</v>
      </c>
      <c r="D24" s="8">
        <v>7065000</v>
      </c>
      <c r="E24" s="9">
        <v>2600000</v>
      </c>
      <c r="F24" s="10" t="s">
        <v>1190</v>
      </c>
    </row>
    <row r="25" spans="1:6" x14ac:dyDescent="0.25">
      <c r="A25" s="2">
        <v>25800600007</v>
      </c>
      <c r="B25" s="12" t="s">
        <v>1288</v>
      </c>
      <c r="C25" s="12" t="s">
        <v>494</v>
      </c>
      <c r="D25" s="8">
        <v>2600000</v>
      </c>
      <c r="E25" s="8">
        <v>2600000</v>
      </c>
      <c r="F25" s="10" t="s">
        <v>1259</v>
      </c>
    </row>
  </sheetData>
  <conditionalFormatting sqref="A3:A25">
    <cfRule type="duplicateValues" dxfId="2" priority="34"/>
    <cfRule type="duplicateValues" dxfId="1" priority="36"/>
    <cfRule type="duplicateValues" dxfId="0" priority="3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DS Thù lao T3.2026 (update)</vt:lpstr>
      <vt:lpstr>DS Thù lao THANG 3.26</vt:lpstr>
      <vt:lpstr>TONG HOP</vt:lpstr>
      <vt:lpstr>DS Thù lao tháng 5.2026</vt:lpstr>
      <vt:lpstr>SV học phí level 3 (29)</vt:lpstr>
      <vt:lpstr>SV học phí level 4 (336)</vt:lpstr>
      <vt:lpstr>SV còn tiền LV4 (250)</vt:lpstr>
      <vt:lpstr>SV CHUA HP LEVEL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Chương Lê Quang</cp:lastModifiedBy>
  <dcterms:created xsi:type="dcterms:W3CDTF">2026-03-18T02:33:06Z</dcterms:created>
  <dcterms:modified xsi:type="dcterms:W3CDTF">2026-05-09T05:05:47Z</dcterms:modified>
</cp:coreProperties>
</file>